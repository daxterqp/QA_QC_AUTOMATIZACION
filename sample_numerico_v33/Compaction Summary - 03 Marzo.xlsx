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omments1.xml" ContentType="application/vnd.openxmlformats-officedocument.spreadsheetml.comments+xml"/>
  <Override PartName="/xl/threadedComments/threadedComment1.xml" ContentType="application/vnd.ms-excel.threaded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defaultThemeVersion="124226"/>
  <mc:AlternateContent xmlns:mc="http://schemas.openxmlformats.org/markup-compatibility/2006">
    <mc:Choice Requires="x15">
      <x15ac:absPath xmlns:x15ac="http://schemas.microsoft.com/office/spreadsheetml/2010/11/ac" url="https://fcx365.sharepoint.com/Sites/CVE-RLVEnlozada/03 QAQC C1 Gabinete/REPORTES MENSUALES/Compactación/2026/"/>
    </mc:Choice>
  </mc:AlternateContent>
  <xr:revisionPtr revIDLastSave="1591" documentId="8_{6E785DD3-1B63-42B9-88F2-EF9FF1DE1B10}" xr6:coauthVersionLast="47" xr6:coauthVersionMax="47" xr10:uidLastSave="{15A1F13E-17E8-46E9-A358-77070ACCB636}"/>
  <bookViews>
    <workbookView xWindow="-120" yWindow="-120" windowWidth="29040" windowHeight="15720" tabRatio="639" xr2:uid="{00000000-000D-0000-FFFF-FFFF00000000}"/>
  </bookViews>
  <sheets>
    <sheet name="FCS" sheetId="3" r:id="rId1"/>
    <sheet name="R Semanal" sheetId="15" r:id="rId2"/>
    <sheet name="RepTopoP1" sheetId="16" r:id="rId3"/>
    <sheet name="Sheet1" sheetId="14" state="hidden" r:id="rId4"/>
  </sheets>
  <externalReferences>
    <externalReference r:id="rId5"/>
  </externalReferences>
  <definedNames>
    <definedName name="_xlnm._FilterDatabase" localSheetId="0" hidden="1">FCS!#REF!</definedName>
    <definedName name="_xlnm._FilterDatabase" localSheetId="2" hidden="1">RepTopoP1!$B$15:$G$815</definedName>
    <definedName name="_xlnm._FilterDatabase" localSheetId="3" hidden="1">Sheet1!$A$9:$AV$9</definedName>
    <definedName name="_xlnm.Extract" localSheetId="0">FCS!#REF!</definedName>
    <definedName name="_xlnm.Print_Area" localSheetId="0">FCS!$A$1:$AR$832</definedName>
    <definedName name="_xlnm.Print_Area" localSheetId="1">'R Semanal'!$A$1:$AC$86</definedName>
    <definedName name="_xlnm.Criteria" localSheetId="0">FCS!#REF!</definedName>
    <definedName name="Slicer_Column47">#N/A</definedName>
    <definedName name="_xlnm.Print_Titles" localSheetId="0">FCS!$1:$9</definedName>
  </definedNames>
  <calcPr calcId="191028"/>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6"/>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S722" i="3" l="1"/>
  <c r="AT722" i="3"/>
  <c r="AU722" i="3"/>
  <c r="AV722" i="3"/>
  <c r="AS690" i="3"/>
  <c r="AT690" i="3"/>
  <c r="AU690" i="3"/>
  <c r="AV690" i="3"/>
  <c r="AS700" i="3"/>
  <c r="AT700" i="3"/>
  <c r="AU700" i="3"/>
  <c r="AV700" i="3"/>
  <c r="AS666" i="3"/>
  <c r="AT666" i="3"/>
  <c r="AU666" i="3"/>
  <c r="AV666" i="3"/>
  <c r="AS644" i="3"/>
  <c r="AT644" i="3"/>
  <c r="AU644" i="3"/>
  <c r="AV644" i="3"/>
  <c r="AS622" i="3"/>
  <c r="AT622" i="3"/>
  <c r="AU622" i="3"/>
  <c r="AV622" i="3"/>
  <c r="AS475" i="3"/>
  <c r="AT475" i="3"/>
  <c r="AU475" i="3"/>
  <c r="AV475" i="3"/>
  <c r="AS441" i="3"/>
  <c r="AT441" i="3"/>
  <c r="AU441" i="3"/>
  <c r="AV441" i="3"/>
  <c r="AS418" i="3"/>
  <c r="AT418" i="3"/>
  <c r="AU418" i="3"/>
  <c r="AV418" i="3"/>
  <c r="AS385" i="3"/>
  <c r="AT385" i="3"/>
  <c r="AU385" i="3"/>
  <c r="AV385" i="3"/>
  <c r="AS372" i="3"/>
  <c r="AT372" i="3"/>
  <c r="AU372" i="3"/>
  <c r="AV372" i="3"/>
  <c r="B19" i="16"/>
  <c r="D19" i="16"/>
  <c r="E19" i="16"/>
  <c r="H19" i="16"/>
  <c r="B20" i="16"/>
  <c r="D20" i="16"/>
  <c r="E20" i="16"/>
  <c r="H20" i="16"/>
  <c r="B21" i="16"/>
  <c r="D21" i="16"/>
  <c r="E21" i="16"/>
  <c r="H21" i="16"/>
  <c r="B22" i="16"/>
  <c r="D22" i="16"/>
  <c r="E22" i="16"/>
  <c r="H22" i="16"/>
  <c r="B23" i="16"/>
  <c r="D23" i="16"/>
  <c r="E23" i="16"/>
  <c r="H23" i="16"/>
  <c r="B24" i="16"/>
  <c r="D24" i="16"/>
  <c r="E24" i="16"/>
  <c r="H24" i="16"/>
  <c r="B25" i="16"/>
  <c r="D25" i="16"/>
  <c r="E25" i="16"/>
  <c r="H25" i="16"/>
  <c r="B26" i="16"/>
  <c r="D26" i="16"/>
  <c r="E26" i="16"/>
  <c r="H26" i="16"/>
  <c r="B27" i="16"/>
  <c r="D27" i="16"/>
  <c r="E27" i="16"/>
  <c r="H27" i="16"/>
  <c r="B28" i="16"/>
  <c r="D28" i="16"/>
  <c r="E28" i="16"/>
  <c r="H28" i="16"/>
  <c r="B29" i="16"/>
  <c r="D29" i="16"/>
  <c r="E29" i="16"/>
  <c r="H29" i="16"/>
  <c r="B30" i="16"/>
  <c r="D30" i="16"/>
  <c r="E30" i="16"/>
  <c r="H30" i="16"/>
  <c r="B31" i="16"/>
  <c r="D31" i="16"/>
  <c r="E31" i="16"/>
  <c r="H31" i="16"/>
  <c r="B32" i="16"/>
  <c r="D32" i="16"/>
  <c r="E32" i="16"/>
  <c r="H32" i="16"/>
  <c r="B33" i="16"/>
  <c r="D33" i="16"/>
  <c r="E33" i="16"/>
  <c r="H33" i="16"/>
  <c r="B34" i="16"/>
  <c r="D34" i="16"/>
  <c r="E34" i="16"/>
  <c r="H34" i="16"/>
  <c r="B35" i="16"/>
  <c r="D35" i="16"/>
  <c r="E35" i="16"/>
  <c r="H35" i="16"/>
  <c r="B36" i="16"/>
  <c r="D36" i="16"/>
  <c r="E36" i="16"/>
  <c r="H36" i="16"/>
  <c r="B37" i="16"/>
  <c r="D37" i="16"/>
  <c r="E37" i="16"/>
  <c r="H37" i="16"/>
  <c r="B38" i="16"/>
  <c r="D38" i="16"/>
  <c r="E38" i="16"/>
  <c r="H38" i="16"/>
  <c r="B39" i="16"/>
  <c r="D39" i="16"/>
  <c r="E39" i="16"/>
  <c r="H39" i="16"/>
  <c r="B40" i="16"/>
  <c r="D40" i="16"/>
  <c r="E40" i="16"/>
  <c r="H40" i="16"/>
  <c r="B41" i="16"/>
  <c r="D41" i="16"/>
  <c r="E41" i="16"/>
  <c r="H41" i="16"/>
  <c r="B42" i="16"/>
  <c r="D42" i="16"/>
  <c r="E42" i="16"/>
  <c r="H42" i="16"/>
  <c r="B43" i="16"/>
  <c r="D43" i="16"/>
  <c r="E43" i="16"/>
  <c r="H43" i="16"/>
  <c r="B44" i="16"/>
  <c r="D44" i="16"/>
  <c r="E44" i="16"/>
  <c r="H44" i="16"/>
  <c r="B45" i="16"/>
  <c r="D45" i="16"/>
  <c r="E45" i="16"/>
  <c r="H45" i="16"/>
  <c r="B46" i="16"/>
  <c r="D46" i="16"/>
  <c r="E46" i="16"/>
  <c r="H46" i="16"/>
  <c r="B47" i="16"/>
  <c r="D47" i="16"/>
  <c r="E47" i="16"/>
  <c r="H47" i="16"/>
  <c r="B48" i="16"/>
  <c r="D48" i="16"/>
  <c r="E48" i="16"/>
  <c r="H48" i="16"/>
  <c r="B49" i="16"/>
  <c r="D49" i="16"/>
  <c r="E49" i="16"/>
  <c r="H49" i="16"/>
  <c r="B50" i="16"/>
  <c r="D50" i="16"/>
  <c r="E50" i="16"/>
  <c r="H50" i="16"/>
  <c r="B51" i="16"/>
  <c r="D51" i="16"/>
  <c r="E51" i="16"/>
  <c r="H51" i="16"/>
  <c r="B52" i="16"/>
  <c r="D52" i="16"/>
  <c r="E52" i="16"/>
  <c r="H52" i="16"/>
  <c r="B53" i="16"/>
  <c r="D53" i="16"/>
  <c r="E53" i="16"/>
  <c r="H53" i="16"/>
  <c r="B54" i="16"/>
  <c r="D54" i="16"/>
  <c r="E54" i="16"/>
  <c r="H54" i="16"/>
  <c r="B55" i="16"/>
  <c r="D55" i="16"/>
  <c r="E55" i="16"/>
  <c r="H55" i="16"/>
  <c r="B56" i="16"/>
  <c r="D56" i="16"/>
  <c r="E56" i="16"/>
  <c r="H56" i="16"/>
  <c r="B57" i="16"/>
  <c r="D57" i="16"/>
  <c r="E57" i="16"/>
  <c r="H57" i="16"/>
  <c r="B58" i="16"/>
  <c r="D58" i="16"/>
  <c r="E58" i="16"/>
  <c r="H58" i="16"/>
  <c r="B59" i="16"/>
  <c r="D59" i="16"/>
  <c r="E59" i="16"/>
  <c r="H59" i="16"/>
  <c r="B60" i="16"/>
  <c r="D60" i="16"/>
  <c r="E60" i="16"/>
  <c r="H60" i="16"/>
  <c r="B61" i="16"/>
  <c r="D61" i="16"/>
  <c r="E61" i="16"/>
  <c r="H61" i="16"/>
  <c r="B62" i="16"/>
  <c r="D62" i="16"/>
  <c r="E62" i="16"/>
  <c r="H62" i="16"/>
  <c r="B63" i="16"/>
  <c r="D63" i="16"/>
  <c r="E63" i="16"/>
  <c r="H63" i="16"/>
  <c r="B64" i="16"/>
  <c r="D64" i="16"/>
  <c r="E64" i="16"/>
  <c r="H64" i="16"/>
  <c r="B65" i="16"/>
  <c r="D65" i="16"/>
  <c r="E65" i="16"/>
  <c r="H65" i="16"/>
  <c r="B66" i="16"/>
  <c r="D66" i="16"/>
  <c r="E66" i="16"/>
  <c r="H66" i="16"/>
  <c r="B67" i="16"/>
  <c r="D67" i="16"/>
  <c r="E67" i="16"/>
  <c r="H67" i="16"/>
  <c r="B68" i="16"/>
  <c r="D68" i="16"/>
  <c r="E68" i="16"/>
  <c r="H68" i="16"/>
  <c r="B69" i="16"/>
  <c r="D69" i="16"/>
  <c r="E69" i="16"/>
  <c r="H69" i="16"/>
  <c r="B70" i="16"/>
  <c r="D70" i="16"/>
  <c r="E70" i="16"/>
  <c r="H70" i="16"/>
  <c r="B71" i="16"/>
  <c r="D71" i="16"/>
  <c r="E71" i="16"/>
  <c r="H71" i="16"/>
  <c r="B72" i="16"/>
  <c r="D72" i="16"/>
  <c r="E72" i="16"/>
  <c r="H72" i="16"/>
  <c r="B73" i="16"/>
  <c r="D73" i="16"/>
  <c r="E73" i="16"/>
  <c r="H73" i="16"/>
  <c r="B74" i="16"/>
  <c r="D74" i="16"/>
  <c r="E74" i="16"/>
  <c r="H74" i="16"/>
  <c r="B75" i="16"/>
  <c r="D75" i="16"/>
  <c r="E75" i="16"/>
  <c r="H75" i="16"/>
  <c r="B76" i="16"/>
  <c r="D76" i="16"/>
  <c r="E76" i="16"/>
  <c r="H76" i="16"/>
  <c r="B77" i="16"/>
  <c r="D77" i="16"/>
  <c r="E77" i="16"/>
  <c r="H77" i="16"/>
  <c r="B78" i="16"/>
  <c r="D78" i="16"/>
  <c r="E78" i="16"/>
  <c r="H78" i="16"/>
  <c r="B79" i="16"/>
  <c r="D79" i="16"/>
  <c r="E79" i="16"/>
  <c r="H79" i="16"/>
  <c r="B80" i="16"/>
  <c r="D80" i="16"/>
  <c r="E80" i="16"/>
  <c r="H80" i="16"/>
  <c r="B81" i="16"/>
  <c r="D81" i="16"/>
  <c r="E81" i="16"/>
  <c r="H81" i="16"/>
  <c r="B82" i="16"/>
  <c r="D82" i="16"/>
  <c r="E82" i="16"/>
  <c r="H82" i="16"/>
  <c r="B83" i="16"/>
  <c r="D83" i="16"/>
  <c r="E83" i="16"/>
  <c r="H83" i="16"/>
  <c r="B84" i="16"/>
  <c r="D84" i="16"/>
  <c r="E84" i="16"/>
  <c r="H84" i="16"/>
  <c r="B85" i="16"/>
  <c r="D85" i="16"/>
  <c r="E85" i="16"/>
  <c r="H85" i="16"/>
  <c r="B86" i="16"/>
  <c r="D86" i="16"/>
  <c r="E86" i="16"/>
  <c r="H86" i="16"/>
  <c r="B87" i="16"/>
  <c r="D87" i="16"/>
  <c r="E87" i="16"/>
  <c r="H87" i="16"/>
  <c r="B88" i="16"/>
  <c r="D88" i="16"/>
  <c r="E88" i="16"/>
  <c r="H88" i="16"/>
  <c r="B89" i="16"/>
  <c r="D89" i="16"/>
  <c r="E89" i="16"/>
  <c r="H89" i="16"/>
  <c r="B90" i="16"/>
  <c r="D90" i="16"/>
  <c r="E90" i="16"/>
  <c r="H90" i="16"/>
  <c r="B91" i="16"/>
  <c r="D91" i="16"/>
  <c r="E91" i="16"/>
  <c r="H91" i="16"/>
  <c r="B92" i="16"/>
  <c r="D92" i="16"/>
  <c r="E92" i="16"/>
  <c r="H92" i="16"/>
  <c r="B93" i="16"/>
  <c r="D93" i="16"/>
  <c r="E93" i="16"/>
  <c r="H93" i="16"/>
  <c r="B94" i="16"/>
  <c r="D94" i="16"/>
  <c r="E94" i="16"/>
  <c r="H94" i="16"/>
  <c r="B95" i="16"/>
  <c r="D95" i="16"/>
  <c r="E95" i="16"/>
  <c r="H95" i="16"/>
  <c r="B96" i="16"/>
  <c r="D96" i="16"/>
  <c r="E96" i="16"/>
  <c r="H96" i="16"/>
  <c r="B97" i="16"/>
  <c r="D97" i="16"/>
  <c r="E97" i="16"/>
  <c r="H97" i="16"/>
  <c r="B98" i="16"/>
  <c r="D98" i="16"/>
  <c r="E98" i="16"/>
  <c r="H98" i="16"/>
  <c r="B99" i="16"/>
  <c r="D99" i="16"/>
  <c r="E99" i="16"/>
  <c r="H99" i="16"/>
  <c r="B100" i="16"/>
  <c r="D100" i="16"/>
  <c r="E100" i="16"/>
  <c r="H100" i="16"/>
  <c r="B101" i="16"/>
  <c r="D101" i="16"/>
  <c r="E101" i="16"/>
  <c r="H101" i="16"/>
  <c r="B102" i="16"/>
  <c r="D102" i="16"/>
  <c r="E102" i="16"/>
  <c r="H102" i="16"/>
  <c r="B103" i="16"/>
  <c r="D103" i="16"/>
  <c r="E103" i="16"/>
  <c r="H103" i="16"/>
  <c r="B104" i="16"/>
  <c r="D104" i="16"/>
  <c r="E104" i="16"/>
  <c r="H104" i="16"/>
  <c r="B105" i="16"/>
  <c r="D105" i="16"/>
  <c r="E105" i="16"/>
  <c r="H105" i="16"/>
  <c r="B106" i="16"/>
  <c r="D106" i="16"/>
  <c r="E106" i="16"/>
  <c r="H106" i="16"/>
  <c r="B107" i="16"/>
  <c r="D107" i="16"/>
  <c r="E107" i="16"/>
  <c r="H107" i="16"/>
  <c r="B108" i="16"/>
  <c r="D108" i="16"/>
  <c r="E108" i="16"/>
  <c r="H108" i="16"/>
  <c r="B109" i="16"/>
  <c r="D109" i="16"/>
  <c r="E109" i="16"/>
  <c r="H109" i="16"/>
  <c r="B110" i="16"/>
  <c r="D110" i="16"/>
  <c r="E110" i="16"/>
  <c r="H110" i="16"/>
  <c r="B111" i="16"/>
  <c r="D111" i="16"/>
  <c r="E111" i="16"/>
  <c r="H111" i="16"/>
  <c r="B112" i="16"/>
  <c r="D112" i="16"/>
  <c r="E112" i="16"/>
  <c r="H112" i="16"/>
  <c r="B113" i="16"/>
  <c r="D113" i="16"/>
  <c r="E113" i="16"/>
  <c r="H113" i="16"/>
  <c r="B114" i="16"/>
  <c r="D114" i="16"/>
  <c r="E114" i="16"/>
  <c r="H114" i="16"/>
  <c r="B115" i="16"/>
  <c r="D115" i="16"/>
  <c r="E115" i="16"/>
  <c r="H115" i="16"/>
  <c r="B116" i="16"/>
  <c r="D116" i="16"/>
  <c r="E116" i="16"/>
  <c r="H116" i="16"/>
  <c r="B117" i="16"/>
  <c r="D117" i="16"/>
  <c r="E117" i="16"/>
  <c r="H117" i="16"/>
  <c r="B118" i="16"/>
  <c r="D118" i="16"/>
  <c r="E118" i="16"/>
  <c r="H118" i="16"/>
  <c r="B119" i="16"/>
  <c r="D119" i="16"/>
  <c r="E119" i="16"/>
  <c r="H119" i="16"/>
  <c r="B120" i="16"/>
  <c r="D120" i="16"/>
  <c r="E120" i="16"/>
  <c r="H120" i="16"/>
  <c r="B121" i="16"/>
  <c r="D121" i="16"/>
  <c r="E121" i="16"/>
  <c r="H121" i="16"/>
  <c r="B122" i="16"/>
  <c r="D122" i="16"/>
  <c r="E122" i="16"/>
  <c r="H122" i="16"/>
  <c r="B123" i="16"/>
  <c r="D123" i="16"/>
  <c r="E123" i="16"/>
  <c r="H123" i="16"/>
  <c r="B124" i="16"/>
  <c r="D124" i="16"/>
  <c r="E124" i="16"/>
  <c r="H124" i="16"/>
  <c r="B125" i="16"/>
  <c r="D125" i="16"/>
  <c r="E125" i="16"/>
  <c r="H125" i="16"/>
  <c r="B126" i="16"/>
  <c r="D126" i="16"/>
  <c r="E126" i="16"/>
  <c r="H126" i="16"/>
  <c r="B127" i="16"/>
  <c r="D127" i="16"/>
  <c r="E127" i="16"/>
  <c r="H127" i="16"/>
  <c r="B128" i="16"/>
  <c r="D128" i="16"/>
  <c r="E128" i="16"/>
  <c r="H128" i="16"/>
  <c r="B129" i="16"/>
  <c r="D129" i="16"/>
  <c r="E129" i="16"/>
  <c r="H129" i="16"/>
  <c r="B130" i="16"/>
  <c r="D130" i="16"/>
  <c r="E130" i="16"/>
  <c r="H130" i="16"/>
  <c r="B131" i="16"/>
  <c r="D131" i="16"/>
  <c r="E131" i="16"/>
  <c r="H131" i="16"/>
  <c r="B132" i="16"/>
  <c r="D132" i="16"/>
  <c r="E132" i="16"/>
  <c r="H132" i="16"/>
  <c r="B133" i="16"/>
  <c r="D133" i="16"/>
  <c r="E133" i="16"/>
  <c r="H133" i="16"/>
  <c r="B134" i="16"/>
  <c r="D134" i="16"/>
  <c r="E134" i="16"/>
  <c r="H134" i="16"/>
  <c r="B135" i="16"/>
  <c r="D135" i="16"/>
  <c r="E135" i="16"/>
  <c r="H135" i="16"/>
  <c r="B136" i="16"/>
  <c r="D136" i="16"/>
  <c r="E136" i="16"/>
  <c r="H136" i="16"/>
  <c r="B137" i="16"/>
  <c r="D137" i="16"/>
  <c r="E137" i="16"/>
  <c r="H137" i="16"/>
  <c r="B138" i="16"/>
  <c r="D138" i="16"/>
  <c r="E138" i="16"/>
  <c r="H138" i="16"/>
  <c r="B139" i="16"/>
  <c r="D139" i="16"/>
  <c r="E139" i="16"/>
  <c r="H139" i="16"/>
  <c r="B140" i="16"/>
  <c r="D140" i="16"/>
  <c r="E140" i="16"/>
  <c r="H140" i="16"/>
  <c r="B141" i="16"/>
  <c r="D141" i="16"/>
  <c r="E141" i="16"/>
  <c r="H141" i="16"/>
  <c r="B142" i="16"/>
  <c r="D142" i="16"/>
  <c r="E142" i="16"/>
  <c r="H142" i="16"/>
  <c r="B143" i="16"/>
  <c r="D143" i="16"/>
  <c r="E143" i="16"/>
  <c r="H143" i="16"/>
  <c r="B144" i="16"/>
  <c r="D144" i="16"/>
  <c r="E144" i="16"/>
  <c r="H144" i="16"/>
  <c r="B145" i="16"/>
  <c r="D145" i="16"/>
  <c r="E145" i="16"/>
  <c r="H145" i="16"/>
  <c r="B146" i="16"/>
  <c r="D146" i="16"/>
  <c r="E146" i="16"/>
  <c r="H146" i="16"/>
  <c r="B147" i="16"/>
  <c r="D147" i="16"/>
  <c r="E147" i="16"/>
  <c r="H147" i="16"/>
  <c r="B148" i="16"/>
  <c r="D148" i="16"/>
  <c r="E148" i="16"/>
  <c r="H148" i="16"/>
  <c r="B149" i="16"/>
  <c r="D149" i="16"/>
  <c r="E149" i="16"/>
  <c r="H149" i="16"/>
  <c r="B150" i="16"/>
  <c r="D150" i="16"/>
  <c r="E150" i="16"/>
  <c r="H150" i="16"/>
  <c r="B151" i="16"/>
  <c r="D151" i="16"/>
  <c r="E151" i="16"/>
  <c r="H151" i="16"/>
  <c r="B152" i="16"/>
  <c r="D152" i="16"/>
  <c r="E152" i="16"/>
  <c r="H152" i="16"/>
  <c r="B153" i="16"/>
  <c r="D153" i="16"/>
  <c r="E153" i="16"/>
  <c r="H153" i="16"/>
  <c r="B154" i="16"/>
  <c r="D154" i="16"/>
  <c r="E154" i="16"/>
  <c r="H154" i="16"/>
  <c r="B155" i="16"/>
  <c r="D155" i="16"/>
  <c r="E155" i="16"/>
  <c r="H155" i="16"/>
  <c r="B156" i="16"/>
  <c r="D156" i="16"/>
  <c r="E156" i="16"/>
  <c r="H156" i="16"/>
  <c r="B157" i="16"/>
  <c r="D157" i="16"/>
  <c r="E157" i="16"/>
  <c r="H157" i="16"/>
  <c r="B158" i="16"/>
  <c r="D158" i="16"/>
  <c r="E158" i="16"/>
  <c r="H158" i="16"/>
  <c r="B159" i="16"/>
  <c r="D159" i="16"/>
  <c r="E159" i="16"/>
  <c r="H159" i="16"/>
  <c r="B160" i="16"/>
  <c r="D160" i="16"/>
  <c r="E160" i="16"/>
  <c r="H160" i="16"/>
  <c r="B161" i="16"/>
  <c r="D161" i="16"/>
  <c r="E161" i="16"/>
  <c r="H161" i="16"/>
  <c r="B162" i="16"/>
  <c r="D162" i="16"/>
  <c r="E162" i="16"/>
  <c r="H162" i="16"/>
  <c r="B163" i="16"/>
  <c r="D163" i="16"/>
  <c r="E163" i="16"/>
  <c r="H163" i="16"/>
  <c r="B164" i="16"/>
  <c r="D164" i="16"/>
  <c r="E164" i="16"/>
  <c r="H164" i="16"/>
  <c r="B165" i="16"/>
  <c r="D165" i="16"/>
  <c r="E165" i="16"/>
  <c r="H165" i="16"/>
  <c r="B166" i="16"/>
  <c r="D166" i="16"/>
  <c r="E166" i="16"/>
  <c r="H166" i="16"/>
  <c r="B167" i="16"/>
  <c r="D167" i="16"/>
  <c r="E167" i="16"/>
  <c r="H167" i="16"/>
  <c r="B168" i="16"/>
  <c r="D168" i="16"/>
  <c r="E168" i="16"/>
  <c r="H168" i="16"/>
  <c r="B169" i="16"/>
  <c r="D169" i="16"/>
  <c r="E169" i="16"/>
  <c r="H169" i="16"/>
  <c r="B170" i="16"/>
  <c r="D170" i="16"/>
  <c r="E170" i="16"/>
  <c r="H170" i="16"/>
  <c r="B171" i="16"/>
  <c r="D171" i="16"/>
  <c r="E171" i="16"/>
  <c r="H171" i="16"/>
  <c r="B172" i="16"/>
  <c r="D172" i="16"/>
  <c r="E172" i="16"/>
  <c r="H172" i="16"/>
  <c r="B173" i="16"/>
  <c r="D173" i="16"/>
  <c r="E173" i="16"/>
  <c r="H173" i="16"/>
  <c r="B174" i="16"/>
  <c r="D174" i="16"/>
  <c r="E174" i="16"/>
  <c r="H174" i="16"/>
  <c r="B175" i="16"/>
  <c r="D175" i="16"/>
  <c r="E175" i="16"/>
  <c r="H175" i="16"/>
  <c r="B176" i="16"/>
  <c r="D176" i="16"/>
  <c r="E176" i="16"/>
  <c r="H176" i="16"/>
  <c r="B177" i="16"/>
  <c r="D177" i="16"/>
  <c r="E177" i="16"/>
  <c r="H177" i="16"/>
  <c r="B178" i="16"/>
  <c r="D178" i="16"/>
  <c r="E178" i="16"/>
  <c r="H178" i="16"/>
  <c r="B179" i="16"/>
  <c r="D179" i="16"/>
  <c r="E179" i="16"/>
  <c r="H179" i="16"/>
  <c r="B180" i="16"/>
  <c r="D180" i="16"/>
  <c r="E180" i="16"/>
  <c r="H180" i="16"/>
  <c r="B181" i="16"/>
  <c r="D181" i="16"/>
  <c r="E181" i="16"/>
  <c r="H181" i="16"/>
  <c r="B182" i="16"/>
  <c r="D182" i="16"/>
  <c r="E182" i="16"/>
  <c r="H182" i="16"/>
  <c r="B183" i="16"/>
  <c r="D183" i="16"/>
  <c r="E183" i="16"/>
  <c r="H183" i="16"/>
  <c r="B184" i="16"/>
  <c r="D184" i="16"/>
  <c r="E184" i="16"/>
  <c r="H184" i="16"/>
  <c r="B185" i="16"/>
  <c r="D185" i="16"/>
  <c r="E185" i="16"/>
  <c r="H185" i="16"/>
  <c r="B186" i="16"/>
  <c r="D186" i="16"/>
  <c r="E186" i="16"/>
  <c r="H186" i="16"/>
  <c r="B187" i="16"/>
  <c r="D187" i="16"/>
  <c r="E187" i="16"/>
  <c r="H187" i="16"/>
  <c r="B188" i="16"/>
  <c r="D188" i="16"/>
  <c r="E188" i="16"/>
  <c r="H188" i="16"/>
  <c r="B189" i="16"/>
  <c r="D189" i="16"/>
  <c r="E189" i="16"/>
  <c r="H189" i="16"/>
  <c r="B190" i="16"/>
  <c r="D190" i="16"/>
  <c r="E190" i="16"/>
  <c r="H190" i="16"/>
  <c r="B191" i="16"/>
  <c r="D191" i="16"/>
  <c r="E191" i="16"/>
  <c r="H191" i="16"/>
  <c r="B192" i="16"/>
  <c r="D192" i="16"/>
  <c r="E192" i="16"/>
  <c r="H192" i="16"/>
  <c r="B193" i="16"/>
  <c r="D193" i="16"/>
  <c r="E193" i="16"/>
  <c r="H193" i="16"/>
  <c r="B194" i="16"/>
  <c r="D194" i="16"/>
  <c r="E194" i="16"/>
  <c r="H194" i="16"/>
  <c r="B195" i="16"/>
  <c r="D195" i="16"/>
  <c r="E195" i="16"/>
  <c r="H195" i="16"/>
  <c r="B196" i="16"/>
  <c r="D196" i="16"/>
  <c r="E196" i="16"/>
  <c r="H196" i="16"/>
  <c r="B197" i="16"/>
  <c r="D197" i="16"/>
  <c r="E197" i="16"/>
  <c r="H197" i="16"/>
  <c r="B198" i="16"/>
  <c r="D198" i="16"/>
  <c r="E198" i="16"/>
  <c r="H198" i="16"/>
  <c r="B199" i="16"/>
  <c r="D199" i="16"/>
  <c r="E199" i="16"/>
  <c r="H199" i="16"/>
  <c r="B200" i="16"/>
  <c r="D200" i="16"/>
  <c r="E200" i="16"/>
  <c r="H200" i="16"/>
  <c r="B201" i="16"/>
  <c r="D201" i="16"/>
  <c r="E201" i="16"/>
  <c r="H201" i="16"/>
  <c r="B202" i="16"/>
  <c r="D202" i="16"/>
  <c r="E202" i="16"/>
  <c r="H202" i="16"/>
  <c r="B203" i="16"/>
  <c r="D203" i="16"/>
  <c r="E203" i="16"/>
  <c r="H203" i="16"/>
  <c r="B204" i="16"/>
  <c r="D204" i="16"/>
  <c r="E204" i="16"/>
  <c r="H204" i="16"/>
  <c r="B205" i="16"/>
  <c r="D205" i="16"/>
  <c r="E205" i="16"/>
  <c r="H205" i="16"/>
  <c r="B206" i="16"/>
  <c r="D206" i="16"/>
  <c r="E206" i="16"/>
  <c r="H206" i="16"/>
  <c r="B207" i="16"/>
  <c r="D207" i="16"/>
  <c r="E207" i="16"/>
  <c r="H207" i="16"/>
  <c r="B208" i="16"/>
  <c r="D208" i="16"/>
  <c r="E208" i="16"/>
  <c r="H208" i="16"/>
  <c r="B209" i="16"/>
  <c r="D209" i="16"/>
  <c r="E209" i="16"/>
  <c r="H209" i="16"/>
  <c r="B210" i="16"/>
  <c r="D210" i="16"/>
  <c r="E210" i="16"/>
  <c r="H210" i="16"/>
  <c r="B211" i="16"/>
  <c r="D211" i="16"/>
  <c r="E211" i="16"/>
  <c r="H211" i="16"/>
  <c r="B212" i="16"/>
  <c r="D212" i="16"/>
  <c r="E212" i="16"/>
  <c r="H212" i="16"/>
  <c r="B213" i="16"/>
  <c r="D213" i="16"/>
  <c r="E213" i="16"/>
  <c r="H213" i="16"/>
  <c r="B214" i="16"/>
  <c r="D214" i="16"/>
  <c r="E214" i="16"/>
  <c r="H214" i="16"/>
  <c r="B215" i="16"/>
  <c r="D215" i="16"/>
  <c r="E215" i="16"/>
  <c r="H215" i="16"/>
  <c r="B216" i="16"/>
  <c r="D216" i="16"/>
  <c r="E216" i="16"/>
  <c r="H216" i="16"/>
  <c r="B217" i="16"/>
  <c r="D217" i="16"/>
  <c r="E217" i="16"/>
  <c r="H217" i="16"/>
  <c r="B218" i="16"/>
  <c r="D218" i="16"/>
  <c r="E218" i="16"/>
  <c r="H218" i="16"/>
  <c r="B219" i="16"/>
  <c r="D219" i="16"/>
  <c r="E219" i="16"/>
  <c r="H219" i="16"/>
  <c r="B220" i="16"/>
  <c r="D220" i="16"/>
  <c r="E220" i="16"/>
  <c r="H220" i="16"/>
  <c r="B221" i="16"/>
  <c r="D221" i="16"/>
  <c r="E221" i="16"/>
  <c r="H221" i="16"/>
  <c r="B222" i="16"/>
  <c r="D222" i="16"/>
  <c r="E222" i="16"/>
  <c r="H222" i="16"/>
  <c r="B223" i="16"/>
  <c r="D223" i="16"/>
  <c r="E223" i="16"/>
  <c r="H223" i="16"/>
  <c r="B224" i="16"/>
  <c r="D224" i="16"/>
  <c r="E224" i="16"/>
  <c r="H224" i="16"/>
  <c r="B225" i="16"/>
  <c r="D225" i="16"/>
  <c r="E225" i="16"/>
  <c r="H225" i="16"/>
  <c r="B226" i="16"/>
  <c r="D226" i="16"/>
  <c r="E226" i="16"/>
  <c r="H226" i="16"/>
  <c r="B227" i="16"/>
  <c r="D227" i="16"/>
  <c r="E227" i="16"/>
  <c r="H227" i="16"/>
  <c r="B228" i="16"/>
  <c r="D228" i="16"/>
  <c r="E228" i="16"/>
  <c r="H228" i="16"/>
  <c r="B229" i="16"/>
  <c r="D229" i="16"/>
  <c r="E229" i="16"/>
  <c r="H229" i="16"/>
  <c r="B230" i="16"/>
  <c r="D230" i="16"/>
  <c r="E230" i="16"/>
  <c r="H230" i="16"/>
  <c r="B231" i="16"/>
  <c r="D231" i="16"/>
  <c r="E231" i="16"/>
  <c r="H231" i="16"/>
  <c r="B232" i="16"/>
  <c r="D232" i="16"/>
  <c r="E232" i="16"/>
  <c r="H232" i="16"/>
  <c r="B233" i="16"/>
  <c r="D233" i="16"/>
  <c r="E233" i="16"/>
  <c r="H233" i="16"/>
  <c r="B234" i="16"/>
  <c r="D234" i="16"/>
  <c r="E234" i="16"/>
  <c r="H234" i="16"/>
  <c r="B235" i="16"/>
  <c r="D235" i="16"/>
  <c r="E235" i="16"/>
  <c r="H235" i="16"/>
  <c r="B236" i="16"/>
  <c r="D236" i="16"/>
  <c r="E236" i="16"/>
  <c r="H236" i="16"/>
  <c r="B237" i="16"/>
  <c r="D237" i="16"/>
  <c r="E237" i="16"/>
  <c r="H237" i="16"/>
  <c r="B238" i="16"/>
  <c r="D238" i="16"/>
  <c r="E238" i="16"/>
  <c r="H238" i="16"/>
  <c r="B239" i="16"/>
  <c r="D239" i="16"/>
  <c r="E239" i="16"/>
  <c r="H239" i="16"/>
  <c r="B240" i="16"/>
  <c r="D240" i="16"/>
  <c r="E240" i="16"/>
  <c r="H240" i="16"/>
  <c r="B241" i="16"/>
  <c r="D241" i="16"/>
  <c r="E241" i="16"/>
  <c r="H241" i="16"/>
  <c r="B242" i="16"/>
  <c r="D242" i="16"/>
  <c r="E242" i="16"/>
  <c r="H242" i="16"/>
  <c r="B243" i="16"/>
  <c r="D243" i="16"/>
  <c r="E243" i="16"/>
  <c r="H243" i="16"/>
  <c r="B244" i="16"/>
  <c r="D244" i="16"/>
  <c r="E244" i="16"/>
  <c r="H244" i="16"/>
  <c r="B245" i="16"/>
  <c r="D245" i="16"/>
  <c r="E245" i="16"/>
  <c r="H245" i="16"/>
  <c r="B246" i="16"/>
  <c r="D246" i="16"/>
  <c r="E246" i="16"/>
  <c r="H246" i="16"/>
  <c r="B247" i="16"/>
  <c r="D247" i="16"/>
  <c r="E247" i="16"/>
  <c r="H247" i="16"/>
  <c r="B248" i="16"/>
  <c r="D248" i="16"/>
  <c r="E248" i="16"/>
  <c r="H248" i="16"/>
  <c r="B249" i="16"/>
  <c r="D249" i="16"/>
  <c r="E249" i="16"/>
  <c r="H249" i="16"/>
  <c r="B250" i="16"/>
  <c r="D250" i="16"/>
  <c r="E250" i="16"/>
  <c r="H250" i="16"/>
  <c r="B251" i="16"/>
  <c r="D251" i="16"/>
  <c r="E251" i="16"/>
  <c r="H251" i="16"/>
  <c r="B252" i="16"/>
  <c r="D252" i="16"/>
  <c r="E252" i="16"/>
  <c r="H252" i="16"/>
  <c r="B253" i="16"/>
  <c r="D253" i="16"/>
  <c r="E253" i="16"/>
  <c r="H253" i="16"/>
  <c r="B254" i="16"/>
  <c r="D254" i="16"/>
  <c r="E254" i="16"/>
  <c r="H254" i="16"/>
  <c r="B255" i="16"/>
  <c r="D255" i="16"/>
  <c r="E255" i="16"/>
  <c r="H255" i="16"/>
  <c r="B256" i="16"/>
  <c r="D256" i="16"/>
  <c r="E256" i="16"/>
  <c r="H256" i="16"/>
  <c r="B257" i="16"/>
  <c r="D257" i="16"/>
  <c r="E257" i="16"/>
  <c r="H257" i="16"/>
  <c r="B258" i="16"/>
  <c r="D258" i="16"/>
  <c r="E258" i="16"/>
  <c r="H258" i="16"/>
  <c r="B259" i="16"/>
  <c r="D259" i="16"/>
  <c r="E259" i="16"/>
  <c r="H259" i="16"/>
  <c r="B260" i="16"/>
  <c r="D260" i="16"/>
  <c r="E260" i="16"/>
  <c r="H260" i="16"/>
  <c r="B261" i="16"/>
  <c r="D261" i="16"/>
  <c r="E261" i="16"/>
  <c r="H261" i="16"/>
  <c r="B262" i="16"/>
  <c r="D262" i="16"/>
  <c r="E262" i="16"/>
  <c r="H262" i="16"/>
  <c r="B263" i="16"/>
  <c r="D263" i="16"/>
  <c r="E263" i="16"/>
  <c r="H263" i="16"/>
  <c r="B264" i="16"/>
  <c r="D264" i="16"/>
  <c r="E264" i="16"/>
  <c r="H264" i="16"/>
  <c r="B265" i="16"/>
  <c r="D265" i="16"/>
  <c r="E265" i="16"/>
  <c r="H265" i="16"/>
  <c r="B266" i="16"/>
  <c r="D266" i="16"/>
  <c r="E266" i="16"/>
  <c r="H266" i="16"/>
  <c r="B267" i="16"/>
  <c r="D267" i="16"/>
  <c r="E267" i="16"/>
  <c r="H267" i="16"/>
  <c r="B268" i="16"/>
  <c r="D268" i="16"/>
  <c r="E268" i="16"/>
  <c r="H268" i="16"/>
  <c r="B269" i="16"/>
  <c r="D269" i="16"/>
  <c r="E269" i="16"/>
  <c r="H269" i="16"/>
  <c r="B270" i="16"/>
  <c r="D270" i="16"/>
  <c r="E270" i="16"/>
  <c r="H270" i="16"/>
  <c r="B271" i="16"/>
  <c r="D271" i="16"/>
  <c r="E271" i="16"/>
  <c r="H271" i="16"/>
  <c r="B272" i="16"/>
  <c r="D272" i="16"/>
  <c r="E272" i="16"/>
  <c r="H272" i="16"/>
  <c r="B273" i="16"/>
  <c r="D273" i="16"/>
  <c r="E273" i="16"/>
  <c r="H273" i="16"/>
  <c r="B274" i="16"/>
  <c r="D274" i="16"/>
  <c r="E274" i="16"/>
  <c r="H274" i="16"/>
  <c r="B275" i="16"/>
  <c r="D275" i="16"/>
  <c r="E275" i="16"/>
  <c r="H275" i="16"/>
  <c r="B276" i="16"/>
  <c r="D276" i="16"/>
  <c r="E276" i="16"/>
  <c r="H276" i="16"/>
  <c r="B277" i="16"/>
  <c r="D277" i="16"/>
  <c r="E277" i="16"/>
  <c r="H277" i="16"/>
  <c r="B278" i="16"/>
  <c r="D278" i="16"/>
  <c r="E278" i="16"/>
  <c r="H278" i="16"/>
  <c r="B279" i="16"/>
  <c r="D279" i="16"/>
  <c r="E279" i="16"/>
  <c r="H279" i="16"/>
  <c r="B280" i="16"/>
  <c r="D280" i="16"/>
  <c r="E280" i="16"/>
  <c r="H280" i="16"/>
  <c r="B281" i="16"/>
  <c r="D281" i="16"/>
  <c r="E281" i="16"/>
  <c r="H281" i="16"/>
  <c r="B282" i="16"/>
  <c r="D282" i="16"/>
  <c r="E282" i="16"/>
  <c r="H282" i="16"/>
  <c r="B283" i="16"/>
  <c r="D283" i="16"/>
  <c r="E283" i="16"/>
  <c r="H283" i="16"/>
  <c r="B284" i="16"/>
  <c r="D284" i="16"/>
  <c r="E284" i="16"/>
  <c r="H284" i="16"/>
  <c r="B285" i="16"/>
  <c r="D285" i="16"/>
  <c r="E285" i="16"/>
  <c r="H285" i="16"/>
  <c r="B286" i="16"/>
  <c r="D286" i="16"/>
  <c r="E286" i="16"/>
  <c r="H286" i="16"/>
  <c r="B287" i="16"/>
  <c r="D287" i="16"/>
  <c r="E287" i="16"/>
  <c r="H287" i="16"/>
  <c r="B288" i="16"/>
  <c r="D288" i="16"/>
  <c r="E288" i="16"/>
  <c r="H288" i="16"/>
  <c r="B289" i="16"/>
  <c r="D289" i="16"/>
  <c r="E289" i="16"/>
  <c r="H289" i="16"/>
  <c r="B290" i="16"/>
  <c r="D290" i="16"/>
  <c r="E290" i="16"/>
  <c r="H290" i="16"/>
  <c r="B291" i="16"/>
  <c r="D291" i="16"/>
  <c r="E291" i="16"/>
  <c r="H291" i="16"/>
  <c r="B292" i="16"/>
  <c r="D292" i="16"/>
  <c r="E292" i="16"/>
  <c r="H292" i="16"/>
  <c r="B293" i="16"/>
  <c r="D293" i="16"/>
  <c r="E293" i="16"/>
  <c r="H293" i="16"/>
  <c r="B294" i="16"/>
  <c r="D294" i="16"/>
  <c r="E294" i="16"/>
  <c r="H294" i="16"/>
  <c r="B295" i="16"/>
  <c r="D295" i="16"/>
  <c r="E295" i="16"/>
  <c r="H295" i="16"/>
  <c r="B296" i="16"/>
  <c r="D296" i="16"/>
  <c r="E296" i="16"/>
  <c r="H296" i="16"/>
  <c r="B297" i="16"/>
  <c r="D297" i="16"/>
  <c r="E297" i="16"/>
  <c r="H297" i="16"/>
  <c r="B298" i="16"/>
  <c r="D298" i="16"/>
  <c r="E298" i="16"/>
  <c r="H298" i="16"/>
  <c r="B299" i="16"/>
  <c r="D299" i="16"/>
  <c r="E299" i="16"/>
  <c r="H299" i="16"/>
  <c r="B300" i="16"/>
  <c r="D300" i="16"/>
  <c r="E300" i="16"/>
  <c r="H300" i="16"/>
  <c r="B301" i="16"/>
  <c r="D301" i="16"/>
  <c r="E301" i="16"/>
  <c r="H301" i="16"/>
  <c r="B302" i="16"/>
  <c r="D302" i="16"/>
  <c r="E302" i="16"/>
  <c r="H302" i="16"/>
  <c r="B303" i="16"/>
  <c r="D303" i="16"/>
  <c r="E303" i="16"/>
  <c r="H303" i="16"/>
  <c r="B304" i="16"/>
  <c r="D304" i="16"/>
  <c r="E304" i="16"/>
  <c r="H304" i="16"/>
  <c r="B305" i="16"/>
  <c r="D305" i="16"/>
  <c r="E305" i="16"/>
  <c r="H305" i="16"/>
  <c r="B306" i="16"/>
  <c r="D306" i="16"/>
  <c r="E306" i="16"/>
  <c r="H306" i="16"/>
  <c r="B307" i="16"/>
  <c r="D307" i="16"/>
  <c r="E307" i="16"/>
  <c r="H307" i="16"/>
  <c r="B308" i="16"/>
  <c r="D308" i="16"/>
  <c r="E308" i="16"/>
  <c r="H308" i="16"/>
  <c r="B309" i="16"/>
  <c r="D309" i="16"/>
  <c r="E309" i="16"/>
  <c r="H309" i="16"/>
  <c r="B310" i="16"/>
  <c r="D310" i="16"/>
  <c r="E310" i="16"/>
  <c r="H310" i="16"/>
  <c r="B311" i="16"/>
  <c r="D311" i="16"/>
  <c r="E311" i="16"/>
  <c r="H311" i="16"/>
  <c r="B312" i="16"/>
  <c r="D312" i="16"/>
  <c r="E312" i="16"/>
  <c r="H312" i="16"/>
  <c r="B313" i="16"/>
  <c r="D313" i="16"/>
  <c r="E313" i="16"/>
  <c r="H313" i="16"/>
  <c r="B314" i="16"/>
  <c r="D314" i="16"/>
  <c r="E314" i="16"/>
  <c r="H314" i="16"/>
  <c r="B315" i="16"/>
  <c r="D315" i="16"/>
  <c r="E315" i="16"/>
  <c r="H315" i="16"/>
  <c r="B316" i="16"/>
  <c r="D316" i="16"/>
  <c r="E316" i="16"/>
  <c r="H316" i="16"/>
  <c r="B317" i="16"/>
  <c r="D317" i="16"/>
  <c r="E317" i="16"/>
  <c r="H317" i="16"/>
  <c r="B318" i="16"/>
  <c r="D318" i="16"/>
  <c r="E318" i="16"/>
  <c r="H318" i="16"/>
  <c r="B319" i="16"/>
  <c r="D319" i="16"/>
  <c r="E319" i="16"/>
  <c r="H319" i="16"/>
  <c r="B320" i="16"/>
  <c r="D320" i="16"/>
  <c r="E320" i="16"/>
  <c r="H320" i="16"/>
  <c r="B321" i="16"/>
  <c r="D321" i="16"/>
  <c r="E321" i="16"/>
  <c r="H321" i="16"/>
  <c r="B322" i="16"/>
  <c r="D322" i="16"/>
  <c r="E322" i="16"/>
  <c r="H322" i="16"/>
  <c r="B323" i="16"/>
  <c r="D323" i="16"/>
  <c r="E323" i="16"/>
  <c r="H323" i="16"/>
  <c r="B324" i="16"/>
  <c r="D324" i="16"/>
  <c r="E324" i="16"/>
  <c r="H324" i="16"/>
  <c r="B325" i="16"/>
  <c r="D325" i="16"/>
  <c r="E325" i="16"/>
  <c r="H325" i="16"/>
  <c r="B326" i="16"/>
  <c r="D326" i="16"/>
  <c r="E326" i="16"/>
  <c r="H326" i="16"/>
  <c r="B327" i="16"/>
  <c r="D327" i="16"/>
  <c r="E327" i="16"/>
  <c r="H327" i="16"/>
  <c r="B328" i="16"/>
  <c r="D328" i="16"/>
  <c r="E328" i="16"/>
  <c r="H328" i="16"/>
  <c r="B329" i="16"/>
  <c r="D329" i="16"/>
  <c r="E329" i="16"/>
  <c r="H329" i="16"/>
  <c r="B330" i="16"/>
  <c r="D330" i="16"/>
  <c r="E330" i="16"/>
  <c r="H330" i="16"/>
  <c r="B331" i="16"/>
  <c r="D331" i="16"/>
  <c r="E331" i="16"/>
  <c r="H331" i="16"/>
  <c r="B332" i="16"/>
  <c r="D332" i="16"/>
  <c r="E332" i="16"/>
  <c r="H332" i="16"/>
  <c r="B333" i="16"/>
  <c r="D333" i="16"/>
  <c r="E333" i="16"/>
  <c r="H333" i="16"/>
  <c r="B334" i="16"/>
  <c r="D334" i="16"/>
  <c r="E334" i="16"/>
  <c r="H334" i="16"/>
  <c r="B335" i="16"/>
  <c r="D335" i="16"/>
  <c r="E335" i="16"/>
  <c r="H335" i="16"/>
  <c r="B336" i="16"/>
  <c r="D336" i="16"/>
  <c r="E336" i="16"/>
  <c r="H336" i="16"/>
  <c r="B337" i="16"/>
  <c r="D337" i="16"/>
  <c r="E337" i="16"/>
  <c r="H337" i="16"/>
  <c r="B338" i="16"/>
  <c r="D338" i="16"/>
  <c r="E338" i="16"/>
  <c r="H338" i="16"/>
  <c r="B339" i="16"/>
  <c r="D339" i="16"/>
  <c r="E339" i="16"/>
  <c r="H339" i="16"/>
  <c r="B340" i="16"/>
  <c r="D340" i="16"/>
  <c r="E340" i="16"/>
  <c r="H340" i="16"/>
  <c r="B341" i="16"/>
  <c r="D341" i="16"/>
  <c r="E341" i="16"/>
  <c r="H341" i="16"/>
  <c r="B342" i="16"/>
  <c r="D342" i="16"/>
  <c r="E342" i="16"/>
  <c r="H342" i="16"/>
  <c r="B343" i="16"/>
  <c r="D343" i="16"/>
  <c r="E343" i="16"/>
  <c r="H343" i="16"/>
  <c r="B344" i="16"/>
  <c r="D344" i="16"/>
  <c r="E344" i="16"/>
  <c r="H344" i="16"/>
  <c r="B345" i="16"/>
  <c r="D345" i="16"/>
  <c r="E345" i="16"/>
  <c r="H345" i="16"/>
  <c r="B346" i="16"/>
  <c r="D346" i="16"/>
  <c r="E346" i="16"/>
  <c r="H346" i="16"/>
  <c r="B347" i="16"/>
  <c r="D347" i="16"/>
  <c r="E347" i="16"/>
  <c r="H347" i="16"/>
  <c r="B348" i="16"/>
  <c r="D348" i="16"/>
  <c r="E348" i="16"/>
  <c r="H348" i="16"/>
  <c r="B349" i="16"/>
  <c r="D349" i="16"/>
  <c r="E349" i="16"/>
  <c r="H349" i="16"/>
  <c r="B350" i="16"/>
  <c r="D350" i="16"/>
  <c r="E350" i="16"/>
  <c r="H350" i="16"/>
  <c r="B351" i="16"/>
  <c r="D351" i="16"/>
  <c r="E351" i="16"/>
  <c r="H351" i="16"/>
  <c r="B352" i="16"/>
  <c r="D352" i="16"/>
  <c r="E352" i="16"/>
  <c r="H352" i="16"/>
  <c r="B353" i="16"/>
  <c r="D353" i="16"/>
  <c r="E353" i="16"/>
  <c r="H353" i="16"/>
  <c r="B354" i="16"/>
  <c r="D354" i="16"/>
  <c r="E354" i="16"/>
  <c r="H354" i="16"/>
  <c r="B355" i="16"/>
  <c r="D355" i="16"/>
  <c r="E355" i="16"/>
  <c r="H355" i="16"/>
  <c r="B356" i="16"/>
  <c r="D356" i="16"/>
  <c r="E356" i="16"/>
  <c r="H356" i="16"/>
  <c r="B357" i="16"/>
  <c r="D357" i="16"/>
  <c r="E357" i="16"/>
  <c r="H357" i="16"/>
  <c r="B358" i="16"/>
  <c r="D358" i="16"/>
  <c r="E358" i="16"/>
  <c r="H358" i="16"/>
  <c r="B359" i="16"/>
  <c r="D359" i="16"/>
  <c r="E359" i="16"/>
  <c r="H359" i="16"/>
  <c r="B360" i="16"/>
  <c r="D360" i="16"/>
  <c r="E360" i="16"/>
  <c r="H360" i="16"/>
  <c r="B361" i="16"/>
  <c r="D361" i="16"/>
  <c r="E361" i="16"/>
  <c r="H361" i="16"/>
  <c r="B362" i="16"/>
  <c r="D362" i="16"/>
  <c r="E362" i="16"/>
  <c r="H362" i="16"/>
  <c r="B363" i="16"/>
  <c r="D363" i="16"/>
  <c r="E363" i="16"/>
  <c r="H363" i="16"/>
  <c r="B364" i="16"/>
  <c r="D364" i="16"/>
  <c r="E364" i="16"/>
  <c r="H364" i="16"/>
  <c r="B365" i="16"/>
  <c r="D365" i="16"/>
  <c r="E365" i="16"/>
  <c r="H365" i="16"/>
  <c r="B366" i="16"/>
  <c r="D366" i="16"/>
  <c r="E366" i="16"/>
  <c r="H366" i="16"/>
  <c r="B367" i="16"/>
  <c r="D367" i="16"/>
  <c r="E367" i="16"/>
  <c r="H367" i="16"/>
  <c r="B368" i="16"/>
  <c r="D368" i="16"/>
  <c r="E368" i="16"/>
  <c r="H368" i="16"/>
  <c r="B369" i="16"/>
  <c r="D369" i="16"/>
  <c r="E369" i="16"/>
  <c r="H369" i="16"/>
  <c r="B370" i="16"/>
  <c r="D370" i="16"/>
  <c r="E370" i="16"/>
  <c r="H370" i="16"/>
  <c r="B371" i="16"/>
  <c r="D371" i="16"/>
  <c r="E371" i="16"/>
  <c r="H371" i="16"/>
  <c r="B372" i="16"/>
  <c r="D372" i="16"/>
  <c r="E372" i="16"/>
  <c r="H372" i="16"/>
  <c r="B373" i="16"/>
  <c r="D373" i="16"/>
  <c r="E373" i="16"/>
  <c r="H373" i="16"/>
  <c r="B374" i="16"/>
  <c r="D374" i="16"/>
  <c r="E374" i="16"/>
  <c r="H374" i="16"/>
  <c r="B375" i="16"/>
  <c r="D375" i="16"/>
  <c r="E375" i="16"/>
  <c r="H375" i="16"/>
  <c r="B376" i="16"/>
  <c r="D376" i="16"/>
  <c r="E376" i="16"/>
  <c r="H376" i="16"/>
  <c r="B377" i="16"/>
  <c r="D377" i="16"/>
  <c r="E377" i="16"/>
  <c r="H377" i="16"/>
  <c r="B378" i="16"/>
  <c r="D378" i="16"/>
  <c r="E378" i="16"/>
  <c r="H378" i="16"/>
  <c r="B379" i="16"/>
  <c r="D379" i="16"/>
  <c r="E379" i="16"/>
  <c r="H379" i="16"/>
  <c r="B380" i="16"/>
  <c r="D380" i="16"/>
  <c r="E380" i="16"/>
  <c r="H380" i="16"/>
  <c r="B381" i="16"/>
  <c r="D381" i="16"/>
  <c r="E381" i="16"/>
  <c r="H381" i="16"/>
  <c r="B382" i="16"/>
  <c r="D382" i="16"/>
  <c r="E382" i="16"/>
  <c r="H382" i="16"/>
  <c r="B383" i="16"/>
  <c r="D383" i="16"/>
  <c r="E383" i="16"/>
  <c r="H383" i="16"/>
  <c r="B384" i="16"/>
  <c r="D384" i="16"/>
  <c r="E384" i="16"/>
  <c r="H384" i="16"/>
  <c r="B385" i="16"/>
  <c r="D385" i="16"/>
  <c r="E385" i="16"/>
  <c r="H385" i="16"/>
  <c r="B386" i="16"/>
  <c r="D386" i="16"/>
  <c r="E386" i="16"/>
  <c r="H386" i="16"/>
  <c r="B387" i="16"/>
  <c r="D387" i="16"/>
  <c r="E387" i="16"/>
  <c r="H387" i="16"/>
  <c r="B388" i="16"/>
  <c r="D388" i="16"/>
  <c r="E388" i="16"/>
  <c r="H388" i="16"/>
  <c r="B389" i="16"/>
  <c r="D389" i="16"/>
  <c r="E389" i="16"/>
  <c r="H389" i="16"/>
  <c r="B390" i="16"/>
  <c r="D390" i="16"/>
  <c r="E390" i="16"/>
  <c r="H390" i="16"/>
  <c r="B391" i="16"/>
  <c r="D391" i="16"/>
  <c r="E391" i="16"/>
  <c r="H391" i="16"/>
  <c r="B392" i="16"/>
  <c r="D392" i="16"/>
  <c r="E392" i="16"/>
  <c r="H392" i="16"/>
  <c r="B393" i="16"/>
  <c r="D393" i="16"/>
  <c r="E393" i="16"/>
  <c r="H393" i="16"/>
  <c r="B394" i="16"/>
  <c r="D394" i="16"/>
  <c r="E394" i="16"/>
  <c r="H394" i="16"/>
  <c r="B395" i="16"/>
  <c r="D395" i="16"/>
  <c r="E395" i="16"/>
  <c r="H395" i="16"/>
  <c r="B396" i="16"/>
  <c r="D396" i="16"/>
  <c r="E396" i="16"/>
  <c r="H396" i="16"/>
  <c r="B397" i="16"/>
  <c r="D397" i="16"/>
  <c r="E397" i="16"/>
  <c r="H397" i="16"/>
  <c r="B398" i="16"/>
  <c r="D398" i="16"/>
  <c r="E398" i="16"/>
  <c r="H398" i="16"/>
  <c r="B399" i="16"/>
  <c r="D399" i="16"/>
  <c r="E399" i="16"/>
  <c r="H399" i="16"/>
  <c r="B400" i="16"/>
  <c r="D400" i="16"/>
  <c r="E400" i="16"/>
  <c r="H400" i="16"/>
  <c r="B401" i="16"/>
  <c r="D401" i="16"/>
  <c r="E401" i="16"/>
  <c r="H401" i="16"/>
  <c r="B402" i="16"/>
  <c r="D402" i="16"/>
  <c r="E402" i="16"/>
  <c r="H402" i="16"/>
  <c r="B403" i="16"/>
  <c r="D403" i="16"/>
  <c r="E403" i="16"/>
  <c r="H403" i="16"/>
  <c r="B404" i="16"/>
  <c r="D404" i="16"/>
  <c r="E404" i="16"/>
  <c r="H404" i="16"/>
  <c r="B405" i="16"/>
  <c r="D405" i="16"/>
  <c r="E405" i="16"/>
  <c r="H405" i="16"/>
  <c r="B406" i="16"/>
  <c r="D406" i="16"/>
  <c r="E406" i="16"/>
  <c r="H406" i="16"/>
  <c r="B407" i="16"/>
  <c r="D407" i="16"/>
  <c r="E407" i="16"/>
  <c r="H407" i="16"/>
  <c r="B408" i="16"/>
  <c r="D408" i="16"/>
  <c r="E408" i="16"/>
  <c r="H408" i="16"/>
  <c r="B409" i="16"/>
  <c r="D409" i="16"/>
  <c r="E409" i="16"/>
  <c r="H409" i="16"/>
  <c r="B410" i="16"/>
  <c r="D410" i="16"/>
  <c r="E410" i="16"/>
  <c r="H410" i="16"/>
  <c r="B411" i="16"/>
  <c r="D411" i="16"/>
  <c r="E411" i="16"/>
  <c r="H411" i="16"/>
  <c r="B412" i="16"/>
  <c r="D412" i="16"/>
  <c r="E412" i="16"/>
  <c r="H412" i="16"/>
  <c r="B413" i="16"/>
  <c r="D413" i="16"/>
  <c r="E413" i="16"/>
  <c r="H413" i="16"/>
  <c r="B414" i="16"/>
  <c r="D414" i="16"/>
  <c r="E414" i="16"/>
  <c r="H414" i="16"/>
  <c r="B415" i="16"/>
  <c r="D415" i="16"/>
  <c r="E415" i="16"/>
  <c r="H415" i="16"/>
  <c r="B416" i="16"/>
  <c r="D416" i="16"/>
  <c r="E416" i="16"/>
  <c r="H416" i="16"/>
  <c r="B417" i="16"/>
  <c r="D417" i="16"/>
  <c r="E417" i="16"/>
  <c r="H417" i="16"/>
  <c r="B418" i="16"/>
  <c r="D418" i="16"/>
  <c r="E418" i="16"/>
  <c r="H418" i="16"/>
  <c r="B419" i="16"/>
  <c r="D419" i="16"/>
  <c r="E419" i="16"/>
  <c r="H419" i="16"/>
  <c r="B420" i="16"/>
  <c r="D420" i="16"/>
  <c r="E420" i="16"/>
  <c r="H420" i="16"/>
  <c r="B421" i="16"/>
  <c r="D421" i="16"/>
  <c r="E421" i="16"/>
  <c r="H421" i="16"/>
  <c r="B422" i="16"/>
  <c r="D422" i="16"/>
  <c r="E422" i="16"/>
  <c r="H422" i="16"/>
  <c r="B423" i="16"/>
  <c r="D423" i="16"/>
  <c r="E423" i="16"/>
  <c r="H423" i="16"/>
  <c r="B424" i="16"/>
  <c r="D424" i="16"/>
  <c r="E424" i="16"/>
  <c r="H424" i="16"/>
  <c r="B425" i="16"/>
  <c r="D425" i="16"/>
  <c r="E425" i="16"/>
  <c r="H425" i="16"/>
  <c r="B426" i="16"/>
  <c r="D426" i="16"/>
  <c r="E426" i="16"/>
  <c r="H426" i="16"/>
  <c r="B427" i="16"/>
  <c r="D427" i="16"/>
  <c r="E427" i="16"/>
  <c r="H427" i="16"/>
  <c r="B428" i="16"/>
  <c r="D428" i="16"/>
  <c r="E428" i="16"/>
  <c r="H428" i="16"/>
  <c r="B429" i="16"/>
  <c r="D429" i="16"/>
  <c r="E429" i="16"/>
  <c r="H429" i="16"/>
  <c r="B430" i="16"/>
  <c r="D430" i="16"/>
  <c r="E430" i="16"/>
  <c r="H430" i="16"/>
  <c r="B431" i="16"/>
  <c r="D431" i="16"/>
  <c r="E431" i="16"/>
  <c r="H431" i="16"/>
  <c r="B432" i="16"/>
  <c r="D432" i="16"/>
  <c r="E432" i="16"/>
  <c r="H432" i="16"/>
  <c r="B433" i="16"/>
  <c r="D433" i="16"/>
  <c r="E433" i="16"/>
  <c r="H433" i="16"/>
  <c r="B434" i="16"/>
  <c r="D434" i="16"/>
  <c r="E434" i="16"/>
  <c r="H434" i="16"/>
  <c r="B435" i="16"/>
  <c r="D435" i="16"/>
  <c r="E435" i="16"/>
  <c r="H435" i="16"/>
  <c r="B436" i="16"/>
  <c r="D436" i="16"/>
  <c r="E436" i="16"/>
  <c r="H436" i="16"/>
  <c r="B437" i="16"/>
  <c r="D437" i="16"/>
  <c r="E437" i="16"/>
  <c r="H437" i="16"/>
  <c r="B438" i="16"/>
  <c r="D438" i="16"/>
  <c r="E438" i="16"/>
  <c r="H438" i="16"/>
  <c r="B439" i="16"/>
  <c r="D439" i="16"/>
  <c r="E439" i="16"/>
  <c r="H439" i="16"/>
  <c r="B440" i="16"/>
  <c r="D440" i="16"/>
  <c r="E440" i="16"/>
  <c r="H440" i="16"/>
  <c r="B441" i="16"/>
  <c r="D441" i="16"/>
  <c r="E441" i="16"/>
  <c r="H441" i="16"/>
  <c r="B442" i="16"/>
  <c r="D442" i="16"/>
  <c r="E442" i="16"/>
  <c r="H442" i="16"/>
  <c r="B443" i="16"/>
  <c r="D443" i="16"/>
  <c r="E443" i="16"/>
  <c r="H443" i="16"/>
  <c r="B444" i="16"/>
  <c r="D444" i="16"/>
  <c r="E444" i="16"/>
  <c r="H444" i="16"/>
  <c r="B445" i="16"/>
  <c r="D445" i="16"/>
  <c r="E445" i="16"/>
  <c r="H445" i="16"/>
  <c r="B446" i="16"/>
  <c r="D446" i="16"/>
  <c r="E446" i="16"/>
  <c r="H446" i="16"/>
  <c r="B447" i="16"/>
  <c r="D447" i="16"/>
  <c r="E447" i="16"/>
  <c r="H447" i="16"/>
  <c r="B448" i="16"/>
  <c r="D448" i="16"/>
  <c r="E448" i="16"/>
  <c r="H448" i="16"/>
  <c r="B449" i="16"/>
  <c r="D449" i="16"/>
  <c r="E449" i="16"/>
  <c r="H449" i="16"/>
  <c r="B450" i="16"/>
  <c r="D450" i="16"/>
  <c r="E450" i="16"/>
  <c r="H450" i="16"/>
  <c r="B451" i="16"/>
  <c r="D451" i="16"/>
  <c r="E451" i="16"/>
  <c r="H451" i="16"/>
  <c r="B452" i="16"/>
  <c r="D452" i="16"/>
  <c r="E452" i="16"/>
  <c r="H452" i="16"/>
  <c r="B453" i="16"/>
  <c r="D453" i="16"/>
  <c r="E453" i="16"/>
  <c r="H453" i="16"/>
  <c r="B454" i="16"/>
  <c r="D454" i="16"/>
  <c r="E454" i="16"/>
  <c r="H454" i="16"/>
  <c r="B455" i="16"/>
  <c r="D455" i="16"/>
  <c r="E455" i="16"/>
  <c r="H455" i="16"/>
  <c r="B456" i="16"/>
  <c r="D456" i="16"/>
  <c r="E456" i="16"/>
  <c r="H456" i="16"/>
  <c r="B457" i="16"/>
  <c r="D457" i="16"/>
  <c r="E457" i="16"/>
  <c r="H457" i="16"/>
  <c r="B458" i="16"/>
  <c r="D458" i="16"/>
  <c r="E458" i="16"/>
  <c r="H458" i="16"/>
  <c r="B459" i="16"/>
  <c r="D459" i="16"/>
  <c r="E459" i="16"/>
  <c r="H459" i="16"/>
  <c r="B460" i="16"/>
  <c r="D460" i="16"/>
  <c r="E460" i="16"/>
  <c r="H460" i="16"/>
  <c r="B461" i="16"/>
  <c r="D461" i="16"/>
  <c r="E461" i="16"/>
  <c r="H461" i="16"/>
  <c r="B462" i="16"/>
  <c r="D462" i="16"/>
  <c r="E462" i="16"/>
  <c r="H462" i="16"/>
  <c r="B463" i="16"/>
  <c r="D463" i="16"/>
  <c r="E463" i="16"/>
  <c r="H463" i="16"/>
  <c r="B464" i="16"/>
  <c r="D464" i="16"/>
  <c r="E464" i="16"/>
  <c r="H464" i="16"/>
  <c r="B465" i="16"/>
  <c r="D465" i="16"/>
  <c r="E465" i="16"/>
  <c r="H465" i="16"/>
  <c r="B466" i="16"/>
  <c r="D466" i="16"/>
  <c r="E466" i="16"/>
  <c r="H466" i="16"/>
  <c r="B467" i="16"/>
  <c r="D467" i="16"/>
  <c r="E467" i="16"/>
  <c r="H467" i="16"/>
  <c r="B468" i="16"/>
  <c r="D468" i="16"/>
  <c r="E468" i="16"/>
  <c r="H468" i="16"/>
  <c r="B469" i="16"/>
  <c r="D469" i="16"/>
  <c r="E469" i="16"/>
  <c r="H469" i="16"/>
  <c r="B470" i="16"/>
  <c r="D470" i="16"/>
  <c r="E470" i="16"/>
  <c r="H470" i="16"/>
  <c r="B471" i="16"/>
  <c r="D471" i="16"/>
  <c r="E471" i="16"/>
  <c r="H471" i="16"/>
  <c r="B472" i="16"/>
  <c r="D472" i="16"/>
  <c r="E472" i="16"/>
  <c r="H472" i="16"/>
  <c r="B473" i="16"/>
  <c r="D473" i="16"/>
  <c r="E473" i="16"/>
  <c r="H473" i="16"/>
  <c r="B474" i="16"/>
  <c r="D474" i="16"/>
  <c r="E474" i="16"/>
  <c r="H474" i="16"/>
  <c r="B475" i="16"/>
  <c r="D475" i="16"/>
  <c r="E475" i="16"/>
  <c r="H475" i="16"/>
  <c r="B476" i="16"/>
  <c r="D476" i="16"/>
  <c r="E476" i="16"/>
  <c r="H476" i="16"/>
  <c r="B477" i="16"/>
  <c r="D477" i="16"/>
  <c r="E477" i="16"/>
  <c r="H477" i="16"/>
  <c r="B478" i="16"/>
  <c r="D478" i="16"/>
  <c r="E478" i="16"/>
  <c r="H478" i="16"/>
  <c r="B479" i="16"/>
  <c r="D479" i="16"/>
  <c r="E479" i="16"/>
  <c r="H479" i="16"/>
  <c r="B480" i="16"/>
  <c r="D480" i="16"/>
  <c r="E480" i="16"/>
  <c r="H480" i="16"/>
  <c r="B481" i="16"/>
  <c r="D481" i="16"/>
  <c r="E481" i="16"/>
  <c r="H481" i="16"/>
  <c r="B482" i="16"/>
  <c r="D482" i="16"/>
  <c r="E482" i="16"/>
  <c r="H482" i="16"/>
  <c r="B483" i="16"/>
  <c r="D483" i="16"/>
  <c r="E483" i="16"/>
  <c r="H483" i="16"/>
  <c r="B484" i="16"/>
  <c r="D484" i="16"/>
  <c r="E484" i="16"/>
  <c r="H484" i="16"/>
  <c r="B485" i="16"/>
  <c r="D485" i="16"/>
  <c r="E485" i="16"/>
  <c r="H485" i="16"/>
  <c r="B486" i="16"/>
  <c r="D486" i="16"/>
  <c r="E486" i="16"/>
  <c r="H486" i="16"/>
  <c r="B487" i="16"/>
  <c r="D487" i="16"/>
  <c r="E487" i="16"/>
  <c r="H487" i="16"/>
  <c r="B488" i="16"/>
  <c r="D488" i="16"/>
  <c r="E488" i="16"/>
  <c r="H488" i="16"/>
  <c r="B489" i="16"/>
  <c r="D489" i="16"/>
  <c r="E489" i="16"/>
  <c r="H489" i="16"/>
  <c r="B490" i="16"/>
  <c r="D490" i="16"/>
  <c r="E490" i="16"/>
  <c r="H490" i="16"/>
  <c r="B491" i="16"/>
  <c r="D491" i="16"/>
  <c r="E491" i="16"/>
  <c r="H491" i="16"/>
  <c r="B492" i="16"/>
  <c r="D492" i="16"/>
  <c r="E492" i="16"/>
  <c r="H492" i="16"/>
  <c r="B493" i="16"/>
  <c r="D493" i="16"/>
  <c r="E493" i="16"/>
  <c r="H493" i="16"/>
  <c r="B494" i="16"/>
  <c r="D494" i="16"/>
  <c r="E494" i="16"/>
  <c r="H494" i="16"/>
  <c r="B495" i="16"/>
  <c r="D495" i="16"/>
  <c r="E495" i="16"/>
  <c r="H495" i="16"/>
  <c r="B496" i="16"/>
  <c r="D496" i="16"/>
  <c r="E496" i="16"/>
  <c r="H496" i="16"/>
  <c r="B497" i="16"/>
  <c r="D497" i="16"/>
  <c r="E497" i="16"/>
  <c r="H497" i="16"/>
  <c r="B498" i="16"/>
  <c r="D498" i="16"/>
  <c r="E498" i="16"/>
  <c r="H498" i="16"/>
  <c r="B499" i="16"/>
  <c r="D499" i="16"/>
  <c r="E499" i="16"/>
  <c r="H499" i="16"/>
  <c r="B500" i="16"/>
  <c r="D500" i="16"/>
  <c r="E500" i="16"/>
  <c r="H500" i="16"/>
  <c r="B501" i="16"/>
  <c r="D501" i="16"/>
  <c r="E501" i="16"/>
  <c r="H501" i="16"/>
  <c r="B502" i="16"/>
  <c r="D502" i="16"/>
  <c r="E502" i="16"/>
  <c r="H502" i="16"/>
  <c r="B503" i="16"/>
  <c r="D503" i="16"/>
  <c r="E503" i="16"/>
  <c r="H503" i="16"/>
  <c r="B504" i="16"/>
  <c r="D504" i="16"/>
  <c r="E504" i="16"/>
  <c r="H504" i="16"/>
  <c r="B505" i="16"/>
  <c r="D505" i="16"/>
  <c r="E505" i="16"/>
  <c r="H505" i="16"/>
  <c r="B506" i="16"/>
  <c r="D506" i="16"/>
  <c r="E506" i="16"/>
  <c r="H506" i="16"/>
  <c r="B507" i="16"/>
  <c r="D507" i="16"/>
  <c r="E507" i="16"/>
  <c r="H507" i="16"/>
  <c r="B508" i="16"/>
  <c r="D508" i="16"/>
  <c r="E508" i="16"/>
  <c r="H508" i="16"/>
  <c r="B509" i="16"/>
  <c r="D509" i="16"/>
  <c r="E509" i="16"/>
  <c r="H509" i="16"/>
  <c r="B510" i="16"/>
  <c r="D510" i="16"/>
  <c r="E510" i="16"/>
  <c r="H510" i="16"/>
  <c r="B511" i="16"/>
  <c r="D511" i="16"/>
  <c r="E511" i="16"/>
  <c r="H511" i="16"/>
  <c r="B512" i="16"/>
  <c r="D512" i="16"/>
  <c r="E512" i="16"/>
  <c r="H512" i="16"/>
  <c r="B513" i="16"/>
  <c r="D513" i="16"/>
  <c r="E513" i="16"/>
  <c r="H513" i="16"/>
  <c r="B514" i="16"/>
  <c r="D514" i="16"/>
  <c r="E514" i="16"/>
  <c r="H514" i="16"/>
  <c r="B515" i="16"/>
  <c r="D515" i="16"/>
  <c r="E515" i="16"/>
  <c r="H515" i="16"/>
  <c r="B516" i="16"/>
  <c r="D516" i="16"/>
  <c r="E516" i="16"/>
  <c r="H516" i="16"/>
  <c r="B517" i="16"/>
  <c r="D517" i="16"/>
  <c r="E517" i="16"/>
  <c r="H517" i="16"/>
  <c r="B518" i="16"/>
  <c r="D518" i="16"/>
  <c r="E518" i="16"/>
  <c r="H518" i="16"/>
  <c r="B519" i="16"/>
  <c r="D519" i="16"/>
  <c r="E519" i="16"/>
  <c r="H519" i="16"/>
  <c r="B520" i="16"/>
  <c r="D520" i="16"/>
  <c r="E520" i="16"/>
  <c r="H520" i="16"/>
  <c r="B521" i="16"/>
  <c r="D521" i="16"/>
  <c r="E521" i="16"/>
  <c r="H521" i="16"/>
  <c r="B522" i="16"/>
  <c r="D522" i="16"/>
  <c r="E522" i="16"/>
  <c r="H522" i="16"/>
  <c r="B523" i="16"/>
  <c r="D523" i="16"/>
  <c r="E523" i="16"/>
  <c r="H523" i="16"/>
  <c r="B524" i="16"/>
  <c r="D524" i="16"/>
  <c r="E524" i="16"/>
  <c r="H524" i="16"/>
  <c r="B525" i="16"/>
  <c r="D525" i="16"/>
  <c r="E525" i="16"/>
  <c r="H525" i="16"/>
  <c r="B526" i="16"/>
  <c r="D526" i="16"/>
  <c r="E526" i="16"/>
  <c r="H526" i="16"/>
  <c r="B527" i="16"/>
  <c r="D527" i="16"/>
  <c r="E527" i="16"/>
  <c r="H527" i="16"/>
  <c r="B528" i="16"/>
  <c r="D528" i="16"/>
  <c r="E528" i="16"/>
  <c r="H528" i="16"/>
  <c r="B529" i="16"/>
  <c r="D529" i="16"/>
  <c r="E529" i="16"/>
  <c r="H529" i="16"/>
  <c r="B530" i="16"/>
  <c r="D530" i="16"/>
  <c r="E530" i="16"/>
  <c r="H530" i="16"/>
  <c r="B531" i="16"/>
  <c r="D531" i="16"/>
  <c r="E531" i="16"/>
  <c r="H531" i="16"/>
  <c r="B532" i="16"/>
  <c r="D532" i="16"/>
  <c r="E532" i="16"/>
  <c r="H532" i="16"/>
  <c r="B533" i="16"/>
  <c r="D533" i="16"/>
  <c r="E533" i="16"/>
  <c r="H533" i="16"/>
  <c r="B534" i="16"/>
  <c r="D534" i="16"/>
  <c r="E534" i="16"/>
  <c r="H534" i="16"/>
  <c r="B535" i="16"/>
  <c r="D535" i="16"/>
  <c r="E535" i="16"/>
  <c r="H535" i="16"/>
  <c r="B536" i="16"/>
  <c r="D536" i="16"/>
  <c r="E536" i="16"/>
  <c r="H536" i="16"/>
  <c r="B537" i="16"/>
  <c r="D537" i="16"/>
  <c r="E537" i="16"/>
  <c r="H537" i="16"/>
  <c r="B538" i="16"/>
  <c r="D538" i="16"/>
  <c r="E538" i="16"/>
  <c r="H538" i="16"/>
  <c r="B539" i="16"/>
  <c r="D539" i="16"/>
  <c r="E539" i="16"/>
  <c r="H539" i="16"/>
  <c r="B540" i="16"/>
  <c r="D540" i="16"/>
  <c r="E540" i="16"/>
  <c r="H540" i="16"/>
  <c r="B541" i="16"/>
  <c r="D541" i="16"/>
  <c r="E541" i="16"/>
  <c r="H541" i="16"/>
  <c r="B542" i="16"/>
  <c r="D542" i="16"/>
  <c r="E542" i="16"/>
  <c r="H542" i="16"/>
  <c r="B543" i="16"/>
  <c r="D543" i="16"/>
  <c r="E543" i="16"/>
  <c r="H543" i="16"/>
  <c r="B544" i="16"/>
  <c r="D544" i="16"/>
  <c r="E544" i="16"/>
  <c r="H544" i="16"/>
  <c r="B545" i="16"/>
  <c r="D545" i="16"/>
  <c r="E545" i="16"/>
  <c r="H545" i="16"/>
  <c r="B546" i="16"/>
  <c r="D546" i="16"/>
  <c r="E546" i="16"/>
  <c r="H546" i="16"/>
  <c r="B547" i="16"/>
  <c r="D547" i="16"/>
  <c r="E547" i="16"/>
  <c r="H547" i="16"/>
  <c r="B548" i="16"/>
  <c r="D548" i="16"/>
  <c r="E548" i="16"/>
  <c r="H548" i="16"/>
  <c r="B549" i="16"/>
  <c r="D549" i="16"/>
  <c r="E549" i="16"/>
  <c r="H549" i="16"/>
  <c r="B550" i="16"/>
  <c r="D550" i="16"/>
  <c r="E550" i="16"/>
  <c r="H550" i="16"/>
  <c r="B551" i="16"/>
  <c r="D551" i="16"/>
  <c r="E551" i="16"/>
  <c r="H551" i="16"/>
  <c r="B552" i="16"/>
  <c r="D552" i="16"/>
  <c r="E552" i="16"/>
  <c r="H552" i="16"/>
  <c r="B553" i="16"/>
  <c r="D553" i="16"/>
  <c r="E553" i="16"/>
  <c r="H553" i="16"/>
  <c r="B554" i="16"/>
  <c r="D554" i="16"/>
  <c r="E554" i="16"/>
  <c r="H554" i="16"/>
  <c r="B555" i="16"/>
  <c r="D555" i="16"/>
  <c r="E555" i="16"/>
  <c r="H555" i="16"/>
  <c r="B556" i="16"/>
  <c r="D556" i="16"/>
  <c r="E556" i="16"/>
  <c r="H556" i="16"/>
  <c r="B557" i="16"/>
  <c r="D557" i="16"/>
  <c r="E557" i="16"/>
  <c r="H557" i="16"/>
  <c r="B558" i="16"/>
  <c r="D558" i="16"/>
  <c r="E558" i="16"/>
  <c r="H558" i="16"/>
  <c r="B559" i="16"/>
  <c r="D559" i="16"/>
  <c r="E559" i="16"/>
  <c r="H559" i="16"/>
  <c r="B560" i="16"/>
  <c r="D560" i="16"/>
  <c r="E560" i="16"/>
  <c r="H560" i="16"/>
  <c r="B561" i="16"/>
  <c r="D561" i="16"/>
  <c r="E561" i="16"/>
  <c r="H561" i="16"/>
  <c r="B562" i="16"/>
  <c r="D562" i="16"/>
  <c r="E562" i="16"/>
  <c r="H562" i="16"/>
  <c r="B563" i="16"/>
  <c r="D563" i="16"/>
  <c r="E563" i="16"/>
  <c r="H563" i="16"/>
  <c r="B564" i="16"/>
  <c r="D564" i="16"/>
  <c r="E564" i="16"/>
  <c r="H564" i="16"/>
  <c r="B565" i="16"/>
  <c r="D565" i="16"/>
  <c r="E565" i="16"/>
  <c r="H565" i="16"/>
  <c r="B566" i="16"/>
  <c r="D566" i="16"/>
  <c r="E566" i="16"/>
  <c r="H566" i="16"/>
  <c r="B567" i="16"/>
  <c r="D567" i="16"/>
  <c r="E567" i="16"/>
  <c r="H567" i="16"/>
  <c r="B568" i="16"/>
  <c r="D568" i="16"/>
  <c r="E568" i="16"/>
  <c r="H568" i="16"/>
  <c r="B569" i="16"/>
  <c r="D569" i="16"/>
  <c r="E569" i="16"/>
  <c r="H569" i="16"/>
  <c r="B570" i="16"/>
  <c r="D570" i="16"/>
  <c r="E570" i="16"/>
  <c r="H570" i="16"/>
  <c r="B571" i="16"/>
  <c r="D571" i="16"/>
  <c r="E571" i="16"/>
  <c r="H571" i="16"/>
  <c r="B572" i="16"/>
  <c r="D572" i="16"/>
  <c r="E572" i="16"/>
  <c r="H572" i="16"/>
  <c r="B573" i="16"/>
  <c r="D573" i="16"/>
  <c r="E573" i="16"/>
  <c r="H573" i="16"/>
  <c r="B574" i="16"/>
  <c r="D574" i="16"/>
  <c r="E574" i="16"/>
  <c r="H574" i="16"/>
  <c r="B575" i="16"/>
  <c r="D575" i="16"/>
  <c r="E575" i="16"/>
  <c r="H575" i="16"/>
  <c r="B576" i="16"/>
  <c r="D576" i="16"/>
  <c r="E576" i="16"/>
  <c r="H576" i="16"/>
  <c r="B577" i="16"/>
  <c r="D577" i="16"/>
  <c r="E577" i="16"/>
  <c r="H577" i="16"/>
  <c r="B578" i="16"/>
  <c r="D578" i="16"/>
  <c r="E578" i="16"/>
  <c r="H578" i="16"/>
  <c r="B579" i="16"/>
  <c r="D579" i="16"/>
  <c r="E579" i="16"/>
  <c r="H579" i="16"/>
  <c r="B580" i="16"/>
  <c r="D580" i="16"/>
  <c r="E580" i="16"/>
  <c r="H580" i="16"/>
  <c r="B581" i="16"/>
  <c r="D581" i="16"/>
  <c r="E581" i="16"/>
  <c r="H581" i="16"/>
  <c r="B582" i="16"/>
  <c r="D582" i="16"/>
  <c r="E582" i="16"/>
  <c r="H582" i="16"/>
  <c r="B583" i="16"/>
  <c r="D583" i="16"/>
  <c r="E583" i="16"/>
  <c r="H583" i="16"/>
  <c r="B584" i="16"/>
  <c r="D584" i="16"/>
  <c r="E584" i="16"/>
  <c r="H584" i="16"/>
  <c r="B585" i="16"/>
  <c r="D585" i="16"/>
  <c r="E585" i="16"/>
  <c r="H585" i="16"/>
  <c r="B586" i="16"/>
  <c r="D586" i="16"/>
  <c r="E586" i="16"/>
  <c r="H586" i="16"/>
  <c r="B587" i="16"/>
  <c r="D587" i="16"/>
  <c r="E587" i="16"/>
  <c r="H587" i="16"/>
  <c r="B588" i="16"/>
  <c r="D588" i="16"/>
  <c r="E588" i="16"/>
  <c r="H588" i="16"/>
  <c r="B589" i="16"/>
  <c r="D589" i="16"/>
  <c r="E589" i="16"/>
  <c r="H589" i="16"/>
  <c r="B590" i="16"/>
  <c r="D590" i="16"/>
  <c r="E590" i="16"/>
  <c r="H590" i="16"/>
  <c r="B591" i="16"/>
  <c r="D591" i="16"/>
  <c r="E591" i="16"/>
  <c r="H591" i="16"/>
  <c r="B592" i="16"/>
  <c r="D592" i="16"/>
  <c r="E592" i="16"/>
  <c r="H592" i="16"/>
  <c r="B593" i="16"/>
  <c r="D593" i="16"/>
  <c r="E593" i="16"/>
  <c r="H593" i="16"/>
  <c r="B594" i="16"/>
  <c r="D594" i="16"/>
  <c r="E594" i="16"/>
  <c r="H594" i="16"/>
  <c r="B595" i="16"/>
  <c r="D595" i="16"/>
  <c r="E595" i="16"/>
  <c r="H595" i="16"/>
  <c r="B596" i="16"/>
  <c r="D596" i="16"/>
  <c r="E596" i="16"/>
  <c r="H596" i="16"/>
  <c r="B597" i="16"/>
  <c r="D597" i="16"/>
  <c r="E597" i="16"/>
  <c r="H597" i="16"/>
  <c r="B598" i="16"/>
  <c r="D598" i="16"/>
  <c r="E598" i="16"/>
  <c r="H598" i="16"/>
  <c r="B599" i="16"/>
  <c r="D599" i="16"/>
  <c r="E599" i="16"/>
  <c r="H599" i="16"/>
  <c r="B600" i="16"/>
  <c r="D600" i="16"/>
  <c r="E600" i="16"/>
  <c r="H600" i="16"/>
  <c r="B601" i="16"/>
  <c r="D601" i="16"/>
  <c r="E601" i="16"/>
  <c r="H601" i="16"/>
  <c r="B602" i="16"/>
  <c r="D602" i="16"/>
  <c r="E602" i="16"/>
  <c r="H602" i="16"/>
  <c r="B603" i="16"/>
  <c r="D603" i="16"/>
  <c r="E603" i="16"/>
  <c r="H603" i="16"/>
  <c r="B604" i="16"/>
  <c r="D604" i="16"/>
  <c r="E604" i="16"/>
  <c r="H604" i="16"/>
  <c r="B605" i="16"/>
  <c r="D605" i="16"/>
  <c r="E605" i="16"/>
  <c r="H605" i="16"/>
  <c r="B606" i="16"/>
  <c r="D606" i="16"/>
  <c r="E606" i="16"/>
  <c r="H606" i="16"/>
  <c r="B607" i="16"/>
  <c r="D607" i="16"/>
  <c r="E607" i="16"/>
  <c r="H607" i="16"/>
  <c r="B608" i="16"/>
  <c r="D608" i="16"/>
  <c r="E608" i="16"/>
  <c r="H608" i="16"/>
  <c r="B609" i="16"/>
  <c r="D609" i="16"/>
  <c r="E609" i="16"/>
  <c r="H609" i="16"/>
  <c r="B610" i="16"/>
  <c r="D610" i="16"/>
  <c r="E610" i="16"/>
  <c r="H610" i="16"/>
  <c r="B611" i="16"/>
  <c r="D611" i="16"/>
  <c r="E611" i="16"/>
  <c r="H611" i="16"/>
  <c r="B612" i="16"/>
  <c r="D612" i="16"/>
  <c r="E612" i="16"/>
  <c r="H612" i="16"/>
  <c r="B613" i="16"/>
  <c r="D613" i="16"/>
  <c r="E613" i="16"/>
  <c r="H613" i="16"/>
  <c r="B614" i="16"/>
  <c r="D614" i="16"/>
  <c r="E614" i="16"/>
  <c r="H614" i="16"/>
  <c r="B615" i="16"/>
  <c r="D615" i="16"/>
  <c r="E615" i="16"/>
  <c r="H615" i="16"/>
  <c r="B616" i="16"/>
  <c r="D616" i="16"/>
  <c r="E616" i="16"/>
  <c r="H616" i="16"/>
  <c r="B617" i="16"/>
  <c r="D617" i="16"/>
  <c r="E617" i="16"/>
  <c r="H617" i="16"/>
  <c r="B618" i="16"/>
  <c r="D618" i="16"/>
  <c r="E618" i="16"/>
  <c r="H618" i="16"/>
  <c r="B619" i="16"/>
  <c r="D619" i="16"/>
  <c r="E619" i="16"/>
  <c r="H619" i="16"/>
  <c r="B620" i="16"/>
  <c r="D620" i="16"/>
  <c r="E620" i="16"/>
  <c r="H620" i="16"/>
  <c r="B621" i="16"/>
  <c r="D621" i="16"/>
  <c r="E621" i="16"/>
  <c r="H621" i="16"/>
  <c r="B622" i="16"/>
  <c r="D622" i="16"/>
  <c r="E622" i="16"/>
  <c r="H622" i="16"/>
  <c r="B623" i="16"/>
  <c r="D623" i="16"/>
  <c r="E623" i="16"/>
  <c r="H623" i="16"/>
  <c r="B624" i="16"/>
  <c r="D624" i="16"/>
  <c r="E624" i="16"/>
  <c r="H624" i="16"/>
  <c r="B625" i="16"/>
  <c r="D625" i="16"/>
  <c r="E625" i="16"/>
  <c r="H625" i="16"/>
  <c r="B626" i="16"/>
  <c r="D626" i="16"/>
  <c r="E626" i="16"/>
  <c r="H626" i="16"/>
  <c r="B627" i="16"/>
  <c r="D627" i="16"/>
  <c r="E627" i="16"/>
  <c r="H627" i="16"/>
  <c r="B628" i="16"/>
  <c r="D628" i="16"/>
  <c r="E628" i="16"/>
  <c r="H628" i="16"/>
  <c r="B629" i="16"/>
  <c r="D629" i="16"/>
  <c r="E629" i="16"/>
  <c r="H629" i="16"/>
  <c r="B630" i="16"/>
  <c r="D630" i="16"/>
  <c r="E630" i="16"/>
  <c r="H630" i="16"/>
  <c r="B631" i="16"/>
  <c r="D631" i="16"/>
  <c r="E631" i="16"/>
  <c r="H631" i="16"/>
  <c r="B632" i="16"/>
  <c r="D632" i="16"/>
  <c r="E632" i="16"/>
  <c r="H632" i="16"/>
  <c r="B633" i="16"/>
  <c r="D633" i="16"/>
  <c r="E633" i="16"/>
  <c r="H633" i="16"/>
  <c r="B634" i="16"/>
  <c r="D634" i="16"/>
  <c r="E634" i="16"/>
  <c r="H634" i="16"/>
  <c r="B635" i="16"/>
  <c r="D635" i="16"/>
  <c r="E635" i="16"/>
  <c r="H635" i="16"/>
  <c r="B636" i="16"/>
  <c r="D636" i="16"/>
  <c r="E636" i="16"/>
  <c r="H636" i="16"/>
  <c r="B637" i="16"/>
  <c r="D637" i="16"/>
  <c r="E637" i="16"/>
  <c r="H637" i="16"/>
  <c r="B638" i="16"/>
  <c r="D638" i="16"/>
  <c r="E638" i="16"/>
  <c r="H638" i="16"/>
  <c r="B639" i="16"/>
  <c r="D639" i="16"/>
  <c r="E639" i="16"/>
  <c r="H639" i="16"/>
  <c r="B640" i="16"/>
  <c r="D640" i="16"/>
  <c r="E640" i="16"/>
  <c r="H640" i="16"/>
  <c r="B641" i="16"/>
  <c r="D641" i="16"/>
  <c r="E641" i="16"/>
  <c r="H641" i="16"/>
  <c r="B642" i="16"/>
  <c r="D642" i="16"/>
  <c r="E642" i="16"/>
  <c r="H642" i="16"/>
  <c r="B643" i="16"/>
  <c r="D643" i="16"/>
  <c r="E643" i="16"/>
  <c r="H643" i="16"/>
  <c r="B644" i="16"/>
  <c r="D644" i="16"/>
  <c r="E644" i="16"/>
  <c r="H644" i="16"/>
  <c r="B645" i="16"/>
  <c r="D645" i="16"/>
  <c r="E645" i="16"/>
  <c r="H645" i="16"/>
  <c r="B646" i="16"/>
  <c r="D646" i="16"/>
  <c r="E646" i="16"/>
  <c r="H646" i="16"/>
  <c r="B647" i="16"/>
  <c r="D647" i="16"/>
  <c r="E647" i="16"/>
  <c r="H647" i="16"/>
  <c r="B648" i="16"/>
  <c r="D648" i="16"/>
  <c r="E648" i="16"/>
  <c r="H648" i="16"/>
  <c r="B649" i="16"/>
  <c r="D649" i="16"/>
  <c r="E649" i="16"/>
  <c r="H649" i="16"/>
  <c r="B650" i="16"/>
  <c r="D650" i="16"/>
  <c r="E650" i="16"/>
  <c r="H650" i="16"/>
  <c r="B651" i="16"/>
  <c r="D651" i="16"/>
  <c r="E651" i="16"/>
  <c r="H651" i="16"/>
  <c r="B652" i="16"/>
  <c r="D652" i="16"/>
  <c r="E652" i="16"/>
  <c r="H652" i="16"/>
  <c r="B653" i="16"/>
  <c r="D653" i="16"/>
  <c r="E653" i="16"/>
  <c r="H653" i="16"/>
  <c r="B654" i="16"/>
  <c r="D654" i="16"/>
  <c r="E654" i="16"/>
  <c r="H654" i="16"/>
  <c r="B655" i="16"/>
  <c r="D655" i="16"/>
  <c r="E655" i="16"/>
  <c r="H655" i="16"/>
  <c r="B656" i="16"/>
  <c r="D656" i="16"/>
  <c r="E656" i="16"/>
  <c r="H656" i="16"/>
  <c r="B657" i="16"/>
  <c r="D657" i="16"/>
  <c r="E657" i="16"/>
  <c r="H657" i="16"/>
  <c r="B658" i="16"/>
  <c r="D658" i="16"/>
  <c r="E658" i="16"/>
  <c r="H658" i="16"/>
  <c r="B659" i="16"/>
  <c r="D659" i="16"/>
  <c r="E659" i="16"/>
  <c r="H659" i="16"/>
  <c r="B660" i="16"/>
  <c r="D660" i="16"/>
  <c r="E660" i="16"/>
  <c r="H660" i="16"/>
  <c r="B661" i="16"/>
  <c r="D661" i="16"/>
  <c r="E661" i="16"/>
  <c r="H661" i="16"/>
  <c r="B662" i="16"/>
  <c r="D662" i="16"/>
  <c r="E662" i="16"/>
  <c r="H662" i="16"/>
  <c r="B663" i="16"/>
  <c r="D663" i="16"/>
  <c r="E663" i="16"/>
  <c r="H663" i="16"/>
  <c r="B664" i="16"/>
  <c r="D664" i="16"/>
  <c r="E664" i="16"/>
  <c r="H664" i="16"/>
  <c r="B665" i="16"/>
  <c r="D665" i="16"/>
  <c r="E665" i="16"/>
  <c r="H665" i="16"/>
  <c r="B666" i="16"/>
  <c r="D666" i="16"/>
  <c r="E666" i="16"/>
  <c r="H666" i="16"/>
  <c r="B667" i="16"/>
  <c r="D667" i="16"/>
  <c r="E667" i="16"/>
  <c r="H667" i="16"/>
  <c r="B668" i="16"/>
  <c r="D668" i="16"/>
  <c r="E668" i="16"/>
  <c r="H668" i="16"/>
  <c r="B669" i="16"/>
  <c r="D669" i="16"/>
  <c r="E669" i="16"/>
  <c r="H669" i="16"/>
  <c r="B670" i="16"/>
  <c r="D670" i="16"/>
  <c r="E670" i="16"/>
  <c r="H670" i="16"/>
  <c r="B671" i="16"/>
  <c r="D671" i="16"/>
  <c r="E671" i="16"/>
  <c r="H671" i="16"/>
  <c r="B672" i="16"/>
  <c r="D672" i="16"/>
  <c r="E672" i="16"/>
  <c r="H672" i="16"/>
  <c r="B673" i="16"/>
  <c r="D673" i="16"/>
  <c r="E673" i="16"/>
  <c r="H673" i="16"/>
  <c r="B674" i="16"/>
  <c r="D674" i="16"/>
  <c r="E674" i="16"/>
  <c r="H674" i="16"/>
  <c r="B675" i="16"/>
  <c r="D675" i="16"/>
  <c r="E675" i="16"/>
  <c r="H675" i="16"/>
  <c r="B676" i="16"/>
  <c r="D676" i="16"/>
  <c r="E676" i="16"/>
  <c r="H676" i="16"/>
  <c r="B677" i="16"/>
  <c r="D677" i="16"/>
  <c r="E677" i="16"/>
  <c r="H677" i="16"/>
  <c r="B678" i="16"/>
  <c r="D678" i="16"/>
  <c r="E678" i="16"/>
  <c r="H678" i="16"/>
  <c r="B679" i="16"/>
  <c r="D679" i="16"/>
  <c r="E679" i="16"/>
  <c r="H679" i="16"/>
  <c r="B680" i="16"/>
  <c r="D680" i="16"/>
  <c r="E680" i="16"/>
  <c r="H680" i="16"/>
  <c r="B681" i="16"/>
  <c r="D681" i="16"/>
  <c r="E681" i="16"/>
  <c r="H681" i="16"/>
  <c r="B682" i="16"/>
  <c r="D682" i="16"/>
  <c r="E682" i="16"/>
  <c r="H682" i="16"/>
  <c r="B683" i="16"/>
  <c r="D683" i="16"/>
  <c r="E683" i="16"/>
  <c r="H683" i="16"/>
  <c r="B684" i="16"/>
  <c r="D684" i="16"/>
  <c r="E684" i="16"/>
  <c r="H684" i="16"/>
  <c r="B685" i="16"/>
  <c r="D685" i="16"/>
  <c r="E685" i="16"/>
  <c r="H685" i="16"/>
  <c r="B686" i="16"/>
  <c r="D686" i="16"/>
  <c r="E686" i="16"/>
  <c r="H686" i="16"/>
  <c r="B687" i="16"/>
  <c r="D687" i="16"/>
  <c r="E687" i="16"/>
  <c r="H687" i="16"/>
  <c r="B688" i="16"/>
  <c r="D688" i="16"/>
  <c r="E688" i="16"/>
  <c r="H688" i="16"/>
  <c r="B689" i="16"/>
  <c r="D689" i="16"/>
  <c r="E689" i="16"/>
  <c r="H689" i="16"/>
  <c r="B690" i="16"/>
  <c r="D690" i="16"/>
  <c r="E690" i="16"/>
  <c r="H690" i="16"/>
  <c r="B691" i="16"/>
  <c r="D691" i="16"/>
  <c r="E691" i="16"/>
  <c r="H691" i="16"/>
  <c r="B692" i="16"/>
  <c r="D692" i="16"/>
  <c r="E692" i="16"/>
  <c r="H692" i="16"/>
  <c r="B693" i="16"/>
  <c r="D693" i="16"/>
  <c r="E693" i="16"/>
  <c r="H693" i="16"/>
  <c r="B694" i="16"/>
  <c r="D694" i="16"/>
  <c r="E694" i="16"/>
  <c r="H694" i="16"/>
  <c r="B695" i="16"/>
  <c r="D695" i="16"/>
  <c r="E695" i="16"/>
  <c r="H695" i="16"/>
  <c r="B696" i="16"/>
  <c r="D696" i="16"/>
  <c r="E696" i="16"/>
  <c r="H696" i="16"/>
  <c r="B697" i="16"/>
  <c r="D697" i="16"/>
  <c r="E697" i="16"/>
  <c r="H697" i="16"/>
  <c r="B698" i="16"/>
  <c r="D698" i="16"/>
  <c r="E698" i="16"/>
  <c r="H698" i="16"/>
  <c r="B699" i="16"/>
  <c r="D699" i="16"/>
  <c r="E699" i="16"/>
  <c r="H699" i="16"/>
  <c r="B700" i="16"/>
  <c r="D700" i="16"/>
  <c r="E700" i="16"/>
  <c r="H700" i="16"/>
  <c r="B701" i="16"/>
  <c r="D701" i="16"/>
  <c r="E701" i="16"/>
  <c r="H701" i="16"/>
  <c r="B702" i="16"/>
  <c r="D702" i="16"/>
  <c r="E702" i="16"/>
  <c r="H702" i="16"/>
  <c r="B703" i="16"/>
  <c r="D703" i="16"/>
  <c r="E703" i="16"/>
  <c r="H703" i="16"/>
  <c r="B704" i="16"/>
  <c r="D704" i="16"/>
  <c r="E704" i="16"/>
  <c r="H704" i="16"/>
  <c r="B705" i="16"/>
  <c r="D705" i="16"/>
  <c r="E705" i="16"/>
  <c r="H705" i="16"/>
  <c r="B706" i="16"/>
  <c r="D706" i="16"/>
  <c r="E706" i="16"/>
  <c r="H706" i="16"/>
  <c r="B707" i="16"/>
  <c r="D707" i="16"/>
  <c r="E707" i="16"/>
  <c r="H707" i="16"/>
  <c r="B708" i="16"/>
  <c r="D708" i="16"/>
  <c r="E708" i="16"/>
  <c r="H708" i="16"/>
  <c r="B709" i="16"/>
  <c r="D709" i="16"/>
  <c r="E709" i="16"/>
  <c r="H709" i="16"/>
  <c r="B710" i="16"/>
  <c r="D710" i="16"/>
  <c r="E710" i="16"/>
  <c r="H710" i="16"/>
  <c r="B711" i="16"/>
  <c r="D711" i="16"/>
  <c r="E711" i="16"/>
  <c r="H711" i="16"/>
  <c r="B712" i="16"/>
  <c r="D712" i="16"/>
  <c r="E712" i="16"/>
  <c r="H712" i="16"/>
  <c r="B713" i="16"/>
  <c r="D713" i="16"/>
  <c r="E713" i="16"/>
  <c r="H713" i="16"/>
  <c r="B714" i="16"/>
  <c r="D714" i="16"/>
  <c r="E714" i="16"/>
  <c r="H714" i="16"/>
  <c r="B715" i="16"/>
  <c r="D715" i="16"/>
  <c r="E715" i="16"/>
  <c r="H715" i="16"/>
  <c r="B716" i="16"/>
  <c r="D716" i="16"/>
  <c r="E716" i="16"/>
  <c r="H716" i="16"/>
  <c r="B717" i="16"/>
  <c r="D717" i="16"/>
  <c r="E717" i="16"/>
  <c r="H717" i="16"/>
  <c r="B718" i="16"/>
  <c r="D718" i="16"/>
  <c r="E718" i="16"/>
  <c r="H718" i="16"/>
  <c r="B719" i="16"/>
  <c r="D719" i="16"/>
  <c r="E719" i="16"/>
  <c r="H719" i="16"/>
  <c r="B720" i="16"/>
  <c r="D720" i="16"/>
  <c r="E720" i="16"/>
  <c r="H720" i="16"/>
  <c r="B721" i="16"/>
  <c r="D721" i="16"/>
  <c r="E721" i="16"/>
  <c r="H721" i="16"/>
  <c r="B722" i="16"/>
  <c r="D722" i="16"/>
  <c r="E722" i="16"/>
  <c r="H722" i="16"/>
  <c r="B723" i="16"/>
  <c r="D723" i="16"/>
  <c r="E723" i="16"/>
  <c r="H723" i="16"/>
  <c r="B724" i="16"/>
  <c r="D724" i="16"/>
  <c r="E724" i="16"/>
  <c r="H724" i="16"/>
  <c r="B725" i="16"/>
  <c r="D725" i="16"/>
  <c r="E725" i="16"/>
  <c r="H725" i="16"/>
  <c r="B726" i="16"/>
  <c r="D726" i="16"/>
  <c r="E726" i="16"/>
  <c r="H726" i="16"/>
  <c r="B727" i="16"/>
  <c r="D727" i="16"/>
  <c r="E727" i="16"/>
  <c r="H727" i="16"/>
  <c r="B728" i="16"/>
  <c r="D728" i="16"/>
  <c r="E728" i="16"/>
  <c r="H728" i="16"/>
  <c r="B729" i="16"/>
  <c r="D729" i="16"/>
  <c r="E729" i="16"/>
  <c r="H729" i="16"/>
  <c r="B730" i="16"/>
  <c r="D730" i="16"/>
  <c r="E730" i="16"/>
  <c r="H730" i="16"/>
  <c r="B731" i="16"/>
  <c r="D731" i="16"/>
  <c r="E731" i="16"/>
  <c r="H731" i="16"/>
  <c r="B732" i="16"/>
  <c r="D732" i="16"/>
  <c r="E732" i="16"/>
  <c r="H732" i="16"/>
  <c r="B733" i="16"/>
  <c r="D733" i="16"/>
  <c r="E733" i="16"/>
  <c r="H733" i="16"/>
  <c r="B734" i="16"/>
  <c r="D734" i="16"/>
  <c r="E734" i="16"/>
  <c r="H734" i="16"/>
  <c r="B735" i="16"/>
  <c r="D735" i="16"/>
  <c r="E735" i="16"/>
  <c r="H735" i="16"/>
  <c r="B736" i="16"/>
  <c r="D736" i="16"/>
  <c r="E736" i="16"/>
  <c r="H736" i="16"/>
  <c r="B737" i="16"/>
  <c r="D737" i="16"/>
  <c r="E737" i="16"/>
  <c r="H737" i="16"/>
  <c r="B738" i="16"/>
  <c r="D738" i="16"/>
  <c r="E738" i="16"/>
  <c r="H738" i="16"/>
  <c r="B739" i="16"/>
  <c r="D739" i="16"/>
  <c r="E739" i="16"/>
  <c r="H739" i="16"/>
  <c r="B740" i="16"/>
  <c r="D740" i="16"/>
  <c r="E740" i="16"/>
  <c r="H740" i="16"/>
  <c r="B741" i="16"/>
  <c r="D741" i="16"/>
  <c r="E741" i="16"/>
  <c r="H741" i="16"/>
  <c r="B742" i="16"/>
  <c r="D742" i="16"/>
  <c r="E742" i="16"/>
  <c r="H742" i="16"/>
  <c r="B743" i="16"/>
  <c r="D743" i="16"/>
  <c r="E743" i="16"/>
  <c r="H743" i="16"/>
  <c r="B744" i="16"/>
  <c r="D744" i="16"/>
  <c r="E744" i="16"/>
  <c r="H744" i="16"/>
  <c r="B745" i="16"/>
  <c r="D745" i="16"/>
  <c r="E745" i="16"/>
  <c r="H745" i="16"/>
  <c r="B746" i="16"/>
  <c r="D746" i="16"/>
  <c r="E746" i="16"/>
  <c r="H746" i="16"/>
  <c r="B747" i="16"/>
  <c r="D747" i="16"/>
  <c r="E747" i="16"/>
  <c r="H747" i="16"/>
  <c r="B748" i="16"/>
  <c r="D748" i="16"/>
  <c r="E748" i="16"/>
  <c r="H748" i="16"/>
  <c r="B749" i="16"/>
  <c r="D749" i="16"/>
  <c r="E749" i="16"/>
  <c r="H749" i="16"/>
  <c r="B750" i="16"/>
  <c r="D750" i="16"/>
  <c r="E750" i="16"/>
  <c r="H750" i="16"/>
  <c r="B751" i="16"/>
  <c r="D751" i="16"/>
  <c r="E751" i="16"/>
  <c r="H751" i="16"/>
  <c r="B752" i="16"/>
  <c r="D752" i="16"/>
  <c r="E752" i="16"/>
  <c r="H752" i="16"/>
  <c r="B753" i="16"/>
  <c r="D753" i="16"/>
  <c r="E753" i="16"/>
  <c r="H753" i="16"/>
  <c r="B754" i="16"/>
  <c r="D754" i="16"/>
  <c r="E754" i="16"/>
  <c r="H754" i="16"/>
  <c r="B755" i="16"/>
  <c r="D755" i="16"/>
  <c r="E755" i="16"/>
  <c r="H755" i="16"/>
  <c r="B756" i="16"/>
  <c r="D756" i="16"/>
  <c r="E756" i="16"/>
  <c r="H756" i="16"/>
  <c r="B757" i="16"/>
  <c r="D757" i="16"/>
  <c r="E757" i="16"/>
  <c r="H757" i="16"/>
  <c r="B758" i="16"/>
  <c r="D758" i="16"/>
  <c r="E758" i="16"/>
  <c r="H758" i="16"/>
  <c r="B759" i="16"/>
  <c r="D759" i="16"/>
  <c r="E759" i="16"/>
  <c r="H759" i="16"/>
  <c r="B760" i="16"/>
  <c r="D760" i="16"/>
  <c r="E760" i="16"/>
  <c r="H760" i="16"/>
  <c r="B761" i="16"/>
  <c r="D761" i="16"/>
  <c r="E761" i="16"/>
  <c r="H761" i="16"/>
  <c r="B762" i="16"/>
  <c r="D762" i="16"/>
  <c r="E762" i="16"/>
  <c r="H762" i="16"/>
  <c r="B763" i="16"/>
  <c r="D763" i="16"/>
  <c r="E763" i="16"/>
  <c r="H763" i="16"/>
  <c r="B764" i="16"/>
  <c r="D764" i="16"/>
  <c r="E764" i="16"/>
  <c r="H764" i="16"/>
  <c r="B765" i="16"/>
  <c r="D765" i="16"/>
  <c r="E765" i="16"/>
  <c r="H765" i="16"/>
  <c r="B766" i="16"/>
  <c r="D766" i="16"/>
  <c r="E766" i="16"/>
  <c r="H766" i="16"/>
  <c r="B767" i="16"/>
  <c r="D767" i="16"/>
  <c r="E767" i="16"/>
  <c r="H767" i="16"/>
  <c r="B768" i="16"/>
  <c r="D768" i="16"/>
  <c r="E768" i="16"/>
  <c r="H768" i="16"/>
  <c r="B769" i="16"/>
  <c r="D769" i="16"/>
  <c r="E769" i="16"/>
  <c r="H769" i="16"/>
  <c r="B770" i="16"/>
  <c r="D770" i="16"/>
  <c r="E770" i="16"/>
  <c r="H770" i="16"/>
  <c r="B771" i="16"/>
  <c r="D771" i="16"/>
  <c r="E771" i="16"/>
  <c r="H771" i="16"/>
  <c r="B772" i="16"/>
  <c r="D772" i="16"/>
  <c r="E772" i="16"/>
  <c r="H772" i="16"/>
  <c r="B773" i="16"/>
  <c r="D773" i="16"/>
  <c r="E773" i="16"/>
  <c r="H773" i="16"/>
  <c r="B774" i="16"/>
  <c r="D774" i="16"/>
  <c r="E774" i="16"/>
  <c r="H774" i="16"/>
  <c r="B775" i="16"/>
  <c r="D775" i="16"/>
  <c r="E775" i="16"/>
  <c r="H775" i="16"/>
  <c r="B776" i="16"/>
  <c r="D776" i="16"/>
  <c r="E776" i="16"/>
  <c r="H776" i="16"/>
  <c r="B777" i="16"/>
  <c r="D777" i="16"/>
  <c r="E777" i="16"/>
  <c r="H777" i="16"/>
  <c r="B778" i="16"/>
  <c r="D778" i="16"/>
  <c r="E778" i="16"/>
  <c r="H778" i="16"/>
  <c r="B779" i="16"/>
  <c r="D779" i="16"/>
  <c r="E779" i="16"/>
  <c r="H779" i="16"/>
  <c r="B780" i="16"/>
  <c r="D780" i="16"/>
  <c r="E780" i="16"/>
  <c r="H780" i="16"/>
  <c r="B781" i="16"/>
  <c r="D781" i="16"/>
  <c r="E781" i="16"/>
  <c r="H781" i="16"/>
  <c r="B782" i="16"/>
  <c r="D782" i="16"/>
  <c r="E782" i="16"/>
  <c r="H782" i="16"/>
  <c r="B783" i="16"/>
  <c r="D783" i="16"/>
  <c r="E783" i="16"/>
  <c r="H783" i="16"/>
  <c r="B784" i="16"/>
  <c r="D784" i="16"/>
  <c r="E784" i="16"/>
  <c r="H784" i="16"/>
  <c r="B785" i="16"/>
  <c r="D785" i="16"/>
  <c r="E785" i="16"/>
  <c r="H785" i="16"/>
  <c r="B786" i="16"/>
  <c r="D786" i="16"/>
  <c r="E786" i="16"/>
  <c r="H786" i="16"/>
  <c r="B787" i="16"/>
  <c r="D787" i="16"/>
  <c r="E787" i="16"/>
  <c r="H787" i="16"/>
  <c r="B788" i="16"/>
  <c r="D788" i="16"/>
  <c r="E788" i="16"/>
  <c r="H788" i="16"/>
  <c r="B789" i="16"/>
  <c r="D789" i="16"/>
  <c r="E789" i="16"/>
  <c r="H789" i="16"/>
  <c r="B790" i="16"/>
  <c r="D790" i="16"/>
  <c r="E790" i="16"/>
  <c r="H790" i="16"/>
  <c r="B791" i="16"/>
  <c r="D791" i="16"/>
  <c r="E791" i="16"/>
  <c r="H791" i="16"/>
  <c r="B792" i="16"/>
  <c r="D792" i="16"/>
  <c r="E792" i="16"/>
  <c r="H792" i="16"/>
  <c r="B793" i="16"/>
  <c r="D793" i="16"/>
  <c r="E793" i="16"/>
  <c r="H793" i="16"/>
  <c r="B794" i="16"/>
  <c r="D794" i="16"/>
  <c r="E794" i="16"/>
  <c r="H794" i="16"/>
  <c r="B795" i="16"/>
  <c r="D795" i="16"/>
  <c r="E795" i="16"/>
  <c r="H795" i="16"/>
  <c r="B796" i="16"/>
  <c r="D796" i="16"/>
  <c r="E796" i="16"/>
  <c r="H796" i="16"/>
  <c r="B797" i="16"/>
  <c r="D797" i="16"/>
  <c r="E797" i="16"/>
  <c r="H797" i="16"/>
  <c r="B798" i="16"/>
  <c r="D798" i="16"/>
  <c r="E798" i="16"/>
  <c r="H798" i="16"/>
  <c r="B799" i="16"/>
  <c r="D799" i="16"/>
  <c r="E799" i="16"/>
  <c r="H799" i="16"/>
  <c r="B800" i="16"/>
  <c r="D800" i="16"/>
  <c r="E800" i="16"/>
  <c r="H800" i="16"/>
  <c r="B801" i="16"/>
  <c r="D801" i="16"/>
  <c r="E801" i="16"/>
  <c r="H801" i="16"/>
  <c r="B802" i="16"/>
  <c r="D802" i="16"/>
  <c r="E802" i="16"/>
  <c r="H802" i="16"/>
  <c r="B803" i="16"/>
  <c r="D803" i="16"/>
  <c r="E803" i="16"/>
  <c r="H803" i="16"/>
  <c r="B804" i="16"/>
  <c r="D804" i="16"/>
  <c r="E804" i="16"/>
  <c r="H804" i="16"/>
  <c r="B805" i="16"/>
  <c r="D805" i="16"/>
  <c r="E805" i="16"/>
  <c r="H805" i="16"/>
  <c r="B806" i="16"/>
  <c r="D806" i="16"/>
  <c r="E806" i="16"/>
  <c r="H806" i="16"/>
  <c r="B807" i="16"/>
  <c r="D807" i="16"/>
  <c r="E807" i="16"/>
  <c r="H807" i="16"/>
  <c r="B808" i="16"/>
  <c r="D808" i="16"/>
  <c r="E808" i="16"/>
  <c r="H808" i="16"/>
  <c r="B809" i="16"/>
  <c r="D809" i="16"/>
  <c r="E809" i="16"/>
  <c r="H809" i="16"/>
  <c r="B810" i="16"/>
  <c r="D810" i="16"/>
  <c r="E810" i="16"/>
  <c r="H810" i="16"/>
  <c r="B811" i="16"/>
  <c r="D811" i="16"/>
  <c r="E811" i="16"/>
  <c r="H811" i="16"/>
  <c r="B812" i="16"/>
  <c r="D812" i="16"/>
  <c r="E812" i="16"/>
  <c r="H812" i="16"/>
  <c r="B813" i="16"/>
  <c r="D813" i="16"/>
  <c r="E813" i="16"/>
  <c r="H813" i="16"/>
  <c r="B814" i="16"/>
  <c r="D814" i="16"/>
  <c r="E814" i="16"/>
  <c r="H814" i="16"/>
  <c r="B815" i="16"/>
  <c r="D815" i="16"/>
  <c r="E815" i="16"/>
  <c r="H815" i="16"/>
  <c r="AS226" i="3" l="1"/>
  <c r="AT226" i="3"/>
  <c r="AU226" i="3"/>
  <c r="AV226" i="3"/>
  <c r="AS203" i="3"/>
  <c r="AT203" i="3"/>
  <c r="AU203" i="3"/>
  <c r="AV203" i="3"/>
  <c r="AS169" i="3"/>
  <c r="AT169" i="3"/>
  <c r="AU169" i="3"/>
  <c r="AV169" i="3"/>
  <c r="AS147" i="3"/>
  <c r="AT147" i="3"/>
  <c r="AU147" i="3"/>
  <c r="AV147" i="3"/>
  <c r="AS50" i="3"/>
  <c r="AT50" i="3"/>
  <c r="AU50" i="3"/>
  <c r="AV50" i="3"/>
  <c r="AS51" i="3"/>
  <c r="AT51" i="3"/>
  <c r="AU51" i="3"/>
  <c r="AV51" i="3"/>
  <c r="AS52" i="3"/>
  <c r="AT52" i="3"/>
  <c r="AU52" i="3"/>
  <c r="AV52" i="3"/>
  <c r="AS53" i="3"/>
  <c r="AT53" i="3"/>
  <c r="AU53" i="3"/>
  <c r="AV53" i="3"/>
  <c r="AS54" i="3"/>
  <c r="AT54" i="3"/>
  <c r="AU54" i="3"/>
  <c r="AV54" i="3"/>
  <c r="AS55" i="3"/>
  <c r="AT55" i="3"/>
  <c r="AU55" i="3"/>
  <c r="AV55" i="3"/>
  <c r="AS46" i="3" l="1"/>
  <c r="AT46" i="3"/>
  <c r="AU46" i="3"/>
  <c r="AV46" i="3"/>
  <c r="AS47" i="3"/>
  <c r="AT47" i="3"/>
  <c r="AU47" i="3"/>
  <c r="AV47" i="3"/>
  <c r="AS48" i="3"/>
  <c r="AT48" i="3"/>
  <c r="AU48" i="3"/>
  <c r="AV48" i="3"/>
  <c r="AS49" i="3"/>
  <c r="AT49" i="3"/>
  <c r="AU49" i="3"/>
  <c r="AV49" i="3"/>
  <c r="AV825" i="3"/>
  <c r="AU825" i="3"/>
  <c r="AT825" i="3"/>
  <c r="AS825" i="3"/>
  <c r="AV824" i="3"/>
  <c r="AU824" i="3"/>
  <c r="AT824" i="3"/>
  <c r="AS824" i="3"/>
  <c r="AV823" i="3"/>
  <c r="AU823" i="3"/>
  <c r="AT823" i="3"/>
  <c r="AS823" i="3"/>
  <c r="AV822" i="3"/>
  <c r="AU822" i="3"/>
  <c r="AT822" i="3"/>
  <c r="AS822" i="3"/>
  <c r="AV821" i="3"/>
  <c r="AU821" i="3"/>
  <c r="AT821" i="3"/>
  <c r="AS821" i="3"/>
  <c r="AV820" i="3"/>
  <c r="AU820" i="3"/>
  <c r="AT820" i="3"/>
  <c r="AS820" i="3"/>
  <c r="AV819" i="3"/>
  <c r="AU819" i="3"/>
  <c r="AT819" i="3"/>
  <c r="AS819" i="3"/>
  <c r="AV818" i="3"/>
  <c r="AU818" i="3"/>
  <c r="AT818" i="3"/>
  <c r="AS818" i="3"/>
  <c r="AV817" i="3"/>
  <c r="AU817" i="3"/>
  <c r="AT817" i="3"/>
  <c r="AS817" i="3"/>
  <c r="AV816" i="3"/>
  <c r="AU816" i="3"/>
  <c r="AT816" i="3"/>
  <c r="AS816" i="3"/>
  <c r="AV815" i="3"/>
  <c r="AU815" i="3"/>
  <c r="AT815" i="3"/>
  <c r="AS815" i="3"/>
  <c r="AV814" i="3"/>
  <c r="AU814" i="3"/>
  <c r="AT814" i="3"/>
  <c r="AS814" i="3"/>
  <c r="AV813" i="3"/>
  <c r="AU813" i="3"/>
  <c r="AT813" i="3"/>
  <c r="AS813" i="3"/>
  <c r="AV812" i="3"/>
  <c r="AU812" i="3"/>
  <c r="AT812" i="3"/>
  <c r="AS812" i="3"/>
  <c r="AV811" i="3"/>
  <c r="AU811" i="3"/>
  <c r="AT811" i="3"/>
  <c r="AS811" i="3"/>
  <c r="AV810" i="3"/>
  <c r="AU810" i="3"/>
  <c r="AT810" i="3"/>
  <c r="AS810" i="3"/>
  <c r="AV809" i="3"/>
  <c r="AU809" i="3"/>
  <c r="AT809" i="3"/>
  <c r="AS809" i="3"/>
  <c r="AV808" i="3"/>
  <c r="AU808" i="3"/>
  <c r="AT808" i="3"/>
  <c r="AS808" i="3"/>
  <c r="AV807" i="3"/>
  <c r="AU807" i="3"/>
  <c r="AT807" i="3"/>
  <c r="AS807" i="3"/>
  <c r="AV806" i="3"/>
  <c r="AU806" i="3"/>
  <c r="AT806" i="3"/>
  <c r="AS806" i="3"/>
  <c r="AV805" i="3"/>
  <c r="AU805" i="3"/>
  <c r="AT805" i="3"/>
  <c r="AS805" i="3"/>
  <c r="AV804" i="3"/>
  <c r="AU804" i="3"/>
  <c r="AT804" i="3"/>
  <c r="AS804" i="3"/>
  <c r="AV803" i="3"/>
  <c r="AU803" i="3"/>
  <c r="AT803" i="3"/>
  <c r="AS803" i="3"/>
  <c r="AV802" i="3"/>
  <c r="AU802" i="3"/>
  <c r="AT802" i="3"/>
  <c r="AS802" i="3"/>
  <c r="AV801" i="3"/>
  <c r="AU801" i="3"/>
  <c r="AT801" i="3"/>
  <c r="AS801" i="3"/>
  <c r="AV800" i="3"/>
  <c r="AU800" i="3"/>
  <c r="AT800" i="3"/>
  <c r="AS800" i="3"/>
  <c r="AV799" i="3"/>
  <c r="AU799" i="3"/>
  <c r="AT799" i="3"/>
  <c r="AS799" i="3"/>
  <c r="AV798" i="3"/>
  <c r="AU798" i="3"/>
  <c r="AT798" i="3"/>
  <c r="AS798" i="3"/>
  <c r="AV797" i="3"/>
  <c r="AU797" i="3"/>
  <c r="AT797" i="3"/>
  <c r="AS797" i="3"/>
  <c r="AV796" i="3"/>
  <c r="AU796" i="3"/>
  <c r="AT796" i="3"/>
  <c r="AS796" i="3"/>
  <c r="AV795" i="3"/>
  <c r="AU795" i="3"/>
  <c r="AT795" i="3"/>
  <c r="AS795" i="3"/>
  <c r="AV794" i="3"/>
  <c r="AU794" i="3"/>
  <c r="AT794" i="3"/>
  <c r="AS794" i="3"/>
  <c r="AV793" i="3"/>
  <c r="AU793" i="3"/>
  <c r="AT793" i="3"/>
  <c r="AS793" i="3"/>
  <c r="AV792" i="3"/>
  <c r="AU792" i="3"/>
  <c r="AT792" i="3"/>
  <c r="AS792" i="3"/>
  <c r="AV791" i="3"/>
  <c r="AU791" i="3"/>
  <c r="AT791" i="3"/>
  <c r="AS791" i="3"/>
  <c r="AV790" i="3"/>
  <c r="AU790" i="3"/>
  <c r="AT790" i="3"/>
  <c r="AS790" i="3"/>
  <c r="AV789" i="3"/>
  <c r="AU789" i="3"/>
  <c r="AT789" i="3"/>
  <c r="AS789" i="3"/>
  <c r="AV788" i="3"/>
  <c r="AU788" i="3"/>
  <c r="AT788" i="3"/>
  <c r="AS788" i="3"/>
  <c r="AV787" i="3"/>
  <c r="AU787" i="3"/>
  <c r="AT787" i="3"/>
  <c r="AS787" i="3"/>
  <c r="AV786" i="3"/>
  <c r="AU786" i="3"/>
  <c r="AT786" i="3"/>
  <c r="AS786" i="3"/>
  <c r="AV785" i="3"/>
  <c r="AU785" i="3"/>
  <c r="AT785" i="3"/>
  <c r="AS785" i="3"/>
  <c r="AV784" i="3"/>
  <c r="AU784" i="3"/>
  <c r="AT784" i="3"/>
  <c r="AS784" i="3"/>
  <c r="AV783" i="3"/>
  <c r="AU783" i="3"/>
  <c r="AT783" i="3"/>
  <c r="AS783" i="3"/>
  <c r="AV782" i="3"/>
  <c r="AU782" i="3"/>
  <c r="AT782" i="3"/>
  <c r="AS782" i="3"/>
  <c r="AV781" i="3"/>
  <c r="AU781" i="3"/>
  <c r="AT781" i="3"/>
  <c r="AS781" i="3"/>
  <c r="AV780" i="3"/>
  <c r="AU780" i="3"/>
  <c r="AT780" i="3"/>
  <c r="AS780" i="3"/>
  <c r="AV779" i="3"/>
  <c r="AU779" i="3"/>
  <c r="AT779" i="3"/>
  <c r="AS779" i="3"/>
  <c r="AV778" i="3"/>
  <c r="AU778" i="3"/>
  <c r="AT778" i="3"/>
  <c r="AS778" i="3"/>
  <c r="AV777" i="3"/>
  <c r="AU777" i="3"/>
  <c r="AT777" i="3"/>
  <c r="AS777" i="3"/>
  <c r="AV776" i="3"/>
  <c r="AU776" i="3"/>
  <c r="AT776" i="3"/>
  <c r="AS776" i="3"/>
  <c r="AV775" i="3"/>
  <c r="AU775" i="3"/>
  <c r="AT775" i="3"/>
  <c r="AS775" i="3"/>
  <c r="AV774" i="3"/>
  <c r="AU774" i="3"/>
  <c r="AT774" i="3"/>
  <c r="AS774" i="3"/>
  <c r="AV773" i="3"/>
  <c r="AU773" i="3"/>
  <c r="AT773" i="3"/>
  <c r="AS773" i="3"/>
  <c r="AV772" i="3"/>
  <c r="AU772" i="3"/>
  <c r="AT772" i="3"/>
  <c r="AS772" i="3"/>
  <c r="AV771" i="3"/>
  <c r="AU771" i="3"/>
  <c r="AT771" i="3"/>
  <c r="AS771" i="3"/>
  <c r="AV770" i="3"/>
  <c r="AU770" i="3"/>
  <c r="AT770" i="3"/>
  <c r="AS770" i="3"/>
  <c r="AV769" i="3"/>
  <c r="AU769" i="3"/>
  <c r="AT769" i="3"/>
  <c r="AS769" i="3"/>
  <c r="AV768" i="3"/>
  <c r="AU768" i="3"/>
  <c r="AT768" i="3"/>
  <c r="AS768" i="3"/>
  <c r="AV767" i="3"/>
  <c r="AU767" i="3"/>
  <c r="AT767" i="3"/>
  <c r="AS767" i="3"/>
  <c r="AV766" i="3"/>
  <c r="AU766" i="3"/>
  <c r="AT766" i="3"/>
  <c r="AS766" i="3"/>
  <c r="AV765" i="3"/>
  <c r="AU765" i="3"/>
  <c r="AT765" i="3"/>
  <c r="AS765" i="3"/>
  <c r="AV764" i="3"/>
  <c r="AU764" i="3"/>
  <c r="AT764" i="3"/>
  <c r="AS764" i="3"/>
  <c r="AV763" i="3"/>
  <c r="AU763" i="3"/>
  <c r="AT763" i="3"/>
  <c r="AS763" i="3"/>
  <c r="AV762" i="3"/>
  <c r="AU762" i="3"/>
  <c r="AT762" i="3"/>
  <c r="AS762" i="3"/>
  <c r="AV761" i="3"/>
  <c r="AU761" i="3"/>
  <c r="AT761" i="3"/>
  <c r="AS761" i="3"/>
  <c r="AV760" i="3"/>
  <c r="AU760" i="3"/>
  <c r="AT760" i="3"/>
  <c r="AS760" i="3"/>
  <c r="AV759" i="3"/>
  <c r="AU759" i="3"/>
  <c r="AT759" i="3"/>
  <c r="AS759" i="3"/>
  <c r="AV758" i="3"/>
  <c r="AU758" i="3"/>
  <c r="AT758" i="3"/>
  <c r="AS758" i="3"/>
  <c r="AV757" i="3"/>
  <c r="AU757" i="3"/>
  <c r="AT757" i="3"/>
  <c r="AS757" i="3"/>
  <c r="AV756" i="3"/>
  <c r="AU756" i="3"/>
  <c r="AT756" i="3"/>
  <c r="AS756" i="3"/>
  <c r="AV755" i="3"/>
  <c r="AU755" i="3"/>
  <c r="AT755" i="3"/>
  <c r="AS755" i="3"/>
  <c r="AV754" i="3"/>
  <c r="AU754" i="3"/>
  <c r="AT754" i="3"/>
  <c r="AS754" i="3"/>
  <c r="AV753" i="3"/>
  <c r="AU753" i="3"/>
  <c r="AT753" i="3"/>
  <c r="AS753" i="3"/>
  <c r="AV752" i="3"/>
  <c r="AU752" i="3"/>
  <c r="AT752" i="3"/>
  <c r="AS752" i="3"/>
  <c r="AV751" i="3"/>
  <c r="AU751" i="3"/>
  <c r="AT751" i="3"/>
  <c r="AS751" i="3"/>
  <c r="AV750" i="3"/>
  <c r="AU750" i="3"/>
  <c r="AT750" i="3"/>
  <c r="AS750" i="3"/>
  <c r="AV749" i="3"/>
  <c r="AU749" i="3"/>
  <c r="AT749" i="3"/>
  <c r="AS749" i="3"/>
  <c r="AV748" i="3"/>
  <c r="AU748" i="3"/>
  <c r="AT748" i="3"/>
  <c r="AS748" i="3"/>
  <c r="AV747" i="3"/>
  <c r="AU747" i="3"/>
  <c r="AT747" i="3"/>
  <c r="AS747" i="3"/>
  <c r="AV746" i="3"/>
  <c r="AU746" i="3"/>
  <c r="AT746" i="3"/>
  <c r="AS746" i="3"/>
  <c r="AV745" i="3"/>
  <c r="AU745" i="3"/>
  <c r="AT745" i="3"/>
  <c r="AS745" i="3"/>
  <c r="AV744" i="3"/>
  <c r="AU744" i="3"/>
  <c r="AT744" i="3"/>
  <c r="AS744" i="3"/>
  <c r="AV743" i="3"/>
  <c r="AU743" i="3"/>
  <c r="AT743" i="3"/>
  <c r="AS743" i="3"/>
  <c r="AV742" i="3"/>
  <c r="AU742" i="3"/>
  <c r="AT742" i="3"/>
  <c r="AS742" i="3"/>
  <c r="AV741" i="3"/>
  <c r="AU741" i="3"/>
  <c r="AT741" i="3"/>
  <c r="AS741" i="3"/>
  <c r="AV740" i="3"/>
  <c r="AU740" i="3"/>
  <c r="AT740" i="3"/>
  <c r="AS740" i="3"/>
  <c r="AV739" i="3"/>
  <c r="AU739" i="3"/>
  <c r="AT739" i="3"/>
  <c r="AS739" i="3"/>
  <c r="AV738" i="3"/>
  <c r="AU738" i="3"/>
  <c r="AT738" i="3"/>
  <c r="AS738" i="3"/>
  <c r="AV737" i="3"/>
  <c r="AU737" i="3"/>
  <c r="AT737" i="3"/>
  <c r="AS737" i="3"/>
  <c r="AV736" i="3"/>
  <c r="AU736" i="3"/>
  <c r="AT736" i="3"/>
  <c r="AS736" i="3"/>
  <c r="AV735" i="3"/>
  <c r="AU735" i="3"/>
  <c r="AT735" i="3"/>
  <c r="AS735" i="3"/>
  <c r="AV734" i="3"/>
  <c r="AU734" i="3"/>
  <c r="AT734" i="3"/>
  <c r="AS734" i="3"/>
  <c r="AV733" i="3"/>
  <c r="AU733" i="3"/>
  <c r="AT733" i="3"/>
  <c r="AS733" i="3"/>
  <c r="AV732" i="3"/>
  <c r="AU732" i="3"/>
  <c r="AT732" i="3"/>
  <c r="AS732" i="3"/>
  <c r="AV731" i="3"/>
  <c r="AU731" i="3"/>
  <c r="AT731" i="3"/>
  <c r="AS731" i="3"/>
  <c r="AV730" i="3"/>
  <c r="AU730" i="3"/>
  <c r="AT730" i="3"/>
  <c r="AS730" i="3"/>
  <c r="AV729" i="3"/>
  <c r="AU729" i="3"/>
  <c r="AT729" i="3"/>
  <c r="AS729" i="3"/>
  <c r="AV728" i="3"/>
  <c r="AU728" i="3"/>
  <c r="AT728" i="3"/>
  <c r="AS728" i="3"/>
  <c r="AV727" i="3"/>
  <c r="AU727" i="3"/>
  <c r="AT727" i="3"/>
  <c r="AS727" i="3"/>
  <c r="AV726" i="3"/>
  <c r="AU726" i="3"/>
  <c r="AT726" i="3"/>
  <c r="AS726" i="3"/>
  <c r="AV725" i="3"/>
  <c r="AU725" i="3"/>
  <c r="AT725" i="3"/>
  <c r="AS725" i="3"/>
  <c r="AV724" i="3"/>
  <c r="AU724" i="3"/>
  <c r="AT724" i="3"/>
  <c r="AS724" i="3"/>
  <c r="AV723" i="3"/>
  <c r="AU723" i="3"/>
  <c r="AT723" i="3"/>
  <c r="AS723" i="3"/>
  <c r="AV721" i="3"/>
  <c r="AU721" i="3"/>
  <c r="AT721" i="3"/>
  <c r="AS721" i="3"/>
  <c r="AV720" i="3"/>
  <c r="AU720" i="3"/>
  <c r="AT720" i="3"/>
  <c r="AS720" i="3"/>
  <c r="AV719" i="3"/>
  <c r="AU719" i="3"/>
  <c r="AT719" i="3"/>
  <c r="AS719" i="3"/>
  <c r="AV718" i="3"/>
  <c r="AU718" i="3"/>
  <c r="AT718" i="3"/>
  <c r="AS718" i="3"/>
  <c r="AV717" i="3"/>
  <c r="AU717" i="3"/>
  <c r="AT717" i="3"/>
  <c r="AS717" i="3"/>
  <c r="AV716" i="3"/>
  <c r="AU716" i="3"/>
  <c r="AT716" i="3"/>
  <c r="AS716" i="3"/>
  <c r="AV715" i="3"/>
  <c r="AU715" i="3"/>
  <c r="AT715" i="3"/>
  <c r="AS715" i="3"/>
  <c r="AV714" i="3"/>
  <c r="AU714" i="3"/>
  <c r="AT714" i="3"/>
  <c r="AS714" i="3"/>
  <c r="AV713" i="3"/>
  <c r="AU713" i="3"/>
  <c r="AT713" i="3"/>
  <c r="AS713" i="3"/>
  <c r="AV712" i="3"/>
  <c r="AU712" i="3"/>
  <c r="AT712" i="3"/>
  <c r="AS712" i="3"/>
  <c r="AV711" i="3"/>
  <c r="AU711" i="3"/>
  <c r="AT711" i="3"/>
  <c r="AS711" i="3"/>
  <c r="AV710" i="3"/>
  <c r="AU710" i="3"/>
  <c r="AT710" i="3"/>
  <c r="AS710" i="3"/>
  <c r="AV709" i="3"/>
  <c r="AU709" i="3"/>
  <c r="AT709" i="3"/>
  <c r="AS709" i="3"/>
  <c r="AV708" i="3"/>
  <c r="AU708" i="3"/>
  <c r="AT708" i="3"/>
  <c r="AS708" i="3"/>
  <c r="AV707" i="3"/>
  <c r="AU707" i="3"/>
  <c r="AT707" i="3"/>
  <c r="AS707" i="3"/>
  <c r="AV706" i="3"/>
  <c r="AU706" i="3"/>
  <c r="AT706" i="3"/>
  <c r="AS706" i="3"/>
  <c r="AV705" i="3"/>
  <c r="AU705" i="3"/>
  <c r="AT705" i="3"/>
  <c r="AS705" i="3"/>
  <c r="AV704" i="3"/>
  <c r="AU704" i="3"/>
  <c r="AT704" i="3"/>
  <c r="AS704" i="3"/>
  <c r="AV703" i="3"/>
  <c r="AU703" i="3"/>
  <c r="AT703" i="3"/>
  <c r="AS703" i="3"/>
  <c r="AV702" i="3"/>
  <c r="AU702" i="3"/>
  <c r="AT702" i="3"/>
  <c r="AS702" i="3"/>
  <c r="AV701" i="3"/>
  <c r="AU701" i="3"/>
  <c r="AT701" i="3"/>
  <c r="AS701" i="3"/>
  <c r="AV699" i="3"/>
  <c r="AU699" i="3"/>
  <c r="AT699" i="3"/>
  <c r="AS699" i="3"/>
  <c r="AV698" i="3"/>
  <c r="AU698" i="3"/>
  <c r="AT698" i="3"/>
  <c r="AS698" i="3"/>
  <c r="AV697" i="3"/>
  <c r="AU697" i="3"/>
  <c r="AT697" i="3"/>
  <c r="AS697" i="3"/>
  <c r="AV696" i="3"/>
  <c r="AU696" i="3"/>
  <c r="AT696" i="3"/>
  <c r="AS696" i="3"/>
  <c r="AV695" i="3"/>
  <c r="AU695" i="3"/>
  <c r="AT695" i="3"/>
  <c r="AS695" i="3"/>
  <c r="AV694" i="3"/>
  <c r="AU694" i="3"/>
  <c r="AT694" i="3"/>
  <c r="AS694" i="3"/>
  <c r="AV693" i="3"/>
  <c r="AU693" i="3"/>
  <c r="AT693" i="3"/>
  <c r="AS693" i="3"/>
  <c r="AV692" i="3"/>
  <c r="AU692" i="3"/>
  <c r="AT692" i="3"/>
  <c r="AS692" i="3"/>
  <c r="AV691" i="3"/>
  <c r="AU691" i="3"/>
  <c r="AT691" i="3"/>
  <c r="AS691" i="3"/>
  <c r="AV689" i="3"/>
  <c r="AU689" i="3"/>
  <c r="AT689" i="3"/>
  <c r="AS689" i="3"/>
  <c r="AV688" i="3"/>
  <c r="AU688" i="3"/>
  <c r="AT688" i="3"/>
  <c r="AS688" i="3"/>
  <c r="AV687" i="3"/>
  <c r="AU687" i="3"/>
  <c r="AT687" i="3"/>
  <c r="AS687" i="3"/>
  <c r="AV686" i="3"/>
  <c r="AU686" i="3"/>
  <c r="AT686" i="3"/>
  <c r="AS686" i="3"/>
  <c r="AV685" i="3"/>
  <c r="AU685" i="3"/>
  <c r="AT685" i="3"/>
  <c r="AS685" i="3"/>
  <c r="AV684" i="3"/>
  <c r="AU684" i="3"/>
  <c r="AT684" i="3"/>
  <c r="AS684" i="3"/>
  <c r="AV683" i="3"/>
  <c r="AU683" i="3"/>
  <c r="AT683" i="3"/>
  <c r="AS683" i="3"/>
  <c r="AV682" i="3"/>
  <c r="AU682" i="3"/>
  <c r="AT682" i="3"/>
  <c r="AS682" i="3"/>
  <c r="AV681" i="3"/>
  <c r="AU681" i="3"/>
  <c r="AT681" i="3"/>
  <c r="AS681" i="3"/>
  <c r="AV680" i="3"/>
  <c r="AU680" i="3"/>
  <c r="AT680" i="3"/>
  <c r="AS680" i="3"/>
  <c r="AV679" i="3"/>
  <c r="AU679" i="3"/>
  <c r="AT679" i="3"/>
  <c r="AS679" i="3"/>
  <c r="AV678" i="3"/>
  <c r="AU678" i="3"/>
  <c r="AT678" i="3"/>
  <c r="AS678" i="3"/>
  <c r="AV677" i="3"/>
  <c r="AU677" i="3"/>
  <c r="AT677" i="3"/>
  <c r="AS677" i="3"/>
  <c r="AV676" i="3"/>
  <c r="AU676" i="3"/>
  <c r="AT676" i="3"/>
  <c r="AS676" i="3"/>
  <c r="AV675" i="3"/>
  <c r="AU675" i="3"/>
  <c r="AT675" i="3"/>
  <c r="AS675" i="3"/>
  <c r="AV674" i="3"/>
  <c r="AU674" i="3"/>
  <c r="AT674" i="3"/>
  <c r="AS674" i="3"/>
  <c r="AV673" i="3"/>
  <c r="AU673" i="3"/>
  <c r="AT673" i="3"/>
  <c r="AS673" i="3"/>
  <c r="AV672" i="3"/>
  <c r="AU672" i="3"/>
  <c r="AT672" i="3"/>
  <c r="AS672" i="3"/>
  <c r="AV671" i="3"/>
  <c r="AU671" i="3"/>
  <c r="AT671" i="3"/>
  <c r="AS671" i="3"/>
  <c r="AV670" i="3"/>
  <c r="AU670" i="3"/>
  <c r="AT670" i="3"/>
  <c r="AS670" i="3"/>
  <c r="AV669" i="3"/>
  <c r="AU669" i="3"/>
  <c r="AT669" i="3"/>
  <c r="AS669" i="3"/>
  <c r="AV668" i="3"/>
  <c r="AU668" i="3"/>
  <c r="AT668" i="3"/>
  <c r="AS668" i="3"/>
  <c r="AV667" i="3"/>
  <c r="AU667" i="3"/>
  <c r="AT667" i="3"/>
  <c r="AS667" i="3"/>
  <c r="AV665" i="3"/>
  <c r="AU665" i="3"/>
  <c r="AT665" i="3"/>
  <c r="AS665" i="3"/>
  <c r="AV664" i="3"/>
  <c r="AU664" i="3"/>
  <c r="AT664" i="3"/>
  <c r="AS664" i="3"/>
  <c r="AV663" i="3"/>
  <c r="AU663" i="3"/>
  <c r="AT663" i="3"/>
  <c r="AS663" i="3"/>
  <c r="AV662" i="3"/>
  <c r="AU662" i="3"/>
  <c r="AT662" i="3"/>
  <c r="AS662" i="3"/>
  <c r="AV661" i="3"/>
  <c r="AU661" i="3"/>
  <c r="AT661" i="3"/>
  <c r="AS661" i="3"/>
  <c r="AV660" i="3"/>
  <c r="AU660" i="3"/>
  <c r="AT660" i="3"/>
  <c r="AS660" i="3"/>
  <c r="AV659" i="3"/>
  <c r="AU659" i="3"/>
  <c r="AT659" i="3"/>
  <c r="AS659" i="3"/>
  <c r="AV658" i="3"/>
  <c r="AU658" i="3"/>
  <c r="AT658" i="3"/>
  <c r="AS658" i="3"/>
  <c r="AV657" i="3"/>
  <c r="AU657" i="3"/>
  <c r="AT657" i="3"/>
  <c r="AS657" i="3"/>
  <c r="AV656" i="3"/>
  <c r="AU656" i="3"/>
  <c r="AT656" i="3"/>
  <c r="AS656" i="3"/>
  <c r="AV655" i="3"/>
  <c r="AU655" i="3"/>
  <c r="AT655" i="3"/>
  <c r="AS655" i="3"/>
  <c r="AV654" i="3"/>
  <c r="AU654" i="3"/>
  <c r="AT654" i="3"/>
  <c r="AS654" i="3"/>
  <c r="AV653" i="3"/>
  <c r="AU653" i="3"/>
  <c r="AT653" i="3"/>
  <c r="AS653" i="3"/>
  <c r="AV652" i="3"/>
  <c r="AU652" i="3"/>
  <c r="AT652" i="3"/>
  <c r="AS652" i="3"/>
  <c r="AV651" i="3"/>
  <c r="AU651" i="3"/>
  <c r="AT651" i="3"/>
  <c r="AS651" i="3"/>
  <c r="AV650" i="3"/>
  <c r="AU650" i="3"/>
  <c r="AT650" i="3"/>
  <c r="AS650" i="3"/>
  <c r="AV649" i="3"/>
  <c r="AU649" i="3"/>
  <c r="AT649" i="3"/>
  <c r="AS649" i="3"/>
  <c r="AV648" i="3"/>
  <c r="AU648" i="3"/>
  <c r="AT648" i="3"/>
  <c r="AS648" i="3"/>
  <c r="AV647" i="3"/>
  <c r="AU647" i="3"/>
  <c r="AT647" i="3"/>
  <c r="AS647" i="3"/>
  <c r="AV646" i="3"/>
  <c r="AU646" i="3"/>
  <c r="AT646" i="3"/>
  <c r="AS646" i="3"/>
  <c r="AV645" i="3"/>
  <c r="AU645" i="3"/>
  <c r="AT645" i="3"/>
  <c r="AS645" i="3"/>
  <c r="AV643" i="3"/>
  <c r="AU643" i="3"/>
  <c r="AT643" i="3"/>
  <c r="AS643" i="3"/>
  <c r="AV642" i="3"/>
  <c r="AU642" i="3"/>
  <c r="AT642" i="3"/>
  <c r="AS642" i="3"/>
  <c r="AV641" i="3"/>
  <c r="AU641" i="3"/>
  <c r="AT641" i="3"/>
  <c r="AS641" i="3"/>
  <c r="AV640" i="3"/>
  <c r="AU640" i="3"/>
  <c r="AT640" i="3"/>
  <c r="AS640" i="3"/>
  <c r="AV639" i="3"/>
  <c r="AU639" i="3"/>
  <c r="AT639" i="3"/>
  <c r="AS639" i="3"/>
  <c r="AV638" i="3"/>
  <c r="AU638" i="3"/>
  <c r="AT638" i="3"/>
  <c r="AS638" i="3"/>
  <c r="AV637" i="3"/>
  <c r="AU637" i="3"/>
  <c r="AT637" i="3"/>
  <c r="AS637" i="3"/>
  <c r="AV636" i="3"/>
  <c r="AU636" i="3"/>
  <c r="AT636" i="3"/>
  <c r="AS636" i="3"/>
  <c r="AV635" i="3"/>
  <c r="AU635" i="3"/>
  <c r="AT635" i="3"/>
  <c r="AS635" i="3"/>
  <c r="AV634" i="3"/>
  <c r="AU634" i="3"/>
  <c r="AT634" i="3"/>
  <c r="AS634" i="3"/>
  <c r="AV633" i="3"/>
  <c r="AU633" i="3"/>
  <c r="AT633" i="3"/>
  <c r="AS633" i="3"/>
  <c r="AV632" i="3"/>
  <c r="AU632" i="3"/>
  <c r="AT632" i="3"/>
  <c r="AS632" i="3"/>
  <c r="AV631" i="3"/>
  <c r="AU631" i="3"/>
  <c r="AT631" i="3"/>
  <c r="AS631" i="3"/>
  <c r="AV630" i="3"/>
  <c r="AU630" i="3"/>
  <c r="AT630" i="3"/>
  <c r="AS630" i="3"/>
  <c r="AV629" i="3"/>
  <c r="AU629" i="3"/>
  <c r="AT629" i="3"/>
  <c r="AS629" i="3"/>
  <c r="AV628" i="3"/>
  <c r="AU628" i="3"/>
  <c r="AT628" i="3"/>
  <c r="AS628" i="3"/>
  <c r="AV627" i="3"/>
  <c r="AU627" i="3"/>
  <c r="AT627" i="3"/>
  <c r="AS627" i="3"/>
  <c r="AV626" i="3"/>
  <c r="AU626" i="3"/>
  <c r="AT626" i="3"/>
  <c r="AS626" i="3"/>
  <c r="AV625" i="3"/>
  <c r="AU625" i="3"/>
  <c r="AT625" i="3"/>
  <c r="AS625" i="3"/>
  <c r="AV624" i="3"/>
  <c r="AU624" i="3"/>
  <c r="AT624" i="3"/>
  <c r="AS624" i="3"/>
  <c r="AV623" i="3"/>
  <c r="AU623" i="3"/>
  <c r="AT623" i="3"/>
  <c r="AS623" i="3"/>
  <c r="AV621" i="3"/>
  <c r="AU621" i="3"/>
  <c r="AT621" i="3"/>
  <c r="AS621" i="3"/>
  <c r="AV620" i="3"/>
  <c r="AU620" i="3"/>
  <c r="AT620" i="3"/>
  <c r="AS620" i="3"/>
  <c r="AV619" i="3"/>
  <c r="AU619" i="3"/>
  <c r="AT619" i="3"/>
  <c r="AS619" i="3"/>
  <c r="AV618" i="3"/>
  <c r="AU618" i="3"/>
  <c r="AT618" i="3"/>
  <c r="AS618" i="3"/>
  <c r="AV617" i="3"/>
  <c r="AU617" i="3"/>
  <c r="AT617" i="3"/>
  <c r="AS617" i="3"/>
  <c r="AV616" i="3"/>
  <c r="AU616" i="3"/>
  <c r="AT616" i="3"/>
  <c r="AS616" i="3"/>
  <c r="AV615" i="3"/>
  <c r="AU615" i="3"/>
  <c r="AT615" i="3"/>
  <c r="AS615" i="3"/>
  <c r="AV614" i="3"/>
  <c r="AU614" i="3"/>
  <c r="AT614" i="3"/>
  <c r="AS614" i="3"/>
  <c r="AV613" i="3"/>
  <c r="AU613" i="3"/>
  <c r="AT613" i="3"/>
  <c r="AS613" i="3"/>
  <c r="AV612" i="3"/>
  <c r="AU612" i="3"/>
  <c r="AT612" i="3"/>
  <c r="AS612" i="3"/>
  <c r="AV611" i="3"/>
  <c r="AU611" i="3"/>
  <c r="AT611" i="3"/>
  <c r="AS611" i="3"/>
  <c r="AV610" i="3"/>
  <c r="AU610" i="3"/>
  <c r="AT610" i="3"/>
  <c r="AS610" i="3"/>
  <c r="AV609" i="3"/>
  <c r="AU609" i="3"/>
  <c r="AT609" i="3"/>
  <c r="AS609" i="3"/>
  <c r="AV608" i="3"/>
  <c r="AU608" i="3"/>
  <c r="AT608" i="3"/>
  <c r="AS608" i="3"/>
  <c r="AV607" i="3"/>
  <c r="AU607" i="3"/>
  <c r="AT607" i="3"/>
  <c r="AS607" i="3"/>
  <c r="AV606" i="3"/>
  <c r="AU606" i="3"/>
  <c r="AT606" i="3"/>
  <c r="AS606" i="3"/>
  <c r="AV605" i="3"/>
  <c r="AU605" i="3"/>
  <c r="AT605" i="3"/>
  <c r="AS605" i="3"/>
  <c r="AV604" i="3"/>
  <c r="AU604" i="3"/>
  <c r="AT604" i="3"/>
  <c r="AS604" i="3"/>
  <c r="AV603" i="3"/>
  <c r="AU603" i="3"/>
  <c r="AT603" i="3"/>
  <c r="AS603" i="3"/>
  <c r="AV602" i="3"/>
  <c r="AU602" i="3"/>
  <c r="AT602" i="3"/>
  <c r="AS602" i="3"/>
  <c r="AV601" i="3"/>
  <c r="AU601" i="3"/>
  <c r="AT601" i="3"/>
  <c r="AS601" i="3"/>
  <c r="AV600" i="3"/>
  <c r="AU600" i="3"/>
  <c r="AT600" i="3"/>
  <c r="AS600" i="3"/>
  <c r="AV599" i="3"/>
  <c r="AU599" i="3"/>
  <c r="AT599" i="3"/>
  <c r="AS599" i="3"/>
  <c r="AV598" i="3"/>
  <c r="AU598" i="3"/>
  <c r="AT598" i="3"/>
  <c r="AS598" i="3"/>
  <c r="AV597" i="3"/>
  <c r="AU597" i="3"/>
  <c r="AT597" i="3"/>
  <c r="AS597" i="3"/>
  <c r="AV596" i="3"/>
  <c r="AU596" i="3"/>
  <c r="AT596" i="3"/>
  <c r="AS596" i="3"/>
  <c r="AV595" i="3"/>
  <c r="AU595" i="3"/>
  <c r="AT595" i="3"/>
  <c r="AS595" i="3"/>
  <c r="AV594" i="3"/>
  <c r="AU594" i="3"/>
  <c r="AT594" i="3"/>
  <c r="AS594" i="3"/>
  <c r="AV593" i="3"/>
  <c r="AU593" i="3"/>
  <c r="AT593" i="3"/>
  <c r="AS593" i="3"/>
  <c r="AV592" i="3"/>
  <c r="AU592" i="3"/>
  <c r="AT592" i="3"/>
  <c r="AS592" i="3"/>
  <c r="AV591" i="3"/>
  <c r="AU591" i="3"/>
  <c r="AT591" i="3"/>
  <c r="AS591" i="3"/>
  <c r="AV590" i="3"/>
  <c r="AU590" i="3"/>
  <c r="AT590" i="3"/>
  <c r="AS590" i="3"/>
  <c r="AV589" i="3"/>
  <c r="AU589" i="3"/>
  <c r="AT589" i="3"/>
  <c r="AS589" i="3"/>
  <c r="AV588" i="3"/>
  <c r="AU588" i="3"/>
  <c r="AT588" i="3"/>
  <c r="AS588" i="3"/>
  <c r="AV587" i="3"/>
  <c r="AU587" i="3"/>
  <c r="AT587" i="3"/>
  <c r="AS587" i="3"/>
  <c r="AV586" i="3"/>
  <c r="AU586" i="3"/>
  <c r="AT586" i="3"/>
  <c r="AS586" i="3"/>
  <c r="AV585" i="3"/>
  <c r="AU585" i="3"/>
  <c r="AT585" i="3"/>
  <c r="AS585" i="3"/>
  <c r="AV584" i="3"/>
  <c r="AU584" i="3"/>
  <c r="AT584" i="3"/>
  <c r="AS584" i="3"/>
  <c r="AV583" i="3"/>
  <c r="AU583" i="3"/>
  <c r="AT583" i="3"/>
  <c r="AS583" i="3"/>
  <c r="AV582" i="3"/>
  <c r="AU582" i="3"/>
  <c r="AT582" i="3"/>
  <c r="AS582" i="3"/>
  <c r="AV581" i="3"/>
  <c r="AU581" i="3"/>
  <c r="AT581" i="3"/>
  <c r="AS581" i="3"/>
  <c r="AV580" i="3"/>
  <c r="AU580" i="3"/>
  <c r="AT580" i="3"/>
  <c r="AS580" i="3"/>
  <c r="AV579" i="3"/>
  <c r="AU579" i="3"/>
  <c r="AT579" i="3"/>
  <c r="AS579" i="3"/>
  <c r="AV578" i="3"/>
  <c r="AU578" i="3"/>
  <c r="AT578" i="3"/>
  <c r="AS578" i="3"/>
  <c r="AV577" i="3"/>
  <c r="AU577" i="3"/>
  <c r="AT577" i="3"/>
  <c r="AS577" i="3"/>
  <c r="AV576" i="3"/>
  <c r="AU576" i="3"/>
  <c r="AT576" i="3"/>
  <c r="AS576" i="3"/>
  <c r="AV575" i="3"/>
  <c r="AU575" i="3"/>
  <c r="AT575" i="3"/>
  <c r="AS575" i="3"/>
  <c r="AV574" i="3"/>
  <c r="AU574" i="3"/>
  <c r="AT574" i="3"/>
  <c r="AS574" i="3"/>
  <c r="AV573" i="3"/>
  <c r="AU573" i="3"/>
  <c r="AT573" i="3"/>
  <c r="AS573" i="3"/>
  <c r="AV572" i="3"/>
  <c r="AU572" i="3"/>
  <c r="AT572" i="3"/>
  <c r="AS572" i="3"/>
  <c r="AV571" i="3"/>
  <c r="AU571" i="3"/>
  <c r="AT571" i="3"/>
  <c r="AS571" i="3"/>
  <c r="AV570" i="3"/>
  <c r="AU570" i="3"/>
  <c r="AT570" i="3"/>
  <c r="AS570" i="3"/>
  <c r="AV569" i="3"/>
  <c r="AU569" i="3"/>
  <c r="AT569" i="3"/>
  <c r="AS569" i="3"/>
  <c r="AV568" i="3"/>
  <c r="AU568" i="3"/>
  <c r="AT568" i="3"/>
  <c r="AS568" i="3"/>
  <c r="AV567" i="3"/>
  <c r="AU567" i="3"/>
  <c r="AT567" i="3"/>
  <c r="AS567" i="3"/>
  <c r="AV566" i="3"/>
  <c r="AU566" i="3"/>
  <c r="AT566" i="3"/>
  <c r="AS566" i="3"/>
  <c r="AV565" i="3"/>
  <c r="AU565" i="3"/>
  <c r="AT565" i="3"/>
  <c r="AS565" i="3"/>
  <c r="AV564" i="3"/>
  <c r="AU564" i="3"/>
  <c r="AT564" i="3"/>
  <c r="AS564" i="3"/>
  <c r="AV563" i="3"/>
  <c r="AU563" i="3"/>
  <c r="AT563" i="3"/>
  <c r="AS563" i="3"/>
  <c r="AV562" i="3"/>
  <c r="AU562" i="3"/>
  <c r="AT562" i="3"/>
  <c r="AS562" i="3"/>
  <c r="AV561" i="3"/>
  <c r="AU561" i="3"/>
  <c r="AT561" i="3"/>
  <c r="AS561" i="3"/>
  <c r="AV560" i="3"/>
  <c r="AU560" i="3"/>
  <c r="AT560" i="3"/>
  <c r="AS560" i="3"/>
  <c r="AV559" i="3"/>
  <c r="AU559" i="3"/>
  <c r="AT559" i="3"/>
  <c r="AS559" i="3"/>
  <c r="AV558" i="3"/>
  <c r="AU558" i="3"/>
  <c r="AT558" i="3"/>
  <c r="AS558" i="3"/>
  <c r="AV557" i="3"/>
  <c r="AU557" i="3"/>
  <c r="AT557" i="3"/>
  <c r="AS557" i="3"/>
  <c r="AV556" i="3"/>
  <c r="AU556" i="3"/>
  <c r="AT556" i="3"/>
  <c r="AS556" i="3"/>
  <c r="AV555" i="3"/>
  <c r="AU555" i="3"/>
  <c r="AT555" i="3"/>
  <c r="AS555" i="3"/>
  <c r="AV554" i="3"/>
  <c r="AU554" i="3"/>
  <c r="AT554" i="3"/>
  <c r="AS554" i="3"/>
  <c r="AV553" i="3"/>
  <c r="AU553" i="3"/>
  <c r="AT553" i="3"/>
  <c r="AS553" i="3"/>
  <c r="AV552" i="3"/>
  <c r="AU552" i="3"/>
  <c r="AT552" i="3"/>
  <c r="AS552" i="3"/>
  <c r="AV551" i="3"/>
  <c r="AU551" i="3"/>
  <c r="AT551" i="3"/>
  <c r="AS551" i="3"/>
  <c r="AV550" i="3"/>
  <c r="AU550" i="3"/>
  <c r="AT550" i="3"/>
  <c r="AS550" i="3"/>
  <c r="AV549" i="3"/>
  <c r="AU549" i="3"/>
  <c r="AT549" i="3"/>
  <c r="AS549" i="3"/>
  <c r="AV548" i="3"/>
  <c r="AU548" i="3"/>
  <c r="AT548" i="3"/>
  <c r="AS548" i="3"/>
  <c r="AV547" i="3"/>
  <c r="AU547" i="3"/>
  <c r="AT547" i="3"/>
  <c r="AS547" i="3"/>
  <c r="AV546" i="3"/>
  <c r="AU546" i="3"/>
  <c r="AT546" i="3"/>
  <c r="AS546" i="3"/>
  <c r="AV545" i="3"/>
  <c r="AU545" i="3"/>
  <c r="AT545" i="3"/>
  <c r="AS545" i="3"/>
  <c r="AV544" i="3"/>
  <c r="AU544" i="3"/>
  <c r="AT544" i="3"/>
  <c r="AS544" i="3"/>
  <c r="AV543" i="3"/>
  <c r="AU543" i="3"/>
  <c r="AT543" i="3"/>
  <c r="AS543" i="3"/>
  <c r="AV542" i="3"/>
  <c r="AU542" i="3"/>
  <c r="AT542" i="3"/>
  <c r="AS542" i="3"/>
  <c r="AV541" i="3"/>
  <c r="AU541" i="3"/>
  <c r="AT541" i="3"/>
  <c r="AS541" i="3"/>
  <c r="AV540" i="3"/>
  <c r="AU540" i="3"/>
  <c r="AT540" i="3"/>
  <c r="AS540" i="3"/>
  <c r="AV539" i="3"/>
  <c r="AU539" i="3"/>
  <c r="AT539" i="3"/>
  <c r="AS539" i="3"/>
  <c r="AV538" i="3"/>
  <c r="AU538" i="3"/>
  <c r="AT538" i="3"/>
  <c r="AS538" i="3"/>
  <c r="AV537" i="3"/>
  <c r="AU537" i="3"/>
  <c r="AT537" i="3"/>
  <c r="AS537" i="3"/>
  <c r="AV536" i="3"/>
  <c r="AU536" i="3"/>
  <c r="AT536" i="3"/>
  <c r="AS536" i="3"/>
  <c r="AV535" i="3"/>
  <c r="AU535" i="3"/>
  <c r="AT535" i="3"/>
  <c r="AS535" i="3"/>
  <c r="AV534" i="3"/>
  <c r="AU534" i="3"/>
  <c r="AT534" i="3"/>
  <c r="AS534" i="3"/>
  <c r="AV533" i="3"/>
  <c r="AU533" i="3"/>
  <c r="AT533" i="3"/>
  <c r="AS533" i="3"/>
  <c r="AV532" i="3"/>
  <c r="AU532" i="3"/>
  <c r="AT532" i="3"/>
  <c r="AS532" i="3"/>
  <c r="AV531" i="3"/>
  <c r="AU531" i="3"/>
  <c r="AT531" i="3"/>
  <c r="AS531" i="3"/>
  <c r="AV530" i="3"/>
  <c r="AU530" i="3"/>
  <c r="AT530" i="3"/>
  <c r="AS530" i="3"/>
  <c r="AV529" i="3"/>
  <c r="AU529" i="3"/>
  <c r="AT529" i="3"/>
  <c r="AS529" i="3"/>
  <c r="AV528" i="3"/>
  <c r="AU528" i="3"/>
  <c r="AT528" i="3"/>
  <c r="AS528" i="3"/>
  <c r="AV527" i="3"/>
  <c r="AU527" i="3"/>
  <c r="AT527" i="3"/>
  <c r="AS527" i="3"/>
  <c r="AV526" i="3"/>
  <c r="AU526" i="3"/>
  <c r="AT526" i="3"/>
  <c r="AS526" i="3"/>
  <c r="AV525" i="3"/>
  <c r="AU525" i="3"/>
  <c r="AT525" i="3"/>
  <c r="AS525" i="3"/>
  <c r="AV524" i="3"/>
  <c r="AU524" i="3"/>
  <c r="AT524" i="3"/>
  <c r="AS524" i="3"/>
  <c r="AV523" i="3"/>
  <c r="AU523" i="3"/>
  <c r="AT523" i="3"/>
  <c r="AS523" i="3"/>
  <c r="AV522" i="3"/>
  <c r="AU522" i="3"/>
  <c r="AT522" i="3"/>
  <c r="AS522" i="3"/>
  <c r="AV521" i="3"/>
  <c r="AU521" i="3"/>
  <c r="AT521" i="3"/>
  <c r="AS521" i="3"/>
  <c r="AV520" i="3"/>
  <c r="AU520" i="3"/>
  <c r="AT520" i="3"/>
  <c r="AS520" i="3"/>
  <c r="AV519" i="3"/>
  <c r="AU519" i="3"/>
  <c r="AT519" i="3"/>
  <c r="AS519" i="3"/>
  <c r="AV518" i="3"/>
  <c r="AU518" i="3"/>
  <c r="AT518" i="3"/>
  <c r="AS518" i="3"/>
  <c r="AV517" i="3"/>
  <c r="AU517" i="3"/>
  <c r="AT517" i="3"/>
  <c r="AS517" i="3"/>
  <c r="AV516" i="3"/>
  <c r="AU516" i="3"/>
  <c r="AT516" i="3"/>
  <c r="AS516" i="3"/>
  <c r="AV515" i="3"/>
  <c r="AU515" i="3"/>
  <c r="AT515" i="3"/>
  <c r="AS515" i="3"/>
  <c r="AV514" i="3"/>
  <c r="AU514" i="3"/>
  <c r="AT514" i="3"/>
  <c r="AS514" i="3"/>
  <c r="AV513" i="3"/>
  <c r="AU513" i="3"/>
  <c r="AT513" i="3"/>
  <c r="AS513" i="3"/>
  <c r="AV512" i="3"/>
  <c r="AU512" i="3"/>
  <c r="AT512" i="3"/>
  <c r="AS512" i="3"/>
  <c r="AV511" i="3"/>
  <c r="AU511" i="3"/>
  <c r="AT511" i="3"/>
  <c r="AS511" i="3"/>
  <c r="AV510" i="3"/>
  <c r="AU510" i="3"/>
  <c r="AT510" i="3"/>
  <c r="AS510" i="3"/>
  <c r="AV509" i="3"/>
  <c r="AU509" i="3"/>
  <c r="AT509" i="3"/>
  <c r="AS509" i="3"/>
  <c r="AV508" i="3"/>
  <c r="AU508" i="3"/>
  <c r="AT508" i="3"/>
  <c r="AS508" i="3"/>
  <c r="AV507" i="3"/>
  <c r="AU507" i="3"/>
  <c r="AT507" i="3"/>
  <c r="AS507" i="3"/>
  <c r="AV506" i="3"/>
  <c r="AU506" i="3"/>
  <c r="AT506" i="3"/>
  <c r="AS506" i="3"/>
  <c r="AV505" i="3"/>
  <c r="AU505" i="3"/>
  <c r="AT505" i="3"/>
  <c r="AS505" i="3"/>
  <c r="AV504" i="3"/>
  <c r="AU504" i="3"/>
  <c r="AT504" i="3"/>
  <c r="AS504" i="3"/>
  <c r="AV503" i="3"/>
  <c r="AU503" i="3"/>
  <c r="AT503" i="3"/>
  <c r="AS503" i="3"/>
  <c r="AV502" i="3"/>
  <c r="AU502" i="3"/>
  <c r="AT502" i="3"/>
  <c r="AS502" i="3"/>
  <c r="AV501" i="3"/>
  <c r="AU501" i="3"/>
  <c r="AT501" i="3"/>
  <c r="AS501" i="3"/>
  <c r="AV500" i="3"/>
  <c r="AU500" i="3"/>
  <c r="AT500" i="3"/>
  <c r="AS500" i="3"/>
  <c r="AV499" i="3"/>
  <c r="AU499" i="3"/>
  <c r="AT499" i="3"/>
  <c r="AS499" i="3"/>
  <c r="AV498" i="3"/>
  <c r="AU498" i="3"/>
  <c r="AT498" i="3"/>
  <c r="AS498" i="3"/>
  <c r="AV497" i="3"/>
  <c r="AU497" i="3"/>
  <c r="AT497" i="3"/>
  <c r="AS497" i="3"/>
  <c r="AV496" i="3"/>
  <c r="AU496" i="3"/>
  <c r="AT496" i="3"/>
  <c r="AS496" i="3"/>
  <c r="AV495" i="3"/>
  <c r="AU495" i="3"/>
  <c r="AT495" i="3"/>
  <c r="AS495" i="3"/>
  <c r="AV494" i="3"/>
  <c r="AU494" i="3"/>
  <c r="AT494" i="3"/>
  <c r="AS494" i="3"/>
  <c r="AV493" i="3"/>
  <c r="AU493" i="3"/>
  <c r="AT493" i="3"/>
  <c r="AS493" i="3"/>
  <c r="AV492" i="3"/>
  <c r="AU492" i="3"/>
  <c r="AT492" i="3"/>
  <c r="AS492" i="3"/>
  <c r="AV491" i="3"/>
  <c r="AU491" i="3"/>
  <c r="AT491" i="3"/>
  <c r="AS491" i="3"/>
  <c r="AV490" i="3"/>
  <c r="AU490" i="3"/>
  <c r="AT490" i="3"/>
  <c r="AS490" i="3"/>
  <c r="AV489" i="3"/>
  <c r="AU489" i="3"/>
  <c r="AT489" i="3"/>
  <c r="AS489" i="3"/>
  <c r="AV488" i="3"/>
  <c r="AU488" i="3"/>
  <c r="AT488" i="3"/>
  <c r="AS488" i="3"/>
  <c r="AV487" i="3"/>
  <c r="AU487" i="3"/>
  <c r="AT487" i="3"/>
  <c r="AS487" i="3"/>
  <c r="AV486" i="3"/>
  <c r="AU486" i="3"/>
  <c r="AT486" i="3"/>
  <c r="AS486" i="3"/>
  <c r="AV485" i="3"/>
  <c r="AU485" i="3"/>
  <c r="AT485" i="3"/>
  <c r="AS485" i="3"/>
  <c r="AV484" i="3"/>
  <c r="AU484" i="3"/>
  <c r="AT484" i="3"/>
  <c r="AS484" i="3"/>
  <c r="AV483" i="3"/>
  <c r="AU483" i="3"/>
  <c r="AT483" i="3"/>
  <c r="AS483" i="3"/>
  <c r="AV482" i="3"/>
  <c r="AU482" i="3"/>
  <c r="AT482" i="3"/>
  <c r="AS482" i="3"/>
  <c r="AV481" i="3"/>
  <c r="AU481" i="3"/>
  <c r="AT481" i="3"/>
  <c r="AS481" i="3"/>
  <c r="AV480" i="3"/>
  <c r="AU480" i="3"/>
  <c r="AT480" i="3"/>
  <c r="AS480" i="3"/>
  <c r="AV479" i="3"/>
  <c r="AU479" i="3"/>
  <c r="AT479" i="3"/>
  <c r="AS479" i="3"/>
  <c r="AV478" i="3"/>
  <c r="AU478" i="3"/>
  <c r="AT478" i="3"/>
  <c r="AS478" i="3"/>
  <c r="AV477" i="3"/>
  <c r="AU477" i="3"/>
  <c r="AT477" i="3"/>
  <c r="AS477" i="3"/>
  <c r="AV476" i="3"/>
  <c r="AU476" i="3"/>
  <c r="AT476" i="3"/>
  <c r="AS476" i="3"/>
  <c r="AV474" i="3"/>
  <c r="AU474" i="3"/>
  <c r="AT474" i="3"/>
  <c r="AS474" i="3"/>
  <c r="AV473" i="3"/>
  <c r="AU473" i="3"/>
  <c r="AT473" i="3"/>
  <c r="AS473" i="3"/>
  <c r="AV472" i="3"/>
  <c r="AU472" i="3"/>
  <c r="AT472" i="3"/>
  <c r="AS472" i="3"/>
  <c r="AV471" i="3"/>
  <c r="AU471" i="3"/>
  <c r="AT471" i="3"/>
  <c r="AS471" i="3"/>
  <c r="AV470" i="3"/>
  <c r="AU470" i="3"/>
  <c r="AT470" i="3"/>
  <c r="AS470" i="3"/>
  <c r="AV469" i="3"/>
  <c r="AU469" i="3"/>
  <c r="AT469" i="3"/>
  <c r="AS469" i="3"/>
  <c r="AV468" i="3"/>
  <c r="AU468" i="3"/>
  <c r="AT468" i="3"/>
  <c r="AS468" i="3"/>
  <c r="AV467" i="3"/>
  <c r="AU467" i="3"/>
  <c r="AT467" i="3"/>
  <c r="AS467" i="3"/>
  <c r="AV466" i="3"/>
  <c r="AU466" i="3"/>
  <c r="AT466" i="3"/>
  <c r="AS466" i="3"/>
  <c r="AV465" i="3"/>
  <c r="AU465" i="3"/>
  <c r="AT465" i="3"/>
  <c r="AS465" i="3"/>
  <c r="AV464" i="3"/>
  <c r="AU464" i="3"/>
  <c r="AT464" i="3"/>
  <c r="AS464" i="3"/>
  <c r="AV463" i="3"/>
  <c r="AU463" i="3"/>
  <c r="AT463" i="3"/>
  <c r="AS463" i="3"/>
  <c r="AV462" i="3"/>
  <c r="AU462" i="3"/>
  <c r="AT462" i="3"/>
  <c r="AS462" i="3"/>
  <c r="AV461" i="3"/>
  <c r="AU461" i="3"/>
  <c r="AT461" i="3"/>
  <c r="AS461" i="3"/>
  <c r="AV460" i="3"/>
  <c r="AU460" i="3"/>
  <c r="AT460" i="3"/>
  <c r="AS460" i="3"/>
  <c r="AV459" i="3"/>
  <c r="AU459" i="3"/>
  <c r="AT459" i="3"/>
  <c r="AS459" i="3"/>
  <c r="AV458" i="3"/>
  <c r="AU458" i="3"/>
  <c r="AT458" i="3"/>
  <c r="AS458" i="3"/>
  <c r="AV457" i="3"/>
  <c r="AU457" i="3"/>
  <c r="AT457" i="3"/>
  <c r="AS457" i="3"/>
  <c r="AV456" i="3"/>
  <c r="AU456" i="3"/>
  <c r="AT456" i="3"/>
  <c r="AS456" i="3"/>
  <c r="AV455" i="3"/>
  <c r="AU455" i="3"/>
  <c r="AT455" i="3"/>
  <c r="AS455" i="3"/>
  <c r="AV454" i="3"/>
  <c r="AU454" i="3"/>
  <c r="AT454" i="3"/>
  <c r="AS454" i="3"/>
  <c r="AV453" i="3"/>
  <c r="AU453" i="3"/>
  <c r="AT453" i="3"/>
  <c r="AS453" i="3"/>
  <c r="AV452" i="3"/>
  <c r="AU452" i="3"/>
  <c r="AT452" i="3"/>
  <c r="AS452" i="3"/>
  <c r="AV451" i="3"/>
  <c r="AU451" i="3"/>
  <c r="AT451" i="3"/>
  <c r="AS451" i="3"/>
  <c r="AV450" i="3"/>
  <c r="AU450" i="3"/>
  <c r="AT450" i="3"/>
  <c r="AS450" i="3"/>
  <c r="AV449" i="3"/>
  <c r="AU449" i="3"/>
  <c r="AT449" i="3"/>
  <c r="AS449" i="3"/>
  <c r="AV448" i="3"/>
  <c r="AU448" i="3"/>
  <c r="AT448" i="3"/>
  <c r="AS448" i="3"/>
  <c r="AV447" i="3"/>
  <c r="AU447" i="3"/>
  <c r="AT447" i="3"/>
  <c r="AS447" i="3"/>
  <c r="AV446" i="3"/>
  <c r="AU446" i="3"/>
  <c r="AT446" i="3"/>
  <c r="AS446" i="3"/>
  <c r="AV445" i="3"/>
  <c r="AU445" i="3"/>
  <c r="AT445" i="3"/>
  <c r="AS445" i="3"/>
  <c r="AV444" i="3"/>
  <c r="AU444" i="3"/>
  <c r="AT444" i="3"/>
  <c r="AS444" i="3"/>
  <c r="AV443" i="3"/>
  <c r="AU443" i="3"/>
  <c r="AT443" i="3"/>
  <c r="AS443" i="3"/>
  <c r="AV442" i="3"/>
  <c r="AU442" i="3"/>
  <c r="AT442" i="3"/>
  <c r="AS442" i="3"/>
  <c r="AV440" i="3"/>
  <c r="AU440" i="3"/>
  <c r="AT440" i="3"/>
  <c r="AS440" i="3"/>
  <c r="AV439" i="3"/>
  <c r="AU439" i="3"/>
  <c r="AT439" i="3"/>
  <c r="AS439" i="3"/>
  <c r="AV438" i="3"/>
  <c r="AU438" i="3"/>
  <c r="AT438" i="3"/>
  <c r="AS438" i="3"/>
  <c r="AV437" i="3"/>
  <c r="AU437" i="3"/>
  <c r="AT437" i="3"/>
  <c r="AS437" i="3"/>
  <c r="AV436" i="3"/>
  <c r="AU436" i="3"/>
  <c r="AT436" i="3"/>
  <c r="AS436" i="3"/>
  <c r="AV435" i="3"/>
  <c r="AU435" i="3"/>
  <c r="AT435" i="3"/>
  <c r="AS435" i="3"/>
  <c r="AV434" i="3"/>
  <c r="AU434" i="3"/>
  <c r="AT434" i="3"/>
  <c r="AS434" i="3"/>
  <c r="AV433" i="3"/>
  <c r="AU433" i="3"/>
  <c r="AT433" i="3"/>
  <c r="AS433" i="3"/>
  <c r="AV432" i="3"/>
  <c r="AU432" i="3"/>
  <c r="AT432" i="3"/>
  <c r="AS432" i="3"/>
  <c r="AV431" i="3"/>
  <c r="AU431" i="3"/>
  <c r="AT431" i="3"/>
  <c r="AS431" i="3"/>
  <c r="AV430" i="3"/>
  <c r="AU430" i="3"/>
  <c r="AT430" i="3"/>
  <c r="AS430" i="3"/>
  <c r="AV429" i="3"/>
  <c r="AU429" i="3"/>
  <c r="AT429" i="3"/>
  <c r="AS429" i="3"/>
  <c r="AV428" i="3"/>
  <c r="AU428" i="3"/>
  <c r="AT428" i="3"/>
  <c r="AS428" i="3"/>
  <c r="AV427" i="3"/>
  <c r="AU427" i="3"/>
  <c r="AT427" i="3"/>
  <c r="AS427" i="3"/>
  <c r="AV426" i="3"/>
  <c r="AU426" i="3"/>
  <c r="AT426" i="3"/>
  <c r="AS426" i="3"/>
  <c r="AV425" i="3"/>
  <c r="AU425" i="3"/>
  <c r="AT425" i="3"/>
  <c r="AS425" i="3"/>
  <c r="AV424" i="3"/>
  <c r="AU424" i="3"/>
  <c r="AT424" i="3"/>
  <c r="AS424" i="3"/>
  <c r="AV423" i="3"/>
  <c r="AU423" i="3"/>
  <c r="AT423" i="3"/>
  <c r="AS423" i="3"/>
  <c r="AV422" i="3"/>
  <c r="AU422" i="3"/>
  <c r="AT422" i="3"/>
  <c r="AS422" i="3"/>
  <c r="AV421" i="3"/>
  <c r="AU421" i="3"/>
  <c r="AT421" i="3"/>
  <c r="AS421" i="3"/>
  <c r="AV420" i="3"/>
  <c r="AU420" i="3"/>
  <c r="AT420" i="3"/>
  <c r="AS420" i="3"/>
  <c r="AV419" i="3"/>
  <c r="AU419" i="3"/>
  <c r="AT419" i="3"/>
  <c r="AS419" i="3"/>
  <c r="AV417" i="3"/>
  <c r="AU417" i="3"/>
  <c r="AT417" i="3"/>
  <c r="AS417" i="3"/>
  <c r="AV416" i="3"/>
  <c r="AU416" i="3"/>
  <c r="AT416" i="3"/>
  <c r="AS416" i="3"/>
  <c r="AV415" i="3"/>
  <c r="AU415" i="3"/>
  <c r="AT415" i="3"/>
  <c r="AS415" i="3"/>
  <c r="AV414" i="3"/>
  <c r="AU414" i="3"/>
  <c r="AT414" i="3"/>
  <c r="AS414" i="3"/>
  <c r="AV413" i="3"/>
  <c r="AU413" i="3"/>
  <c r="AT413" i="3"/>
  <c r="AS413" i="3"/>
  <c r="AV412" i="3"/>
  <c r="AU412" i="3"/>
  <c r="AT412" i="3"/>
  <c r="AS412" i="3"/>
  <c r="AV411" i="3"/>
  <c r="AU411" i="3"/>
  <c r="AT411" i="3"/>
  <c r="AS411" i="3"/>
  <c r="AV410" i="3"/>
  <c r="AU410" i="3"/>
  <c r="AT410" i="3"/>
  <c r="AS410" i="3"/>
  <c r="AV409" i="3"/>
  <c r="AU409" i="3"/>
  <c r="AT409" i="3"/>
  <c r="AS409" i="3"/>
  <c r="AV408" i="3"/>
  <c r="AU408" i="3"/>
  <c r="AT408" i="3"/>
  <c r="AS408" i="3"/>
  <c r="AV407" i="3"/>
  <c r="AU407" i="3"/>
  <c r="AT407" i="3"/>
  <c r="AS407" i="3"/>
  <c r="AV406" i="3"/>
  <c r="AU406" i="3"/>
  <c r="AT406" i="3"/>
  <c r="AS406" i="3"/>
  <c r="AV405" i="3"/>
  <c r="AU405" i="3"/>
  <c r="AT405" i="3"/>
  <c r="AS405" i="3"/>
  <c r="AV404" i="3"/>
  <c r="AU404" i="3"/>
  <c r="AT404" i="3"/>
  <c r="AS404" i="3"/>
  <c r="AV403" i="3"/>
  <c r="AU403" i="3"/>
  <c r="AT403" i="3"/>
  <c r="AS403" i="3"/>
  <c r="AV402" i="3"/>
  <c r="AU402" i="3"/>
  <c r="AT402" i="3"/>
  <c r="AS402" i="3"/>
  <c r="AV401" i="3"/>
  <c r="AU401" i="3"/>
  <c r="AT401" i="3"/>
  <c r="AS401" i="3"/>
  <c r="AV400" i="3"/>
  <c r="AU400" i="3"/>
  <c r="AT400" i="3"/>
  <c r="AS400" i="3"/>
  <c r="AV399" i="3"/>
  <c r="AU399" i="3"/>
  <c r="AT399" i="3"/>
  <c r="AS399" i="3"/>
  <c r="AV398" i="3"/>
  <c r="AU398" i="3"/>
  <c r="AT398" i="3"/>
  <c r="AS398" i="3"/>
  <c r="AV397" i="3"/>
  <c r="AU397" i="3"/>
  <c r="AT397" i="3"/>
  <c r="AS397" i="3"/>
  <c r="AV396" i="3"/>
  <c r="AU396" i="3"/>
  <c r="AT396" i="3"/>
  <c r="AS396" i="3"/>
  <c r="AV395" i="3"/>
  <c r="AU395" i="3"/>
  <c r="AT395" i="3"/>
  <c r="AS395" i="3"/>
  <c r="AV394" i="3"/>
  <c r="AU394" i="3"/>
  <c r="AT394" i="3"/>
  <c r="AS394" i="3"/>
  <c r="AV393" i="3"/>
  <c r="AU393" i="3"/>
  <c r="AT393" i="3"/>
  <c r="AS393" i="3"/>
  <c r="AV392" i="3"/>
  <c r="AU392" i="3"/>
  <c r="AT392" i="3"/>
  <c r="AS392" i="3"/>
  <c r="AV391" i="3"/>
  <c r="AU391" i="3"/>
  <c r="AT391" i="3"/>
  <c r="AS391" i="3"/>
  <c r="AV390" i="3"/>
  <c r="AU390" i="3"/>
  <c r="AT390" i="3"/>
  <c r="AS390" i="3"/>
  <c r="AV389" i="3"/>
  <c r="AU389" i="3"/>
  <c r="AT389" i="3"/>
  <c r="AS389" i="3"/>
  <c r="AV388" i="3"/>
  <c r="AU388" i="3"/>
  <c r="AT388" i="3"/>
  <c r="AS388" i="3"/>
  <c r="AV387" i="3"/>
  <c r="AU387" i="3"/>
  <c r="AT387" i="3"/>
  <c r="AS387" i="3"/>
  <c r="AV386" i="3"/>
  <c r="AU386" i="3"/>
  <c r="AT386" i="3"/>
  <c r="AS386" i="3"/>
  <c r="AV384" i="3"/>
  <c r="AU384" i="3"/>
  <c r="AT384" i="3"/>
  <c r="AS384" i="3"/>
  <c r="AV383" i="3"/>
  <c r="AU383" i="3"/>
  <c r="AT383" i="3"/>
  <c r="AS383" i="3"/>
  <c r="AV382" i="3"/>
  <c r="AU382" i="3"/>
  <c r="AT382" i="3"/>
  <c r="AS382" i="3"/>
  <c r="AV381" i="3"/>
  <c r="AU381" i="3"/>
  <c r="AT381" i="3"/>
  <c r="AS381" i="3"/>
  <c r="AV380" i="3"/>
  <c r="AU380" i="3"/>
  <c r="AT380" i="3"/>
  <c r="AS380" i="3"/>
  <c r="AV379" i="3"/>
  <c r="AU379" i="3"/>
  <c r="AT379" i="3"/>
  <c r="AS379" i="3"/>
  <c r="AV378" i="3"/>
  <c r="AU378" i="3"/>
  <c r="AT378" i="3"/>
  <c r="AS378" i="3"/>
  <c r="AV377" i="3"/>
  <c r="AU377" i="3"/>
  <c r="AT377" i="3"/>
  <c r="AS377" i="3"/>
  <c r="AV376" i="3"/>
  <c r="AU376" i="3"/>
  <c r="AT376" i="3"/>
  <c r="AS376" i="3"/>
  <c r="AV375" i="3"/>
  <c r="AU375" i="3"/>
  <c r="AT375" i="3"/>
  <c r="AS375" i="3"/>
  <c r="AV374" i="3"/>
  <c r="AU374" i="3"/>
  <c r="AT374" i="3"/>
  <c r="AS374" i="3"/>
  <c r="AV373" i="3"/>
  <c r="AU373" i="3"/>
  <c r="AT373" i="3"/>
  <c r="AS373" i="3"/>
  <c r="AV371" i="3"/>
  <c r="AU371" i="3"/>
  <c r="AT371" i="3"/>
  <c r="AS371" i="3"/>
  <c r="AV370" i="3"/>
  <c r="AU370" i="3"/>
  <c r="AT370" i="3"/>
  <c r="AS370" i="3"/>
  <c r="AV369" i="3"/>
  <c r="AU369" i="3"/>
  <c r="AT369" i="3"/>
  <c r="AS369" i="3"/>
  <c r="AV368" i="3"/>
  <c r="AU368" i="3"/>
  <c r="AT368" i="3"/>
  <c r="AS368" i="3"/>
  <c r="AV367" i="3"/>
  <c r="AU367" i="3"/>
  <c r="AT367" i="3"/>
  <c r="AS367" i="3"/>
  <c r="AV366" i="3"/>
  <c r="AU366" i="3"/>
  <c r="AT366" i="3"/>
  <c r="AS366" i="3"/>
  <c r="AV365" i="3"/>
  <c r="AU365" i="3"/>
  <c r="AT365" i="3"/>
  <c r="AS365" i="3"/>
  <c r="AV364" i="3"/>
  <c r="AU364" i="3"/>
  <c r="AT364" i="3"/>
  <c r="AS364" i="3"/>
  <c r="AV363" i="3"/>
  <c r="AU363" i="3"/>
  <c r="AT363" i="3"/>
  <c r="AS363" i="3"/>
  <c r="AV362" i="3"/>
  <c r="AU362" i="3"/>
  <c r="AT362" i="3"/>
  <c r="AS362" i="3"/>
  <c r="AV361" i="3"/>
  <c r="AU361" i="3"/>
  <c r="AT361" i="3"/>
  <c r="AS361" i="3"/>
  <c r="AV360" i="3"/>
  <c r="AU360" i="3"/>
  <c r="AT360" i="3"/>
  <c r="AS360" i="3"/>
  <c r="AV359" i="3"/>
  <c r="AU359" i="3"/>
  <c r="AT359" i="3"/>
  <c r="AS359" i="3"/>
  <c r="AV358" i="3"/>
  <c r="AU358" i="3"/>
  <c r="AT358" i="3"/>
  <c r="AS358" i="3"/>
  <c r="AV357" i="3"/>
  <c r="AU357" i="3"/>
  <c r="AT357" i="3"/>
  <c r="AS357" i="3"/>
  <c r="AV356" i="3"/>
  <c r="AU356" i="3"/>
  <c r="AT356" i="3"/>
  <c r="AS356" i="3"/>
  <c r="AV355" i="3"/>
  <c r="AU355" i="3"/>
  <c r="AT355" i="3"/>
  <c r="AS355" i="3"/>
  <c r="AV354" i="3"/>
  <c r="AU354" i="3"/>
  <c r="AT354" i="3"/>
  <c r="AS354" i="3"/>
  <c r="AV353" i="3"/>
  <c r="AU353" i="3"/>
  <c r="AT353" i="3"/>
  <c r="AS353" i="3"/>
  <c r="AV352" i="3"/>
  <c r="AU352" i="3"/>
  <c r="AT352" i="3"/>
  <c r="AS352" i="3"/>
  <c r="AV351" i="3"/>
  <c r="AU351" i="3"/>
  <c r="AT351" i="3"/>
  <c r="AS351" i="3"/>
  <c r="AV350" i="3"/>
  <c r="AU350" i="3"/>
  <c r="AT350" i="3"/>
  <c r="AS350" i="3"/>
  <c r="AV349" i="3"/>
  <c r="AU349" i="3"/>
  <c r="AT349" i="3"/>
  <c r="AS349" i="3"/>
  <c r="AV348" i="3"/>
  <c r="AU348" i="3"/>
  <c r="AT348" i="3"/>
  <c r="AS348" i="3"/>
  <c r="AV347" i="3"/>
  <c r="AU347" i="3"/>
  <c r="AT347" i="3"/>
  <c r="AS347" i="3"/>
  <c r="AV346" i="3"/>
  <c r="AU346" i="3"/>
  <c r="AT346" i="3"/>
  <c r="AS346" i="3"/>
  <c r="AV345" i="3"/>
  <c r="AU345" i="3"/>
  <c r="AT345" i="3"/>
  <c r="AS345" i="3"/>
  <c r="AV344" i="3"/>
  <c r="AU344" i="3"/>
  <c r="AT344" i="3"/>
  <c r="AS344" i="3"/>
  <c r="AV343" i="3"/>
  <c r="AU343" i="3"/>
  <c r="AT343" i="3"/>
  <c r="AS343" i="3"/>
  <c r="AV342" i="3"/>
  <c r="AU342" i="3"/>
  <c r="AT342" i="3"/>
  <c r="AS342" i="3"/>
  <c r="AV341" i="3"/>
  <c r="AU341" i="3"/>
  <c r="AT341" i="3"/>
  <c r="AS341" i="3"/>
  <c r="AV340" i="3"/>
  <c r="AU340" i="3"/>
  <c r="AT340" i="3"/>
  <c r="AS340" i="3"/>
  <c r="AV339" i="3"/>
  <c r="AU339" i="3"/>
  <c r="AT339" i="3"/>
  <c r="AS339" i="3"/>
  <c r="AV338" i="3"/>
  <c r="AU338" i="3"/>
  <c r="AT338" i="3"/>
  <c r="AS338" i="3"/>
  <c r="AV337" i="3"/>
  <c r="AU337" i="3"/>
  <c r="AT337" i="3"/>
  <c r="AS337" i="3"/>
  <c r="AV336" i="3"/>
  <c r="AU336" i="3"/>
  <c r="AT336" i="3"/>
  <c r="AS336" i="3"/>
  <c r="AV335" i="3"/>
  <c r="AU335" i="3"/>
  <c r="AT335" i="3"/>
  <c r="AS335" i="3"/>
  <c r="AV334" i="3"/>
  <c r="AU334" i="3"/>
  <c r="AT334" i="3"/>
  <c r="AS334" i="3"/>
  <c r="AV333" i="3"/>
  <c r="AU333" i="3"/>
  <c r="AT333" i="3"/>
  <c r="AS333" i="3"/>
  <c r="AV332" i="3"/>
  <c r="AU332" i="3"/>
  <c r="AT332" i="3"/>
  <c r="AS332" i="3"/>
  <c r="AV331" i="3"/>
  <c r="AU331" i="3"/>
  <c r="AT331" i="3"/>
  <c r="AS331" i="3"/>
  <c r="AV330" i="3"/>
  <c r="AU330" i="3"/>
  <c r="AT330" i="3"/>
  <c r="AS330" i="3"/>
  <c r="AV329" i="3"/>
  <c r="AU329" i="3"/>
  <c r="AT329" i="3"/>
  <c r="AS329" i="3"/>
  <c r="AV328" i="3"/>
  <c r="AU328" i="3"/>
  <c r="AT328" i="3"/>
  <c r="AS328" i="3"/>
  <c r="AV327" i="3"/>
  <c r="AU327" i="3"/>
  <c r="AT327" i="3"/>
  <c r="AS327" i="3"/>
  <c r="AV326" i="3"/>
  <c r="AU326" i="3"/>
  <c r="AT326" i="3"/>
  <c r="AS326" i="3"/>
  <c r="AV325" i="3"/>
  <c r="AU325" i="3"/>
  <c r="AT325" i="3"/>
  <c r="AS325" i="3"/>
  <c r="AV324" i="3"/>
  <c r="AU324" i="3"/>
  <c r="AT324" i="3"/>
  <c r="AS324" i="3"/>
  <c r="AV323" i="3"/>
  <c r="AU323" i="3"/>
  <c r="AT323" i="3"/>
  <c r="AS323" i="3"/>
  <c r="AV322" i="3"/>
  <c r="AU322" i="3"/>
  <c r="AT322" i="3"/>
  <c r="AS322" i="3"/>
  <c r="AV321" i="3"/>
  <c r="AU321" i="3"/>
  <c r="AT321" i="3"/>
  <c r="AS321" i="3"/>
  <c r="AV320" i="3"/>
  <c r="AU320" i="3"/>
  <c r="AT320" i="3"/>
  <c r="AS320" i="3"/>
  <c r="AV319" i="3"/>
  <c r="AU319" i="3"/>
  <c r="AT319" i="3"/>
  <c r="AS319" i="3"/>
  <c r="AV318" i="3"/>
  <c r="AU318" i="3"/>
  <c r="AT318" i="3"/>
  <c r="AS318" i="3"/>
  <c r="AV317" i="3"/>
  <c r="AU317" i="3"/>
  <c r="AT317" i="3"/>
  <c r="AS317" i="3"/>
  <c r="AV316" i="3"/>
  <c r="AU316" i="3"/>
  <c r="AT316" i="3"/>
  <c r="AS316" i="3"/>
  <c r="AV315" i="3"/>
  <c r="AU315" i="3"/>
  <c r="AT315" i="3"/>
  <c r="AS315" i="3"/>
  <c r="AV314" i="3"/>
  <c r="AU314" i="3"/>
  <c r="AT314" i="3"/>
  <c r="AS314" i="3"/>
  <c r="AV313" i="3"/>
  <c r="AU313" i="3"/>
  <c r="AT313" i="3"/>
  <c r="AS313" i="3"/>
  <c r="AV312" i="3"/>
  <c r="AU312" i="3"/>
  <c r="AT312" i="3"/>
  <c r="AS312" i="3"/>
  <c r="AV311" i="3"/>
  <c r="AU311" i="3"/>
  <c r="AT311" i="3"/>
  <c r="AS311" i="3"/>
  <c r="AV310" i="3"/>
  <c r="AU310" i="3"/>
  <c r="AT310" i="3"/>
  <c r="AS310" i="3"/>
  <c r="AV309" i="3"/>
  <c r="AU309" i="3"/>
  <c r="AT309" i="3"/>
  <c r="AS309" i="3"/>
  <c r="AV308" i="3"/>
  <c r="AU308" i="3"/>
  <c r="AT308" i="3"/>
  <c r="AS308" i="3"/>
  <c r="AV307" i="3"/>
  <c r="AU307" i="3"/>
  <c r="AT307" i="3"/>
  <c r="AS307" i="3"/>
  <c r="AV306" i="3"/>
  <c r="AU306" i="3"/>
  <c r="AT306" i="3"/>
  <c r="AS306" i="3"/>
  <c r="AV305" i="3"/>
  <c r="AU305" i="3"/>
  <c r="AT305" i="3"/>
  <c r="AS305" i="3"/>
  <c r="AV304" i="3"/>
  <c r="AU304" i="3"/>
  <c r="AT304" i="3"/>
  <c r="AS304" i="3"/>
  <c r="AV303" i="3"/>
  <c r="AU303" i="3"/>
  <c r="AT303" i="3"/>
  <c r="AS303" i="3"/>
  <c r="AV302" i="3"/>
  <c r="AU302" i="3"/>
  <c r="AT302" i="3"/>
  <c r="AS302" i="3"/>
  <c r="AV301" i="3"/>
  <c r="AU301" i="3"/>
  <c r="AT301" i="3"/>
  <c r="AS301" i="3"/>
  <c r="AV300" i="3"/>
  <c r="AU300" i="3"/>
  <c r="AT300" i="3"/>
  <c r="AS300" i="3"/>
  <c r="AV299" i="3"/>
  <c r="AU299" i="3"/>
  <c r="AT299" i="3"/>
  <c r="AS299" i="3"/>
  <c r="AV298" i="3"/>
  <c r="AU298" i="3"/>
  <c r="AT298" i="3"/>
  <c r="AS298" i="3"/>
  <c r="AV297" i="3"/>
  <c r="AU297" i="3"/>
  <c r="AT297" i="3"/>
  <c r="AS297" i="3"/>
  <c r="AV296" i="3"/>
  <c r="AU296" i="3"/>
  <c r="AT296" i="3"/>
  <c r="AS296" i="3"/>
  <c r="AV295" i="3"/>
  <c r="AU295" i="3"/>
  <c r="AT295" i="3"/>
  <c r="AS295" i="3"/>
  <c r="AV294" i="3"/>
  <c r="AU294" i="3"/>
  <c r="AT294" i="3"/>
  <c r="AS294" i="3"/>
  <c r="AV293" i="3"/>
  <c r="AU293" i="3"/>
  <c r="AT293" i="3"/>
  <c r="AS293" i="3"/>
  <c r="AV292" i="3"/>
  <c r="AU292" i="3"/>
  <c r="AT292" i="3"/>
  <c r="AS292" i="3"/>
  <c r="AV291" i="3"/>
  <c r="AU291" i="3"/>
  <c r="AT291" i="3"/>
  <c r="AS291" i="3"/>
  <c r="AV290" i="3"/>
  <c r="AU290" i="3"/>
  <c r="AT290" i="3"/>
  <c r="AS290" i="3"/>
  <c r="AV289" i="3"/>
  <c r="AU289" i="3"/>
  <c r="AT289" i="3"/>
  <c r="AS289" i="3"/>
  <c r="AV288" i="3"/>
  <c r="AU288" i="3"/>
  <c r="AT288" i="3"/>
  <c r="AS288" i="3"/>
  <c r="AV287" i="3"/>
  <c r="AU287" i="3"/>
  <c r="AT287" i="3"/>
  <c r="AS287" i="3"/>
  <c r="AV286" i="3"/>
  <c r="AU286" i="3"/>
  <c r="AT286" i="3"/>
  <c r="AS286" i="3"/>
  <c r="AV285" i="3"/>
  <c r="AU285" i="3"/>
  <c r="AT285" i="3"/>
  <c r="AS285" i="3"/>
  <c r="AV284" i="3"/>
  <c r="AU284" i="3"/>
  <c r="AT284" i="3"/>
  <c r="AS284" i="3"/>
  <c r="AV283" i="3"/>
  <c r="AU283" i="3"/>
  <c r="AT283" i="3"/>
  <c r="AS283" i="3"/>
  <c r="AV282" i="3"/>
  <c r="AU282" i="3"/>
  <c r="AT282" i="3"/>
  <c r="AS282" i="3"/>
  <c r="AV281" i="3"/>
  <c r="AU281" i="3"/>
  <c r="AT281" i="3"/>
  <c r="AS281" i="3"/>
  <c r="AV280" i="3"/>
  <c r="AU280" i="3"/>
  <c r="AT280" i="3"/>
  <c r="AS280" i="3"/>
  <c r="AV279" i="3"/>
  <c r="AU279" i="3"/>
  <c r="AT279" i="3"/>
  <c r="AS279" i="3"/>
  <c r="AV278" i="3"/>
  <c r="AU278" i="3"/>
  <c r="AT278" i="3"/>
  <c r="AS278" i="3"/>
  <c r="AV277" i="3"/>
  <c r="AU277" i="3"/>
  <c r="AT277" i="3"/>
  <c r="AS277" i="3"/>
  <c r="AV276" i="3"/>
  <c r="AU276" i="3"/>
  <c r="AT276" i="3"/>
  <c r="AS276" i="3"/>
  <c r="AV275" i="3"/>
  <c r="AU275" i="3"/>
  <c r="AT275" i="3"/>
  <c r="AS275" i="3"/>
  <c r="AV274" i="3"/>
  <c r="AU274" i="3"/>
  <c r="AT274" i="3"/>
  <c r="AS274" i="3"/>
  <c r="AV273" i="3"/>
  <c r="AU273" i="3"/>
  <c r="AT273" i="3"/>
  <c r="AS273" i="3"/>
  <c r="AV272" i="3"/>
  <c r="AU272" i="3"/>
  <c r="AT272" i="3"/>
  <c r="AS272" i="3"/>
  <c r="AV271" i="3"/>
  <c r="AU271" i="3"/>
  <c r="AT271" i="3"/>
  <c r="AS271" i="3"/>
  <c r="AV270" i="3"/>
  <c r="AU270" i="3"/>
  <c r="AT270" i="3"/>
  <c r="AS270" i="3"/>
  <c r="AV269" i="3"/>
  <c r="AU269" i="3"/>
  <c r="AT269" i="3"/>
  <c r="AS269" i="3"/>
  <c r="AV268" i="3"/>
  <c r="AU268" i="3"/>
  <c r="AT268" i="3"/>
  <c r="AS268" i="3"/>
  <c r="AV267" i="3"/>
  <c r="AU267" i="3"/>
  <c r="AT267" i="3"/>
  <c r="AS267" i="3"/>
  <c r="AV266" i="3"/>
  <c r="AU266" i="3"/>
  <c r="AT266" i="3"/>
  <c r="AS266" i="3"/>
  <c r="AV265" i="3"/>
  <c r="AU265" i="3"/>
  <c r="AT265" i="3"/>
  <c r="AS265" i="3"/>
  <c r="AV264" i="3"/>
  <c r="AU264" i="3"/>
  <c r="AT264" i="3"/>
  <c r="AS264" i="3"/>
  <c r="AV263" i="3"/>
  <c r="AU263" i="3"/>
  <c r="AT263" i="3"/>
  <c r="AS263" i="3"/>
  <c r="AV262" i="3"/>
  <c r="AU262" i="3"/>
  <c r="AT262" i="3"/>
  <c r="AS262" i="3"/>
  <c r="AV261" i="3"/>
  <c r="AU261" i="3"/>
  <c r="AT261" i="3"/>
  <c r="AS261" i="3"/>
  <c r="AV260" i="3"/>
  <c r="AU260" i="3"/>
  <c r="AT260" i="3"/>
  <c r="AS260" i="3"/>
  <c r="AV259" i="3"/>
  <c r="AU259" i="3"/>
  <c r="AT259" i="3"/>
  <c r="AS259" i="3"/>
  <c r="AV258" i="3"/>
  <c r="AU258" i="3"/>
  <c r="AT258" i="3"/>
  <c r="AS258" i="3"/>
  <c r="AV257" i="3"/>
  <c r="AU257" i="3"/>
  <c r="AT257" i="3"/>
  <c r="AS257" i="3"/>
  <c r="AV256" i="3"/>
  <c r="AU256" i="3"/>
  <c r="AT256" i="3"/>
  <c r="AS256" i="3"/>
  <c r="AV255" i="3"/>
  <c r="AU255" i="3"/>
  <c r="AT255" i="3"/>
  <c r="AS255" i="3"/>
  <c r="AV254" i="3"/>
  <c r="AU254" i="3"/>
  <c r="AT254" i="3"/>
  <c r="AS254" i="3"/>
  <c r="AV253" i="3"/>
  <c r="AU253" i="3"/>
  <c r="AT253" i="3"/>
  <c r="AS253" i="3"/>
  <c r="AV252" i="3"/>
  <c r="AU252" i="3"/>
  <c r="AT252" i="3"/>
  <c r="AS252" i="3"/>
  <c r="AV251" i="3"/>
  <c r="AU251" i="3"/>
  <c r="AT251" i="3"/>
  <c r="AS251" i="3"/>
  <c r="AV250" i="3"/>
  <c r="AU250" i="3"/>
  <c r="AT250" i="3"/>
  <c r="AS250" i="3"/>
  <c r="AV249" i="3"/>
  <c r="AU249" i="3"/>
  <c r="AT249" i="3"/>
  <c r="AS249" i="3"/>
  <c r="AV248" i="3"/>
  <c r="AU248" i="3"/>
  <c r="AT248" i="3"/>
  <c r="AS248" i="3"/>
  <c r="AV247" i="3"/>
  <c r="AU247" i="3"/>
  <c r="AT247" i="3"/>
  <c r="AS247" i="3"/>
  <c r="AV246" i="3"/>
  <c r="AU246" i="3"/>
  <c r="AT246" i="3"/>
  <c r="AS246" i="3"/>
  <c r="AV245" i="3"/>
  <c r="AU245" i="3"/>
  <c r="AT245" i="3"/>
  <c r="AS245" i="3"/>
  <c r="AV244" i="3"/>
  <c r="AU244" i="3"/>
  <c r="AT244" i="3"/>
  <c r="AS244" i="3"/>
  <c r="AV243" i="3"/>
  <c r="AU243" i="3"/>
  <c r="AT243" i="3"/>
  <c r="AS243" i="3"/>
  <c r="AV242" i="3"/>
  <c r="AU242" i="3"/>
  <c r="AT242" i="3"/>
  <c r="AS242" i="3"/>
  <c r="AV241" i="3"/>
  <c r="AU241" i="3"/>
  <c r="AT241" i="3"/>
  <c r="AS241" i="3"/>
  <c r="AV240" i="3"/>
  <c r="AU240" i="3"/>
  <c r="AT240" i="3"/>
  <c r="AS240" i="3"/>
  <c r="AV239" i="3"/>
  <c r="AU239" i="3"/>
  <c r="AT239" i="3"/>
  <c r="AS239" i="3"/>
  <c r="AV238" i="3"/>
  <c r="AU238" i="3"/>
  <c r="AT238" i="3"/>
  <c r="AS238" i="3"/>
  <c r="AV237" i="3"/>
  <c r="AU237" i="3"/>
  <c r="AT237" i="3"/>
  <c r="AS237" i="3"/>
  <c r="AV236" i="3"/>
  <c r="AU236" i="3"/>
  <c r="AT236" i="3"/>
  <c r="AS236" i="3"/>
  <c r="AV235" i="3"/>
  <c r="AU235" i="3"/>
  <c r="AT235" i="3"/>
  <c r="AS235" i="3"/>
  <c r="AV234" i="3"/>
  <c r="AU234" i="3"/>
  <c r="AT234" i="3"/>
  <c r="AS234" i="3"/>
  <c r="AV233" i="3"/>
  <c r="AU233" i="3"/>
  <c r="AT233" i="3"/>
  <c r="AS233" i="3"/>
  <c r="AV232" i="3"/>
  <c r="AU232" i="3"/>
  <c r="AT232" i="3"/>
  <c r="AS232" i="3"/>
  <c r="AV231" i="3"/>
  <c r="AU231" i="3"/>
  <c r="AT231" i="3"/>
  <c r="AS231" i="3"/>
  <c r="AV230" i="3"/>
  <c r="AU230" i="3"/>
  <c r="AT230" i="3"/>
  <c r="AS230" i="3"/>
  <c r="AV229" i="3"/>
  <c r="AU229" i="3"/>
  <c r="AT229" i="3"/>
  <c r="AS229" i="3"/>
  <c r="AV228" i="3"/>
  <c r="AU228" i="3"/>
  <c r="AT228" i="3"/>
  <c r="AS228" i="3"/>
  <c r="AV227" i="3"/>
  <c r="AU227" i="3"/>
  <c r="AT227" i="3"/>
  <c r="AS227" i="3"/>
  <c r="AV225" i="3"/>
  <c r="AU225" i="3"/>
  <c r="AT225" i="3"/>
  <c r="AS225" i="3"/>
  <c r="AV224" i="3"/>
  <c r="AU224" i="3"/>
  <c r="AT224" i="3"/>
  <c r="AS224" i="3"/>
  <c r="AV223" i="3"/>
  <c r="AU223" i="3"/>
  <c r="AT223" i="3"/>
  <c r="AS223" i="3"/>
  <c r="AV222" i="3"/>
  <c r="AU222" i="3"/>
  <c r="AT222" i="3"/>
  <c r="AS222" i="3"/>
  <c r="AV221" i="3"/>
  <c r="AU221" i="3"/>
  <c r="AT221" i="3"/>
  <c r="AS221" i="3"/>
  <c r="AV220" i="3"/>
  <c r="AU220" i="3"/>
  <c r="AT220" i="3"/>
  <c r="AS220" i="3"/>
  <c r="AV219" i="3"/>
  <c r="AU219" i="3"/>
  <c r="AT219" i="3"/>
  <c r="AS219" i="3"/>
  <c r="AV218" i="3"/>
  <c r="AU218" i="3"/>
  <c r="AT218" i="3"/>
  <c r="AS218" i="3"/>
  <c r="AV217" i="3"/>
  <c r="AU217" i="3"/>
  <c r="AT217" i="3"/>
  <c r="AS217" i="3"/>
  <c r="AV216" i="3"/>
  <c r="AU216" i="3"/>
  <c r="AT216" i="3"/>
  <c r="AS216" i="3"/>
  <c r="AV215" i="3"/>
  <c r="AU215" i="3"/>
  <c r="AT215" i="3"/>
  <c r="AS215" i="3"/>
  <c r="AV214" i="3"/>
  <c r="AU214" i="3"/>
  <c r="AT214" i="3"/>
  <c r="AS214" i="3"/>
  <c r="AV213" i="3"/>
  <c r="AU213" i="3"/>
  <c r="AT213" i="3"/>
  <c r="AS213" i="3"/>
  <c r="AV212" i="3"/>
  <c r="AU212" i="3"/>
  <c r="AT212" i="3"/>
  <c r="AS212" i="3"/>
  <c r="AV211" i="3"/>
  <c r="AU211" i="3"/>
  <c r="AT211" i="3"/>
  <c r="AS211" i="3"/>
  <c r="AV210" i="3"/>
  <c r="AU210" i="3"/>
  <c r="AT210" i="3"/>
  <c r="AS210" i="3"/>
  <c r="AV209" i="3"/>
  <c r="AU209" i="3"/>
  <c r="AT209" i="3"/>
  <c r="AS209" i="3"/>
  <c r="AV208" i="3"/>
  <c r="AU208" i="3"/>
  <c r="AT208" i="3"/>
  <c r="AS208" i="3"/>
  <c r="AV207" i="3"/>
  <c r="AU207" i="3"/>
  <c r="AT207" i="3"/>
  <c r="AS207" i="3"/>
  <c r="AV206" i="3"/>
  <c r="AU206" i="3"/>
  <c r="AT206" i="3"/>
  <c r="AS206" i="3"/>
  <c r="AV205" i="3"/>
  <c r="AU205" i="3"/>
  <c r="AT205" i="3"/>
  <c r="AS205" i="3"/>
  <c r="AV204" i="3"/>
  <c r="AU204" i="3"/>
  <c r="AT204" i="3"/>
  <c r="AS204" i="3"/>
  <c r="AV202" i="3"/>
  <c r="AU202" i="3"/>
  <c r="AT202" i="3"/>
  <c r="AS202" i="3"/>
  <c r="AV201" i="3"/>
  <c r="AU201" i="3"/>
  <c r="AT201" i="3"/>
  <c r="AS201" i="3"/>
  <c r="AV200" i="3"/>
  <c r="AU200" i="3"/>
  <c r="AT200" i="3"/>
  <c r="AS200" i="3"/>
  <c r="AV199" i="3"/>
  <c r="AU199" i="3"/>
  <c r="AT199" i="3"/>
  <c r="AS199" i="3"/>
  <c r="AV198" i="3"/>
  <c r="AU198" i="3"/>
  <c r="AT198" i="3"/>
  <c r="AS198" i="3"/>
  <c r="AV197" i="3"/>
  <c r="AU197" i="3"/>
  <c r="AT197" i="3"/>
  <c r="AS197" i="3"/>
  <c r="AV196" i="3"/>
  <c r="AU196" i="3"/>
  <c r="AT196" i="3"/>
  <c r="AS196" i="3"/>
  <c r="AV195" i="3"/>
  <c r="AU195" i="3"/>
  <c r="AT195" i="3"/>
  <c r="AS195" i="3"/>
  <c r="AV194" i="3"/>
  <c r="AU194" i="3"/>
  <c r="AT194" i="3"/>
  <c r="AS194" i="3"/>
  <c r="AV193" i="3"/>
  <c r="AU193" i="3"/>
  <c r="AT193" i="3"/>
  <c r="AS193" i="3"/>
  <c r="AV192" i="3"/>
  <c r="AU192" i="3"/>
  <c r="AT192" i="3"/>
  <c r="AS192" i="3"/>
  <c r="AV191" i="3"/>
  <c r="AU191" i="3"/>
  <c r="AT191" i="3"/>
  <c r="AS191" i="3"/>
  <c r="AV190" i="3"/>
  <c r="AU190" i="3"/>
  <c r="AT190" i="3"/>
  <c r="AS190" i="3"/>
  <c r="AV189" i="3"/>
  <c r="AU189" i="3"/>
  <c r="AT189" i="3"/>
  <c r="AS189" i="3"/>
  <c r="AV188" i="3"/>
  <c r="AU188" i="3"/>
  <c r="AT188" i="3"/>
  <c r="AS188" i="3"/>
  <c r="AV187" i="3"/>
  <c r="AU187" i="3"/>
  <c r="AT187" i="3"/>
  <c r="AS187" i="3"/>
  <c r="AV186" i="3"/>
  <c r="AU186" i="3"/>
  <c r="AT186" i="3"/>
  <c r="AS186" i="3"/>
  <c r="AV185" i="3"/>
  <c r="AU185" i="3"/>
  <c r="AT185" i="3"/>
  <c r="AS185" i="3"/>
  <c r="AV184" i="3"/>
  <c r="AU184" i="3"/>
  <c r="AT184" i="3"/>
  <c r="AS184" i="3"/>
  <c r="AV183" i="3"/>
  <c r="AU183" i="3"/>
  <c r="AT183" i="3"/>
  <c r="AS183" i="3"/>
  <c r="AV182" i="3"/>
  <c r="AU182" i="3"/>
  <c r="AT182" i="3"/>
  <c r="AS182" i="3"/>
  <c r="AV181" i="3"/>
  <c r="AU181" i="3"/>
  <c r="AT181" i="3"/>
  <c r="AS181" i="3"/>
  <c r="AV180" i="3"/>
  <c r="AU180" i="3"/>
  <c r="AT180" i="3"/>
  <c r="AS180" i="3"/>
  <c r="AV179" i="3"/>
  <c r="AU179" i="3"/>
  <c r="AT179" i="3"/>
  <c r="AS179" i="3"/>
  <c r="AV178" i="3"/>
  <c r="AU178" i="3"/>
  <c r="AT178" i="3"/>
  <c r="AS178" i="3"/>
  <c r="AV177" i="3"/>
  <c r="AU177" i="3"/>
  <c r="AT177" i="3"/>
  <c r="AS177" i="3"/>
  <c r="AV176" i="3"/>
  <c r="AU176" i="3"/>
  <c r="AT176" i="3"/>
  <c r="AS176" i="3"/>
  <c r="AV175" i="3"/>
  <c r="AU175" i="3"/>
  <c r="AT175" i="3"/>
  <c r="AS175" i="3"/>
  <c r="AV174" i="3"/>
  <c r="AU174" i="3"/>
  <c r="AT174" i="3"/>
  <c r="AS174" i="3"/>
  <c r="AV173" i="3"/>
  <c r="AU173" i="3"/>
  <c r="AT173" i="3"/>
  <c r="AS173" i="3"/>
  <c r="AV172" i="3"/>
  <c r="AU172" i="3"/>
  <c r="AT172" i="3"/>
  <c r="AS172" i="3"/>
  <c r="AV171" i="3"/>
  <c r="AU171" i="3"/>
  <c r="AT171" i="3"/>
  <c r="AS171" i="3"/>
  <c r="AV170" i="3"/>
  <c r="AU170" i="3"/>
  <c r="AT170" i="3"/>
  <c r="AS170" i="3"/>
  <c r="AV168" i="3"/>
  <c r="AU168" i="3"/>
  <c r="AT168" i="3"/>
  <c r="AS168" i="3"/>
  <c r="AV167" i="3"/>
  <c r="AU167" i="3"/>
  <c r="AT167" i="3"/>
  <c r="AS167" i="3"/>
  <c r="AV166" i="3"/>
  <c r="AU166" i="3"/>
  <c r="AT166" i="3"/>
  <c r="AS166" i="3"/>
  <c r="AV165" i="3"/>
  <c r="AU165" i="3"/>
  <c r="AT165" i="3"/>
  <c r="AS165" i="3"/>
  <c r="AV164" i="3"/>
  <c r="AU164" i="3"/>
  <c r="AT164" i="3"/>
  <c r="AS164" i="3"/>
  <c r="AV163" i="3"/>
  <c r="AU163" i="3"/>
  <c r="AT163" i="3"/>
  <c r="AS163" i="3"/>
  <c r="AV162" i="3"/>
  <c r="AU162" i="3"/>
  <c r="AT162" i="3"/>
  <c r="AS162" i="3"/>
  <c r="AV161" i="3"/>
  <c r="AU161" i="3"/>
  <c r="AT161" i="3"/>
  <c r="AS161" i="3"/>
  <c r="AV160" i="3"/>
  <c r="AU160" i="3"/>
  <c r="AT160" i="3"/>
  <c r="AS160" i="3"/>
  <c r="AV159" i="3"/>
  <c r="AU159" i="3"/>
  <c r="AT159" i="3"/>
  <c r="AS159" i="3"/>
  <c r="AV158" i="3"/>
  <c r="AU158" i="3"/>
  <c r="AT158" i="3"/>
  <c r="AS158" i="3"/>
  <c r="AV157" i="3"/>
  <c r="AU157" i="3"/>
  <c r="AT157" i="3"/>
  <c r="AS157" i="3"/>
  <c r="AV156" i="3"/>
  <c r="AU156" i="3"/>
  <c r="AT156" i="3"/>
  <c r="AS156" i="3"/>
  <c r="AV155" i="3"/>
  <c r="AU155" i="3"/>
  <c r="AT155" i="3"/>
  <c r="AS155" i="3"/>
  <c r="AV154" i="3"/>
  <c r="AU154" i="3"/>
  <c r="AT154" i="3"/>
  <c r="AS154" i="3"/>
  <c r="AV153" i="3"/>
  <c r="AU153" i="3"/>
  <c r="AT153" i="3"/>
  <c r="AS153" i="3"/>
  <c r="AV152" i="3"/>
  <c r="AU152" i="3"/>
  <c r="AT152" i="3"/>
  <c r="AS152" i="3"/>
  <c r="AV151" i="3"/>
  <c r="AU151" i="3"/>
  <c r="AT151" i="3"/>
  <c r="AS151" i="3"/>
  <c r="AV150" i="3"/>
  <c r="AU150" i="3"/>
  <c r="AT150" i="3"/>
  <c r="AS150" i="3"/>
  <c r="AV149" i="3"/>
  <c r="AU149" i="3"/>
  <c r="AT149" i="3"/>
  <c r="AS149" i="3"/>
  <c r="AV148" i="3"/>
  <c r="AU148" i="3"/>
  <c r="AT148" i="3"/>
  <c r="AS148" i="3"/>
  <c r="AV146" i="3"/>
  <c r="AU146" i="3"/>
  <c r="AT146" i="3"/>
  <c r="AS146" i="3"/>
  <c r="AV145" i="3"/>
  <c r="AU145" i="3"/>
  <c r="AT145" i="3"/>
  <c r="AS145" i="3"/>
  <c r="AV144" i="3"/>
  <c r="AU144" i="3"/>
  <c r="AT144" i="3"/>
  <c r="AS144" i="3"/>
  <c r="AV143" i="3"/>
  <c r="AU143" i="3"/>
  <c r="AT143" i="3"/>
  <c r="AS143" i="3"/>
  <c r="AV142" i="3"/>
  <c r="AU142" i="3"/>
  <c r="AT142" i="3"/>
  <c r="AS142" i="3"/>
  <c r="AV141" i="3"/>
  <c r="AU141" i="3"/>
  <c r="AT141" i="3"/>
  <c r="AS141" i="3"/>
  <c r="AV140" i="3"/>
  <c r="AU140" i="3"/>
  <c r="AT140" i="3"/>
  <c r="AS140" i="3"/>
  <c r="AV139" i="3"/>
  <c r="AU139" i="3"/>
  <c r="AT139" i="3"/>
  <c r="AS139" i="3"/>
  <c r="AV138" i="3"/>
  <c r="AU138" i="3"/>
  <c r="AT138" i="3"/>
  <c r="AS138" i="3"/>
  <c r="AV137" i="3"/>
  <c r="AU137" i="3"/>
  <c r="AT137" i="3"/>
  <c r="AS137" i="3"/>
  <c r="AV136" i="3"/>
  <c r="AU136" i="3"/>
  <c r="AT136" i="3"/>
  <c r="AS136" i="3"/>
  <c r="AV135" i="3"/>
  <c r="AU135" i="3"/>
  <c r="AT135" i="3"/>
  <c r="AS135" i="3"/>
  <c r="AV134" i="3"/>
  <c r="AU134" i="3"/>
  <c r="AT134" i="3"/>
  <c r="AS134" i="3"/>
  <c r="AV133" i="3"/>
  <c r="AU133" i="3"/>
  <c r="AT133" i="3"/>
  <c r="AS133" i="3"/>
  <c r="AV132" i="3"/>
  <c r="AU132" i="3"/>
  <c r="AT132" i="3"/>
  <c r="AS132" i="3"/>
  <c r="AV131" i="3"/>
  <c r="AU131" i="3"/>
  <c r="AT131" i="3"/>
  <c r="AS131" i="3"/>
  <c r="AV130" i="3"/>
  <c r="AU130" i="3"/>
  <c r="AT130" i="3"/>
  <c r="AS130" i="3"/>
  <c r="AV129" i="3"/>
  <c r="AU129" i="3"/>
  <c r="AT129" i="3"/>
  <c r="AS129" i="3"/>
  <c r="AV128" i="3"/>
  <c r="AU128" i="3"/>
  <c r="AT128" i="3"/>
  <c r="AS128" i="3"/>
  <c r="AV127" i="3"/>
  <c r="AU127" i="3"/>
  <c r="AT127" i="3"/>
  <c r="AS127" i="3"/>
  <c r="AV126" i="3"/>
  <c r="AU126" i="3"/>
  <c r="AT126" i="3"/>
  <c r="AS126" i="3"/>
  <c r="AV125" i="3"/>
  <c r="AU125" i="3"/>
  <c r="AT125" i="3"/>
  <c r="AS125" i="3"/>
  <c r="AV124" i="3"/>
  <c r="AU124" i="3"/>
  <c r="AT124" i="3"/>
  <c r="AS124" i="3"/>
  <c r="AV123" i="3"/>
  <c r="AU123" i="3"/>
  <c r="AT123" i="3"/>
  <c r="AS123" i="3"/>
  <c r="AV122" i="3"/>
  <c r="AU122" i="3"/>
  <c r="AT122" i="3"/>
  <c r="AS122" i="3"/>
  <c r="AV121" i="3"/>
  <c r="AU121" i="3"/>
  <c r="AT121" i="3"/>
  <c r="AS121" i="3"/>
  <c r="AV120" i="3"/>
  <c r="AU120" i="3"/>
  <c r="AT120" i="3"/>
  <c r="AS120" i="3"/>
  <c r="AV119" i="3"/>
  <c r="AU119" i="3"/>
  <c r="AT119" i="3"/>
  <c r="AS119" i="3"/>
  <c r="AV118" i="3"/>
  <c r="AU118" i="3"/>
  <c r="AT118" i="3"/>
  <c r="AS118" i="3"/>
  <c r="AV117" i="3"/>
  <c r="AU117" i="3"/>
  <c r="AT117" i="3"/>
  <c r="AS117" i="3"/>
  <c r="AV116" i="3"/>
  <c r="AU116" i="3"/>
  <c r="AT116" i="3"/>
  <c r="AS116" i="3"/>
  <c r="AV115" i="3"/>
  <c r="AU115" i="3"/>
  <c r="AT115" i="3"/>
  <c r="AS115" i="3"/>
  <c r="AV114" i="3"/>
  <c r="AU114" i="3"/>
  <c r="AT114" i="3"/>
  <c r="AS114" i="3"/>
  <c r="AV113" i="3"/>
  <c r="AU113" i="3"/>
  <c r="AT113" i="3"/>
  <c r="AS113" i="3"/>
  <c r="AV112" i="3"/>
  <c r="AU112" i="3"/>
  <c r="AT112" i="3"/>
  <c r="AS112" i="3"/>
  <c r="AV111" i="3"/>
  <c r="AU111" i="3"/>
  <c r="AT111" i="3"/>
  <c r="AS111" i="3"/>
  <c r="AV110" i="3"/>
  <c r="AU110" i="3"/>
  <c r="AT110" i="3"/>
  <c r="AS110" i="3"/>
  <c r="AV109" i="3"/>
  <c r="AU109" i="3"/>
  <c r="AT109" i="3"/>
  <c r="AS109" i="3"/>
  <c r="AV108" i="3"/>
  <c r="AU108" i="3"/>
  <c r="AT108" i="3"/>
  <c r="AS108" i="3"/>
  <c r="AV107" i="3"/>
  <c r="AU107" i="3"/>
  <c r="AT107" i="3"/>
  <c r="AS107" i="3"/>
  <c r="AV106" i="3"/>
  <c r="AU106" i="3"/>
  <c r="AT106" i="3"/>
  <c r="AS106" i="3"/>
  <c r="AV105" i="3"/>
  <c r="AU105" i="3"/>
  <c r="AT105" i="3"/>
  <c r="AS105" i="3"/>
  <c r="AV104" i="3"/>
  <c r="AU104" i="3"/>
  <c r="AT104" i="3"/>
  <c r="AS104" i="3"/>
  <c r="AV103" i="3"/>
  <c r="AU103" i="3"/>
  <c r="AT103" i="3"/>
  <c r="AS103" i="3"/>
  <c r="AV102" i="3"/>
  <c r="AU102" i="3"/>
  <c r="AT102" i="3"/>
  <c r="AS102" i="3"/>
  <c r="AV101" i="3"/>
  <c r="AU101" i="3"/>
  <c r="AT101" i="3"/>
  <c r="AS101" i="3"/>
  <c r="AV100" i="3"/>
  <c r="AU100" i="3"/>
  <c r="AT100" i="3"/>
  <c r="AS100" i="3"/>
  <c r="AV99" i="3"/>
  <c r="AU99" i="3"/>
  <c r="AT99" i="3"/>
  <c r="AS99" i="3"/>
  <c r="AV98" i="3"/>
  <c r="AU98" i="3"/>
  <c r="AT98" i="3"/>
  <c r="AS98" i="3"/>
  <c r="AV97" i="3"/>
  <c r="AU97" i="3"/>
  <c r="AT97" i="3"/>
  <c r="AS97" i="3"/>
  <c r="AV96" i="3"/>
  <c r="AU96" i="3"/>
  <c r="AT96" i="3"/>
  <c r="AS96" i="3"/>
  <c r="AV95" i="3"/>
  <c r="AU95" i="3"/>
  <c r="AT95" i="3"/>
  <c r="AS95" i="3"/>
  <c r="AV94" i="3"/>
  <c r="AU94" i="3"/>
  <c r="AT94" i="3"/>
  <c r="AS94" i="3"/>
  <c r="AV93" i="3"/>
  <c r="AU93" i="3"/>
  <c r="AT93" i="3"/>
  <c r="AS93" i="3"/>
  <c r="AV92" i="3"/>
  <c r="AU92" i="3"/>
  <c r="AT92" i="3"/>
  <c r="AS92" i="3"/>
  <c r="AV91" i="3"/>
  <c r="AU91" i="3"/>
  <c r="AT91" i="3"/>
  <c r="AS91" i="3"/>
  <c r="AV90" i="3"/>
  <c r="AU90" i="3"/>
  <c r="AT90" i="3"/>
  <c r="AS90" i="3"/>
  <c r="AV89" i="3"/>
  <c r="AU89" i="3"/>
  <c r="AT89" i="3"/>
  <c r="AS89" i="3"/>
  <c r="AV88" i="3"/>
  <c r="AU88" i="3"/>
  <c r="AT88" i="3"/>
  <c r="AS88" i="3"/>
  <c r="AV87" i="3"/>
  <c r="AU87" i="3"/>
  <c r="AT87" i="3"/>
  <c r="AS87" i="3"/>
  <c r="AV86" i="3"/>
  <c r="AU86" i="3"/>
  <c r="AT86" i="3"/>
  <c r="AS86" i="3"/>
  <c r="AV85" i="3"/>
  <c r="AU85" i="3"/>
  <c r="AT85" i="3"/>
  <c r="AS85" i="3"/>
  <c r="AV84" i="3"/>
  <c r="AU84" i="3"/>
  <c r="AT84" i="3"/>
  <c r="AS84" i="3"/>
  <c r="AV83" i="3"/>
  <c r="AU83" i="3"/>
  <c r="AT83" i="3"/>
  <c r="AS83" i="3"/>
  <c r="AV82" i="3"/>
  <c r="AU82" i="3"/>
  <c r="AT82" i="3"/>
  <c r="AS82" i="3"/>
  <c r="AV81" i="3"/>
  <c r="AU81" i="3"/>
  <c r="AT81" i="3"/>
  <c r="AS81" i="3"/>
  <c r="AV80" i="3"/>
  <c r="AU80" i="3"/>
  <c r="AT80" i="3"/>
  <c r="AS80" i="3"/>
  <c r="AV79" i="3"/>
  <c r="AU79" i="3"/>
  <c r="AT79" i="3"/>
  <c r="AS79" i="3"/>
  <c r="AV78" i="3"/>
  <c r="AU78" i="3"/>
  <c r="AT78" i="3"/>
  <c r="AS78" i="3"/>
  <c r="AV77" i="3"/>
  <c r="AU77" i="3"/>
  <c r="AT77" i="3"/>
  <c r="AS77" i="3"/>
  <c r="AV76" i="3"/>
  <c r="AU76" i="3"/>
  <c r="AT76" i="3"/>
  <c r="AS76" i="3"/>
  <c r="AV75" i="3"/>
  <c r="AU75" i="3"/>
  <c r="AT75" i="3"/>
  <c r="AS75" i="3"/>
  <c r="AV74" i="3"/>
  <c r="AU74" i="3"/>
  <c r="AT74" i="3"/>
  <c r="AS74" i="3"/>
  <c r="AV73" i="3"/>
  <c r="AU73" i="3"/>
  <c r="AT73" i="3"/>
  <c r="AS73" i="3"/>
  <c r="AV72" i="3"/>
  <c r="AU72" i="3"/>
  <c r="AT72" i="3"/>
  <c r="AS72" i="3"/>
  <c r="AV71" i="3"/>
  <c r="AU71" i="3"/>
  <c r="AT71" i="3"/>
  <c r="AS71" i="3"/>
  <c r="AV70" i="3"/>
  <c r="AU70" i="3"/>
  <c r="AT70" i="3"/>
  <c r="AS70" i="3"/>
  <c r="AV69" i="3"/>
  <c r="AU69" i="3"/>
  <c r="AT69" i="3"/>
  <c r="AS69" i="3"/>
  <c r="AV68" i="3"/>
  <c r="AU68" i="3"/>
  <c r="AT68" i="3"/>
  <c r="AS68" i="3"/>
  <c r="AV67" i="3"/>
  <c r="AU67" i="3"/>
  <c r="AT67" i="3"/>
  <c r="AS67" i="3"/>
  <c r="AV66" i="3"/>
  <c r="AU66" i="3"/>
  <c r="AT66" i="3"/>
  <c r="AS66" i="3"/>
  <c r="AV65" i="3"/>
  <c r="AU65" i="3"/>
  <c r="AT65" i="3"/>
  <c r="AS65" i="3"/>
  <c r="AV64" i="3"/>
  <c r="AU64" i="3"/>
  <c r="AT64" i="3"/>
  <c r="AS64" i="3"/>
  <c r="AV63" i="3"/>
  <c r="AU63" i="3"/>
  <c r="AT63" i="3"/>
  <c r="AS63" i="3"/>
  <c r="AV62" i="3"/>
  <c r="AU62" i="3"/>
  <c r="AT62" i="3"/>
  <c r="AS62" i="3"/>
  <c r="AV61" i="3"/>
  <c r="AU61" i="3"/>
  <c r="AT61" i="3"/>
  <c r="AS61" i="3"/>
  <c r="AV60" i="3"/>
  <c r="AU60" i="3"/>
  <c r="AT60" i="3"/>
  <c r="AS60" i="3"/>
  <c r="AV59" i="3"/>
  <c r="AU59" i="3"/>
  <c r="AT59" i="3"/>
  <c r="AS59" i="3"/>
  <c r="AV58" i="3"/>
  <c r="AU58" i="3"/>
  <c r="AT58" i="3"/>
  <c r="AS58" i="3"/>
  <c r="AV57" i="3"/>
  <c r="AU57" i="3"/>
  <c r="AT57" i="3"/>
  <c r="AS57" i="3"/>
  <c r="AV56" i="3"/>
  <c r="AU56" i="3"/>
  <c r="AT56" i="3"/>
  <c r="AS56" i="3"/>
  <c r="AV45" i="3"/>
  <c r="AU45" i="3"/>
  <c r="AT45" i="3"/>
  <c r="AS45" i="3"/>
  <c r="AV44" i="3"/>
  <c r="AU44" i="3"/>
  <c r="AT44" i="3"/>
  <c r="AS44" i="3"/>
  <c r="AV43" i="3"/>
  <c r="AU43" i="3"/>
  <c r="AT43" i="3"/>
  <c r="AS43" i="3"/>
  <c r="AV42" i="3"/>
  <c r="AU42" i="3"/>
  <c r="AT42" i="3"/>
  <c r="AS42" i="3"/>
  <c r="AV41" i="3"/>
  <c r="AU41" i="3"/>
  <c r="AT41" i="3"/>
  <c r="AS41" i="3"/>
  <c r="AV40" i="3"/>
  <c r="AU40" i="3"/>
  <c r="AT40" i="3"/>
  <c r="AS40" i="3"/>
  <c r="AV39" i="3"/>
  <c r="AU39" i="3"/>
  <c r="AT39" i="3"/>
  <c r="AS39" i="3"/>
  <c r="AV38" i="3"/>
  <c r="AU38" i="3"/>
  <c r="AT38" i="3"/>
  <c r="AS38" i="3"/>
  <c r="AV37" i="3"/>
  <c r="AU37" i="3"/>
  <c r="AT37" i="3"/>
  <c r="AS37" i="3"/>
  <c r="AV36" i="3"/>
  <c r="AU36" i="3"/>
  <c r="AT36" i="3"/>
  <c r="AS36" i="3"/>
  <c r="AV35" i="3"/>
  <c r="AU35" i="3"/>
  <c r="AT35" i="3"/>
  <c r="AS35" i="3"/>
  <c r="AV34" i="3"/>
  <c r="AU34" i="3"/>
  <c r="AT34" i="3"/>
  <c r="AS34" i="3"/>
  <c r="AV33" i="3"/>
  <c r="AU33" i="3"/>
  <c r="AT33" i="3"/>
  <c r="AS33" i="3"/>
  <c r="AV32" i="3"/>
  <c r="AU32" i="3"/>
  <c r="AT32" i="3"/>
  <c r="AS32" i="3"/>
  <c r="AV31" i="3"/>
  <c r="AU31" i="3"/>
  <c r="AT31" i="3"/>
  <c r="AS31" i="3"/>
  <c r="AV30" i="3"/>
  <c r="AU30" i="3"/>
  <c r="AT30" i="3"/>
  <c r="AS30" i="3"/>
  <c r="AV29" i="3"/>
  <c r="AU29" i="3"/>
  <c r="AT29" i="3"/>
  <c r="AS29" i="3"/>
  <c r="AV28" i="3"/>
  <c r="AU28" i="3"/>
  <c r="AT28" i="3"/>
  <c r="AS28" i="3"/>
  <c r="AV27" i="3"/>
  <c r="AU27" i="3"/>
  <c r="AT27" i="3"/>
  <c r="AS27" i="3"/>
  <c r="AV26" i="3"/>
  <c r="AU26" i="3"/>
  <c r="AT26" i="3"/>
  <c r="AS26" i="3"/>
  <c r="AV25" i="3"/>
  <c r="AU25" i="3"/>
  <c r="AT25" i="3"/>
  <c r="AS25" i="3"/>
  <c r="AV24" i="3"/>
  <c r="AU24" i="3"/>
  <c r="AT24" i="3"/>
  <c r="AS24" i="3"/>
  <c r="AV23" i="3"/>
  <c r="AU23" i="3"/>
  <c r="AT23" i="3"/>
  <c r="AS23" i="3"/>
  <c r="AV22" i="3"/>
  <c r="AU22" i="3"/>
  <c r="AT22" i="3"/>
  <c r="AS22" i="3"/>
  <c r="AV21" i="3"/>
  <c r="AU21" i="3"/>
  <c r="AT21" i="3"/>
  <c r="AS21" i="3"/>
  <c r="AV20" i="3"/>
  <c r="AU20" i="3"/>
  <c r="AT20" i="3"/>
  <c r="AS20" i="3"/>
  <c r="AV19" i="3"/>
  <c r="AU19" i="3"/>
  <c r="AT19" i="3"/>
  <c r="AS19" i="3"/>
  <c r="AV18" i="3"/>
  <c r="AU18" i="3"/>
  <c r="AT18" i="3"/>
  <c r="AS18" i="3"/>
  <c r="AV17" i="3"/>
  <c r="AU17" i="3"/>
  <c r="AT17" i="3"/>
  <c r="AS17" i="3"/>
  <c r="AV16" i="3"/>
  <c r="AU16" i="3"/>
  <c r="AT16" i="3"/>
  <c r="AS16" i="3"/>
  <c r="AV15" i="3"/>
  <c r="AU15" i="3"/>
  <c r="AT15" i="3"/>
  <c r="AS15" i="3"/>
  <c r="AV14" i="3"/>
  <c r="AU14" i="3"/>
  <c r="AT14" i="3"/>
  <c r="AS14" i="3"/>
  <c r="AV13" i="3"/>
  <c r="AU13" i="3"/>
  <c r="AT13" i="3"/>
  <c r="AS13" i="3"/>
  <c r="AV12" i="3"/>
  <c r="AU12" i="3"/>
  <c r="AT12" i="3"/>
  <c r="AS12" i="3"/>
  <c r="AV11" i="3"/>
  <c r="AU11" i="3"/>
  <c r="AT11" i="3"/>
  <c r="AS11" i="3"/>
  <c r="C6" i="16" l="1"/>
  <c r="N39" i="15"/>
  <c r="N40" i="15" s="1"/>
  <c r="G22" i="15" l="1"/>
  <c r="H18" i="16"/>
  <c r="H17" i="16"/>
  <c r="H16" i="16"/>
  <c r="AM829" i="3" l="1"/>
  <c r="D17" i="16" l="1"/>
  <c r="E17" i="16"/>
  <c r="D18" i="16"/>
  <c r="E18" i="16"/>
  <c r="D16" i="16"/>
  <c r="E16" i="16"/>
  <c r="B17" i="16"/>
  <c r="B18" i="16"/>
  <c r="B16" i="16"/>
  <c r="I5" i="16" l="1"/>
  <c r="J5" i="16"/>
  <c r="P828" i="3" l="1"/>
  <c r="S828" i="3"/>
  <c r="T828" i="3"/>
  <c r="P829" i="3"/>
  <c r="Q829" i="3"/>
  <c r="S829" i="3"/>
  <c r="T829" i="3"/>
  <c r="P830" i="3"/>
  <c r="Q830" i="3"/>
  <c r="S830" i="3"/>
  <c r="T830" i="3"/>
  <c r="P831" i="3"/>
  <c r="Q831" i="3"/>
  <c r="S831" i="3"/>
  <c r="T831" i="3"/>
  <c r="R830" i="3"/>
  <c r="R828" i="3"/>
  <c r="R829" i="3"/>
  <c r="R831" i="3"/>
  <c r="R826" i="3" l="1"/>
  <c r="AM826" i="3" l="1"/>
  <c r="K36" i="15" l="1"/>
  <c r="H36" i="15"/>
  <c r="Q828" i="3" l="1"/>
  <c r="M865" i="3" l="1"/>
  <c r="M863" i="3"/>
  <c r="J30" i="15" s="1"/>
  <c r="M861" i="3"/>
  <c r="J26" i="15" s="1"/>
  <c r="M862" i="3"/>
  <c r="J28" i="15" s="1"/>
  <c r="K41" i="15" l="1"/>
  <c r="K40" i="15"/>
  <c r="K42" i="15" l="1"/>
  <c r="M857" i="3"/>
  <c r="J857" i="3"/>
  <c r="G872" i="3"/>
  <c r="G874" i="3" s="1"/>
  <c r="G871" i="3"/>
  <c r="G873" i="3" s="1"/>
  <c r="G876" i="3"/>
  <c r="G875" i="3"/>
  <c r="I872" i="3"/>
  <c r="I874" i="3" s="1"/>
  <c r="H872" i="3"/>
  <c r="H874" i="3" s="1"/>
  <c r="H871" i="3"/>
  <c r="I873" i="3" s="1"/>
  <c r="J871" i="3"/>
  <c r="J873" i="3" s="1"/>
  <c r="I871" i="3" l="1"/>
  <c r="K861" i="3" s="1"/>
  <c r="I26" i="15" s="1"/>
  <c r="H873" i="3"/>
  <c r="M868" i="3" s="1"/>
  <c r="I40" i="15" l="1"/>
  <c r="I861" i="3"/>
  <c r="H26" i="15" s="1"/>
  <c r="I862" i="3"/>
  <c r="K862" i="3"/>
  <c r="I28" i="15" s="1"/>
  <c r="M867" i="3"/>
  <c r="M866" i="3"/>
  <c r="M869" i="3" s="1"/>
  <c r="Z868" i="3" l="1"/>
  <c r="G41" i="15"/>
  <c r="H28" i="15"/>
  <c r="I30" i="15"/>
  <c r="G40" i="15"/>
  <c r="K863" i="3"/>
  <c r="I41" i="15"/>
  <c r="I42" i="15" s="1"/>
  <c r="I863" i="3"/>
  <c r="Z867" i="3"/>
  <c r="Z869" i="3" l="1"/>
  <c r="H30" i="15"/>
  <c r="G42" i="15"/>
  <c r="W38" i="15"/>
  <c r="W39" i="15"/>
  <c r="B828" i="3"/>
  <c r="W40" i="15" l="1"/>
  <c r="AT10" i="14"/>
  <c r="AV10" i="14" s="1"/>
  <c r="AU10" i="14" l="1"/>
  <c r="AT11" i="14"/>
  <c r="AV11" i="14" l="1"/>
  <c r="AU11" i="14"/>
  <c r="AT12" i="14"/>
  <c r="AV12" i="14" l="1"/>
  <c r="AU12" i="14"/>
  <c r="AT13" i="14"/>
  <c r="AT14" i="14" s="1"/>
  <c r="AU14" i="14" l="1"/>
  <c r="AV14" i="14"/>
  <c r="AU13" i="14"/>
  <c r="AV13" i="14"/>
  <c r="AT15" i="14"/>
  <c r="AV15" i="14" l="1"/>
  <c r="AU15" i="14"/>
  <c r="AT16" i="14"/>
  <c r="AV16" i="14" l="1"/>
  <c r="AU16" i="14"/>
  <c r="AT17" i="14"/>
  <c r="AV17" i="14" l="1"/>
  <c r="AU17" i="14"/>
  <c r="AT18" i="14"/>
  <c r="AV18" i="14" l="1"/>
  <c r="AU18" i="14"/>
  <c r="AT19" i="14"/>
  <c r="AU19" i="14" l="1"/>
  <c r="AV19" i="14"/>
  <c r="AT20" i="14"/>
  <c r="AU20" i="14" l="1"/>
  <c r="AV20" i="14"/>
  <c r="AT21" i="14"/>
  <c r="AV21" i="14" l="1"/>
  <c r="AU21" i="14"/>
  <c r="AT22" i="14"/>
  <c r="AV22" i="14" l="1"/>
  <c r="AU22" i="14"/>
  <c r="AT23" i="14"/>
  <c r="AV23" i="14" l="1"/>
  <c r="AU23" i="14"/>
  <c r="AT24" i="14"/>
  <c r="AV24" i="14" l="1"/>
  <c r="AU24" i="14"/>
  <c r="AT25" i="14"/>
  <c r="AU25" i="14" l="1"/>
  <c r="AV25" i="14"/>
  <c r="AT26" i="14"/>
  <c r="AU26" i="14" l="1"/>
  <c r="AV26" i="14"/>
  <c r="AT27" i="14"/>
  <c r="AV27" i="14" l="1"/>
  <c r="AU27" i="14"/>
  <c r="AT28" i="14"/>
  <c r="AV28" i="14" l="1"/>
  <c r="AU28" i="14"/>
  <c r="AT29" i="14"/>
  <c r="AV29" i="14" l="1"/>
  <c r="AU29" i="14"/>
  <c r="AT30" i="14"/>
  <c r="AV30" i="14" l="1"/>
  <c r="AU30" i="14"/>
  <c r="AT31" i="14"/>
  <c r="AU31" i="14" l="1"/>
  <c r="AV31" i="14"/>
  <c r="AT32" i="14"/>
  <c r="AU32" i="14" l="1"/>
  <c r="AV32" i="14"/>
  <c r="AT33" i="14"/>
  <c r="AV33" i="14" l="1"/>
  <c r="AU33" i="14"/>
  <c r="AT34" i="14"/>
  <c r="AV34" i="14" l="1"/>
  <c r="AU34" i="14"/>
  <c r="AT35" i="14"/>
  <c r="AV35" i="14" l="1"/>
  <c r="AU35" i="14"/>
  <c r="AT36" i="14"/>
  <c r="AV36" i="14" l="1"/>
  <c r="AU36" i="14"/>
  <c r="AT37" i="14"/>
  <c r="AU37" i="14" l="1"/>
  <c r="AV37" i="14"/>
  <c r="AT38" i="14"/>
  <c r="AV38" i="14" l="1"/>
  <c r="AU38" i="14"/>
  <c r="AT39" i="14"/>
  <c r="AV39" i="14" l="1"/>
  <c r="AU39" i="14"/>
  <c r="AT40" i="14"/>
  <c r="AV40" i="14" l="1"/>
  <c r="AU40" i="14"/>
  <c r="AM828" i="3" l="1"/>
  <c r="AN828" i="3"/>
  <c r="AN829" i="3"/>
  <c r="AM830" i="3"/>
  <c r="AN830" i="3"/>
  <c r="AM831" i="3"/>
  <c r="AN831" i="3"/>
  <c r="D4" i="16" l="1"/>
  <c r="C4" i="16" l="1"/>
  <c r="C5" i="16" s="1"/>
  <c r="C35" i="16" l="1"/>
  <c r="C106" i="16"/>
  <c r="C136" i="16"/>
  <c r="C162" i="16"/>
  <c r="C192" i="16"/>
  <c r="C218" i="16"/>
  <c r="C248" i="16"/>
  <c r="C274" i="16"/>
  <c r="C304" i="16"/>
  <c r="C330" i="16"/>
  <c r="C360" i="16"/>
  <c r="C364" i="16"/>
  <c r="C368" i="16"/>
  <c r="C372" i="16"/>
  <c r="C376" i="16"/>
  <c r="C380" i="16"/>
  <c r="C384" i="16"/>
  <c r="C388" i="16"/>
  <c r="C392" i="16"/>
  <c r="C396" i="16"/>
  <c r="C400" i="16"/>
  <c r="C404" i="16"/>
  <c r="C408" i="16"/>
  <c r="C412" i="16"/>
  <c r="C416" i="16"/>
  <c r="C420" i="16"/>
  <c r="C424" i="16"/>
  <c r="C428" i="16"/>
  <c r="C432" i="16"/>
  <c r="C436" i="16"/>
  <c r="C440" i="16"/>
  <c r="C444" i="16"/>
  <c r="C448" i="16"/>
  <c r="C452" i="16"/>
  <c r="C456" i="16"/>
  <c r="C460" i="16"/>
  <c r="C464" i="16"/>
  <c r="C468" i="16"/>
  <c r="C472" i="16"/>
  <c r="C476" i="16"/>
  <c r="C480" i="16"/>
  <c r="C484" i="16"/>
  <c r="C488" i="16"/>
  <c r="C492" i="16"/>
  <c r="C496" i="16"/>
  <c r="C500" i="16"/>
  <c r="C504" i="16"/>
  <c r="C508" i="16"/>
  <c r="C512" i="16"/>
  <c r="C516" i="16"/>
  <c r="C520" i="16"/>
  <c r="C524" i="16"/>
  <c r="C528" i="16"/>
  <c r="C532" i="16"/>
  <c r="C536" i="16"/>
  <c r="C540" i="16"/>
  <c r="C544" i="16"/>
  <c r="C548" i="16"/>
  <c r="C36" i="16"/>
  <c r="C63" i="16"/>
  <c r="C200" i="16"/>
  <c r="C282" i="16"/>
  <c r="C397" i="16"/>
  <c r="C287" i="16"/>
  <c r="C389" i="16"/>
  <c r="C114" i="16"/>
  <c r="C219" i="16"/>
  <c r="C381" i="16"/>
  <c r="C88" i="16"/>
  <c r="C71" i="16"/>
  <c r="C144" i="16"/>
  <c r="C163" i="16"/>
  <c r="C343" i="16"/>
  <c r="C405" i="16"/>
  <c r="C178" i="16"/>
  <c r="C497" i="16"/>
  <c r="C164" i="16"/>
  <c r="C188" i="16"/>
  <c r="C259" i="16"/>
  <c r="C311" i="16"/>
  <c r="C406" i="16"/>
  <c r="C419" i="16"/>
  <c r="C471" i="16"/>
  <c r="C601" i="16"/>
  <c r="C657" i="16"/>
  <c r="C226" i="16"/>
  <c r="C393" i="16"/>
  <c r="C31" i="16"/>
  <c r="C122" i="16"/>
  <c r="C155" i="16"/>
  <c r="C174" i="16"/>
  <c r="C198" i="16"/>
  <c r="C231" i="16"/>
  <c r="C250" i="16"/>
  <c r="C283" i="16"/>
  <c r="C302" i="16"/>
  <c r="C402" i="16"/>
  <c r="C415" i="16"/>
  <c r="C454" i="16"/>
  <c r="C467" i="16"/>
  <c r="C506" i="16"/>
  <c r="C519" i="16"/>
  <c r="C108" i="16"/>
  <c r="C132" i="16"/>
  <c r="C146" i="16"/>
  <c r="C255" i="16"/>
  <c r="C385" i="16"/>
  <c r="C437" i="16"/>
  <c r="C489" i="16"/>
  <c r="C128" i="16"/>
  <c r="C170" i="16"/>
  <c r="C251" i="16"/>
  <c r="C429" i="16"/>
  <c r="C59" i="16"/>
  <c r="C90" i="16"/>
  <c r="C156" i="16"/>
  <c r="C175" i="16"/>
  <c r="C199" i="16"/>
  <c r="C232" i="16"/>
  <c r="C270" i="16"/>
  <c r="C303" i="16"/>
  <c r="C322" i="16"/>
  <c r="C76" i="16"/>
  <c r="C96" i="16"/>
  <c r="C186" i="16"/>
  <c r="C127" i="16"/>
  <c r="C312" i="16"/>
  <c r="C373" i="16"/>
  <c r="C435" i="16"/>
  <c r="C606" i="16"/>
  <c r="C19" i="16"/>
  <c r="C138" i="16"/>
  <c r="C159" i="16"/>
  <c r="C266" i="16"/>
  <c r="C271" i="16"/>
  <c r="C276" i="16"/>
  <c r="C307" i="16"/>
  <c r="C44" i="16"/>
  <c r="C230" i="16"/>
  <c r="C547" i="16"/>
  <c r="C246" i="16"/>
  <c r="C403" i="16"/>
  <c r="C422" i="16"/>
  <c r="C427" i="16"/>
  <c r="C723" i="16"/>
  <c r="C166" i="16"/>
  <c r="C215" i="16"/>
  <c r="C220" i="16"/>
  <c r="C334" i="16"/>
  <c r="C339" i="16"/>
  <c r="C379" i="16"/>
  <c r="C413" i="16"/>
  <c r="C466" i="16"/>
  <c r="C485" i="16"/>
  <c r="C514" i="16"/>
  <c r="C626" i="16"/>
  <c r="C685" i="16"/>
  <c r="C698" i="16"/>
  <c r="C719" i="16"/>
  <c r="C748" i="16"/>
  <c r="C365" i="16"/>
  <c r="C288" i="16"/>
  <c r="C107" i="16"/>
  <c r="C140" i="16"/>
  <c r="C707" i="16"/>
  <c r="C80" i="16"/>
  <c r="C247" i="16"/>
  <c r="C294" i="16"/>
  <c r="C40" i="16"/>
  <c r="C119" i="16"/>
  <c r="C167" i="16"/>
  <c r="C184" i="16"/>
  <c r="C409" i="16"/>
  <c r="C279" i="16"/>
  <c r="C315" i="16"/>
  <c r="C190" i="16"/>
  <c r="C195" i="16"/>
  <c r="C346" i="16"/>
  <c r="C223" i="16"/>
  <c r="C342" i="16"/>
  <c r="C32" i="16"/>
  <c r="C275" i="16"/>
  <c r="C316" i="16"/>
  <c r="C505" i="16"/>
  <c r="C531" i="16"/>
  <c r="C596" i="16"/>
  <c r="C636" i="16"/>
  <c r="C674" i="16"/>
  <c r="C767" i="16"/>
  <c r="C228" i="16"/>
  <c r="C356" i="16"/>
  <c r="C383" i="16"/>
  <c r="C431" i="16"/>
  <c r="C521" i="16"/>
  <c r="C806" i="16"/>
  <c r="C64" i="16"/>
  <c r="C95" i="16"/>
  <c r="C224" i="16"/>
  <c r="C417" i="16"/>
  <c r="C703" i="16"/>
  <c r="C803" i="16"/>
  <c r="C786" i="16"/>
  <c r="C158" i="16"/>
  <c r="C470" i="16"/>
  <c r="C518" i="16"/>
  <c r="C569" i="16"/>
  <c r="C799" i="16"/>
  <c r="C72" i="16"/>
  <c r="C335" i="16"/>
  <c r="C352" i="16"/>
  <c r="C358" i="16"/>
  <c r="C433" i="16"/>
  <c r="C465" i="16"/>
  <c r="C507" i="16"/>
  <c r="C533" i="16"/>
  <c r="C652" i="16"/>
  <c r="C694" i="16"/>
  <c r="C747" i="16"/>
  <c r="C254" i="16"/>
  <c r="C554" i="16"/>
  <c r="C633" i="16"/>
  <c r="C712" i="16"/>
  <c r="C743" i="16"/>
  <c r="C769" i="16"/>
  <c r="C375" i="16"/>
  <c r="C662" i="16"/>
  <c r="C795" i="16"/>
  <c r="C110" i="16"/>
  <c r="C386" i="16"/>
  <c r="C391" i="16"/>
  <c r="C407" i="16"/>
  <c r="C55" i="16"/>
  <c r="C336" i="16"/>
  <c r="C589" i="16"/>
  <c r="C653" i="16"/>
  <c r="C726" i="16"/>
  <c r="C757" i="16"/>
  <c r="C787" i="16"/>
  <c r="C331" i="16"/>
  <c r="C23" i="16"/>
  <c r="C202" i="16"/>
  <c r="C214" i="16"/>
  <c r="C314" i="16"/>
  <c r="C555" i="16"/>
  <c r="C565" i="16"/>
  <c r="C634" i="16"/>
  <c r="C813" i="16"/>
  <c r="C196" i="16"/>
  <c r="C118" i="16"/>
  <c r="C377" i="16"/>
  <c r="C576" i="16"/>
  <c r="C87" i="16"/>
  <c r="C268" i="16"/>
  <c r="C474" i="16"/>
  <c r="C152" i="16"/>
  <c r="C350" i="16"/>
  <c r="C338" i="16"/>
  <c r="C658" i="16"/>
  <c r="C147" i="16"/>
  <c r="C534" i="16"/>
  <c r="C546" i="16"/>
  <c r="C632" i="16"/>
  <c r="C648" i="16"/>
  <c r="C734" i="16"/>
  <c r="C212" i="16"/>
  <c r="C487" i="16"/>
  <c r="C511" i="16"/>
  <c r="C684" i="16"/>
  <c r="C782" i="16"/>
  <c r="C811" i="16"/>
  <c r="C326" i="16"/>
  <c r="C605" i="16"/>
  <c r="C758" i="16"/>
  <c r="C797" i="16"/>
  <c r="C238" i="16"/>
  <c r="C369" i="16"/>
  <c r="C423" i="16"/>
  <c r="C563" i="16"/>
  <c r="C715" i="16"/>
  <c r="C744" i="16"/>
  <c r="C394" i="16"/>
  <c r="C529" i="16"/>
  <c r="C574" i="16"/>
  <c r="C700" i="16"/>
  <c r="C807" i="16"/>
  <c r="C148" i="16"/>
  <c r="C194" i="16"/>
  <c r="C258" i="16"/>
  <c r="C296" i="16"/>
  <c r="C327" i="16"/>
  <c r="C535" i="16"/>
  <c r="C628" i="16"/>
  <c r="C759" i="16"/>
  <c r="C783" i="16"/>
  <c r="C102" i="16"/>
  <c r="C590" i="16"/>
  <c r="C711" i="16"/>
  <c r="C735" i="16"/>
  <c r="C495" i="16"/>
  <c r="C580" i="16"/>
  <c r="C359" i="16"/>
  <c r="C239" i="16"/>
  <c r="C477" i="16"/>
  <c r="C585" i="16"/>
  <c r="C681" i="16"/>
  <c r="C721" i="16"/>
  <c r="C425" i="16"/>
  <c r="C624" i="16"/>
  <c r="C130" i="16"/>
  <c r="C490" i="16"/>
  <c r="C597" i="16"/>
  <c r="C67" i="16"/>
  <c r="C761" i="16"/>
  <c r="C660" i="16"/>
  <c r="C513" i="16"/>
  <c r="C750" i="16"/>
  <c r="C625" i="16"/>
  <c r="C739" i="16"/>
  <c r="C690" i="16"/>
  <c r="C526" i="16"/>
  <c r="C570" i="16"/>
  <c r="C582" i="16"/>
  <c r="C600" i="16"/>
  <c r="C789" i="16"/>
  <c r="C319" i="16"/>
  <c r="C482" i="16"/>
  <c r="C451" i="16"/>
  <c r="C642" i="16"/>
  <c r="C724" i="16"/>
  <c r="C151" i="16"/>
  <c r="C762" i="16"/>
  <c r="C260" i="16"/>
  <c r="C779" i="16"/>
  <c r="C354" i="16"/>
  <c r="C387" i="16"/>
  <c r="C673" i="16"/>
  <c r="C361" i="16"/>
  <c r="C459" i="16"/>
  <c r="C785" i="16"/>
  <c r="C790" i="16"/>
  <c r="C629" i="16"/>
  <c r="C755" i="16"/>
  <c r="C443" i="16"/>
  <c r="C641" i="16"/>
  <c r="C805" i="16"/>
  <c r="C745" i="16"/>
  <c r="C401" i="16"/>
  <c r="C414" i="16"/>
  <c r="C566" i="16"/>
  <c r="C731" i="16"/>
  <c r="C763" i="16"/>
  <c r="C668" i="16"/>
  <c r="C714" i="16"/>
  <c r="C421" i="16"/>
  <c r="C542" i="16"/>
  <c r="C621" i="16"/>
  <c r="C753" i="16"/>
  <c r="C537" i="16"/>
  <c r="C676" i="16"/>
  <c r="C738" i="16"/>
  <c r="C815" i="16"/>
  <c r="C778" i="16"/>
  <c r="C801" i="16"/>
  <c r="C453" i="16"/>
  <c r="C650" i="16"/>
  <c r="C814" i="16"/>
  <c r="C390" i="16"/>
  <c r="C203" i="16"/>
  <c r="C462" i="16"/>
  <c r="C664" i="16"/>
  <c r="C682" i="16"/>
  <c r="C728" i="16"/>
  <c r="C630" i="16"/>
  <c r="C438" i="16"/>
  <c r="C706" i="16"/>
  <c r="C378" i="16"/>
  <c r="C577" i="16"/>
  <c r="C794" i="16"/>
  <c r="C362" i="16"/>
  <c r="C680" i="16"/>
  <c r="C770" i="16"/>
  <c r="C242" i="16"/>
  <c r="C479" i="16"/>
  <c r="C732" i="16"/>
  <c r="C742" i="16"/>
  <c r="C781" i="16"/>
  <c r="C581" i="16"/>
  <c r="C809" i="16"/>
  <c r="C771" i="16"/>
  <c r="C617" i="16"/>
  <c r="C693" i="16"/>
  <c r="C713" i="16"/>
  <c r="C99" i="16"/>
  <c r="C126" i="16"/>
  <c r="C473" i="16"/>
  <c r="C609" i="16"/>
  <c r="C697" i="16"/>
  <c r="C737" i="16"/>
  <c r="C775" i="16"/>
  <c r="C791" i="16"/>
  <c r="C645" i="16"/>
  <c r="C692" i="16"/>
  <c r="C550" i="16"/>
  <c r="C670" i="16"/>
  <c r="C749" i="16"/>
  <c r="C351" i="16"/>
  <c r="C286" i="16"/>
  <c r="C751" i="16"/>
  <c r="C256" i="16"/>
  <c r="C727" i="16"/>
  <c r="C323" i="16"/>
  <c r="C543" i="16"/>
  <c r="C616" i="16"/>
  <c r="C622" i="16"/>
  <c r="C216" i="16"/>
  <c r="C363" i="16"/>
  <c r="C722" i="16"/>
  <c r="C646" i="16"/>
  <c r="C766" i="16"/>
  <c r="C810" i="16"/>
  <c r="C746" i="16"/>
  <c r="C525" i="16"/>
  <c r="C221" i="16"/>
  <c r="C741" i="16"/>
  <c r="C469" i="16"/>
  <c r="C613" i="16"/>
  <c r="C284" i="16"/>
  <c r="C691" i="16"/>
  <c r="C768" i="16"/>
  <c r="C545" i="16"/>
  <c r="C189" i="16"/>
  <c r="C25" i="16"/>
  <c r="C237" i="16"/>
  <c r="C68" i="16"/>
  <c r="C73" i="16"/>
  <c r="C754" i="16"/>
  <c r="C709" i="16"/>
  <c r="C180" i="16"/>
  <c r="C678" i="16"/>
  <c r="C457" i="16"/>
  <c r="C623" i="16"/>
  <c r="C321" i="16"/>
  <c r="C559" i="16"/>
  <c r="C91" i="16"/>
  <c r="C70" i="16"/>
  <c r="C320" i="16"/>
  <c r="C635" i="16"/>
  <c r="C29" i="16"/>
  <c r="C57" i="16"/>
  <c r="C54" i="16"/>
  <c r="C702" i="16"/>
  <c r="C640" i="16"/>
  <c r="C656" i="16"/>
  <c r="C183" i="16"/>
  <c r="C50" i="16"/>
  <c r="C234" i="16"/>
  <c r="C639" i="16"/>
  <c r="C340" i="16"/>
  <c r="C398" i="16"/>
  <c r="C98" i="16"/>
  <c r="C442" i="16"/>
  <c r="C257" i="16"/>
  <c r="C241" i="16"/>
  <c r="C52" i="16"/>
  <c r="C93" i="16"/>
  <c r="C788" i="16"/>
  <c r="C426" i="16"/>
  <c r="C765" i="16"/>
  <c r="C620" i="16"/>
  <c r="C267" i="16"/>
  <c r="C665" i="16"/>
  <c r="C244" i="16"/>
  <c r="C56" i="16"/>
  <c r="C313" i="16"/>
  <c r="C104" i="16"/>
  <c r="C395" i="16"/>
  <c r="C113" i="16"/>
  <c r="C137" i="16"/>
  <c r="C530" i="16"/>
  <c r="C345" i="16"/>
  <c r="C43" i="16"/>
  <c r="C42" i="16"/>
  <c r="C78" i="16"/>
  <c r="C149" i="16"/>
  <c r="C675" i="16"/>
  <c r="C92" i="16"/>
  <c r="C615" i="16"/>
  <c r="C798" i="16"/>
  <c r="C131" i="16"/>
  <c r="C666" i="16"/>
  <c r="C618" i="16"/>
  <c r="C252" i="16"/>
  <c r="C800" i="16"/>
  <c r="C86" i="16"/>
  <c r="C812" i="16"/>
  <c r="C61" i="16"/>
  <c r="C179" i="16"/>
  <c r="C729" i="16"/>
  <c r="C280" i="16"/>
  <c r="C710" i="16"/>
  <c r="C434" i="16"/>
  <c r="C501" i="16"/>
  <c r="C185" i="16"/>
  <c r="C298" i="16"/>
  <c r="C780" i="16"/>
  <c r="C349" i="16"/>
  <c r="C689" i="16"/>
  <c r="C619" i="16"/>
  <c r="C804" i="16"/>
  <c r="C669" i="16"/>
  <c r="C776" i="16"/>
  <c r="C688" i="16"/>
  <c r="C701" i="16"/>
  <c r="C774" i="16"/>
  <c r="C649" i="16"/>
  <c r="C808" i="16"/>
  <c r="C60" i="16"/>
  <c r="C121" i="16"/>
  <c r="C683" i="16"/>
  <c r="C463" i="16"/>
  <c r="C236" i="16"/>
  <c r="C341" i="16"/>
  <c r="C94" i="16"/>
  <c r="C297" i="16"/>
  <c r="C329" i="16"/>
  <c r="C123" i="16"/>
  <c r="C26" i="16"/>
  <c r="C705" i="16"/>
  <c r="C610" i="16"/>
  <c r="C573" i="16"/>
  <c r="C637" i="16"/>
  <c r="C299" i="16"/>
  <c r="C549" i="16"/>
  <c r="C716" i="16"/>
  <c r="C411" i="16"/>
  <c r="C143" i="16"/>
  <c r="C604" i="16"/>
  <c r="C752" i="16"/>
  <c r="C564" i="16"/>
  <c r="C756" i="16"/>
  <c r="C41" i="16"/>
  <c r="C371" i="16"/>
  <c r="C584" i="16"/>
  <c r="C79" i="16"/>
  <c r="C278" i="16"/>
  <c r="C77" i="16"/>
  <c r="C651" i="16"/>
  <c r="C777" i="16"/>
  <c r="C337" i="16"/>
  <c r="C290" i="16"/>
  <c r="C644" i="16"/>
  <c r="C160" i="16"/>
  <c r="C503" i="16"/>
  <c r="C439" i="16"/>
  <c r="C603" i="16"/>
  <c r="C494" i="16"/>
  <c r="C305" i="16"/>
  <c r="C310" i="16"/>
  <c r="C58" i="16"/>
  <c r="C309" i="16"/>
  <c r="C647" i="16"/>
  <c r="C608" i="16"/>
  <c r="C324" i="16"/>
  <c r="C193" i="16"/>
  <c r="C269" i="16"/>
  <c r="C718" i="16"/>
  <c r="C602" i="16"/>
  <c r="C233" i="16"/>
  <c r="C171" i="16"/>
  <c r="C588" i="16"/>
  <c r="C593" i="16"/>
  <c r="C208" i="16"/>
  <c r="C213" i="16"/>
  <c r="C586" i="16"/>
  <c r="C332" i="16"/>
  <c r="C583" i="16"/>
  <c r="C578" i="16"/>
  <c r="C344" i="16"/>
  <c r="C181" i="16"/>
  <c r="C27" i="16"/>
  <c r="C201" i="16"/>
  <c r="C594" i="16"/>
  <c r="C611" i="16"/>
  <c r="C446" i="16"/>
  <c r="C168" i="16"/>
  <c r="C112" i="16"/>
  <c r="C145" i="16"/>
  <c r="C22" i="16"/>
  <c r="C157" i="16"/>
  <c r="C654" i="16"/>
  <c r="C784" i="16"/>
  <c r="C142" i="16"/>
  <c r="C82" i="16"/>
  <c r="C165" i="16"/>
  <c r="C97" i="16"/>
  <c r="C153" i="16"/>
  <c r="C116" i="16"/>
  <c r="C661" i="16"/>
  <c r="C154" i="16"/>
  <c r="C134" i="16"/>
  <c r="C607" i="16"/>
  <c r="C478" i="16"/>
  <c r="C667" i="16"/>
  <c r="C475" i="16"/>
  <c r="C28" i="16"/>
  <c r="C366" i="16"/>
  <c r="C66" i="16"/>
  <c r="C293" i="16"/>
  <c r="C101" i="16"/>
  <c r="C733" i="16"/>
  <c r="C483" i="16"/>
  <c r="C89" i="16"/>
  <c r="C117" i="16"/>
  <c r="C182" i="16"/>
  <c r="C243" i="16"/>
  <c r="C686" i="16"/>
  <c r="C289" i="16"/>
  <c r="C38" i="16"/>
  <c r="C306" i="16"/>
  <c r="C81" i="16"/>
  <c r="C567" i="16"/>
  <c r="C374" i="16"/>
  <c r="C115" i="16"/>
  <c r="C177" i="16"/>
  <c r="C627" i="16"/>
  <c r="C109" i="16"/>
  <c r="C100" i="16"/>
  <c r="C571" i="16"/>
  <c r="C291" i="16"/>
  <c r="C45" i="16"/>
  <c r="C129" i="16"/>
  <c r="C493" i="16"/>
  <c r="C225" i="16"/>
  <c r="C704" i="16"/>
  <c r="C677" i="16"/>
  <c r="C62" i="16"/>
  <c r="C592" i="16"/>
  <c r="C48" i="16"/>
  <c r="C725" i="16"/>
  <c r="C538" i="16"/>
  <c r="C105" i="16"/>
  <c r="C687" i="16"/>
  <c r="C517" i="16"/>
  <c r="C491" i="16"/>
  <c r="C217" i="16"/>
  <c r="C367" i="16"/>
  <c r="C695" i="16"/>
  <c r="C204" i="16"/>
  <c r="C382" i="16"/>
  <c r="C370" i="16"/>
  <c r="C523" i="16"/>
  <c r="C281" i="16"/>
  <c r="C206" i="16"/>
  <c r="C187" i="16"/>
  <c r="C568" i="16"/>
  <c r="C263" i="16"/>
  <c r="C328" i="16"/>
  <c r="C598" i="16"/>
  <c r="C410" i="16"/>
  <c r="C561" i="16"/>
  <c r="C308" i="16"/>
  <c r="C672" i="16"/>
  <c r="C47" i="16"/>
  <c r="C792" i="16"/>
  <c r="C69" i="16"/>
  <c r="C222" i="16"/>
  <c r="C161" i="16"/>
  <c r="C643" i="16"/>
  <c r="C510" i="16"/>
  <c r="C53" i="16"/>
  <c r="C498" i="16"/>
  <c r="C317" i="16"/>
  <c r="C481" i="16"/>
  <c r="C169" i="16"/>
  <c r="C486" i="16"/>
  <c r="C595" i="16"/>
  <c r="C553" i="16"/>
  <c r="C579" i="16"/>
  <c r="C772" i="16"/>
  <c r="C502" i="16"/>
  <c r="C83" i="16"/>
  <c r="C455" i="16"/>
  <c r="C21" i="16"/>
  <c r="C261" i="16"/>
  <c r="C197" i="16"/>
  <c r="C176" i="16"/>
  <c r="C558" i="16"/>
  <c r="C211" i="16"/>
  <c r="C760" i="16"/>
  <c r="C557" i="16"/>
  <c r="C253" i="16"/>
  <c r="C74" i="16"/>
  <c r="C235" i="16"/>
  <c r="C679" i="16"/>
  <c r="C191" i="16"/>
  <c r="C447" i="16"/>
  <c r="C353" i="16"/>
  <c r="C560" i="16"/>
  <c r="C133" i="16"/>
  <c r="C30" i="16"/>
  <c r="C205" i="16"/>
  <c r="C638" i="16"/>
  <c r="C461" i="16"/>
  <c r="C355" i="16"/>
  <c r="C292" i="16"/>
  <c r="C614" i="16"/>
  <c r="C399" i="16"/>
  <c r="C730" i="16"/>
  <c r="C85" i="16"/>
  <c r="C539" i="16"/>
  <c r="C262" i="16"/>
  <c r="C325" i="16"/>
  <c r="C264" i="16"/>
  <c r="C272" i="16"/>
  <c r="C49" i="16"/>
  <c r="C793" i="16"/>
  <c r="C245" i="16"/>
  <c r="C612" i="16"/>
  <c r="C655" i="16"/>
  <c r="C301" i="16"/>
  <c r="C740" i="16"/>
  <c r="C139" i="16"/>
  <c r="C207" i="16"/>
  <c r="C33" i="16"/>
  <c r="C34" i="16"/>
  <c r="C663" i="16"/>
  <c r="C659" i="16"/>
  <c r="C764" i="16"/>
  <c r="C265" i="16"/>
  <c r="C449" i="16"/>
  <c r="C418" i="16"/>
  <c r="C285" i="16"/>
  <c r="C541" i="16"/>
  <c r="C227" i="16"/>
  <c r="C527" i="16"/>
  <c r="C587" i="16"/>
  <c r="C357" i="16"/>
  <c r="C273" i="16"/>
  <c r="C75" i="16"/>
  <c r="C717" i="16"/>
  <c r="C39" i="16"/>
  <c r="C773" i="16"/>
  <c r="C430" i="16"/>
  <c r="C599" i="16"/>
  <c r="C135" i="16"/>
  <c r="C522" i="16"/>
  <c r="C796" i="16"/>
  <c r="C562" i="16"/>
  <c r="C229" i="16"/>
  <c r="C111" i="16"/>
  <c r="C551" i="16"/>
  <c r="C173" i="16"/>
  <c r="C515" i="16"/>
  <c r="C591" i="16"/>
  <c r="C441" i="16"/>
  <c r="C572" i="16"/>
  <c r="C347" i="16"/>
  <c r="C209" i="16"/>
  <c r="C445" i="16"/>
  <c r="C631" i="16"/>
  <c r="C51" i="16"/>
  <c r="C295" i="16"/>
  <c r="C699" i="16"/>
  <c r="C120" i="16"/>
  <c r="C671" i="16"/>
  <c r="C172" i="16"/>
  <c r="C24" i="16"/>
  <c r="C300" i="16"/>
  <c r="C499" i="16"/>
  <c r="C46" i="16"/>
  <c r="C708" i="16"/>
  <c r="C125" i="16"/>
  <c r="C802" i="16"/>
  <c r="C84" i="16"/>
  <c r="C150" i="16"/>
  <c r="C736" i="16"/>
  <c r="C556" i="16"/>
  <c r="C450" i="16"/>
  <c r="C552" i="16"/>
  <c r="C37" i="16"/>
  <c r="C141" i="16"/>
  <c r="C509" i="16"/>
  <c r="C249" i="16"/>
  <c r="C696" i="16"/>
  <c r="C240" i="16"/>
  <c r="C65" i="16"/>
  <c r="C458" i="16"/>
  <c r="C318" i="16"/>
  <c r="C277" i="16"/>
  <c r="C103" i="16"/>
  <c r="C575" i="16"/>
  <c r="C720" i="16"/>
  <c r="C124" i="16"/>
  <c r="C348" i="16"/>
  <c r="C210" i="16"/>
  <c r="C20" i="16"/>
  <c r="C333" i="16"/>
  <c r="G5" i="16"/>
  <c r="C16" i="16"/>
  <c r="C17" i="16"/>
  <c r="C18" i="16"/>
  <c r="G4" i="16"/>
  <c r="G557" i="16" l="1"/>
  <c r="F557" i="16"/>
  <c r="F788" i="16"/>
  <c r="G788" i="16"/>
  <c r="F93" i="16"/>
  <c r="G93" i="16"/>
  <c r="G256" i="16"/>
  <c r="F256" i="16"/>
  <c r="F71" i="16"/>
  <c r="G71" i="16"/>
  <c r="G264" i="16"/>
  <c r="F264" i="16"/>
  <c r="F749" i="16"/>
  <c r="G749" i="16"/>
  <c r="F79" i="16"/>
  <c r="G79" i="16"/>
  <c r="F21" i="16"/>
  <c r="G21" i="16"/>
  <c r="G550" i="16"/>
  <c r="F550" i="16"/>
  <c r="F317" i="16"/>
  <c r="G317" i="16"/>
  <c r="F29" i="16"/>
  <c r="G29" i="16"/>
  <c r="G64" i="16"/>
  <c r="F64" i="16"/>
  <c r="G498" i="16"/>
  <c r="F498" i="16"/>
  <c r="G637" i="16"/>
  <c r="F637" i="16"/>
  <c r="F185" i="16"/>
  <c r="G185" i="16"/>
  <c r="G104" i="16"/>
  <c r="F104" i="16"/>
  <c r="G635" i="16"/>
  <c r="F635" i="16"/>
  <c r="F766" i="16"/>
  <c r="G766" i="16"/>
  <c r="F693" i="16"/>
  <c r="G693" i="16"/>
  <c r="F801" i="16"/>
  <c r="G801" i="16"/>
  <c r="G387" i="16"/>
  <c r="F387" i="16"/>
  <c r="F425" i="16"/>
  <c r="G425" i="16"/>
  <c r="G715" i="16"/>
  <c r="F715" i="16"/>
  <c r="G576" i="16"/>
  <c r="F576" i="16"/>
  <c r="G743" i="16"/>
  <c r="F743" i="16"/>
  <c r="F806" i="16"/>
  <c r="G806" i="16"/>
  <c r="G247" i="16"/>
  <c r="F247" i="16"/>
  <c r="F230" i="16"/>
  <c r="G230" i="16"/>
  <c r="F170" i="16"/>
  <c r="G170" i="16"/>
  <c r="G471" i="16"/>
  <c r="F471" i="16"/>
  <c r="F536" i="16"/>
  <c r="G536" i="16"/>
  <c r="F424" i="16"/>
  <c r="G424" i="16"/>
  <c r="F612" i="16"/>
  <c r="G612" i="16"/>
  <c r="G506" i="16"/>
  <c r="F506" i="16"/>
  <c r="G599" i="16"/>
  <c r="F599" i="16"/>
  <c r="G351" i="16"/>
  <c r="F351" i="16"/>
  <c r="G186" i="16"/>
  <c r="F186" i="16"/>
  <c r="G210" i="16"/>
  <c r="F210" i="16"/>
  <c r="G690" i="16"/>
  <c r="F690" i="16"/>
  <c r="F810" i="16"/>
  <c r="G810" i="16"/>
  <c r="F540" i="16"/>
  <c r="G540" i="16"/>
  <c r="G441" i="16"/>
  <c r="F441" i="16"/>
  <c r="G509" i="16"/>
  <c r="F509" i="16"/>
  <c r="F53" i="16"/>
  <c r="G53" i="16"/>
  <c r="F687" i="16"/>
  <c r="G687" i="16"/>
  <c r="G182" i="16"/>
  <c r="F182" i="16"/>
  <c r="G112" i="16"/>
  <c r="F112" i="16"/>
  <c r="F310" i="16"/>
  <c r="G310" i="16"/>
  <c r="F573" i="16"/>
  <c r="G573" i="16"/>
  <c r="G501" i="16"/>
  <c r="F501" i="16"/>
  <c r="F313" i="16"/>
  <c r="G313" i="16"/>
  <c r="G320" i="16"/>
  <c r="F320" i="16"/>
  <c r="G646" i="16"/>
  <c r="F646" i="16"/>
  <c r="F617" i="16"/>
  <c r="G617" i="16"/>
  <c r="G778" i="16"/>
  <c r="F778" i="16"/>
  <c r="F354" i="16"/>
  <c r="G354" i="16"/>
  <c r="F721" i="16"/>
  <c r="G721" i="16"/>
  <c r="F563" i="16"/>
  <c r="G563" i="16"/>
  <c r="F377" i="16"/>
  <c r="G377" i="16"/>
  <c r="F712" i="16"/>
  <c r="G712" i="16"/>
  <c r="G521" i="16"/>
  <c r="F521" i="16"/>
  <c r="G80" i="16"/>
  <c r="F80" i="16"/>
  <c r="G44" i="16"/>
  <c r="F44" i="16"/>
  <c r="G128" i="16"/>
  <c r="F128" i="16"/>
  <c r="G419" i="16"/>
  <c r="F419" i="16"/>
  <c r="G532" i="16"/>
  <c r="F532" i="16"/>
  <c r="G420" i="16"/>
  <c r="F420" i="16"/>
  <c r="G84" i="16"/>
  <c r="F84" i="16"/>
  <c r="F290" i="16"/>
  <c r="G290" i="16"/>
  <c r="F245" i="16"/>
  <c r="G245" i="16"/>
  <c r="G202" i="16"/>
  <c r="F202" i="16"/>
  <c r="G493" i="16"/>
  <c r="F493" i="16"/>
  <c r="G68" i="16"/>
  <c r="F68" i="16"/>
  <c r="F402" i="16"/>
  <c r="G402" i="16"/>
  <c r="G653" i="16"/>
  <c r="F653" i="16"/>
  <c r="G696" i="16"/>
  <c r="F696" i="16"/>
  <c r="G686" i="16"/>
  <c r="F686" i="16"/>
  <c r="G713" i="16"/>
  <c r="F713" i="16"/>
  <c r="G87" i="16"/>
  <c r="F87" i="16"/>
  <c r="F243" i="16"/>
  <c r="G243" i="16"/>
  <c r="F141" i="16"/>
  <c r="G141" i="16"/>
  <c r="F510" i="16"/>
  <c r="G510" i="16"/>
  <c r="F117" i="16"/>
  <c r="G117" i="16"/>
  <c r="G168" i="16"/>
  <c r="F168" i="16"/>
  <c r="F305" i="16"/>
  <c r="G305" i="16"/>
  <c r="F610" i="16"/>
  <c r="G610" i="16"/>
  <c r="G434" i="16"/>
  <c r="F434" i="16"/>
  <c r="G56" i="16"/>
  <c r="F56" i="16"/>
  <c r="F70" i="16"/>
  <c r="G70" i="16"/>
  <c r="F722" i="16"/>
  <c r="G722" i="16"/>
  <c r="G771" i="16"/>
  <c r="F771" i="16"/>
  <c r="F815" i="16"/>
  <c r="G815" i="16"/>
  <c r="G779" i="16"/>
  <c r="F779" i="16"/>
  <c r="F681" i="16"/>
  <c r="G681" i="16"/>
  <c r="G423" i="16"/>
  <c r="F423" i="16"/>
  <c r="F118" i="16"/>
  <c r="G118" i="16"/>
  <c r="F633" i="16"/>
  <c r="G633" i="16"/>
  <c r="G431" i="16"/>
  <c r="F431" i="16"/>
  <c r="F707" i="16"/>
  <c r="G707" i="16"/>
  <c r="F307" i="16"/>
  <c r="G307" i="16"/>
  <c r="F489" i="16"/>
  <c r="G489" i="16"/>
  <c r="F406" i="16"/>
  <c r="G406" i="16"/>
  <c r="F528" i="16"/>
  <c r="G528" i="16"/>
  <c r="G416" i="16"/>
  <c r="F416" i="16"/>
  <c r="G435" i="16"/>
  <c r="F435" i="16"/>
  <c r="F793" i="16"/>
  <c r="G793" i="16"/>
  <c r="F773" i="16"/>
  <c r="G773" i="16"/>
  <c r="F257" i="16"/>
  <c r="G257" i="16"/>
  <c r="G487" i="16"/>
  <c r="F487" i="16"/>
  <c r="F499" i="16"/>
  <c r="G499" i="16"/>
  <c r="F566" i="16"/>
  <c r="G566" i="16"/>
  <c r="F261" i="16"/>
  <c r="G261" i="16"/>
  <c r="F648" i="16"/>
  <c r="G648" i="16"/>
  <c r="F30" i="16"/>
  <c r="G30" i="16"/>
  <c r="F299" i="16"/>
  <c r="G299" i="16"/>
  <c r="G624" i="16"/>
  <c r="F624" i="16"/>
  <c r="G294" i="16"/>
  <c r="F294" i="16"/>
  <c r="G517" i="16"/>
  <c r="F517" i="16"/>
  <c r="G591" i="16"/>
  <c r="F591" i="16"/>
  <c r="G515" i="16"/>
  <c r="F515" i="16"/>
  <c r="F33" i="16"/>
  <c r="G33" i="16"/>
  <c r="G643" i="16"/>
  <c r="F643" i="16"/>
  <c r="G538" i="16"/>
  <c r="F538" i="16"/>
  <c r="F89" i="16"/>
  <c r="G89" i="16"/>
  <c r="G446" i="16"/>
  <c r="F446" i="16"/>
  <c r="F494" i="16"/>
  <c r="G494" i="16"/>
  <c r="F705" i="16"/>
  <c r="G705" i="16"/>
  <c r="G710" i="16"/>
  <c r="F710" i="16"/>
  <c r="F244" i="16"/>
  <c r="G244" i="16"/>
  <c r="F91" i="16"/>
  <c r="G91" i="16"/>
  <c r="F363" i="16"/>
  <c r="G363" i="16"/>
  <c r="F809" i="16"/>
  <c r="G809" i="16"/>
  <c r="F738" i="16"/>
  <c r="G738" i="16"/>
  <c r="G260" i="16"/>
  <c r="F260" i="16"/>
  <c r="F585" i="16"/>
  <c r="G585" i="16"/>
  <c r="F369" i="16"/>
  <c r="G369" i="16"/>
  <c r="G196" i="16"/>
  <c r="F196" i="16"/>
  <c r="F554" i="16"/>
  <c r="G554" i="16"/>
  <c r="G383" i="16"/>
  <c r="F383" i="16"/>
  <c r="G140" i="16"/>
  <c r="F140" i="16"/>
  <c r="G276" i="16"/>
  <c r="F276" i="16"/>
  <c r="G437" i="16"/>
  <c r="F437" i="16"/>
  <c r="F311" i="16"/>
  <c r="G311" i="16"/>
  <c r="F524" i="16"/>
  <c r="G524" i="16"/>
  <c r="F412" i="16"/>
  <c r="G412" i="16"/>
  <c r="F421" i="16"/>
  <c r="G421" i="16"/>
  <c r="F225" i="16"/>
  <c r="G225" i="16"/>
  <c r="F714" i="16"/>
  <c r="G714" i="16"/>
  <c r="G272" i="16"/>
  <c r="F272" i="16"/>
  <c r="F484" i="16"/>
  <c r="G484" i="16"/>
  <c r="F213" i="16"/>
  <c r="G213" i="16"/>
  <c r="G442" i="16"/>
  <c r="F442" i="16"/>
  <c r="F98" i="16"/>
  <c r="G98" i="16"/>
  <c r="F568" i="16"/>
  <c r="G568" i="16"/>
  <c r="F189" i="16"/>
  <c r="G189" i="16"/>
  <c r="G395" i="16"/>
  <c r="F395" i="16"/>
  <c r="G428" i="16"/>
  <c r="F428" i="16"/>
  <c r="F659" i="16"/>
  <c r="G659" i="16"/>
  <c r="G663" i="16"/>
  <c r="F663" i="16"/>
  <c r="G353" i="16"/>
  <c r="F353" i="16"/>
  <c r="G552" i="16"/>
  <c r="F552" i="16"/>
  <c r="G191" i="16"/>
  <c r="F191" i="16"/>
  <c r="F161" i="16"/>
  <c r="G161" i="16"/>
  <c r="F725" i="16"/>
  <c r="G725" i="16"/>
  <c r="G483" i="16"/>
  <c r="F483" i="16"/>
  <c r="G611" i="16"/>
  <c r="F611" i="16"/>
  <c r="G603" i="16"/>
  <c r="F603" i="16"/>
  <c r="F26" i="16"/>
  <c r="G26" i="16"/>
  <c r="G280" i="16"/>
  <c r="F280" i="16"/>
  <c r="F665" i="16"/>
  <c r="G665" i="16"/>
  <c r="G559" i="16"/>
  <c r="F559" i="16"/>
  <c r="G216" i="16"/>
  <c r="F216" i="16"/>
  <c r="G581" i="16"/>
  <c r="F581" i="16"/>
  <c r="G676" i="16"/>
  <c r="F676" i="16"/>
  <c r="G762" i="16"/>
  <c r="F762" i="16"/>
  <c r="F477" i="16"/>
  <c r="G477" i="16"/>
  <c r="G238" i="16"/>
  <c r="F238" i="16"/>
  <c r="F813" i="16"/>
  <c r="G813" i="16"/>
  <c r="F254" i="16"/>
  <c r="G254" i="16"/>
  <c r="F356" i="16"/>
  <c r="G356" i="16"/>
  <c r="G107" i="16"/>
  <c r="F107" i="16"/>
  <c r="G271" i="16"/>
  <c r="F271" i="16"/>
  <c r="F385" i="16"/>
  <c r="G385" i="16"/>
  <c r="G259" i="16"/>
  <c r="F259" i="16"/>
  <c r="G520" i="16"/>
  <c r="F520" i="16"/>
  <c r="G408" i="16"/>
  <c r="F408" i="16"/>
  <c r="F704" i="16"/>
  <c r="G704" i="16"/>
  <c r="G28" i="16"/>
  <c r="F28" i="16"/>
  <c r="F319" i="16"/>
  <c r="G319" i="16"/>
  <c r="G583" i="16"/>
  <c r="F583" i="16"/>
  <c r="G666" i="16"/>
  <c r="F666" i="16"/>
  <c r="G787" i="16"/>
  <c r="F787" i="16"/>
  <c r="G335" i="16"/>
  <c r="F335" i="16"/>
  <c r="F300" i="16"/>
  <c r="G300" i="16"/>
  <c r="G24" i="16"/>
  <c r="F24" i="16"/>
  <c r="F401" i="16"/>
  <c r="G401" i="16"/>
  <c r="G491" i="16"/>
  <c r="F491" i="16"/>
  <c r="G673" i="16"/>
  <c r="F673" i="16"/>
  <c r="F251" i="16"/>
  <c r="G251" i="16"/>
  <c r="F133" i="16"/>
  <c r="G133" i="16"/>
  <c r="F560" i="16"/>
  <c r="G560" i="16"/>
  <c r="G173" i="16"/>
  <c r="F173" i="16"/>
  <c r="F447" i="16"/>
  <c r="G447" i="16"/>
  <c r="F450" i="16"/>
  <c r="G450" i="16"/>
  <c r="F679" i="16"/>
  <c r="G679" i="16"/>
  <c r="G222" i="16"/>
  <c r="F222" i="16"/>
  <c r="G48" i="16"/>
  <c r="F48" i="16"/>
  <c r="F733" i="16"/>
  <c r="G733" i="16"/>
  <c r="F594" i="16"/>
  <c r="G594" i="16"/>
  <c r="G439" i="16"/>
  <c r="F439" i="16"/>
  <c r="F123" i="16"/>
  <c r="G123" i="16"/>
  <c r="F729" i="16"/>
  <c r="G729" i="16"/>
  <c r="G267" i="16"/>
  <c r="F267" i="16"/>
  <c r="G321" i="16"/>
  <c r="F321" i="16"/>
  <c r="G622" i="16"/>
  <c r="F622" i="16"/>
  <c r="F781" i="16"/>
  <c r="G781" i="16"/>
  <c r="F537" i="16"/>
  <c r="G537" i="16"/>
  <c r="F151" i="16"/>
  <c r="G151" i="16"/>
  <c r="G239" i="16"/>
  <c r="F239" i="16"/>
  <c r="G797" i="16"/>
  <c r="F797" i="16"/>
  <c r="G634" i="16"/>
  <c r="F634" i="16"/>
  <c r="G747" i="16"/>
  <c r="F747" i="16"/>
  <c r="G228" i="16"/>
  <c r="F228" i="16"/>
  <c r="G288" i="16"/>
  <c r="F288" i="16"/>
  <c r="G266" i="16"/>
  <c r="F266" i="16"/>
  <c r="F255" i="16"/>
  <c r="G255" i="16"/>
  <c r="G188" i="16"/>
  <c r="F188" i="16"/>
  <c r="F516" i="16"/>
  <c r="G516" i="16"/>
  <c r="G404" i="16"/>
  <c r="F404" i="16"/>
  <c r="F760" i="16"/>
  <c r="G760" i="16"/>
  <c r="F496" i="16"/>
  <c r="G496" i="16"/>
  <c r="G127" i="16"/>
  <c r="F127" i="16"/>
  <c r="G39" i="16"/>
  <c r="F39" i="16"/>
  <c r="G278" i="16"/>
  <c r="F278" i="16"/>
  <c r="F131" i="16"/>
  <c r="G131" i="16"/>
  <c r="F134" i="16"/>
  <c r="G134" i="16"/>
  <c r="F535" i="16"/>
  <c r="G535" i="16"/>
  <c r="F764" i="16"/>
  <c r="G764" i="16"/>
  <c r="G298" i="16"/>
  <c r="F298" i="16"/>
  <c r="G744" i="16"/>
  <c r="F744" i="16"/>
  <c r="F547" i="16"/>
  <c r="G547" i="16"/>
  <c r="F145" i="16"/>
  <c r="G145" i="16"/>
  <c r="G105" i="16"/>
  <c r="F105" i="16"/>
  <c r="G207" i="16"/>
  <c r="F207" i="16"/>
  <c r="F111" i="16"/>
  <c r="G111" i="16"/>
  <c r="F229" i="16"/>
  <c r="G229" i="16"/>
  <c r="F235" i="16"/>
  <c r="G235" i="16"/>
  <c r="F69" i="16"/>
  <c r="G69" i="16"/>
  <c r="F592" i="16"/>
  <c r="G592" i="16"/>
  <c r="F101" i="16"/>
  <c r="G101" i="16"/>
  <c r="F201" i="16"/>
  <c r="G201" i="16"/>
  <c r="F503" i="16"/>
  <c r="G503" i="16"/>
  <c r="G329" i="16"/>
  <c r="F329" i="16"/>
  <c r="F179" i="16"/>
  <c r="G179" i="16"/>
  <c r="F620" i="16"/>
  <c r="G620" i="16"/>
  <c r="G623" i="16"/>
  <c r="F623" i="16"/>
  <c r="F616" i="16"/>
  <c r="G616" i="16"/>
  <c r="F742" i="16"/>
  <c r="G742" i="16"/>
  <c r="F753" i="16"/>
  <c r="G753" i="16"/>
  <c r="G724" i="16"/>
  <c r="F724" i="16"/>
  <c r="G359" i="16"/>
  <c r="F359" i="16"/>
  <c r="G758" i="16"/>
  <c r="F758" i="16"/>
  <c r="F565" i="16"/>
  <c r="G565" i="16"/>
  <c r="F694" i="16"/>
  <c r="G694" i="16"/>
  <c r="F767" i="16"/>
  <c r="G767" i="16"/>
  <c r="F365" i="16"/>
  <c r="G365" i="16"/>
  <c r="F159" i="16"/>
  <c r="G159" i="16"/>
  <c r="F146" i="16"/>
  <c r="G146" i="16"/>
  <c r="G164" i="16"/>
  <c r="F164" i="16"/>
  <c r="G512" i="16"/>
  <c r="F512" i="16"/>
  <c r="G400" i="16"/>
  <c r="F400" i="16"/>
  <c r="G344" i="16"/>
  <c r="F344" i="16"/>
  <c r="G308" i="16"/>
  <c r="F308" i="16"/>
  <c r="G465" i="16"/>
  <c r="F465" i="16"/>
  <c r="G777" i="16"/>
  <c r="F777" i="16"/>
  <c r="F598" i="16"/>
  <c r="G598" i="16"/>
  <c r="G731" i="16"/>
  <c r="F731" i="16"/>
  <c r="G466" i="16"/>
  <c r="F466" i="16"/>
  <c r="G262" i="16"/>
  <c r="F262" i="16"/>
  <c r="F799" i="16"/>
  <c r="G799" i="16"/>
  <c r="F572" i="16"/>
  <c r="G572" i="16"/>
  <c r="G309" i="16"/>
  <c r="F309" i="16"/>
  <c r="F453" i="16"/>
  <c r="G453" i="16"/>
  <c r="G769" i="16"/>
  <c r="F769" i="16"/>
  <c r="F249" i="16"/>
  <c r="G249" i="16"/>
  <c r="F58" i="16"/>
  <c r="G58" i="16"/>
  <c r="F34" i="16"/>
  <c r="G34" i="16"/>
  <c r="F37" i="16"/>
  <c r="G37" i="16"/>
  <c r="G551" i="16"/>
  <c r="F551" i="16"/>
  <c r="F139" i="16"/>
  <c r="G139" i="16"/>
  <c r="G556" i="16"/>
  <c r="F556" i="16"/>
  <c r="G740" i="16"/>
  <c r="F740" i="16"/>
  <c r="G736" i="16"/>
  <c r="F736" i="16"/>
  <c r="F562" i="16"/>
  <c r="G562" i="16"/>
  <c r="G301" i="16"/>
  <c r="F301" i="16"/>
  <c r="G74" i="16"/>
  <c r="F74" i="16"/>
  <c r="F792" i="16"/>
  <c r="G792" i="16"/>
  <c r="G62" i="16"/>
  <c r="F62" i="16"/>
  <c r="F293" i="16"/>
  <c r="G293" i="16"/>
  <c r="F27" i="16"/>
  <c r="G27" i="16"/>
  <c r="F160" i="16"/>
  <c r="G160" i="16"/>
  <c r="F297" i="16"/>
  <c r="G297" i="16"/>
  <c r="F61" i="16"/>
  <c r="G61" i="16"/>
  <c r="F765" i="16"/>
  <c r="G765" i="16"/>
  <c r="G457" i="16"/>
  <c r="F457" i="16"/>
  <c r="F543" i="16"/>
  <c r="G543" i="16"/>
  <c r="G732" i="16"/>
  <c r="F732" i="16"/>
  <c r="F621" i="16"/>
  <c r="G621" i="16"/>
  <c r="F642" i="16"/>
  <c r="G642" i="16"/>
  <c r="F580" i="16"/>
  <c r="G580" i="16"/>
  <c r="G605" i="16"/>
  <c r="F605" i="16"/>
  <c r="F555" i="16"/>
  <c r="G555" i="16"/>
  <c r="G652" i="16"/>
  <c r="F652" i="16"/>
  <c r="F674" i="16"/>
  <c r="G674" i="16"/>
  <c r="G748" i="16"/>
  <c r="F748" i="16"/>
  <c r="F138" i="16"/>
  <c r="G138" i="16"/>
  <c r="G132" i="16"/>
  <c r="F132" i="16"/>
  <c r="F497" i="16"/>
  <c r="G497" i="16"/>
  <c r="F508" i="16"/>
  <c r="G508" i="16"/>
  <c r="G396" i="16"/>
  <c r="F396" i="16"/>
  <c r="G180" i="16"/>
  <c r="F180" i="16"/>
  <c r="F236" i="16"/>
  <c r="G236" i="16"/>
  <c r="G252" i="16"/>
  <c r="F252" i="16"/>
  <c r="G586" i="16"/>
  <c r="F586" i="16"/>
  <c r="F808" i="16"/>
  <c r="G808" i="16"/>
  <c r="G75" i="16"/>
  <c r="F75" i="16"/>
  <c r="F706" i="16"/>
  <c r="G706" i="16"/>
  <c r="F22" i="16"/>
  <c r="G22" i="16"/>
  <c r="F601" i="16"/>
  <c r="G601" i="16"/>
  <c r="G150" i="16"/>
  <c r="F150" i="16"/>
  <c r="F796" i="16"/>
  <c r="G796" i="16"/>
  <c r="G655" i="16"/>
  <c r="F655" i="16"/>
  <c r="F253" i="16"/>
  <c r="G253" i="16"/>
  <c r="F47" i="16"/>
  <c r="G47" i="16"/>
  <c r="G677" i="16"/>
  <c r="F677" i="16"/>
  <c r="G66" i="16"/>
  <c r="F66" i="16"/>
  <c r="F181" i="16"/>
  <c r="G181" i="16"/>
  <c r="F644" i="16"/>
  <c r="G644" i="16"/>
  <c r="G94" i="16"/>
  <c r="F94" i="16"/>
  <c r="F812" i="16"/>
  <c r="G812" i="16"/>
  <c r="G426" i="16"/>
  <c r="F426" i="16"/>
  <c r="G678" i="16"/>
  <c r="F678" i="16"/>
  <c r="F323" i="16"/>
  <c r="G323" i="16"/>
  <c r="G479" i="16"/>
  <c r="F479" i="16"/>
  <c r="F542" i="16"/>
  <c r="G542" i="16"/>
  <c r="F451" i="16"/>
  <c r="G451" i="16"/>
  <c r="G495" i="16"/>
  <c r="F495" i="16"/>
  <c r="G326" i="16"/>
  <c r="F326" i="16"/>
  <c r="F314" i="16"/>
  <c r="G314" i="16"/>
  <c r="G533" i="16"/>
  <c r="F533" i="16"/>
  <c r="F636" i="16"/>
  <c r="G636" i="16"/>
  <c r="G719" i="16"/>
  <c r="F719" i="16"/>
  <c r="F19" i="16"/>
  <c r="G19" i="16"/>
  <c r="G108" i="16"/>
  <c r="F108" i="16"/>
  <c r="G178" i="16"/>
  <c r="F178" i="16"/>
  <c r="G504" i="16"/>
  <c r="F504" i="16"/>
  <c r="F392" i="16"/>
  <c r="G392" i="16"/>
  <c r="F482" i="16"/>
  <c r="G482" i="16"/>
  <c r="F735" i="16"/>
  <c r="G735" i="16"/>
  <c r="F811" i="16"/>
  <c r="G811" i="16"/>
  <c r="F214" i="16"/>
  <c r="G214" i="16"/>
  <c r="G507" i="16"/>
  <c r="F507" i="16"/>
  <c r="F596" i="16"/>
  <c r="G596" i="16"/>
  <c r="G698" i="16"/>
  <c r="F698" i="16"/>
  <c r="F606" i="16"/>
  <c r="G606" i="16"/>
  <c r="G519" i="16"/>
  <c r="F519" i="16"/>
  <c r="G405" i="16"/>
  <c r="F405" i="16"/>
  <c r="F500" i="16"/>
  <c r="G500" i="16"/>
  <c r="G388" i="16"/>
  <c r="F388" i="16"/>
  <c r="F52" i="16"/>
  <c r="G52" i="16"/>
  <c r="F754" i="16"/>
  <c r="G754" i="16"/>
  <c r="G751" i="16"/>
  <c r="F751" i="16"/>
  <c r="G680" i="16"/>
  <c r="F680" i="16"/>
  <c r="F668" i="16"/>
  <c r="G668" i="16"/>
  <c r="G789" i="16"/>
  <c r="F789" i="16"/>
  <c r="F590" i="16"/>
  <c r="G590" i="16"/>
  <c r="F684" i="16"/>
  <c r="G684" i="16"/>
  <c r="F23" i="16"/>
  <c r="G23" i="16"/>
  <c r="F433" i="16"/>
  <c r="G433" i="16"/>
  <c r="F505" i="16"/>
  <c r="G505" i="16"/>
  <c r="G626" i="16"/>
  <c r="F626" i="16"/>
  <c r="F373" i="16"/>
  <c r="G373" i="16"/>
  <c r="G467" i="16"/>
  <c r="F467" i="16"/>
  <c r="G163" i="16"/>
  <c r="F163" i="16"/>
  <c r="F492" i="16"/>
  <c r="G492" i="16"/>
  <c r="G380" i="16"/>
  <c r="F380" i="16"/>
  <c r="G727" i="16"/>
  <c r="F727" i="16"/>
  <c r="G709" i="16"/>
  <c r="F709" i="16"/>
  <c r="G463" i="16"/>
  <c r="F463" i="16"/>
  <c r="G708" i="16"/>
  <c r="F708" i="16"/>
  <c r="F430" i="16"/>
  <c r="G430" i="16"/>
  <c r="F49" i="16"/>
  <c r="G49" i="16"/>
  <c r="G558" i="16"/>
  <c r="F558" i="16"/>
  <c r="F410" i="16"/>
  <c r="G410" i="16"/>
  <c r="F129" i="16"/>
  <c r="G129" i="16"/>
  <c r="F667" i="16"/>
  <c r="G667" i="16"/>
  <c r="G332" i="16"/>
  <c r="F332" i="16"/>
  <c r="F651" i="16"/>
  <c r="G651" i="16"/>
  <c r="F683" i="16"/>
  <c r="G683" i="16"/>
  <c r="F618" i="16"/>
  <c r="G618" i="16"/>
  <c r="G241" i="16"/>
  <c r="F241" i="16"/>
  <c r="F73" i="16"/>
  <c r="G73" i="16"/>
  <c r="F286" i="16"/>
  <c r="G286" i="16"/>
  <c r="G362" i="16"/>
  <c r="F362" i="16"/>
  <c r="F763" i="16"/>
  <c r="G763" i="16"/>
  <c r="F600" i="16"/>
  <c r="G600" i="16"/>
  <c r="F102" i="16"/>
  <c r="G102" i="16"/>
  <c r="G511" i="16"/>
  <c r="F511" i="16"/>
  <c r="G331" i="16"/>
  <c r="F331" i="16"/>
  <c r="G358" i="16"/>
  <c r="F358" i="16"/>
  <c r="G316" i="16"/>
  <c r="F316" i="16"/>
  <c r="G514" i="16"/>
  <c r="F514" i="16"/>
  <c r="G312" i="16"/>
  <c r="F312" i="16"/>
  <c r="G454" i="16"/>
  <c r="F454" i="16"/>
  <c r="G144" i="16"/>
  <c r="F144" i="16"/>
  <c r="G488" i="16"/>
  <c r="F488" i="16"/>
  <c r="G376" i="16"/>
  <c r="F376" i="16"/>
  <c r="F757" i="16"/>
  <c r="G757" i="16"/>
  <c r="F88" i="16"/>
  <c r="G88" i="16"/>
  <c r="G480" i="16"/>
  <c r="F480" i="16"/>
  <c r="G368" i="16"/>
  <c r="F368" i="16"/>
  <c r="G685" i="16"/>
  <c r="F685" i="16"/>
  <c r="F794" i="16"/>
  <c r="G794" i="16"/>
  <c r="F25" i="16"/>
  <c r="G25" i="16"/>
  <c r="F670" i="16"/>
  <c r="G670" i="16"/>
  <c r="G378" i="16"/>
  <c r="F378" i="16"/>
  <c r="F414" i="16"/>
  <c r="G414" i="16"/>
  <c r="F526" i="16"/>
  <c r="G526" i="16"/>
  <c r="F628" i="16"/>
  <c r="G628" i="16"/>
  <c r="F734" i="16"/>
  <c r="G734" i="16"/>
  <c r="F726" i="16"/>
  <c r="G726" i="16"/>
  <c r="F72" i="16"/>
  <c r="G72" i="16"/>
  <c r="F342" i="16"/>
  <c r="G342" i="16"/>
  <c r="G413" i="16"/>
  <c r="F413" i="16"/>
  <c r="F96" i="16"/>
  <c r="G96" i="16"/>
  <c r="F302" i="16"/>
  <c r="G302" i="16"/>
  <c r="F381" i="16"/>
  <c r="G381" i="16"/>
  <c r="F476" i="16"/>
  <c r="G476" i="16"/>
  <c r="F364" i="16"/>
  <c r="G364" i="16"/>
  <c r="F632" i="16"/>
  <c r="G632" i="16"/>
  <c r="F468" i="16"/>
  <c r="G468" i="16"/>
  <c r="F330" i="16"/>
  <c r="G330" i="16"/>
  <c r="G522" i="16"/>
  <c r="F522" i="16"/>
  <c r="F343" i="16"/>
  <c r="G343" i="16"/>
  <c r="F125" i="16"/>
  <c r="G125" i="16"/>
  <c r="F121" i="16"/>
  <c r="G121" i="16"/>
  <c r="G485" i="16"/>
  <c r="F485" i="16"/>
  <c r="G607" i="16"/>
  <c r="F607" i="16"/>
  <c r="F577" i="16"/>
  <c r="G577" i="16"/>
  <c r="G263" i="16"/>
  <c r="F263" i="16"/>
  <c r="G615" i="16"/>
  <c r="F615" i="16"/>
  <c r="G472" i="16"/>
  <c r="F472" i="16"/>
  <c r="F109" i="16"/>
  <c r="G109" i="16"/>
  <c r="F774" i="16"/>
  <c r="G774" i="16"/>
  <c r="G739" i="16"/>
  <c r="F739" i="16"/>
  <c r="F589" i="16"/>
  <c r="G589" i="16"/>
  <c r="F357" i="16"/>
  <c r="G357" i="16"/>
  <c r="F41" i="16"/>
  <c r="G41" i="16"/>
  <c r="G296" i="16"/>
  <c r="F296" i="16"/>
  <c r="G389" i="16"/>
  <c r="F389" i="16"/>
  <c r="F281" i="16"/>
  <c r="G281" i="16"/>
  <c r="F691" i="16"/>
  <c r="G691" i="16"/>
  <c r="F470" i="16"/>
  <c r="G470" i="16"/>
  <c r="F274" i="16"/>
  <c r="G274" i="16"/>
  <c r="G575" i="16"/>
  <c r="F575" i="16"/>
  <c r="F699" i="16"/>
  <c r="G699" i="16"/>
  <c r="G527" i="16"/>
  <c r="F527" i="16"/>
  <c r="G399" i="16"/>
  <c r="F399" i="16"/>
  <c r="F772" i="16"/>
  <c r="G772" i="16"/>
  <c r="F523" i="16"/>
  <c r="G523" i="16"/>
  <c r="G115" i="16"/>
  <c r="F115" i="16"/>
  <c r="F97" i="16"/>
  <c r="G97" i="16"/>
  <c r="G602" i="16"/>
  <c r="F602" i="16"/>
  <c r="G564" i="16"/>
  <c r="F564" i="16"/>
  <c r="F776" i="16"/>
  <c r="G776" i="16"/>
  <c r="F78" i="16"/>
  <c r="G78" i="16"/>
  <c r="G50" i="16"/>
  <c r="F50" i="16"/>
  <c r="G284" i="16"/>
  <c r="F284" i="16"/>
  <c r="F775" i="16"/>
  <c r="G775" i="16"/>
  <c r="F682" i="16"/>
  <c r="G682" i="16"/>
  <c r="F443" i="16"/>
  <c r="G443" i="16"/>
  <c r="F513" i="16"/>
  <c r="G513" i="16"/>
  <c r="G194" i="16"/>
  <c r="F194" i="16"/>
  <c r="F147" i="16"/>
  <c r="G147" i="16"/>
  <c r="G407" i="16"/>
  <c r="F407" i="16"/>
  <c r="F158" i="16"/>
  <c r="G158" i="16"/>
  <c r="G315" i="16"/>
  <c r="F315" i="16"/>
  <c r="F215" i="16"/>
  <c r="G215" i="16"/>
  <c r="F232" i="16"/>
  <c r="G232" i="16"/>
  <c r="G174" i="16"/>
  <c r="F174" i="16"/>
  <c r="G397" i="16"/>
  <c r="F397" i="16"/>
  <c r="G456" i="16"/>
  <c r="F456" i="16"/>
  <c r="F248" i="16"/>
  <c r="G248" i="16"/>
  <c r="G802" i="16"/>
  <c r="F802" i="16"/>
  <c r="G384" i="16"/>
  <c r="F384" i="16"/>
  <c r="F77" i="16"/>
  <c r="G77" i="16"/>
  <c r="G352" i="16"/>
  <c r="F352" i="16"/>
  <c r="G333" i="16"/>
  <c r="F333" i="16"/>
  <c r="F759" i="16"/>
  <c r="G759" i="16"/>
  <c r="G571" i="16"/>
  <c r="F571" i="16"/>
  <c r="F649" i="16"/>
  <c r="G649" i="16"/>
  <c r="G379" i="16"/>
  <c r="F379" i="16"/>
  <c r="F172" i="16"/>
  <c r="G172" i="16"/>
  <c r="G588" i="16"/>
  <c r="F588" i="16"/>
  <c r="G438" i="16"/>
  <c r="F438" i="16"/>
  <c r="F339" i="16"/>
  <c r="G339" i="16"/>
  <c r="G83" i="16"/>
  <c r="F83" i="16"/>
  <c r="F768" i="16"/>
  <c r="G768" i="16"/>
  <c r="F304" i="16"/>
  <c r="G304" i="16"/>
  <c r="G720" i="16"/>
  <c r="F720" i="16"/>
  <c r="F502" i="16"/>
  <c r="G502" i="16"/>
  <c r="F756" i="16"/>
  <c r="G756" i="16"/>
  <c r="G791" i="16"/>
  <c r="F791" i="16"/>
  <c r="F55" i="16"/>
  <c r="G55" i="16"/>
  <c r="F190" i="16"/>
  <c r="G190" i="16"/>
  <c r="G295" i="16"/>
  <c r="F295" i="16"/>
  <c r="G614" i="16"/>
  <c r="F614" i="16"/>
  <c r="G579" i="16"/>
  <c r="F579" i="16"/>
  <c r="G370" i="16"/>
  <c r="F370" i="16"/>
  <c r="F374" i="16"/>
  <c r="G374" i="16"/>
  <c r="F165" i="16"/>
  <c r="G165" i="16"/>
  <c r="G718" i="16"/>
  <c r="F718" i="16"/>
  <c r="F752" i="16"/>
  <c r="G752" i="16"/>
  <c r="F669" i="16"/>
  <c r="G669" i="16"/>
  <c r="F42" i="16"/>
  <c r="G42" i="16"/>
  <c r="G183" i="16"/>
  <c r="F183" i="16"/>
  <c r="G613" i="16"/>
  <c r="F613" i="16"/>
  <c r="G737" i="16"/>
  <c r="F737" i="16"/>
  <c r="G664" i="16"/>
  <c r="F664" i="16"/>
  <c r="F755" i="16"/>
  <c r="G755" i="16"/>
  <c r="G660" i="16"/>
  <c r="F660" i="16"/>
  <c r="G148" i="16"/>
  <c r="F148" i="16"/>
  <c r="G658" i="16"/>
  <c r="F658" i="16"/>
  <c r="G391" i="16"/>
  <c r="F391" i="16"/>
  <c r="G786" i="16"/>
  <c r="F786" i="16"/>
  <c r="G279" i="16"/>
  <c r="F279" i="16"/>
  <c r="F166" i="16"/>
  <c r="G166" i="16"/>
  <c r="G199" i="16"/>
  <c r="F199" i="16"/>
  <c r="F155" i="16"/>
  <c r="G155" i="16"/>
  <c r="G282" i="16"/>
  <c r="F282" i="16"/>
  <c r="G452" i="16"/>
  <c r="F452" i="16"/>
  <c r="G218" i="16"/>
  <c r="F218" i="16"/>
  <c r="G415" i="16"/>
  <c r="F415" i="16"/>
  <c r="G291" i="16"/>
  <c r="F291" i="16"/>
  <c r="F237" i="16"/>
  <c r="G237" i="16"/>
  <c r="G208" i="16"/>
  <c r="F208" i="16"/>
  <c r="G398" i="16"/>
  <c r="F398" i="16"/>
  <c r="G283" i="16"/>
  <c r="F283" i="16"/>
  <c r="F187" i="16"/>
  <c r="G187" i="16"/>
  <c r="G692" i="16"/>
  <c r="F692" i="16"/>
  <c r="G322" i="16"/>
  <c r="F322" i="16"/>
  <c r="F85" i="16"/>
  <c r="G85" i="16"/>
  <c r="F675" i="16"/>
  <c r="G675" i="16"/>
  <c r="G546" i="16"/>
  <c r="F546" i="16"/>
  <c r="F303" i="16"/>
  <c r="G303" i="16"/>
  <c r="G177" i="16"/>
  <c r="F177" i="16"/>
  <c r="G234" i="16"/>
  <c r="F234" i="16"/>
  <c r="F750" i="16"/>
  <c r="G750" i="16"/>
  <c r="F220" i="16"/>
  <c r="G220" i="16"/>
  <c r="G51" i="16"/>
  <c r="F51" i="16"/>
  <c r="G292" i="16"/>
  <c r="F292" i="16"/>
  <c r="G553" i="16"/>
  <c r="F553" i="16"/>
  <c r="F382" i="16"/>
  <c r="G382" i="16"/>
  <c r="G567" i="16"/>
  <c r="F567" i="16"/>
  <c r="F82" i="16"/>
  <c r="G82" i="16"/>
  <c r="F269" i="16"/>
  <c r="G269" i="16"/>
  <c r="G604" i="16"/>
  <c r="F604" i="16"/>
  <c r="F804" i="16"/>
  <c r="G804" i="16"/>
  <c r="F43" i="16"/>
  <c r="G43" i="16"/>
  <c r="F656" i="16"/>
  <c r="G656" i="16"/>
  <c r="G469" i="16"/>
  <c r="F469" i="16"/>
  <c r="G697" i="16"/>
  <c r="F697" i="16"/>
  <c r="G462" i="16"/>
  <c r="F462" i="16"/>
  <c r="F629" i="16"/>
  <c r="G629" i="16"/>
  <c r="F761" i="16"/>
  <c r="G761" i="16"/>
  <c r="G807" i="16"/>
  <c r="F807" i="16"/>
  <c r="G338" i="16"/>
  <c r="F338" i="16"/>
  <c r="G386" i="16"/>
  <c r="F386" i="16"/>
  <c r="F803" i="16"/>
  <c r="G803" i="16"/>
  <c r="G409" i="16"/>
  <c r="F409" i="16"/>
  <c r="F723" i="16"/>
  <c r="G723" i="16"/>
  <c r="G175" i="16"/>
  <c r="F175" i="16"/>
  <c r="F122" i="16"/>
  <c r="G122" i="16"/>
  <c r="F200" i="16"/>
  <c r="G200" i="16"/>
  <c r="F448" i="16"/>
  <c r="G448" i="16"/>
  <c r="G192" i="16"/>
  <c r="F192" i="16"/>
  <c r="F672" i="16"/>
  <c r="G672" i="16"/>
  <c r="F341" i="16"/>
  <c r="G341" i="16"/>
  <c r="F800" i="16"/>
  <c r="G800" i="16"/>
  <c r="G711" i="16"/>
  <c r="F711" i="16"/>
  <c r="G211" i="16"/>
  <c r="F211" i="16"/>
  <c r="F45" i="16"/>
  <c r="G45" i="16"/>
  <c r="F275" i="16"/>
  <c r="G275" i="16"/>
  <c r="F212" i="16"/>
  <c r="G212" i="16"/>
  <c r="F325" i="16"/>
  <c r="G325" i="16"/>
  <c r="G100" i="16"/>
  <c r="F100" i="16"/>
  <c r="F76" i="16"/>
  <c r="G76" i="16"/>
  <c r="G539" i="16"/>
  <c r="F539" i="16"/>
  <c r="G545" i="16"/>
  <c r="F545" i="16"/>
  <c r="G250" i="16"/>
  <c r="F250" i="16"/>
  <c r="F671" i="16"/>
  <c r="G671" i="16"/>
  <c r="F171" i="16"/>
  <c r="G171" i="16"/>
  <c r="G805" i="16"/>
  <c r="F805" i="16"/>
  <c r="G231" i="16"/>
  <c r="F231" i="16"/>
  <c r="F153" i="16"/>
  <c r="G153" i="16"/>
  <c r="F641" i="16"/>
  <c r="G641" i="16"/>
  <c r="G198" i="16"/>
  <c r="F198" i="16"/>
  <c r="G227" i="16"/>
  <c r="F227" i="16"/>
  <c r="G631" i="16"/>
  <c r="F631" i="16"/>
  <c r="F285" i="16"/>
  <c r="G285" i="16"/>
  <c r="F355" i="16"/>
  <c r="G355" i="16"/>
  <c r="G595" i="16"/>
  <c r="F595" i="16"/>
  <c r="G204" i="16"/>
  <c r="F204" i="16"/>
  <c r="F81" i="16"/>
  <c r="G81" i="16"/>
  <c r="F142" i="16"/>
  <c r="G142" i="16"/>
  <c r="F193" i="16"/>
  <c r="G193" i="16"/>
  <c r="F143" i="16"/>
  <c r="G143" i="16"/>
  <c r="G619" i="16"/>
  <c r="F619" i="16"/>
  <c r="G345" i="16"/>
  <c r="F345" i="16"/>
  <c r="G640" i="16"/>
  <c r="F640" i="16"/>
  <c r="G741" i="16"/>
  <c r="F741" i="16"/>
  <c r="G609" i="16"/>
  <c r="F609" i="16"/>
  <c r="G203" i="16"/>
  <c r="F203" i="16"/>
  <c r="F790" i="16"/>
  <c r="G790" i="16"/>
  <c r="G67" i="16"/>
  <c r="F67" i="16"/>
  <c r="G700" i="16"/>
  <c r="F700" i="16"/>
  <c r="F350" i="16"/>
  <c r="G350" i="16"/>
  <c r="G110" i="16"/>
  <c r="F110" i="16"/>
  <c r="F703" i="16"/>
  <c r="G703" i="16"/>
  <c r="G184" i="16"/>
  <c r="F184" i="16"/>
  <c r="G427" i="16"/>
  <c r="F427" i="16"/>
  <c r="G156" i="16"/>
  <c r="F156" i="16"/>
  <c r="G31" i="16"/>
  <c r="F31" i="16"/>
  <c r="F63" i="16"/>
  <c r="G63" i="16"/>
  <c r="G444" i="16"/>
  <c r="F444" i="16"/>
  <c r="G162" i="16"/>
  <c r="F162" i="16"/>
  <c r="G86" i="16"/>
  <c r="F86" i="16"/>
  <c r="G578" i="16"/>
  <c r="F578" i="16"/>
  <c r="F782" i="16"/>
  <c r="G782" i="16"/>
  <c r="G475" i="16"/>
  <c r="F475" i="16"/>
  <c r="F478" i="16"/>
  <c r="G478" i="16"/>
  <c r="F783" i="16"/>
  <c r="G783" i="16"/>
  <c r="F197" i="16"/>
  <c r="G197" i="16"/>
  <c r="F570" i="16"/>
  <c r="G570" i="16"/>
  <c r="G20" i="16"/>
  <c r="F20" i="16"/>
  <c r="G584" i="16"/>
  <c r="F584" i="16"/>
  <c r="F360" i="16"/>
  <c r="G360" i="16"/>
  <c r="G455" i="16"/>
  <c r="F455" i="16"/>
  <c r="F371" i="16"/>
  <c r="G371" i="16"/>
  <c r="G745" i="16"/>
  <c r="F745" i="16"/>
  <c r="F569" i="16"/>
  <c r="G569" i="16"/>
  <c r="G124" i="16"/>
  <c r="F124" i="16"/>
  <c r="G627" i="16"/>
  <c r="F627" i="16"/>
  <c r="F701" i="16"/>
  <c r="G701" i="16"/>
  <c r="F630" i="16"/>
  <c r="G630" i="16"/>
  <c r="G336" i="16"/>
  <c r="F336" i="16"/>
  <c r="G195" i="16"/>
  <c r="F195" i="16"/>
  <c r="G120" i="16"/>
  <c r="F120" i="16"/>
  <c r="F233" i="16"/>
  <c r="G233" i="16"/>
  <c r="G728" i="16"/>
  <c r="F728" i="16"/>
  <c r="F270" i="16"/>
  <c r="G270" i="16"/>
  <c r="G103" i="16"/>
  <c r="F103" i="16"/>
  <c r="G277" i="16"/>
  <c r="F277" i="16"/>
  <c r="G541" i="16"/>
  <c r="F541" i="16"/>
  <c r="G318" i="16"/>
  <c r="F318" i="16"/>
  <c r="F458" i="16"/>
  <c r="G458" i="16"/>
  <c r="F445" i="16"/>
  <c r="G445" i="16"/>
  <c r="F418" i="16"/>
  <c r="G418" i="16"/>
  <c r="F461" i="16"/>
  <c r="G461" i="16"/>
  <c r="F486" i="16"/>
  <c r="G486" i="16"/>
  <c r="F695" i="16"/>
  <c r="G695" i="16"/>
  <c r="G306" i="16"/>
  <c r="F306" i="16"/>
  <c r="F784" i="16"/>
  <c r="G784" i="16"/>
  <c r="G324" i="16"/>
  <c r="F324" i="16"/>
  <c r="G411" i="16"/>
  <c r="F411" i="16"/>
  <c r="G689" i="16"/>
  <c r="F689" i="16"/>
  <c r="G530" i="16"/>
  <c r="F530" i="16"/>
  <c r="F702" i="16"/>
  <c r="G702" i="16"/>
  <c r="F221" i="16"/>
  <c r="G221" i="16"/>
  <c r="G473" i="16"/>
  <c r="F473" i="16"/>
  <c r="F390" i="16"/>
  <c r="G390" i="16"/>
  <c r="F785" i="16"/>
  <c r="G785" i="16"/>
  <c r="G597" i="16"/>
  <c r="F597" i="16"/>
  <c r="F574" i="16"/>
  <c r="G574" i="16"/>
  <c r="G152" i="16"/>
  <c r="F152" i="16"/>
  <c r="G795" i="16"/>
  <c r="F795" i="16"/>
  <c r="G417" i="16"/>
  <c r="F417" i="16"/>
  <c r="F167" i="16"/>
  <c r="G167" i="16"/>
  <c r="F422" i="16"/>
  <c r="G422" i="16"/>
  <c r="F90" i="16"/>
  <c r="G90" i="16"/>
  <c r="F393" i="16"/>
  <c r="G393" i="16"/>
  <c r="G36" i="16"/>
  <c r="F36" i="16"/>
  <c r="G440" i="16"/>
  <c r="F440" i="16"/>
  <c r="G136" i="16"/>
  <c r="F136" i="16"/>
  <c r="G242" i="16"/>
  <c r="F242" i="16"/>
  <c r="F337" i="16"/>
  <c r="G337" i="16"/>
  <c r="G770" i="16"/>
  <c r="F770" i="16"/>
  <c r="F46" i="16"/>
  <c r="G46" i="16"/>
  <c r="F372" i="16"/>
  <c r="G372" i="16"/>
  <c r="G328" i="16"/>
  <c r="F328" i="16"/>
  <c r="G60" i="16"/>
  <c r="F60" i="16"/>
  <c r="F717" i="16"/>
  <c r="G717" i="16"/>
  <c r="G798" i="16"/>
  <c r="F798" i="16"/>
  <c r="F593" i="16"/>
  <c r="G593" i="16"/>
  <c r="F223" i="16"/>
  <c r="G223" i="16"/>
  <c r="G348" i="16"/>
  <c r="F348" i="16"/>
  <c r="F92" i="16"/>
  <c r="G92" i="16"/>
  <c r="G114" i="16"/>
  <c r="F114" i="16"/>
  <c r="G116" i="16"/>
  <c r="F116" i="16"/>
  <c r="G639" i="16"/>
  <c r="F639" i="16"/>
  <c r="F625" i="16"/>
  <c r="G625" i="16"/>
  <c r="F518" i="16"/>
  <c r="G518" i="16"/>
  <c r="F334" i="16"/>
  <c r="G334" i="16"/>
  <c r="G587" i="16"/>
  <c r="F587" i="16"/>
  <c r="F149" i="16"/>
  <c r="G149" i="16"/>
  <c r="F534" i="16"/>
  <c r="G534" i="16"/>
  <c r="F460" i="16"/>
  <c r="G460" i="16"/>
  <c r="F65" i="16"/>
  <c r="G65" i="16"/>
  <c r="F209" i="16"/>
  <c r="G209" i="16"/>
  <c r="G449" i="16"/>
  <c r="F449" i="16"/>
  <c r="F638" i="16"/>
  <c r="G638" i="16"/>
  <c r="F169" i="16"/>
  <c r="G169" i="16"/>
  <c r="G367" i="16"/>
  <c r="F367" i="16"/>
  <c r="F38" i="16"/>
  <c r="G38" i="16"/>
  <c r="F654" i="16"/>
  <c r="G654" i="16"/>
  <c r="F608" i="16"/>
  <c r="G608" i="16"/>
  <c r="F716" i="16"/>
  <c r="G716" i="16"/>
  <c r="F349" i="16"/>
  <c r="G349" i="16"/>
  <c r="F137" i="16"/>
  <c r="G137" i="16"/>
  <c r="G54" i="16"/>
  <c r="F54" i="16"/>
  <c r="F525" i="16"/>
  <c r="G525" i="16"/>
  <c r="G126" i="16"/>
  <c r="F126" i="16"/>
  <c r="G814" i="16"/>
  <c r="F814" i="16"/>
  <c r="F459" i="16"/>
  <c r="G459" i="16"/>
  <c r="F490" i="16"/>
  <c r="G490" i="16"/>
  <c r="G529" i="16"/>
  <c r="F529" i="16"/>
  <c r="G474" i="16"/>
  <c r="F474" i="16"/>
  <c r="F662" i="16"/>
  <c r="G662" i="16"/>
  <c r="G224" i="16"/>
  <c r="F224" i="16"/>
  <c r="F119" i="16"/>
  <c r="G119" i="16"/>
  <c r="G403" i="16"/>
  <c r="F403" i="16"/>
  <c r="F59" i="16"/>
  <c r="G59" i="16"/>
  <c r="G226" i="16"/>
  <c r="F226" i="16"/>
  <c r="G548" i="16"/>
  <c r="F548" i="16"/>
  <c r="G436" i="16"/>
  <c r="F436" i="16"/>
  <c r="G106" i="16"/>
  <c r="F106" i="16"/>
  <c r="G366" i="16"/>
  <c r="F366" i="16"/>
  <c r="G135" i="16"/>
  <c r="F135" i="16"/>
  <c r="G531" i="16"/>
  <c r="F531" i="16"/>
  <c r="G561" i="16"/>
  <c r="F561" i="16"/>
  <c r="G176" i="16"/>
  <c r="F176" i="16"/>
  <c r="F582" i="16"/>
  <c r="G582" i="16"/>
  <c r="F32" i="16"/>
  <c r="G32" i="16"/>
  <c r="G154" i="16"/>
  <c r="F154" i="16"/>
  <c r="G219" i="16"/>
  <c r="F219" i="16"/>
  <c r="F273" i="16"/>
  <c r="G273" i="16"/>
  <c r="G661" i="16"/>
  <c r="F661" i="16"/>
  <c r="F340" i="16"/>
  <c r="G340" i="16"/>
  <c r="F327" i="16"/>
  <c r="G327" i="16"/>
  <c r="G346" i="16"/>
  <c r="F346" i="16"/>
  <c r="F206" i="16"/>
  <c r="G206" i="16"/>
  <c r="G645" i="16"/>
  <c r="F645" i="16"/>
  <c r="G464" i="16"/>
  <c r="F464" i="16"/>
  <c r="F730" i="16"/>
  <c r="G730" i="16"/>
  <c r="G688" i="16"/>
  <c r="F688" i="16"/>
  <c r="F258" i="16"/>
  <c r="G258" i="16"/>
  <c r="G287" i="16"/>
  <c r="F287" i="16"/>
  <c r="G240" i="16"/>
  <c r="F240" i="16"/>
  <c r="F347" i="16"/>
  <c r="G347" i="16"/>
  <c r="G265" i="16"/>
  <c r="F265" i="16"/>
  <c r="F205" i="16"/>
  <c r="G205" i="16"/>
  <c r="G481" i="16"/>
  <c r="F481" i="16"/>
  <c r="F217" i="16"/>
  <c r="G217" i="16"/>
  <c r="G289" i="16"/>
  <c r="F289" i="16"/>
  <c r="F157" i="16"/>
  <c r="G157" i="16"/>
  <c r="F647" i="16"/>
  <c r="G647" i="16"/>
  <c r="G549" i="16"/>
  <c r="F549" i="16"/>
  <c r="F780" i="16"/>
  <c r="G780" i="16"/>
  <c r="F113" i="16"/>
  <c r="G113" i="16"/>
  <c r="F57" i="16"/>
  <c r="G57" i="16"/>
  <c r="F746" i="16"/>
  <c r="G746" i="16"/>
  <c r="G99" i="16"/>
  <c r="F99" i="16"/>
  <c r="F650" i="16"/>
  <c r="G650" i="16"/>
  <c r="G361" i="16"/>
  <c r="F361" i="16"/>
  <c r="G130" i="16"/>
  <c r="F130" i="16"/>
  <c r="F394" i="16"/>
  <c r="G394" i="16"/>
  <c r="G268" i="16"/>
  <c r="F268" i="16"/>
  <c r="G375" i="16"/>
  <c r="F375" i="16"/>
  <c r="F95" i="16"/>
  <c r="G95" i="16"/>
  <c r="G40" i="16"/>
  <c r="F40" i="16"/>
  <c r="F246" i="16"/>
  <c r="G246" i="16"/>
  <c r="F429" i="16"/>
  <c r="G429" i="16"/>
  <c r="F657" i="16"/>
  <c r="G657" i="16"/>
  <c r="F544" i="16"/>
  <c r="G544" i="16"/>
  <c r="F432" i="16"/>
  <c r="G432" i="16"/>
  <c r="F35" i="16"/>
  <c r="G35" i="16"/>
  <c r="F18" i="16"/>
  <c r="G18" i="16"/>
  <c r="G17" i="16"/>
  <c r="F17" i="16"/>
  <c r="F16" i="16"/>
  <c r="G16" i="16"/>
  <c r="L5" i="16" l="1"/>
  <c r="L7" i="16"/>
  <c r="L9" i="16"/>
  <c r="K9" i="16"/>
  <c r="K5" i="16"/>
  <c r="K7" i="1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tc={CD9B83F2-87BE-4CFC-9CE6-347C1C4855A9}</author>
  </authors>
  <commentList>
    <comment ref="J871" authorId="0" shapeId="0" xr:uid="{CD9B83F2-87BE-4CFC-9CE6-347C1C4855A9}">
      <text>
        <t>[Comentario encadenado]
Su versión de Excel le permite leer este comentario encadenado; sin embargo, las ediciones que se apliquen se quitarán si el archivo se abre en una versión más reciente de Excel. Más información: https://go.microsoft.com/fwlink/?linkid=870924
Comentario:
    NO BORRAR cuadro filtro para BD</t>
      </text>
    </comment>
  </commentList>
</comments>
</file>

<file path=xl/sharedStrings.xml><?xml version="1.0" encoding="utf-8"?>
<sst xmlns="http://schemas.openxmlformats.org/spreadsheetml/2006/main" count="10826" uniqueCount="1115">
  <si>
    <t>FIELD COMPACTION SUMMARY</t>
  </si>
  <si>
    <t>Reporte Nº:</t>
  </si>
  <si>
    <t>CV-QC-RM-CS-210011</t>
  </si>
  <si>
    <t>PRESA DE RELAVES ENLOZADA C1</t>
  </si>
  <si>
    <t>Mes del reporte</t>
  </si>
  <si>
    <t>Diciembre</t>
  </si>
  <si>
    <t>Periodo :</t>
  </si>
  <si>
    <t>al</t>
  </si>
  <si>
    <t>TEST IDENTIFICATION</t>
  </si>
  <si>
    <t>IN SITU DATA</t>
  </si>
  <si>
    <t>LABORATORY TEST DATA</t>
  </si>
  <si>
    <t>FIELD AND LABORATORY CORRELATION</t>
  </si>
  <si>
    <t>REMARKS</t>
  </si>
  <si>
    <t>SOURCE (4): CYCLONE STATION</t>
  </si>
  <si>
    <t>FILL (2): TAILING</t>
  </si>
  <si>
    <t>Loose lift thickness=</t>
  </si>
  <si>
    <t>30 cm</t>
  </si>
  <si>
    <t>PROCTOR COMPACTION STANDARD-S (7)</t>
  </si>
  <si>
    <t>Test No./ code (1)</t>
  </si>
  <si>
    <r>
      <t>File No</t>
    </r>
    <r>
      <rPr>
        <sz val="7.2"/>
        <rFont val="Century Gothic"/>
        <family val="2"/>
      </rPr>
      <t>.</t>
    </r>
  </si>
  <si>
    <t xml:space="preserve">Resp. Guar. </t>
  </si>
  <si>
    <t>Turn</t>
  </si>
  <si>
    <t>Lift No.</t>
  </si>
  <si>
    <t>Date</t>
  </si>
  <si>
    <t xml:space="preserve">Location </t>
  </si>
  <si>
    <t>SPECIFIED COMPACTION:</t>
  </si>
  <si>
    <t>%</t>
  </si>
  <si>
    <t>Proctor Compaction</t>
  </si>
  <si>
    <t>One-Point Proctor</t>
  </si>
  <si>
    <t xml:space="preserve">Sin Formula </t>
  </si>
  <si>
    <t>Easting</t>
  </si>
  <si>
    <t>Northing</t>
  </si>
  <si>
    <t>Elev.</t>
  </si>
  <si>
    <t>Cancha</t>
  </si>
  <si>
    <t>Sb/
Sp No.</t>
  </si>
  <si>
    <t>Depth (cm)</t>
  </si>
  <si>
    <t>No. Dens</t>
  </si>
  <si>
    <t>Corr. Moisture</t>
  </si>
  <si>
    <t>Moisture, %  (6)</t>
  </si>
  <si>
    <r>
      <t>Dry Density
g/cm</t>
    </r>
    <r>
      <rPr>
        <b/>
        <vertAlign val="superscript"/>
        <sz val="8"/>
        <rFont val="Century Gothic"/>
        <family val="2"/>
      </rPr>
      <t>3</t>
    </r>
  </si>
  <si>
    <t>Wet density Dens</t>
  </si>
  <si>
    <t>Method (9)</t>
  </si>
  <si>
    <t>Compactor (5)</t>
  </si>
  <si>
    <t>Passes</t>
  </si>
  <si>
    <t>Real Passes</t>
  </si>
  <si>
    <t xml:space="preserve"> Specific Gravity</t>
  </si>
  <si>
    <t>Max. Particle size</t>
  </si>
  <si>
    <t>Percent passing (Control)</t>
  </si>
  <si>
    <t>Max. Dry Density</t>
  </si>
  <si>
    <t xml:space="preserve">Optimum Moisture </t>
  </si>
  <si>
    <t>Curve Code</t>
  </si>
  <si>
    <t xml:space="preserve"> Dry Density</t>
  </si>
  <si>
    <t>Wet density</t>
  </si>
  <si>
    <t>Moisture</t>
  </si>
  <si>
    <t>Select. Curve</t>
  </si>
  <si>
    <t xml:space="preserve">Moisture </t>
  </si>
  <si>
    <t>Compaction  %</t>
  </si>
  <si>
    <t>Opinion (8)</t>
  </si>
  <si>
    <t>Retest
from</t>
  </si>
  <si>
    <t>Remarks</t>
  </si>
  <si>
    <t>Retest on</t>
  </si>
  <si>
    <t>R. Sem</t>
  </si>
  <si>
    <t>revisar</t>
  </si>
  <si>
    <t>MWH-QA</t>
  </si>
  <si>
    <t>SMCV-QC</t>
  </si>
  <si>
    <t>k</t>
  </si>
  <si>
    <t>Oven</t>
  </si>
  <si>
    <t>Dens.</t>
  </si>
  <si>
    <t>Corr.</t>
  </si>
  <si>
    <t>N/S/PR</t>
  </si>
  <si>
    <t xml:space="preserve"># </t>
  </si>
  <si>
    <r>
      <t xml:space="preserve"> g/cm</t>
    </r>
    <r>
      <rPr>
        <b/>
        <vertAlign val="superscript"/>
        <sz val="8"/>
        <rFont val="Century Gothic"/>
        <family val="2"/>
      </rPr>
      <t>3</t>
    </r>
  </si>
  <si>
    <t>No. 30</t>
  </si>
  <si>
    <t>No. 50</t>
  </si>
  <si>
    <t>No. 100</t>
  </si>
  <si>
    <t>No. 200</t>
  </si>
  <si>
    <t>No.</t>
  </si>
  <si>
    <t>+/-</t>
  </si>
  <si>
    <t>Pass</t>
  </si>
  <si>
    <t>Failure</t>
  </si>
  <si>
    <t>AP
East</t>
  </si>
  <si>
    <t>Fail 
East</t>
  </si>
  <si>
    <t>CA 
point</t>
  </si>
  <si>
    <t># Sem</t>
  </si>
  <si>
    <t>Column1</t>
  </si>
  <si>
    <t>Column2</t>
  </si>
  <si>
    <t>Column3</t>
  </si>
  <si>
    <t>Column4</t>
  </si>
  <si>
    <t>Column5</t>
  </si>
  <si>
    <t>Column6</t>
  </si>
  <si>
    <t>Column7</t>
  </si>
  <si>
    <t>Column8</t>
  </si>
  <si>
    <t>Column9</t>
  </si>
  <si>
    <t>Column10</t>
  </si>
  <si>
    <t>Column11</t>
  </si>
  <si>
    <t>Column12</t>
  </si>
  <si>
    <t>Column13</t>
  </si>
  <si>
    <t>Column14</t>
  </si>
  <si>
    <t>Column15</t>
  </si>
  <si>
    <t>Column16</t>
  </si>
  <si>
    <t>Column17</t>
  </si>
  <si>
    <t>Column18</t>
  </si>
  <si>
    <t>Column19</t>
  </si>
  <si>
    <t>Column20</t>
  </si>
  <si>
    <t>Column21</t>
  </si>
  <si>
    <t>Column22</t>
  </si>
  <si>
    <t>Column23</t>
  </si>
  <si>
    <t>Column24</t>
  </si>
  <si>
    <t>Column25</t>
  </si>
  <si>
    <t>Column26</t>
  </si>
  <si>
    <t>Column27</t>
  </si>
  <si>
    <t>Column28</t>
  </si>
  <si>
    <t>Column29</t>
  </si>
  <si>
    <t>Column30</t>
  </si>
  <si>
    <t>Column31</t>
  </si>
  <si>
    <t>Column32</t>
  </si>
  <si>
    <t>Column33</t>
  </si>
  <si>
    <t>Column34</t>
  </si>
  <si>
    <t>Column35</t>
  </si>
  <si>
    <t>Column36</t>
  </si>
  <si>
    <t>Column37</t>
  </si>
  <si>
    <t>Column38</t>
  </si>
  <si>
    <t>Column39</t>
  </si>
  <si>
    <t>Column40</t>
  </si>
  <si>
    <t>Column41</t>
  </si>
  <si>
    <t>Column42</t>
  </si>
  <si>
    <t>Column43</t>
  </si>
  <si>
    <t>Column44</t>
  </si>
  <si>
    <t>Column45</t>
  </si>
  <si>
    <t>Column46</t>
  </si>
  <si>
    <t>Column47</t>
  </si>
  <si>
    <t>DN-261020</t>
  </si>
  <si>
    <t>GM</t>
  </si>
  <si>
    <t>A</t>
  </si>
  <si>
    <t>4B-H</t>
  </si>
  <si>
    <t>Sp 57</t>
  </si>
  <si>
    <t>N</t>
  </si>
  <si>
    <t>D6R+B6T</t>
  </si>
  <si>
    <t>PR-260003</t>
  </si>
  <si>
    <t/>
  </si>
  <si>
    <t>Ok</t>
  </si>
  <si>
    <t>CA-260102</t>
  </si>
  <si>
    <t>S</t>
  </si>
  <si>
    <t>N° 16</t>
  </si>
  <si>
    <t>OK</t>
  </si>
  <si>
    <t>DN-261021</t>
  </si>
  <si>
    <t>Sp 54</t>
  </si>
  <si>
    <t>PR-260031</t>
  </si>
  <si>
    <t>DN-261022</t>
  </si>
  <si>
    <t>4A-H</t>
  </si>
  <si>
    <t>Sp 51</t>
  </si>
  <si>
    <t>DN-261023</t>
  </si>
  <si>
    <t>Sp 52</t>
  </si>
  <si>
    <t>DN-261024</t>
  </si>
  <si>
    <t>Sp 55</t>
  </si>
  <si>
    <t>DN-261025</t>
  </si>
  <si>
    <t>Sp 59</t>
  </si>
  <si>
    <t>DN-261026</t>
  </si>
  <si>
    <t>4B-M</t>
  </si>
  <si>
    <t>Sp 56</t>
  </si>
  <si>
    <t>DN-261027</t>
  </si>
  <si>
    <t>DN-261028</t>
  </si>
  <si>
    <t>3C-H</t>
  </si>
  <si>
    <t>Sp 49</t>
  </si>
  <si>
    <t>DN-261029</t>
  </si>
  <si>
    <t>PR-260010</t>
  </si>
  <si>
    <t>DN-261030</t>
  </si>
  <si>
    <t>2A-H</t>
  </si>
  <si>
    <t>Plataforma</t>
  </si>
  <si>
    <t>B13T</t>
  </si>
  <si>
    <t>PR-260015</t>
  </si>
  <si>
    <t>CA-260103</t>
  </si>
  <si>
    <t>A1</t>
  </si>
  <si>
    <t>4/4</t>
  </si>
  <si>
    <t>4</t>
  </si>
  <si>
    <t>DN-261031</t>
  </si>
  <si>
    <t>B</t>
  </si>
  <si>
    <t>Sp 47</t>
  </si>
  <si>
    <t>DN-261032</t>
  </si>
  <si>
    <t>Sp 45</t>
  </si>
  <si>
    <t>DN-261033</t>
  </si>
  <si>
    <t>PR-260029</t>
  </si>
  <si>
    <t>DN-261034</t>
  </si>
  <si>
    <t>DN-261035</t>
  </si>
  <si>
    <t>3C-M</t>
  </si>
  <si>
    <t>Sp 48</t>
  </si>
  <si>
    <t>DN-261036</t>
  </si>
  <si>
    <t>B3.3T</t>
  </si>
  <si>
    <t>PRM-1562</t>
  </si>
  <si>
    <t>DN-261037</t>
  </si>
  <si>
    <t>P.46 OF</t>
  </si>
  <si>
    <t>B7T</t>
  </si>
  <si>
    <t>DN-261038</t>
  </si>
  <si>
    <t>SA-OF</t>
  </si>
  <si>
    <t>B13T(*)</t>
  </si>
  <si>
    <t>6</t>
  </si>
  <si>
    <t>PRM-1565</t>
  </si>
  <si>
    <t>DN-261039</t>
  </si>
  <si>
    <t>SA-UF</t>
  </si>
  <si>
    <t>DN-261040</t>
  </si>
  <si>
    <t>2B-H</t>
  </si>
  <si>
    <t>P.76 UF</t>
  </si>
  <si>
    <t>CA-260104</t>
  </si>
  <si>
    <t>DN-261041</t>
  </si>
  <si>
    <t>DN-261042</t>
  </si>
  <si>
    <t>2C-H</t>
  </si>
  <si>
    <t>DN-261043</t>
  </si>
  <si>
    <t>GT</t>
  </si>
  <si>
    <t>3A-H</t>
  </si>
  <si>
    <t>Sp 35</t>
  </si>
  <si>
    <t>PRM-1566</t>
  </si>
  <si>
    <t>DN-261044</t>
  </si>
  <si>
    <t>Sp 38</t>
  </si>
  <si>
    <t>DN-261045</t>
  </si>
  <si>
    <t>DN-261046</t>
  </si>
  <si>
    <t>Contacto</t>
  </si>
  <si>
    <t>Plancha 1T/Exc.</t>
  </si>
  <si>
    <t>DN-261047</t>
  </si>
  <si>
    <t>4C-H</t>
  </si>
  <si>
    <t>P.180 UF</t>
  </si>
  <si>
    <t>DN-261048</t>
  </si>
  <si>
    <t>3B-H</t>
  </si>
  <si>
    <t>Sp 40</t>
  </si>
  <si>
    <t>DN-261049</t>
  </si>
  <si>
    <t>Sp 42</t>
  </si>
  <si>
    <t>DN-261050</t>
  </si>
  <si>
    <t>CA-260105</t>
  </si>
  <si>
    <t>N° 8</t>
  </si>
  <si>
    <t>DN-261051</t>
  </si>
  <si>
    <t>DN-261052</t>
  </si>
  <si>
    <t>Sp 43</t>
  </si>
  <si>
    <t>DN-261053</t>
  </si>
  <si>
    <t>DN-261054</t>
  </si>
  <si>
    <t>SA-03</t>
  </si>
  <si>
    <t>Vibro apisonadora</t>
  </si>
  <si>
    <t>DN-261055</t>
  </si>
  <si>
    <t>2C-M</t>
  </si>
  <si>
    <t>Sp 29</t>
  </si>
  <si>
    <t>PRM-1567</t>
  </si>
  <si>
    <t>DN-261056</t>
  </si>
  <si>
    <t>2B-L</t>
  </si>
  <si>
    <t>DN-261057</t>
  </si>
  <si>
    <t>Sp 31</t>
  </si>
  <si>
    <t>DN-261058</t>
  </si>
  <si>
    <t>2C-L</t>
  </si>
  <si>
    <t>Sp 32</t>
  </si>
  <si>
    <t>DN-261059</t>
  </si>
  <si>
    <t>Sp 34</t>
  </si>
  <si>
    <t>DN-261060</t>
  </si>
  <si>
    <t>Sp 33</t>
  </si>
  <si>
    <t>PR-260027</t>
  </si>
  <si>
    <t>CA-260106</t>
  </si>
  <si>
    <t>DN-261061</t>
  </si>
  <si>
    <t>3A-M</t>
  </si>
  <si>
    <t>Sp 36</t>
  </si>
  <si>
    <t>DN-261062</t>
  </si>
  <si>
    <t>DN-261063</t>
  </si>
  <si>
    <t>3A-L</t>
  </si>
  <si>
    <t>DN-261064</t>
  </si>
  <si>
    <t>DN-261065</t>
  </si>
  <si>
    <t>DN-261066</t>
  </si>
  <si>
    <t>P.85 OF</t>
  </si>
  <si>
    <t>DN-261067</t>
  </si>
  <si>
    <t>P.119 UF</t>
  </si>
  <si>
    <t>DN-261068</t>
  </si>
  <si>
    <t>DN-261069</t>
  </si>
  <si>
    <t>DN-261070</t>
  </si>
  <si>
    <t>Pto.Pr.</t>
  </si>
  <si>
    <t>CA-260107</t>
  </si>
  <si>
    <t>DN-261071</t>
  </si>
  <si>
    <t>DN-261072</t>
  </si>
  <si>
    <t>DN-261073</t>
  </si>
  <si>
    <t>DN-261074</t>
  </si>
  <si>
    <t>DN-261075</t>
  </si>
  <si>
    <t>DN-261076</t>
  </si>
  <si>
    <t>DN-261077</t>
  </si>
  <si>
    <t>DN-261078</t>
  </si>
  <si>
    <t>PR-260032</t>
  </si>
  <si>
    <t>DN-261079</t>
  </si>
  <si>
    <t>DN-261080</t>
  </si>
  <si>
    <t>Sp 30</t>
  </si>
  <si>
    <t>CA-260108</t>
  </si>
  <si>
    <t>DN-261081</t>
  </si>
  <si>
    <t>DN-261082</t>
  </si>
  <si>
    <t>DN-261083</t>
  </si>
  <si>
    <t>DN-261084</t>
  </si>
  <si>
    <t>DN-261085</t>
  </si>
  <si>
    <t>DN-261086</t>
  </si>
  <si>
    <t>PRM-1568</t>
  </si>
  <si>
    <t>DN-261087</t>
  </si>
  <si>
    <t>2B-M</t>
  </si>
  <si>
    <t>DN-261088</t>
  </si>
  <si>
    <t>DN-261089</t>
  </si>
  <si>
    <t>-</t>
  </si>
  <si>
    <t>PR</t>
  </si>
  <si>
    <t>Proctor test</t>
  </si>
  <si>
    <t>DN-261090</t>
  </si>
  <si>
    <t>P.106 OF</t>
  </si>
  <si>
    <t>PR-260028</t>
  </si>
  <si>
    <t>CA-260109</t>
  </si>
  <si>
    <t>DN-261091</t>
  </si>
  <si>
    <t>DN-261092</t>
  </si>
  <si>
    <t>Sp 27</t>
  </si>
  <si>
    <t>DN-261093</t>
  </si>
  <si>
    <t>Sp 25</t>
  </si>
  <si>
    <t>DN-261094</t>
  </si>
  <si>
    <t>2A-M</t>
  </si>
  <si>
    <t>Sp 23</t>
  </si>
  <si>
    <t>DN-261095</t>
  </si>
  <si>
    <t>PRM-1563</t>
  </si>
  <si>
    <t>DN-261096</t>
  </si>
  <si>
    <t>Sp 28</t>
  </si>
  <si>
    <t>DN-261097</t>
  </si>
  <si>
    <t>Sp 26</t>
  </si>
  <si>
    <t>DN-261098</t>
  </si>
  <si>
    <t>DN-261099</t>
  </si>
  <si>
    <t>DN-261100</t>
  </si>
  <si>
    <t>CA-260110</t>
  </si>
  <si>
    <t>DN-261101</t>
  </si>
  <si>
    <t>DN-261102</t>
  </si>
  <si>
    <t>DN-261103</t>
  </si>
  <si>
    <t>DN-261104</t>
  </si>
  <si>
    <t>Sp 20</t>
  </si>
  <si>
    <t>DN-261105</t>
  </si>
  <si>
    <t>Sp 19</t>
  </si>
  <si>
    <t>DN-261106</t>
  </si>
  <si>
    <t>2A-L</t>
  </si>
  <si>
    <t>DN-261107</t>
  </si>
  <si>
    <t>DN-261108</t>
  </si>
  <si>
    <t>DN-261109</t>
  </si>
  <si>
    <t>DN-261110</t>
  </si>
  <si>
    <t>1C-M</t>
  </si>
  <si>
    <t>Sp 17</t>
  </si>
  <si>
    <t>CA-260111</t>
  </si>
  <si>
    <t>DN-261111</t>
  </si>
  <si>
    <t>1B-H</t>
  </si>
  <si>
    <t>Sp 13</t>
  </si>
  <si>
    <t>DN-261112</t>
  </si>
  <si>
    <t>Sp 15</t>
  </si>
  <si>
    <t>DN-261113</t>
  </si>
  <si>
    <t>Sp 18</t>
  </si>
  <si>
    <t>DN-261114</t>
  </si>
  <si>
    <t>Sp 16</t>
  </si>
  <si>
    <t>DN-261115</t>
  </si>
  <si>
    <t>1B-M</t>
  </si>
  <si>
    <t>DN-261116</t>
  </si>
  <si>
    <t>DN-261117</t>
  </si>
  <si>
    <t>Sp 21</t>
  </si>
  <si>
    <t>DN-261118</t>
  </si>
  <si>
    <t>1C-H</t>
  </si>
  <si>
    <t>DN-261119</t>
  </si>
  <si>
    <t>DN-261120</t>
  </si>
  <si>
    <t>CA-260112</t>
  </si>
  <si>
    <t>DN-261121</t>
  </si>
  <si>
    <t>Sp 24</t>
  </si>
  <si>
    <t>DN-261122</t>
  </si>
  <si>
    <t>1A-H</t>
  </si>
  <si>
    <t>P.3 OF (capa #1)</t>
  </si>
  <si>
    <t>DN-261123</t>
  </si>
  <si>
    <t>P.3 OF (capa #3)</t>
  </si>
  <si>
    <t>PR-260033</t>
  </si>
  <si>
    <t>DN-261124</t>
  </si>
  <si>
    <t>P.3 OF (capa #4)</t>
  </si>
  <si>
    <t>DN-261125</t>
  </si>
  <si>
    <t>Sp 3</t>
  </si>
  <si>
    <t>DN-261126</t>
  </si>
  <si>
    <t>Sp 6</t>
  </si>
  <si>
    <t>DN-261127</t>
  </si>
  <si>
    <t>Sp 9</t>
  </si>
  <si>
    <t>DN-261128</t>
  </si>
  <si>
    <t>Sp 11</t>
  </si>
  <si>
    <t>DN-261129</t>
  </si>
  <si>
    <t>DN-261130</t>
  </si>
  <si>
    <t>CA-260113</t>
  </si>
  <si>
    <t>DN-261131</t>
  </si>
  <si>
    <t>DN-261132</t>
  </si>
  <si>
    <t>PR-260034</t>
  </si>
  <si>
    <t>DN-261133</t>
  </si>
  <si>
    <t>P.3 OF (capa #7)</t>
  </si>
  <si>
    <t>DN-261134</t>
  </si>
  <si>
    <t>DN-261135</t>
  </si>
  <si>
    <t>MAS-161</t>
  </si>
  <si>
    <t>DN-261136</t>
  </si>
  <si>
    <t>DN-261137</t>
  </si>
  <si>
    <t>Sp 58</t>
  </si>
  <si>
    <t>DN-261138</t>
  </si>
  <si>
    <t>DN-261139</t>
  </si>
  <si>
    <t>Sp 53</t>
  </si>
  <si>
    <t>DN-261140</t>
  </si>
  <si>
    <t>CA-260114</t>
  </si>
  <si>
    <t>DN-261141</t>
  </si>
  <si>
    <t>DN-261142</t>
  </si>
  <si>
    <t>DN-261143</t>
  </si>
  <si>
    <t>DN-261144</t>
  </si>
  <si>
    <t>DN-261145</t>
  </si>
  <si>
    <t>DN-261146</t>
  </si>
  <si>
    <t>DN-261147</t>
  </si>
  <si>
    <t>DN-261148</t>
  </si>
  <si>
    <t>3B-M</t>
  </si>
  <si>
    <t>DN-261149</t>
  </si>
  <si>
    <t>Sp 41</t>
  </si>
  <si>
    <t>DN-261150</t>
  </si>
  <si>
    <t>Sp 39</t>
  </si>
  <si>
    <t>Pto. Proctor</t>
  </si>
  <si>
    <t>CA-260115</t>
  </si>
  <si>
    <t>DN-261151</t>
  </si>
  <si>
    <t>DN-261152</t>
  </si>
  <si>
    <t>DN-261153</t>
  </si>
  <si>
    <t>DN-261154</t>
  </si>
  <si>
    <t>DN-261155</t>
  </si>
  <si>
    <t>P.34 OF</t>
  </si>
  <si>
    <t>DN-261156</t>
  </si>
  <si>
    <t>P.3 OF (capa #8)</t>
  </si>
  <si>
    <t>DN-261157</t>
  </si>
  <si>
    <t>P.13 UF</t>
  </si>
  <si>
    <t>DN-261158</t>
  </si>
  <si>
    <t>DN-261159</t>
  </si>
  <si>
    <t>P.43 UF</t>
  </si>
  <si>
    <t>DN-261160</t>
  </si>
  <si>
    <t>CA-260116</t>
  </si>
  <si>
    <t>DN-261161</t>
  </si>
  <si>
    <t>DN-261162</t>
  </si>
  <si>
    <t>DN-261163</t>
  </si>
  <si>
    <t>DN-261164</t>
  </si>
  <si>
    <t>Sp 46</t>
  </si>
  <si>
    <t>DN-261165</t>
  </si>
  <si>
    <t>DN-261166</t>
  </si>
  <si>
    <t>DN-261167</t>
  </si>
  <si>
    <t>DN-261168</t>
  </si>
  <si>
    <t>3B-L</t>
  </si>
  <si>
    <t>DN-261169</t>
  </si>
  <si>
    <t>DN-261170</t>
  </si>
  <si>
    <t>CA-260117</t>
  </si>
  <si>
    <t>DN-261171</t>
  </si>
  <si>
    <t>DN-261172</t>
  </si>
  <si>
    <t>DN-261173</t>
  </si>
  <si>
    <t>DN-261174</t>
  </si>
  <si>
    <t>PR-260035</t>
  </si>
  <si>
    <t>DN-261175</t>
  </si>
  <si>
    <t>P.03 OF (Capa #10)</t>
  </si>
  <si>
    <t>DN-261176</t>
  </si>
  <si>
    <t>Sp 60</t>
  </si>
  <si>
    <t>DN-261177</t>
  </si>
  <si>
    <t>DN-261178</t>
  </si>
  <si>
    <t>DN-261179</t>
  </si>
  <si>
    <t>Sp 63</t>
  </si>
  <si>
    <t>DN-261180</t>
  </si>
  <si>
    <t>Sp 65</t>
  </si>
  <si>
    <t>CA-260118</t>
  </si>
  <si>
    <t>DN-261181</t>
  </si>
  <si>
    <t>DN-261182</t>
  </si>
  <si>
    <t>DN-261183</t>
  </si>
  <si>
    <t>Sp 61</t>
  </si>
  <si>
    <t>PR-250190</t>
  </si>
  <si>
    <t>DN-261184</t>
  </si>
  <si>
    <t>Sp 64</t>
  </si>
  <si>
    <t>DN-261185</t>
  </si>
  <si>
    <t>JH UF</t>
  </si>
  <si>
    <t>DN-261186</t>
  </si>
  <si>
    <t>DN-261187</t>
  </si>
  <si>
    <t>P.03 OF (Capa #11)</t>
  </si>
  <si>
    <t>DN-261188</t>
  </si>
  <si>
    <t xml:space="preserve">Plataforma </t>
  </si>
  <si>
    <t>DN-261189</t>
  </si>
  <si>
    <t>DN-261190</t>
  </si>
  <si>
    <t>CA-260119</t>
  </si>
  <si>
    <t>DN-261191</t>
  </si>
  <si>
    <t>PRM-1569</t>
  </si>
  <si>
    <t>DN-261192</t>
  </si>
  <si>
    <t>DN-261193</t>
  </si>
  <si>
    <t>DN-261194</t>
  </si>
  <si>
    <t>DN-261195</t>
  </si>
  <si>
    <t>DN-261196</t>
  </si>
  <si>
    <t>DN-261197</t>
  </si>
  <si>
    <t>DN-261198</t>
  </si>
  <si>
    <t>DN-261199</t>
  </si>
  <si>
    <t>DN-261200</t>
  </si>
  <si>
    <t>CA-260120</t>
  </si>
  <si>
    <t>DN-261201</t>
  </si>
  <si>
    <t>DN-261202</t>
  </si>
  <si>
    <t>DN-261203</t>
  </si>
  <si>
    <t>DN-261204</t>
  </si>
  <si>
    <t>DN-261205</t>
  </si>
  <si>
    <t>DN-261206</t>
  </si>
  <si>
    <t>PR-260036</t>
  </si>
  <si>
    <t>DN-261207</t>
  </si>
  <si>
    <t>P.132 OF</t>
  </si>
  <si>
    <t>DN-261208</t>
  </si>
  <si>
    <t>DN-261209</t>
  </si>
  <si>
    <t>DN-261210</t>
  </si>
  <si>
    <t>CA-260121</t>
  </si>
  <si>
    <t>DN-261211</t>
  </si>
  <si>
    <t>DN-261212</t>
  </si>
  <si>
    <t>DN-261213</t>
  </si>
  <si>
    <t>DN-261214</t>
  </si>
  <si>
    <t>DN-261215</t>
  </si>
  <si>
    <t>DN-261216</t>
  </si>
  <si>
    <t>DN-261217</t>
  </si>
  <si>
    <t>DN-261218</t>
  </si>
  <si>
    <t>DN-261219</t>
  </si>
  <si>
    <t>DN-261220</t>
  </si>
  <si>
    <t>PRM-1547</t>
  </si>
  <si>
    <t>CA-260122</t>
  </si>
  <si>
    <t>DN-261221</t>
  </si>
  <si>
    <t>Sp 22</t>
  </si>
  <si>
    <t>DN-261222</t>
  </si>
  <si>
    <t>DN-261223</t>
  </si>
  <si>
    <t>DN-261224</t>
  </si>
  <si>
    <t>DN-261225</t>
  </si>
  <si>
    <t>DN-261226</t>
  </si>
  <si>
    <t>DN-261227</t>
  </si>
  <si>
    <t>P.157 UF</t>
  </si>
  <si>
    <t>DN-261228</t>
  </si>
  <si>
    <t>PR-260037</t>
  </si>
  <si>
    <t>DN-261229</t>
  </si>
  <si>
    <t>DN-261230</t>
  </si>
  <si>
    <t>CA-260123</t>
  </si>
  <si>
    <t>DN-261231</t>
  </si>
  <si>
    <t>DN-261232</t>
  </si>
  <si>
    <t>DN-261233</t>
  </si>
  <si>
    <t>DN-261234</t>
  </si>
  <si>
    <t>DN-261235</t>
  </si>
  <si>
    <t>DN-261236</t>
  </si>
  <si>
    <t>DN-261237</t>
  </si>
  <si>
    <t>DN-261238</t>
  </si>
  <si>
    <t>DN-261239</t>
  </si>
  <si>
    <t>DN-261240</t>
  </si>
  <si>
    <t>CA-260124</t>
  </si>
  <si>
    <t>DN-261241</t>
  </si>
  <si>
    <t>DN-261242</t>
  </si>
  <si>
    <t>DN-261243</t>
  </si>
  <si>
    <t>DN-261244</t>
  </si>
  <si>
    <t>DN-261245</t>
  </si>
  <si>
    <t>DN-261246</t>
  </si>
  <si>
    <t>DN-261247</t>
  </si>
  <si>
    <t>DN-261248</t>
  </si>
  <si>
    <t>DN-261249</t>
  </si>
  <si>
    <t>DN-261250</t>
  </si>
  <si>
    <t>CA-260125</t>
  </si>
  <si>
    <t>DN-261251</t>
  </si>
  <si>
    <t>PR-260038</t>
  </si>
  <si>
    <t>DN-261252</t>
  </si>
  <si>
    <t>PRM-1570</t>
  </si>
  <si>
    <t>DN-261253</t>
  </si>
  <si>
    <t>DN-261254</t>
  </si>
  <si>
    <t>DN-261255</t>
  </si>
  <si>
    <t>Sp 14</t>
  </si>
  <si>
    <t>DN-261256</t>
  </si>
  <si>
    <t>DN-261257</t>
  </si>
  <si>
    <t>DN-261258</t>
  </si>
  <si>
    <t>PR-260030</t>
  </si>
  <si>
    <t>DN-261259</t>
  </si>
  <si>
    <t>DN-261260</t>
  </si>
  <si>
    <t>CA-260126</t>
  </si>
  <si>
    <t>DN-261261</t>
  </si>
  <si>
    <t>P.62 OF</t>
  </si>
  <si>
    <t>DN-261262</t>
  </si>
  <si>
    <t>DN-261263</t>
  </si>
  <si>
    <t>Sp 44</t>
  </si>
  <si>
    <t>DN-261264</t>
  </si>
  <si>
    <t>DN-261265</t>
  </si>
  <si>
    <t>DN-261266</t>
  </si>
  <si>
    <t>DN-261267</t>
  </si>
  <si>
    <t>DN-261268</t>
  </si>
  <si>
    <t>DN-261269</t>
  </si>
  <si>
    <t>DN-261270</t>
  </si>
  <si>
    <t>CA-260127</t>
  </si>
  <si>
    <t>DN-261271</t>
  </si>
  <si>
    <t>DN-261272</t>
  </si>
  <si>
    <t>DN-261273</t>
  </si>
  <si>
    <t>DN-261274</t>
  </si>
  <si>
    <t>DN-261275</t>
  </si>
  <si>
    <t>DN-261276</t>
  </si>
  <si>
    <t>DN-261277</t>
  </si>
  <si>
    <t>P.83 UF</t>
  </si>
  <si>
    <t>DN-261278</t>
  </si>
  <si>
    <t>DN-261279</t>
  </si>
  <si>
    <t>DN-261280</t>
  </si>
  <si>
    <t>PRM-1564</t>
  </si>
  <si>
    <t>CA-260128</t>
  </si>
  <si>
    <t>DN-261281</t>
  </si>
  <si>
    <t>DN-261282</t>
  </si>
  <si>
    <t>DN-261283</t>
  </si>
  <si>
    <t>DN-261284</t>
  </si>
  <si>
    <t>DN-261285</t>
  </si>
  <si>
    <t>DN-261286</t>
  </si>
  <si>
    <t>DN-261287</t>
  </si>
  <si>
    <t>DN-261288</t>
  </si>
  <si>
    <t>DN-261289</t>
  </si>
  <si>
    <t>DN-261290</t>
  </si>
  <si>
    <t>CA-260129</t>
  </si>
  <si>
    <t>DN-261291</t>
  </si>
  <si>
    <t>DN-261292</t>
  </si>
  <si>
    <t>DN-261293</t>
  </si>
  <si>
    <t>DN-261294</t>
  </si>
  <si>
    <t>DN-261295</t>
  </si>
  <si>
    <t>DN-261296</t>
  </si>
  <si>
    <t>DN-261297</t>
  </si>
  <si>
    <t>DN-261298</t>
  </si>
  <si>
    <t>DN-261299</t>
  </si>
  <si>
    <t>DN-261300</t>
  </si>
  <si>
    <t>CA-260130</t>
  </si>
  <si>
    <t>DN-261301</t>
  </si>
  <si>
    <t>PR-260039</t>
  </si>
  <si>
    <t>DN-261302</t>
  </si>
  <si>
    <t>DN-261303</t>
  </si>
  <si>
    <t>DN-261304</t>
  </si>
  <si>
    <t>DN-261305</t>
  </si>
  <si>
    <t>DN-261306</t>
  </si>
  <si>
    <t>Sp 37</t>
  </si>
  <si>
    <t>DN-261307</t>
  </si>
  <si>
    <t>DN-261308</t>
  </si>
  <si>
    <t>DN-261309</t>
  </si>
  <si>
    <t>DN-261310</t>
  </si>
  <si>
    <t>CA-260131</t>
  </si>
  <si>
    <t>Val. Corr.</t>
  </si>
  <si>
    <t>DN-261311</t>
  </si>
  <si>
    <t>DN-261312</t>
  </si>
  <si>
    <t>DN-261313</t>
  </si>
  <si>
    <t>DN-261314</t>
  </si>
  <si>
    <t>DN-261315</t>
  </si>
  <si>
    <t>DN-261316</t>
  </si>
  <si>
    <t>DN-261317</t>
  </si>
  <si>
    <t>DN-261318</t>
  </si>
  <si>
    <t>DN-261319</t>
  </si>
  <si>
    <t>DN-261320</t>
  </si>
  <si>
    <t>CA-260132</t>
  </si>
  <si>
    <t>DN-261321</t>
  </si>
  <si>
    <t>DN-261322</t>
  </si>
  <si>
    <t>DN-261323</t>
  </si>
  <si>
    <t>DN-261324</t>
  </si>
  <si>
    <t>DN-261325</t>
  </si>
  <si>
    <t>DN-261326</t>
  </si>
  <si>
    <t>DN-261327</t>
  </si>
  <si>
    <t>DN-261328</t>
  </si>
  <si>
    <t>DN-261329</t>
  </si>
  <si>
    <t>DN-261330</t>
  </si>
  <si>
    <t>CA-260133</t>
  </si>
  <si>
    <t>DN-261331</t>
  </si>
  <si>
    <t>DN-261332</t>
  </si>
  <si>
    <t>PR-260040</t>
  </si>
  <si>
    <t>Sp 50</t>
  </si>
  <si>
    <t>DN-261333</t>
  </si>
  <si>
    <t>DN-261334</t>
  </si>
  <si>
    <t>DN-261335</t>
  </si>
  <si>
    <t>DN-261336</t>
  </si>
  <si>
    <t>DN-261337</t>
  </si>
  <si>
    <t>DN-261338</t>
  </si>
  <si>
    <t>DN-261339</t>
  </si>
  <si>
    <t>DN-261340</t>
  </si>
  <si>
    <t>CA-260134</t>
  </si>
  <si>
    <t>DN-261341</t>
  </si>
  <si>
    <t>DN-261342</t>
  </si>
  <si>
    <t>DN-261343</t>
  </si>
  <si>
    <t>DN-261344</t>
  </si>
  <si>
    <t>PR-260041</t>
  </si>
  <si>
    <t>DN-261345</t>
  </si>
  <si>
    <t>Sp 67</t>
  </si>
  <si>
    <t>DN-261346</t>
  </si>
  <si>
    <t>DN-261347</t>
  </si>
  <si>
    <t>Sp 62</t>
  </si>
  <si>
    <t>DN-261348</t>
  </si>
  <si>
    <t>PR-260042</t>
  </si>
  <si>
    <t>0+902.21</t>
  </si>
  <si>
    <t>0+339.48</t>
  </si>
  <si>
    <t>DN-261349</t>
  </si>
  <si>
    <t>DN-261350</t>
  </si>
  <si>
    <t>CA-260135</t>
  </si>
  <si>
    <t>DN-261351</t>
  </si>
  <si>
    <t>DN-261352</t>
  </si>
  <si>
    <t>DN-261353</t>
  </si>
  <si>
    <t>DN-261354</t>
  </si>
  <si>
    <t>DN-261355</t>
  </si>
  <si>
    <t>DN-261356</t>
  </si>
  <si>
    <t>DN-261357</t>
  </si>
  <si>
    <t>DN-261358</t>
  </si>
  <si>
    <t>PR-260096</t>
  </si>
  <si>
    <t>DN-261359</t>
  </si>
  <si>
    <t>DN-261360</t>
  </si>
  <si>
    <t>CA-260136</t>
  </si>
  <si>
    <t>8</t>
  </si>
  <si>
    <t>DN-261361</t>
  </si>
  <si>
    <t>DN-261362</t>
  </si>
  <si>
    <t>DN-261363</t>
  </si>
  <si>
    <t>DN-261364</t>
  </si>
  <si>
    <t>DN-261365</t>
  </si>
  <si>
    <t>DN-261366</t>
  </si>
  <si>
    <t>DN-261367</t>
  </si>
  <si>
    <t>DN-261368</t>
  </si>
  <si>
    <t>PRM-1544</t>
  </si>
  <si>
    <t>DN-261369</t>
  </si>
  <si>
    <t>PRM-1571</t>
  </si>
  <si>
    <t>DN-261370</t>
  </si>
  <si>
    <t>CA-260137</t>
  </si>
  <si>
    <t>DN-261371</t>
  </si>
  <si>
    <t>DN-261372</t>
  </si>
  <si>
    <t>DN-261373</t>
  </si>
  <si>
    <t>DN-261374</t>
  </si>
  <si>
    <t>Rell.Niv. P.02 OF (Capa 01)</t>
  </si>
  <si>
    <t>DN-261375</t>
  </si>
  <si>
    <t>Rell.Niv. P.02 OF (Capa 02)</t>
  </si>
  <si>
    <t>DN-261376</t>
  </si>
  <si>
    <t>DN-261377</t>
  </si>
  <si>
    <t>Sp 12</t>
  </si>
  <si>
    <t>DN-261378</t>
  </si>
  <si>
    <t>DN-261379</t>
  </si>
  <si>
    <t>DN-261380</t>
  </si>
  <si>
    <t>CA-260138</t>
  </si>
  <si>
    <t>DN-261381</t>
  </si>
  <si>
    <t>DN-261382</t>
  </si>
  <si>
    <t>DN-261383</t>
  </si>
  <si>
    <t>DN-261384</t>
  </si>
  <si>
    <t>DN-261385</t>
  </si>
  <si>
    <t>DN-261386</t>
  </si>
  <si>
    <t>PR-260043</t>
  </si>
  <si>
    <t>4A-M</t>
  </si>
  <si>
    <t>DN-261387</t>
  </si>
  <si>
    <t>DN-261388</t>
  </si>
  <si>
    <t>DN-261389</t>
  </si>
  <si>
    <t>DN-261390</t>
  </si>
  <si>
    <t>PR-260026</t>
  </si>
  <si>
    <t>CA-260139</t>
  </si>
  <si>
    <t>DN-261391</t>
  </si>
  <si>
    <t>DN-261392</t>
  </si>
  <si>
    <t>DN-261393</t>
  </si>
  <si>
    <t>DN-261394</t>
  </si>
  <si>
    <t>DN-261395</t>
  </si>
  <si>
    <t>DN-261396</t>
  </si>
  <si>
    <t>DN-261397</t>
  </si>
  <si>
    <t>DN-261398</t>
  </si>
  <si>
    <t>DN-261399</t>
  </si>
  <si>
    <t>DN-261400</t>
  </si>
  <si>
    <t>CA-260140</t>
  </si>
  <si>
    <t>DN-261401</t>
  </si>
  <si>
    <t>Rell.Niv. P.02 OF (Capa 03)</t>
  </si>
  <si>
    <t>DN-261402</t>
  </si>
  <si>
    <t>DN-261403</t>
  </si>
  <si>
    <t>DN-261404</t>
  </si>
  <si>
    <t>DN-261405</t>
  </si>
  <si>
    <t>DN-261406</t>
  </si>
  <si>
    <t>DN-261407</t>
  </si>
  <si>
    <t>DN-261408</t>
  </si>
  <si>
    <t>DN-261409</t>
  </si>
  <si>
    <t>DN-261410</t>
  </si>
  <si>
    <t>CA-260141</t>
  </si>
  <si>
    <t>B1</t>
  </si>
  <si>
    <t>DN-261411</t>
  </si>
  <si>
    <t>DN-261412</t>
  </si>
  <si>
    <t>DN-261413</t>
  </si>
  <si>
    <t>DN-261414</t>
  </si>
  <si>
    <t>DN-261415</t>
  </si>
  <si>
    <t>DN-261416</t>
  </si>
  <si>
    <t>DN-261417</t>
  </si>
  <si>
    <t>DN-261418</t>
  </si>
  <si>
    <t>DN-261419</t>
  </si>
  <si>
    <t>P.142 UF</t>
  </si>
  <si>
    <t>DN-261420</t>
  </si>
  <si>
    <t>P.108 UF</t>
  </si>
  <si>
    <t>PR-250194</t>
  </si>
  <si>
    <t>CA-260142</t>
  </si>
  <si>
    <t>DN-261421</t>
  </si>
  <si>
    <t>Fundación Rep.Erosión 01</t>
  </si>
  <si>
    <t>DN-261422</t>
  </si>
  <si>
    <t>Rell.Niv. P.02 OF (Capa 04)</t>
  </si>
  <si>
    <t>PR-260044</t>
  </si>
  <si>
    <t>DN-261423</t>
  </si>
  <si>
    <t>FV</t>
  </si>
  <si>
    <t>Rep. Erosión 01 (capa 02)</t>
  </si>
  <si>
    <t>DN-261424</t>
  </si>
  <si>
    <t>DN-261425</t>
  </si>
  <si>
    <t>DN-261426</t>
  </si>
  <si>
    <t>P.92 OF</t>
  </si>
  <si>
    <t>DN-261427</t>
  </si>
  <si>
    <t>DN-261428</t>
  </si>
  <si>
    <t>DN-261429</t>
  </si>
  <si>
    <t>DN-261430</t>
  </si>
  <si>
    <t>CA-260143</t>
  </si>
  <si>
    <t>DN-261431</t>
  </si>
  <si>
    <t>DN-261432</t>
  </si>
  <si>
    <t>P.153 UF</t>
  </si>
  <si>
    <t>DN-261433</t>
  </si>
  <si>
    <t>DN-261434</t>
  </si>
  <si>
    <t>DN-261435</t>
  </si>
  <si>
    <t>DN-261436</t>
  </si>
  <si>
    <t>DN-261437</t>
  </si>
  <si>
    <t>DN-261438</t>
  </si>
  <si>
    <t>1C-L</t>
  </si>
  <si>
    <t>DN-261439</t>
  </si>
  <si>
    <t>DN-261440</t>
  </si>
  <si>
    <t>CA-260144</t>
  </si>
  <si>
    <t>DN-261441</t>
  </si>
  <si>
    <t>DN-261442</t>
  </si>
  <si>
    <t>DN-261443</t>
  </si>
  <si>
    <t>DN-261444</t>
  </si>
  <si>
    <t>Rep. Erosión 01 (capa 04)</t>
  </si>
  <si>
    <t>DN-261445</t>
  </si>
  <si>
    <t>P.194 UF</t>
  </si>
  <si>
    <t>DN-261446</t>
  </si>
  <si>
    <t>DN-261447</t>
  </si>
  <si>
    <t>DN-261448</t>
  </si>
  <si>
    <t>DN-261449</t>
  </si>
  <si>
    <t>P.122 OF</t>
  </si>
  <si>
    <t>DN-261450</t>
  </si>
  <si>
    <t>CA-260145</t>
  </si>
  <si>
    <t>DN-261451</t>
  </si>
  <si>
    <t>Sp 5</t>
  </si>
  <si>
    <t>DN-261452</t>
  </si>
  <si>
    <t>DN-261453</t>
  </si>
  <si>
    <t>DN-261454</t>
  </si>
  <si>
    <t>DN-261455</t>
  </si>
  <si>
    <t>1A-M</t>
  </si>
  <si>
    <t>Sp 7</t>
  </si>
  <si>
    <t>DN-261456</t>
  </si>
  <si>
    <t>Sp 10</t>
  </si>
  <si>
    <t>DN-261457</t>
  </si>
  <si>
    <t>DN-261458</t>
  </si>
  <si>
    <t>DN-261459</t>
  </si>
  <si>
    <t>Rep. Erosión 01 (capa 06)</t>
  </si>
  <si>
    <t>DN-261460</t>
  </si>
  <si>
    <t>CA-260146</t>
  </si>
  <si>
    <t>DN-261461</t>
  </si>
  <si>
    <t>PR-260045</t>
  </si>
  <si>
    <t>DN-261462</t>
  </si>
  <si>
    <t>DN-261463</t>
  </si>
  <si>
    <t>DN-261464</t>
  </si>
  <si>
    <t>DN-261465</t>
  </si>
  <si>
    <t>DN-261466</t>
  </si>
  <si>
    <t>DN-261467</t>
  </si>
  <si>
    <t>DN-261468</t>
  </si>
  <si>
    <t>DN-261469</t>
  </si>
  <si>
    <t>Rep. Erosión 01 (capa 09)</t>
  </si>
  <si>
    <t>DN-261470</t>
  </si>
  <si>
    <t>CA-260147</t>
  </si>
  <si>
    <t>DN-261471</t>
  </si>
  <si>
    <t>DN-261472</t>
  </si>
  <si>
    <t>DN-261473</t>
  </si>
  <si>
    <t>DN-261474</t>
  </si>
  <si>
    <t>DN-261475</t>
  </si>
  <si>
    <t>DN-261476</t>
  </si>
  <si>
    <t>DN-261477</t>
  </si>
  <si>
    <t>DN-261478</t>
  </si>
  <si>
    <t>DN-261479</t>
  </si>
  <si>
    <t>DN-261480</t>
  </si>
  <si>
    <t>CA-260148</t>
  </si>
  <si>
    <t>DN-261481</t>
  </si>
  <si>
    <t>DN-261482</t>
  </si>
  <si>
    <t>DN-261483</t>
  </si>
  <si>
    <t>Rep. Erosión 01 (capa 10)</t>
  </si>
  <si>
    <t>DN-261484</t>
  </si>
  <si>
    <t>Sp 4</t>
  </si>
  <si>
    <t>DN-261485</t>
  </si>
  <si>
    <t>DN-261486</t>
  </si>
  <si>
    <t>DN-261487</t>
  </si>
  <si>
    <t>DN-261488</t>
  </si>
  <si>
    <t>DN-261489</t>
  </si>
  <si>
    <t>DN-261490</t>
  </si>
  <si>
    <t>CA-260149</t>
  </si>
  <si>
    <t>DN-261491</t>
  </si>
  <si>
    <t>DN-261492</t>
  </si>
  <si>
    <t>DN-261493</t>
  </si>
  <si>
    <t>DN-261494</t>
  </si>
  <si>
    <t>DN-261495</t>
  </si>
  <si>
    <t>DN-261496</t>
  </si>
  <si>
    <t>DN-261497</t>
  </si>
  <si>
    <t>PRM-1572</t>
  </si>
  <si>
    <t>DN-261498</t>
  </si>
  <si>
    <t>DN-261499</t>
  </si>
  <si>
    <t>DN-261500</t>
  </si>
  <si>
    <t>CA-260150</t>
  </si>
  <si>
    <t>DN-261501</t>
  </si>
  <si>
    <t>DN-261502</t>
  </si>
  <si>
    <t>DN-261503</t>
  </si>
  <si>
    <t>DN-261504</t>
  </si>
  <si>
    <t>Sp 66</t>
  </si>
  <si>
    <t>DN-261505</t>
  </si>
  <si>
    <t>DN-261506</t>
  </si>
  <si>
    <t>DN-261507</t>
  </si>
  <si>
    <t>DN-261508</t>
  </si>
  <si>
    <t>DN-261509</t>
  </si>
  <si>
    <t>DN-261510</t>
  </si>
  <si>
    <t>CA-260151</t>
  </si>
  <si>
    <t>DN-261511</t>
  </si>
  <si>
    <t>DN-261512</t>
  </si>
  <si>
    <t>DN-261513</t>
  </si>
  <si>
    <t>PR-260046</t>
  </si>
  <si>
    <t>DN-261514</t>
  </si>
  <si>
    <t>DN-261515</t>
  </si>
  <si>
    <t>DN-261516</t>
  </si>
  <si>
    <t>DN-261517</t>
  </si>
  <si>
    <t>DN-261518</t>
  </si>
  <si>
    <t>DN-261519</t>
  </si>
  <si>
    <t>DN-261520</t>
  </si>
  <si>
    <t>CA-260152</t>
  </si>
  <si>
    <t>DN-261521</t>
  </si>
  <si>
    <t>DN-261522</t>
  </si>
  <si>
    <t>DN-261523</t>
  </si>
  <si>
    <t>DN-261524</t>
  </si>
  <si>
    <t>DN-261525</t>
  </si>
  <si>
    <t>DN-261526</t>
  </si>
  <si>
    <t>DN-261527</t>
  </si>
  <si>
    <t>DN-261528</t>
  </si>
  <si>
    <t>Mínimo</t>
  </si>
  <si>
    <t>Máximo</t>
  </si>
  <si>
    <t>Promedio</t>
  </si>
  <si>
    <t>Desviación Estándar</t>
  </si>
  <si>
    <t>FECHA:</t>
  </si>
  <si>
    <t xml:space="preserve"> del</t>
  </si>
  <si>
    <t xml:space="preserve">ENSAYOS COMPACTACIÓN </t>
  </si>
  <si>
    <t>N° Ensayos</t>
  </si>
  <si>
    <t>DensÍmetro Nuclear</t>
  </si>
  <si>
    <t>Cono de Arena</t>
  </si>
  <si>
    <t>% Compactación</t>
  </si>
  <si>
    <t>Pasa</t>
  </si>
  <si>
    <t>Falla</t>
  </si>
  <si>
    <t>Total</t>
  </si>
  <si>
    <t xml:space="preserve">RESUMEN </t>
  </si>
  <si>
    <t>PROMEDIO % COMP.</t>
  </si>
  <si>
    <t>CANTIDAD</t>
  </si>
  <si>
    <t>PORCENTAJE DE FALLAS DE COMPACTACION</t>
  </si>
  <si>
    <t xml:space="preserve">PASA </t>
  </si>
  <si>
    <t>Número total de ensayos semanal:</t>
  </si>
  <si>
    <t>FALLA</t>
  </si>
  <si>
    <t>Número de fallas en la semana:</t>
  </si>
  <si>
    <t>% FALLAS</t>
  </si>
  <si>
    <t>% de fallas en la Semana:</t>
  </si>
  <si>
    <t>No</t>
  </si>
  <si>
    <t xml:space="preserve">  </t>
  </si>
  <si>
    <t>CONTORNO - ABRIL 2025</t>
  </si>
  <si>
    <t>ZONAS</t>
  </si>
  <si>
    <t>SUB ZONAS</t>
  </si>
  <si>
    <t>CONTORNO CORONA 2025</t>
  </si>
  <si>
    <t>CONTORNO INTERNO C7 - JULIO 2025</t>
  </si>
  <si>
    <t>Z1</t>
  </si>
  <si>
    <t>OVER</t>
  </si>
  <si>
    <t>ZONA 1</t>
  </si>
  <si>
    <t>ZONA 2</t>
  </si>
  <si>
    <t>ZONA 3</t>
  </si>
  <si>
    <t>ZONA 4</t>
  </si>
  <si>
    <t>Z2</t>
  </si>
  <si>
    <t>Z3</t>
  </si>
  <si>
    <r>
      <rPr>
        <b/>
        <sz val="14"/>
        <color rgb="FFA97F4D"/>
        <rFont val="Century Gothic"/>
        <family val="2"/>
      </rPr>
      <t xml:space="preserve">H 
</t>
    </r>
    <r>
      <rPr>
        <sz val="12"/>
        <color rgb="FFA97F4D"/>
        <rFont val="Century Gothic"/>
        <family val="2"/>
      </rPr>
      <t>(Corona)</t>
    </r>
  </si>
  <si>
    <t>Z4</t>
  </si>
  <si>
    <r>
      <rPr>
        <b/>
        <sz val="14"/>
        <color rgb="FFA97F4D"/>
        <rFont val="Century Gothic"/>
        <family val="2"/>
      </rPr>
      <t xml:space="preserve">H </t>
    </r>
    <r>
      <rPr>
        <sz val="14"/>
        <color rgb="FFA97F4D"/>
        <rFont val="Century Gothic"/>
        <family val="2"/>
      </rPr>
      <t xml:space="preserve">
</t>
    </r>
    <r>
      <rPr>
        <sz val="12"/>
        <color rgb="FFA97F4D"/>
        <rFont val="Century Gothic"/>
        <family val="2"/>
      </rPr>
      <t>(50 a 250m)</t>
    </r>
  </si>
  <si>
    <r>
      <rPr>
        <b/>
        <sz val="14"/>
        <color rgb="FFA97F4D"/>
        <rFont val="Century Gothic"/>
        <family val="2"/>
      </rPr>
      <t xml:space="preserve">M  </t>
    </r>
    <r>
      <rPr>
        <sz val="14"/>
        <color rgb="FFA97F4D"/>
        <rFont val="Century Gothic"/>
        <family val="2"/>
      </rPr>
      <t xml:space="preserve">
</t>
    </r>
    <r>
      <rPr>
        <sz val="12"/>
        <color rgb="FFA97F4D"/>
        <rFont val="Century Gothic"/>
        <family val="2"/>
      </rPr>
      <t>(250m a 500m)</t>
    </r>
  </si>
  <si>
    <r>
      <rPr>
        <b/>
        <sz val="14"/>
        <color rgb="FFA97F4D"/>
        <rFont val="Century Gothic"/>
        <family val="2"/>
      </rPr>
      <t xml:space="preserve">L </t>
    </r>
    <r>
      <rPr>
        <sz val="14"/>
        <color rgb="FFA97F4D"/>
        <rFont val="Century Gothic"/>
        <family val="2"/>
      </rPr>
      <t xml:space="preserve"> 
</t>
    </r>
    <r>
      <rPr>
        <sz val="12"/>
        <color rgb="FFA97F4D"/>
        <rFont val="Century Gothic"/>
        <family val="2"/>
      </rPr>
      <t>(500m a 750m)</t>
    </r>
  </si>
  <si>
    <t>% Compact.</t>
  </si>
  <si>
    <r>
      <rPr>
        <b/>
        <sz val="14"/>
        <color rgb="FFA97F4D"/>
        <rFont val="Century Gothic"/>
        <family val="2"/>
      </rPr>
      <t>Blanket</t>
    </r>
    <r>
      <rPr>
        <sz val="14"/>
        <color rgb="FFA97F4D"/>
        <rFont val="Century Gothic"/>
        <family val="2"/>
      </rPr>
      <t xml:space="preserve"> 
</t>
    </r>
    <r>
      <rPr>
        <sz val="12"/>
        <color rgb="FFA97F4D"/>
        <rFont val="Century Gothic"/>
        <family val="2"/>
      </rPr>
      <t>(750 a 1000m)</t>
    </r>
  </si>
  <si>
    <t>UNDER</t>
  </si>
  <si>
    <t>Valores promedio de la semana filtrada</t>
  </si>
  <si>
    <t>Hoy</t>
  </si>
  <si>
    <t>Filtrando</t>
  </si>
  <si>
    <t>Mensual</t>
  </si>
  <si>
    <t>Ayer</t>
  </si>
  <si>
    <t>Desde</t>
  </si>
  <si>
    <t>Densidad seca</t>
  </si>
  <si>
    <t>%Compact</t>
  </si>
  <si>
    <t>Hace 7 días</t>
  </si>
  <si>
    <t>Hasta</t>
  </si>
  <si>
    <t>Hace X días</t>
  </si>
  <si>
    <t>Contador</t>
  </si>
  <si>
    <t>Suma</t>
  </si>
  <si>
    <t>Fecha</t>
  </si>
  <si>
    <t>Verificación</t>
  </si>
  <si>
    <t>Densidad Seca corr.</t>
  </si>
  <si>
    <t>Filtro DS</t>
  </si>
  <si>
    <t>Filtro Comp.</t>
  </si>
  <si>
    <t>Opinión</t>
  </si>
  <si>
    <t>.</t>
  </si>
  <si>
    <t>DN-261529</t>
  </si>
  <si>
    <t>DN-261530</t>
  </si>
  <si>
    <t>CA-260153</t>
  </si>
  <si>
    <t>DN-261531</t>
  </si>
  <si>
    <t>DN-261532</t>
  </si>
  <si>
    <t>DN-261533</t>
  </si>
  <si>
    <t>DN-261534</t>
  </si>
  <si>
    <t>DN-261535</t>
  </si>
  <si>
    <t>DN-261536</t>
  </si>
  <si>
    <t>DN-261537</t>
  </si>
  <si>
    <t>DN-261538</t>
  </si>
  <si>
    <t>DN-261539</t>
  </si>
  <si>
    <t>DN-261540</t>
  </si>
  <si>
    <t>CA-260154</t>
  </si>
  <si>
    <t>DN-261541</t>
  </si>
  <si>
    <t>PR-260047</t>
  </si>
  <si>
    <t>4B-L</t>
  </si>
  <si>
    <t>DN-261542</t>
  </si>
  <si>
    <t>DN-261543</t>
  </si>
  <si>
    <t>DN-261544</t>
  </si>
  <si>
    <t>DN-261545</t>
  </si>
  <si>
    <t>DN-261546</t>
  </si>
  <si>
    <t>DN-261547</t>
  </si>
  <si>
    <t>DN-261548</t>
  </si>
  <si>
    <t>Dren C7</t>
  </si>
  <si>
    <t>DN-261549</t>
  </si>
  <si>
    <t>DN-261550</t>
  </si>
  <si>
    <t>CA-260155</t>
  </si>
  <si>
    <t>DN-261551</t>
  </si>
  <si>
    <t>DN-261552</t>
  </si>
  <si>
    <t>DN-261553</t>
  </si>
  <si>
    <t>4A-L</t>
  </si>
  <si>
    <t>DN-261554</t>
  </si>
  <si>
    <t>DN-261555</t>
  </si>
  <si>
    <t>DN-261556</t>
  </si>
  <si>
    <t>DN-261557</t>
  </si>
  <si>
    <t>DN-261558</t>
  </si>
  <si>
    <t>DN-261559</t>
  </si>
  <si>
    <t>DN-261560</t>
  </si>
  <si>
    <t>CA-260156</t>
  </si>
  <si>
    <t>DN-261561</t>
  </si>
  <si>
    <t>DN-261562</t>
  </si>
  <si>
    <t>DN-261563</t>
  </si>
  <si>
    <t>DN-261564</t>
  </si>
  <si>
    <t>DN-261565</t>
  </si>
  <si>
    <t>DN-261566</t>
  </si>
  <si>
    <t>DN-261567</t>
  </si>
  <si>
    <t>DN-261568</t>
  </si>
  <si>
    <t>DN-261569</t>
  </si>
  <si>
    <t>Capa #1</t>
  </si>
  <si>
    <t>DN-261570</t>
  </si>
  <si>
    <t>CA-260157</t>
  </si>
  <si>
    <t>DN-261571</t>
  </si>
  <si>
    <t>DN-261572</t>
  </si>
  <si>
    <t>DN-261573</t>
  </si>
  <si>
    <t>DN-261574</t>
  </si>
  <si>
    <t>DN-261575</t>
  </si>
  <si>
    <t>DN-261576</t>
  </si>
  <si>
    <t>PRM-1573</t>
  </si>
  <si>
    <t>DN-261577</t>
  </si>
  <si>
    <t>DN-261578</t>
  </si>
  <si>
    <t>DN-261579</t>
  </si>
  <si>
    <t>Sp 8</t>
  </si>
  <si>
    <t>DN-261580</t>
  </si>
  <si>
    <t>CA-260158</t>
  </si>
  <si>
    <t>DN-261581</t>
  </si>
  <si>
    <t>Capa #3</t>
  </si>
  <si>
    <t>DN-261582</t>
  </si>
  <si>
    <t>DN-261583</t>
  </si>
  <si>
    <t>DN-261584</t>
  </si>
  <si>
    <t>DN-261585</t>
  </si>
  <si>
    <t>PRM-1574</t>
  </si>
  <si>
    <t>DN-261586</t>
  </si>
  <si>
    <t>DN-261587</t>
  </si>
  <si>
    <t>DN-261588</t>
  </si>
  <si>
    <t>DN-261589</t>
  </si>
  <si>
    <t>DN-261590</t>
  </si>
  <si>
    <t>CA-260159</t>
  </si>
  <si>
    <t>DN-261591</t>
  </si>
  <si>
    <t>DN-261592</t>
  </si>
  <si>
    <t>DN-261593</t>
  </si>
  <si>
    <t>DN-261594</t>
  </si>
  <si>
    <t>DN-261595</t>
  </si>
  <si>
    <t>DN-261596</t>
  </si>
  <si>
    <t>DN-261597</t>
  </si>
  <si>
    <t>DN-261598</t>
  </si>
  <si>
    <t>DN-261599</t>
  </si>
  <si>
    <t>Capa # 05</t>
  </si>
  <si>
    <t>DN-261600</t>
  </si>
  <si>
    <t>CA-260160</t>
  </si>
  <si>
    <t>DN-261601</t>
  </si>
  <si>
    <t>DN-261602</t>
  </si>
  <si>
    <t>DN-261603</t>
  </si>
  <si>
    <t>DN-261604</t>
  </si>
  <si>
    <t>DN-261605</t>
  </si>
  <si>
    <t>DN-261606</t>
  </si>
  <si>
    <t>DN-261607</t>
  </si>
  <si>
    <t>DN-261608</t>
  </si>
  <si>
    <t>DN-261609</t>
  </si>
  <si>
    <t>DN-261610</t>
  </si>
  <si>
    <t>CA-260161</t>
  </si>
  <si>
    <t>DN-261611</t>
  </si>
  <si>
    <t>DN-261612</t>
  </si>
  <si>
    <t>DN-261613</t>
  </si>
  <si>
    <t>DN-261614</t>
  </si>
  <si>
    <t>DN-261615</t>
  </si>
  <si>
    <t>DN-261616</t>
  </si>
  <si>
    <t>DN-261617</t>
  </si>
  <si>
    <t>DN-261618</t>
  </si>
  <si>
    <t>DN-261619</t>
  </si>
  <si>
    <t>DN-261620</t>
  </si>
  <si>
    <t>PR-260019</t>
  </si>
  <si>
    <t>CA-260162</t>
  </si>
  <si>
    <t>DN-261621</t>
  </si>
  <si>
    <t>DN-261622</t>
  </si>
  <si>
    <t>DN-261623</t>
  </si>
  <si>
    <t>DN-261624</t>
  </si>
  <si>
    <t>P.31 UF</t>
  </si>
  <si>
    <t>DN-261625</t>
  </si>
  <si>
    <t>DN-261626</t>
  </si>
  <si>
    <t>DN-261627</t>
  </si>
  <si>
    <t>DN-261628</t>
  </si>
  <si>
    <t>DN-261629</t>
  </si>
  <si>
    <t>DN-261630</t>
  </si>
  <si>
    <t>CA-260163</t>
  </si>
  <si>
    <t>DN-261631</t>
  </si>
  <si>
    <t>PR-260048</t>
  </si>
  <si>
    <t>DN-261632</t>
  </si>
  <si>
    <t>DN-261633</t>
  </si>
  <si>
    <t>DN-261634</t>
  </si>
  <si>
    <t>DN-261635</t>
  </si>
  <si>
    <t>DN-261636</t>
  </si>
  <si>
    <t>DN-261637</t>
  </si>
  <si>
    <t>DN-261638</t>
  </si>
  <si>
    <t>DN-261639</t>
  </si>
  <si>
    <t>DN-261640</t>
  </si>
  <si>
    <t>CA-260164</t>
  </si>
  <si>
    <t>DN-261641</t>
  </si>
  <si>
    <t>DN-261642</t>
  </si>
  <si>
    <t>DN-261643</t>
  </si>
  <si>
    <t>DN-261644</t>
  </si>
  <si>
    <t>DN-261645</t>
  </si>
  <si>
    <t>P.17 OF</t>
  </si>
  <si>
    <t>DN-261646</t>
  </si>
  <si>
    <t>SA OF</t>
  </si>
  <si>
    <t>DN-261647</t>
  </si>
  <si>
    <t>P.35 OF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</si>
</sst>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4">
    <numFmt numFmtId="43" formatCode="_-* #,##0.00_-;\-* #,##0.00_-;_-* &quot;-&quot;??_-;_-@_-"/>
    <numFmt numFmtId="164" formatCode="_ * #,##0.00_ ;_ * \-#,##0.00_ ;_ * &quot;-&quot;??_ ;_ @_ "/>
    <numFmt numFmtId="165" formatCode="0.0"/>
    <numFmt numFmtId="166" formatCode="0.000"/>
    <numFmt numFmtId="167" formatCode="#,##0.000"/>
    <numFmt numFmtId="168" formatCode="_([$€]* #,##0.000_);_([$€]* \(#,##0.000\);_([$€]* &quot;-&quot;??_);_(@_)"/>
    <numFmt numFmtId="169" formatCode="0\+000.00"/>
    <numFmt numFmtId="170" formatCode="dd/mm/yyyy;@"/>
    <numFmt numFmtId="171" formatCode="_-[$€-2]* #,##0.00_-;\-[$€-2]* #,##0.00_-;_-[$€-2]* &quot;-&quot;??_-"/>
    <numFmt numFmtId="172" formatCode="_ * #,##0_ ;_ * \-#,##0_ ;_ * &quot;-&quot;??_ ;_ @_ "/>
    <numFmt numFmtId="173" formatCode="d/m/yy;@"/>
    <numFmt numFmtId="174" formatCode="0.0%"/>
    <numFmt numFmtId="175" formatCode="h:mm:ss;@"/>
    <numFmt numFmtId="176" formatCode="0\+000"/>
  </numFmts>
  <fonts count="131" x14ac:knownFonts="1">
    <font>
      <sz val="10"/>
      <color theme="1"/>
      <name val="Century Gothic"/>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9"/>
      <name val="Century Gothic"/>
      <family val="2"/>
    </font>
    <font>
      <b/>
      <sz val="16"/>
      <name val="Century Gothic"/>
      <family val="2"/>
    </font>
    <font>
      <b/>
      <i/>
      <sz val="10"/>
      <name val="Century Gothic"/>
      <family val="2"/>
    </font>
    <font>
      <b/>
      <sz val="9"/>
      <name val="Century Gothic"/>
      <family val="2"/>
    </font>
    <font>
      <b/>
      <sz val="10"/>
      <name val="Century Gothic"/>
      <family val="2"/>
    </font>
    <font>
      <sz val="7.2"/>
      <name val="Century Gothic"/>
      <family val="2"/>
    </font>
    <font>
      <b/>
      <sz val="8"/>
      <name val="Century Gothic"/>
      <family val="2"/>
    </font>
    <font>
      <b/>
      <vertAlign val="superscript"/>
      <sz val="8"/>
      <name val="Century Gothic"/>
      <family val="2"/>
    </font>
    <font>
      <sz val="8"/>
      <name val="Century Gothic"/>
      <family val="2"/>
    </font>
    <font>
      <sz val="10"/>
      <name val="Century Gothic"/>
      <family val="2"/>
    </font>
    <font>
      <sz val="10"/>
      <name val="Century Gothic"/>
      <family val="2"/>
    </font>
    <font>
      <b/>
      <i/>
      <sz val="9"/>
      <name val="Century Gothic"/>
      <family val="2"/>
    </font>
    <font>
      <sz val="10"/>
      <name val="Arial"/>
      <family val="2"/>
    </font>
    <font>
      <sz val="10"/>
      <color theme="1"/>
      <name val="Century Gothic"/>
      <family val="2"/>
    </font>
    <font>
      <sz val="11"/>
      <color theme="1"/>
      <name val="Calibri"/>
      <family val="2"/>
      <scheme val="minor"/>
    </font>
    <font>
      <sz val="10"/>
      <color rgb="FFFF0000"/>
      <name val="Century Gothic"/>
      <family val="2"/>
    </font>
    <font>
      <b/>
      <sz val="12"/>
      <name val="Century Gothic"/>
      <family val="2"/>
    </font>
    <font>
      <sz val="10"/>
      <name val="Arial"/>
      <family val="2"/>
    </font>
    <font>
      <u/>
      <sz val="10"/>
      <color indexed="12"/>
      <name val="Arial"/>
      <family val="2"/>
    </font>
    <font>
      <sz val="11"/>
      <color indexed="8"/>
      <name val="Calibri"/>
      <family val="2"/>
    </font>
    <font>
      <b/>
      <sz val="11"/>
      <color indexed="8"/>
      <name val="Calibri"/>
      <family val="2"/>
    </font>
    <font>
      <sz val="11"/>
      <color indexed="60"/>
      <name val="Calibri"/>
      <family val="2"/>
    </font>
    <font>
      <sz val="10"/>
      <name val="Arial"/>
      <family val="2"/>
    </font>
    <font>
      <sz val="10"/>
      <name val="Arial"/>
      <family val="2"/>
    </font>
    <font>
      <sz val="10"/>
      <name val="Arial"/>
      <family val="2"/>
    </font>
    <font>
      <b/>
      <sz val="10"/>
      <color theme="1"/>
      <name val="Century Gothic"/>
      <family val="2"/>
    </font>
    <font>
      <b/>
      <sz val="9"/>
      <color rgb="FFFF0000"/>
      <name val="Century Gothic"/>
      <family val="2"/>
    </font>
    <font>
      <b/>
      <sz val="16"/>
      <color rgb="FFFF0000"/>
      <name val="Century Gothic"/>
      <family val="2"/>
    </font>
    <font>
      <b/>
      <i/>
      <sz val="10"/>
      <color rgb="FFFF0000"/>
      <name val="Century Gothic"/>
      <family val="2"/>
    </font>
    <font>
      <sz val="9"/>
      <color rgb="FFFF0000"/>
      <name val="Century Gothic"/>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color indexed="17"/>
      <name val="Century Gothic"/>
      <family val="2"/>
    </font>
    <font>
      <b/>
      <sz val="10"/>
      <color indexed="26"/>
      <name val="Century Gothic"/>
      <family val="2"/>
    </font>
    <font>
      <sz val="10"/>
      <color indexed="52"/>
      <name val="Century Gothic"/>
      <family val="2"/>
    </font>
    <font>
      <b/>
      <sz val="11"/>
      <color indexed="62"/>
      <name val="Century Gothic"/>
      <family val="2"/>
    </font>
    <font>
      <sz val="10"/>
      <color indexed="62"/>
      <name val="Century Gothic"/>
      <family val="2"/>
    </font>
    <font>
      <sz val="10"/>
      <color indexed="60"/>
      <name val="Century Gothic"/>
      <family val="2"/>
    </font>
    <font>
      <sz val="10"/>
      <color indexed="10"/>
      <name val="Century Gothic"/>
      <family val="2"/>
    </font>
    <font>
      <b/>
      <sz val="15"/>
      <color indexed="62"/>
      <name val="Century Gothic"/>
      <family val="2"/>
    </font>
    <font>
      <b/>
      <sz val="10"/>
      <color indexed="8"/>
      <name val="Century Gothic"/>
      <family val="2"/>
    </font>
    <font>
      <b/>
      <sz val="9"/>
      <color rgb="FFFF3300"/>
      <name val="Century Gothic"/>
      <family val="2"/>
    </font>
    <font>
      <sz val="10"/>
      <name val="Arial"/>
      <family val="2"/>
    </font>
    <font>
      <b/>
      <sz val="20"/>
      <name val="Century Gothic"/>
      <family val="2"/>
    </font>
    <font>
      <b/>
      <sz val="9"/>
      <color theme="0"/>
      <name val="Century Gothic"/>
      <family val="2"/>
    </font>
    <font>
      <sz val="10"/>
      <name val="Arial"/>
      <family val="2"/>
    </font>
    <font>
      <sz val="10"/>
      <name val="Arial"/>
      <family val="2"/>
    </font>
    <font>
      <sz val="9"/>
      <color theme="1"/>
      <name val="Century Gothic"/>
      <family val="2"/>
    </font>
    <font>
      <b/>
      <sz val="9"/>
      <color theme="1"/>
      <name val="Arial"/>
      <family val="2"/>
    </font>
    <font>
      <sz val="9"/>
      <name val="Gadugi"/>
      <family val="2"/>
      <charset val="1"/>
    </font>
    <font>
      <b/>
      <u/>
      <sz val="11"/>
      <color theme="1"/>
      <name val="Arial"/>
      <family val="2"/>
    </font>
    <font>
      <b/>
      <sz val="11"/>
      <color theme="1"/>
      <name val="Arial"/>
      <family val="2"/>
    </font>
    <font>
      <sz val="11"/>
      <color theme="1"/>
      <name val="Arial"/>
      <family val="2"/>
    </font>
    <font>
      <sz val="11"/>
      <color rgb="FFFF0000"/>
      <name val="Arial"/>
      <family val="2"/>
    </font>
    <font>
      <b/>
      <sz val="11"/>
      <color rgb="FF0000FF"/>
      <name val="Arial"/>
      <family val="2"/>
    </font>
    <font>
      <b/>
      <sz val="12"/>
      <color rgb="FF000000"/>
      <name val="Arial"/>
      <family val="2"/>
    </font>
    <font>
      <sz val="9"/>
      <name val="Arial"/>
      <family val="2"/>
    </font>
    <font>
      <b/>
      <sz val="12"/>
      <color rgb="FF0000FF"/>
      <name val="Arial"/>
      <family val="2"/>
    </font>
    <font>
      <b/>
      <sz val="12"/>
      <color rgb="FFFF0000"/>
      <name val="Arial"/>
      <family val="2"/>
    </font>
    <font>
      <b/>
      <sz val="10"/>
      <color theme="1"/>
      <name val="Arial"/>
      <family val="2"/>
    </font>
    <font>
      <sz val="14"/>
      <name val="Century Gothic"/>
      <family val="2"/>
    </font>
    <font>
      <sz val="14"/>
      <color theme="0"/>
      <name val="Century Gothic"/>
      <family val="2"/>
    </font>
    <font>
      <b/>
      <sz val="14"/>
      <color theme="0"/>
      <name val="Century Gothic"/>
      <family val="2"/>
    </font>
    <font>
      <sz val="10"/>
      <color theme="0" tint="-0.499984740745262"/>
      <name val="Arial"/>
      <family val="2"/>
    </font>
    <font>
      <sz val="9"/>
      <color theme="0" tint="-0.499984740745262"/>
      <name val="Arial"/>
      <family val="2"/>
    </font>
    <font>
      <sz val="10"/>
      <color theme="0" tint="-0.499984740745262"/>
      <name val="Century Gothic"/>
      <family val="2"/>
    </font>
    <font>
      <sz val="24"/>
      <color rgb="FFFF0000"/>
      <name val="Century Gothic"/>
      <family val="2"/>
    </font>
    <font>
      <sz val="10"/>
      <color theme="0"/>
      <name val="Century Gothic"/>
      <family val="2"/>
    </font>
    <font>
      <sz val="10"/>
      <color rgb="FFC00000"/>
      <name val="Century Gothic"/>
      <family val="2"/>
    </font>
    <font>
      <sz val="10"/>
      <color rgb="FF0070C0"/>
      <name val="Century Gothic"/>
      <family val="2"/>
    </font>
    <font>
      <sz val="12"/>
      <color theme="0"/>
      <name val="Century Gothic"/>
      <family val="2"/>
    </font>
    <font>
      <sz val="11"/>
      <color theme="1"/>
      <name val="Century Gothic"/>
      <family val="2"/>
    </font>
    <font>
      <sz val="11"/>
      <color rgb="FFC00000"/>
      <name val="Century Gothic"/>
      <family val="2"/>
    </font>
    <font>
      <sz val="11"/>
      <color rgb="FF0070C0"/>
      <name val="Century Gothic"/>
      <family val="2"/>
    </font>
    <font>
      <sz val="10"/>
      <color rgb="FF0000FF"/>
      <name val="Century Gothic"/>
      <family val="2"/>
    </font>
    <font>
      <b/>
      <sz val="11"/>
      <color theme="1"/>
      <name val="Century Gothic"/>
      <family val="2"/>
    </font>
    <font>
      <b/>
      <sz val="11"/>
      <color rgb="FF0000FF"/>
      <name val="Century Gothic"/>
      <family val="2"/>
    </font>
    <font>
      <b/>
      <sz val="14"/>
      <name val="Century Gothic"/>
      <family val="2"/>
    </font>
    <font>
      <b/>
      <sz val="12"/>
      <color rgb="FF0000FF"/>
      <name val="Century Gothic"/>
      <family val="2"/>
    </font>
    <font>
      <b/>
      <sz val="9"/>
      <color theme="1"/>
      <name val="Century Gothic"/>
      <family val="2"/>
    </font>
    <font>
      <b/>
      <u/>
      <sz val="11"/>
      <color theme="1"/>
      <name val="Century Gothic"/>
      <family val="2"/>
    </font>
    <font>
      <sz val="11"/>
      <color rgb="FFFF0000"/>
      <name val="Century Gothic"/>
      <family val="2"/>
    </font>
    <font>
      <sz val="9"/>
      <color rgb="FF0000FF"/>
      <name val="Century Gothic"/>
      <family val="2"/>
    </font>
    <font>
      <b/>
      <sz val="12"/>
      <color rgb="FFA97F4D"/>
      <name val="Century Gothic"/>
      <family val="2"/>
    </font>
    <font>
      <sz val="10"/>
      <color rgb="FFA97F4D"/>
      <name val="Century Gothic"/>
      <family val="2"/>
    </font>
    <font>
      <sz val="14"/>
      <color rgb="FFA97F4D"/>
      <name val="Century Gothic"/>
      <family val="2"/>
    </font>
    <font>
      <b/>
      <sz val="14"/>
      <color rgb="FFA97F4D"/>
      <name val="Century Gothic"/>
      <family val="2"/>
    </font>
    <font>
      <sz val="12"/>
      <color rgb="FFA97F4D"/>
      <name val="Century Gothic"/>
      <family val="2"/>
    </font>
    <font>
      <b/>
      <sz val="18"/>
      <color rgb="FF113E21"/>
      <name val="Century Gothic"/>
      <family val="2"/>
    </font>
    <font>
      <i/>
      <sz val="9"/>
      <name val="Century Gothic"/>
      <family val="2"/>
    </font>
    <font>
      <i/>
      <sz val="9"/>
      <color rgb="FFFF0000"/>
      <name val="Century Gothic"/>
      <family val="2"/>
    </font>
  </fonts>
  <fills count="21">
    <fill>
      <patternFill patternType="none"/>
    </fill>
    <fill>
      <patternFill patternType="gray125"/>
    </fill>
    <fill>
      <patternFill patternType="solid">
        <fgColor indexed="43"/>
      </patternFill>
    </fill>
    <fill>
      <patternFill patternType="solid">
        <fgColor indexed="47"/>
      </patternFill>
    </fill>
    <fill>
      <patternFill patternType="solid">
        <fgColor indexed="26"/>
      </patternFill>
    </fill>
    <fill>
      <patternFill patternType="solid">
        <fgColor indexed="42"/>
      </patternFill>
    </fill>
    <fill>
      <patternFill patternType="solid">
        <fgColor indexed="55"/>
      </patternFill>
    </fill>
    <fill>
      <patternFill patternType="solid">
        <fgColor theme="4" tint="0.59999389629810485"/>
        <bgColor indexed="64"/>
      </patternFill>
    </fill>
    <fill>
      <patternFill patternType="solid">
        <fgColor theme="5" tint="0.79998168889431442"/>
        <bgColor indexed="64"/>
      </patternFill>
    </fill>
    <fill>
      <patternFill patternType="solid">
        <fgColor theme="0"/>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0" tint="-4.9989318521683403E-2"/>
        <bgColor indexed="64"/>
      </patternFill>
    </fill>
    <fill>
      <patternFill patternType="solid">
        <fgColor theme="6" tint="0.39997558519241921"/>
        <bgColor indexed="64"/>
      </patternFill>
    </fill>
    <fill>
      <patternFill patternType="solid">
        <fgColor rgb="FF00B0F0"/>
        <bgColor indexed="64"/>
      </patternFill>
    </fill>
    <fill>
      <patternFill patternType="solid">
        <fgColor rgb="FFFF5050"/>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rgb="FF113E21"/>
        <bgColor indexed="64"/>
      </patternFill>
    </fill>
    <fill>
      <patternFill patternType="solid">
        <fgColor rgb="FFA97F4D"/>
        <bgColor indexed="64"/>
      </patternFill>
    </fill>
  </fills>
  <borders count="108">
    <border>
      <left/>
      <right/>
      <top/>
      <bottom/>
      <diagonal/>
    </border>
    <border>
      <left style="thin">
        <color indexed="64"/>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thin">
        <color indexed="64"/>
      </right>
      <top style="thin">
        <color indexed="64"/>
      </top>
      <bottom style="hair">
        <color indexed="64"/>
      </bottom>
      <diagonal/>
    </border>
    <border>
      <left/>
      <right style="hair">
        <color indexed="64"/>
      </right>
      <top style="thin">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top style="thin">
        <color indexed="64"/>
      </top>
      <bottom style="hair">
        <color indexed="64"/>
      </bottom>
      <diagonal/>
    </border>
    <border>
      <left style="hair">
        <color indexed="64"/>
      </left>
      <right style="hair">
        <color indexed="64"/>
      </right>
      <top/>
      <bottom/>
      <diagonal/>
    </border>
    <border>
      <left style="hair">
        <color indexed="64"/>
      </left>
      <right style="thin">
        <color indexed="64"/>
      </right>
      <top/>
      <bottom/>
      <diagonal/>
    </border>
    <border>
      <left style="thin">
        <color indexed="64"/>
      </left>
      <right style="hair">
        <color indexed="64"/>
      </right>
      <top style="hair">
        <color indexed="64"/>
      </top>
      <bottom style="hair">
        <color indexed="64"/>
      </bottom>
      <diagonal/>
    </border>
    <border>
      <left style="thin">
        <color indexed="64"/>
      </left>
      <right/>
      <top style="thin">
        <color indexed="64"/>
      </top>
      <bottom style="hair">
        <color indexed="64"/>
      </bottom>
      <diagonal/>
    </border>
    <border>
      <left style="hair">
        <color indexed="64"/>
      </left>
      <right style="hair">
        <color indexed="64"/>
      </right>
      <top style="hair">
        <color indexed="64"/>
      </top>
      <bottom style="hair">
        <color indexed="64"/>
      </bottom>
      <diagonal/>
    </border>
    <border>
      <left/>
      <right/>
      <top style="thin">
        <color indexed="64"/>
      </top>
      <bottom style="hair">
        <color indexed="64"/>
      </bottom>
      <diagonal/>
    </border>
    <border>
      <left style="thin">
        <color indexed="64"/>
      </left>
      <right style="thin">
        <color indexed="64"/>
      </right>
      <top style="thin">
        <color indexed="64"/>
      </top>
      <bottom style="thin">
        <color indexed="64"/>
      </bottom>
      <diagonal/>
    </border>
    <border>
      <left style="thin">
        <color indexed="64"/>
      </left>
      <right style="hair">
        <color indexed="64"/>
      </right>
      <top style="thin">
        <color indexed="64"/>
      </top>
      <bottom/>
      <diagonal/>
    </border>
    <border>
      <left style="thin">
        <color indexed="64"/>
      </left>
      <right/>
      <top style="hair">
        <color indexed="64"/>
      </top>
      <bottom style="hair">
        <color indexed="64"/>
      </bottom>
      <diagonal/>
    </border>
    <border>
      <left/>
      <right style="hair">
        <color indexed="64"/>
      </right>
      <top style="hair">
        <color indexed="64"/>
      </top>
      <bottom style="hair">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hair">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style="thin">
        <color indexed="64"/>
      </left>
      <right style="hair">
        <color indexed="64"/>
      </right>
      <top style="hair">
        <color indexed="64"/>
      </top>
      <bottom/>
      <diagonal/>
    </border>
    <border>
      <left style="hair">
        <color indexed="64"/>
      </left>
      <right style="hair">
        <color indexed="64"/>
      </right>
      <top style="hair">
        <color indexed="64"/>
      </top>
      <bottom/>
      <diagonal/>
    </border>
    <border>
      <left style="hair">
        <color indexed="64"/>
      </left>
      <right style="hair">
        <color indexed="64"/>
      </right>
      <top style="thin">
        <color indexed="64"/>
      </top>
      <bottom/>
      <diagonal/>
    </border>
    <border>
      <left/>
      <right style="hair">
        <color indexed="64"/>
      </right>
      <top style="thin">
        <color indexed="64"/>
      </top>
      <bottom/>
      <diagonal/>
    </border>
    <border>
      <left/>
      <right style="hair">
        <color indexed="64"/>
      </right>
      <top/>
      <bottom style="hair">
        <color indexed="64"/>
      </bottom>
      <diagonal/>
    </border>
    <border>
      <left style="hair">
        <color indexed="64"/>
      </left>
      <right style="thin">
        <color indexed="64"/>
      </right>
      <top style="hair">
        <color indexed="64"/>
      </top>
      <bottom/>
      <diagonal/>
    </border>
    <border>
      <left style="hair">
        <color indexed="64"/>
      </left>
      <right/>
      <top style="hair">
        <color indexed="64"/>
      </top>
      <bottom style="hair">
        <color indexed="64"/>
      </bottom>
      <diagonal/>
    </border>
    <border>
      <left style="hair">
        <color indexed="64"/>
      </left>
      <right/>
      <top style="hair">
        <color indexed="64"/>
      </top>
      <bottom/>
      <diagonal/>
    </border>
    <border>
      <left/>
      <right/>
      <top style="thin">
        <color indexed="62"/>
      </top>
      <bottom style="double">
        <color indexed="62"/>
      </bottom>
      <diagonal/>
    </border>
    <border>
      <left style="hair">
        <color indexed="64"/>
      </left>
      <right style="thin">
        <color indexed="64"/>
      </right>
      <top/>
      <bottom style="thin">
        <color indexed="64"/>
      </bottom>
      <diagonal/>
    </border>
    <border>
      <left style="hair">
        <color indexed="64"/>
      </left>
      <right style="hair">
        <color indexed="64"/>
      </right>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hair">
        <color indexed="64"/>
      </right>
      <top/>
      <bottom style="thin">
        <color indexed="64"/>
      </bottom>
      <diagonal/>
    </border>
    <border>
      <left style="thin">
        <color indexed="64"/>
      </left>
      <right style="hair">
        <color indexed="64"/>
      </right>
      <top/>
      <bottom/>
      <diagonal/>
    </border>
    <border>
      <left style="hair">
        <color indexed="64"/>
      </left>
      <right/>
      <top/>
      <bottom/>
      <diagonal/>
    </border>
    <border>
      <left style="hair">
        <color indexed="64"/>
      </left>
      <right/>
      <top style="thin">
        <color indexed="64"/>
      </top>
      <bottom/>
      <diagonal/>
    </border>
    <border>
      <left style="thin">
        <color indexed="64"/>
      </left>
      <right style="thin">
        <color indexed="64"/>
      </right>
      <top/>
      <bottom style="hair">
        <color indexed="64"/>
      </bottom>
      <diagonal/>
    </border>
    <border>
      <left/>
      <right/>
      <top style="hair">
        <color indexed="64"/>
      </top>
      <bottom style="hair">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right/>
      <top/>
      <bottom style="thick">
        <color indexed="49"/>
      </bottom>
      <diagonal/>
    </border>
    <border>
      <left/>
      <right/>
      <top style="thin">
        <color indexed="49"/>
      </top>
      <bottom style="double">
        <color indexed="49"/>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thin">
        <color indexed="64"/>
      </bottom>
      <diagonal/>
    </border>
    <border>
      <left/>
      <right style="medium">
        <color indexed="64"/>
      </right>
      <top/>
      <bottom style="thin">
        <color indexed="64"/>
      </bottom>
      <diagonal/>
    </border>
    <border>
      <left/>
      <right style="medium">
        <color indexed="64"/>
      </right>
      <top/>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medium">
        <color indexed="64"/>
      </top>
      <bottom/>
      <diagonal/>
    </border>
    <border>
      <left style="thin">
        <color indexed="64"/>
      </left>
      <right/>
      <top style="thin">
        <color indexed="64"/>
      </top>
      <bottom style="thin">
        <color indexed="64"/>
      </bottom>
      <diagonal/>
    </border>
    <border>
      <left style="double">
        <color indexed="64"/>
      </left>
      <right/>
      <top style="double">
        <color indexed="64"/>
      </top>
      <bottom style="thin">
        <color indexed="64"/>
      </bottom>
      <diagonal/>
    </border>
    <border>
      <left/>
      <right/>
      <top style="double">
        <color indexed="64"/>
      </top>
      <bottom style="thin">
        <color indexed="64"/>
      </bottom>
      <diagonal/>
    </border>
    <border>
      <left/>
      <right style="double">
        <color indexed="64"/>
      </right>
      <top style="double">
        <color indexed="64"/>
      </top>
      <bottom style="thin">
        <color indexed="64"/>
      </bottom>
      <diagonal/>
    </border>
    <border>
      <left style="double">
        <color indexed="64"/>
      </left>
      <right/>
      <top style="thin">
        <color indexed="64"/>
      </top>
      <bottom/>
      <diagonal/>
    </border>
    <border>
      <left style="double">
        <color indexed="64"/>
      </left>
      <right/>
      <top/>
      <bottom style="thin">
        <color indexed="64"/>
      </bottom>
      <diagonal/>
    </border>
    <border>
      <left/>
      <right style="double">
        <color auto="1"/>
      </right>
      <top/>
      <bottom style="thin">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right style="double">
        <color auto="1"/>
      </right>
      <top style="thin">
        <color indexed="64"/>
      </top>
      <bottom style="double">
        <color indexed="64"/>
      </bottom>
      <diagonal/>
    </border>
    <border>
      <left/>
      <right style="thin">
        <color rgb="FF000000"/>
      </right>
      <top style="thin">
        <color rgb="FF000000"/>
      </top>
      <bottom style="thin">
        <color rgb="FF000000"/>
      </bottom>
      <diagonal/>
    </border>
    <border>
      <left style="thin">
        <color indexed="64"/>
      </left>
      <right style="thin">
        <color indexed="64"/>
      </right>
      <top/>
      <bottom/>
      <diagonal/>
    </border>
    <border>
      <left/>
      <right/>
      <top style="thin">
        <color indexed="64"/>
      </top>
      <bottom/>
      <diagonal/>
    </border>
    <border>
      <left/>
      <right style="thin">
        <color indexed="64"/>
      </right>
      <top style="thin">
        <color indexed="64"/>
      </top>
      <bottom/>
      <diagonal/>
    </border>
    <border>
      <left style="medium">
        <color auto="1"/>
      </left>
      <right/>
      <top/>
      <bottom/>
      <diagonal/>
    </border>
    <border>
      <left/>
      <right style="double">
        <color auto="1"/>
      </right>
      <top style="thin">
        <color auto="1"/>
      </top>
      <bottom/>
      <diagonal/>
    </border>
    <border>
      <left/>
      <right/>
      <top style="thin">
        <color rgb="FFFF0000"/>
      </top>
      <bottom style="thin">
        <color rgb="FFFF0000"/>
      </bottom>
      <diagonal/>
    </border>
    <border>
      <left/>
      <right/>
      <top style="mediumDashed">
        <color theme="0" tint="-0.24994659260841701"/>
      </top>
      <bottom style="mediumDashed">
        <color theme="0" tint="-0.24994659260841701"/>
      </bottom>
      <diagonal/>
    </border>
    <border>
      <left style="thin">
        <color indexed="64"/>
      </left>
      <right/>
      <top style="mediumDashed">
        <color theme="0" tint="-0.24994659260841701"/>
      </top>
      <bottom style="mediumDashed">
        <color theme="0" tint="-0.24994659260841701"/>
      </bottom>
      <diagonal/>
    </border>
    <border>
      <left style="mediumDashed">
        <color theme="0" tint="-0.24994659260841701"/>
      </left>
      <right/>
      <top style="mediumDashed">
        <color theme="0" tint="-0.24994659260841701"/>
      </top>
      <bottom style="mediumDashed">
        <color theme="0" tint="-0.24994659260841701"/>
      </bottom>
      <diagonal/>
    </border>
    <border>
      <left style="mediumDashed">
        <color theme="0" tint="-0.24994659260841701"/>
      </left>
      <right style="thin">
        <color indexed="64"/>
      </right>
      <top style="mediumDashed">
        <color theme="0" tint="-0.24994659260841701"/>
      </top>
      <bottom style="mediumDashed">
        <color theme="0" tint="-0.24994659260841701"/>
      </bottom>
      <diagonal/>
    </border>
    <border>
      <left style="thin">
        <color theme="0" tint="-4.9989318521683403E-2"/>
      </left>
      <right style="thin">
        <color theme="0" tint="-4.9989318521683403E-2"/>
      </right>
      <top style="thin">
        <color theme="0" tint="-4.9989318521683403E-2"/>
      </top>
      <bottom/>
      <diagonal/>
    </border>
    <border>
      <left style="thin">
        <color theme="0" tint="-4.9989318521683403E-2"/>
      </left>
      <right style="thin">
        <color theme="0" tint="-4.9989318521683403E-2"/>
      </right>
      <top/>
      <bottom style="thin">
        <color theme="0" tint="-4.9989318521683403E-2"/>
      </bottom>
      <diagonal/>
    </border>
    <border>
      <left/>
      <right/>
      <top style="thin">
        <color theme="0" tint="-4.9989318521683403E-2"/>
      </top>
      <bottom/>
      <diagonal/>
    </border>
    <border>
      <left/>
      <right/>
      <top/>
      <bottom style="thin">
        <color theme="0" tint="-4.9989318521683403E-2"/>
      </bottom>
      <diagonal/>
    </border>
    <border>
      <left style="hair">
        <color rgb="FFA97F4D"/>
      </left>
      <right/>
      <top style="hair">
        <color rgb="FFA97F4D"/>
      </top>
      <bottom/>
      <diagonal/>
    </border>
    <border>
      <left/>
      <right/>
      <top style="hair">
        <color rgb="FFA97F4D"/>
      </top>
      <bottom/>
      <diagonal/>
    </border>
    <border>
      <left/>
      <right style="hair">
        <color rgb="FFA97F4D"/>
      </right>
      <top style="hair">
        <color rgb="FFA97F4D"/>
      </top>
      <bottom/>
      <diagonal/>
    </border>
    <border>
      <left style="hair">
        <color rgb="FFA97F4D"/>
      </left>
      <right/>
      <top/>
      <bottom style="thin">
        <color theme="0" tint="-4.9989318521683403E-2"/>
      </bottom>
      <diagonal/>
    </border>
    <border>
      <left/>
      <right style="hair">
        <color rgb="FFA97F4D"/>
      </right>
      <top/>
      <bottom style="thin">
        <color theme="0" tint="-4.9989318521683403E-2"/>
      </bottom>
      <diagonal/>
    </border>
    <border>
      <left style="hair">
        <color rgb="FFA97F4D"/>
      </left>
      <right style="thin">
        <color theme="0" tint="-4.9989318521683403E-2"/>
      </right>
      <top style="thin">
        <color theme="0" tint="-4.9989318521683403E-2"/>
      </top>
      <bottom/>
      <diagonal/>
    </border>
    <border>
      <left style="thin">
        <color theme="0" tint="-4.9989318521683403E-2"/>
      </left>
      <right style="hair">
        <color rgb="FFA97F4D"/>
      </right>
      <top style="thin">
        <color theme="0" tint="-4.9989318521683403E-2"/>
      </top>
      <bottom/>
      <diagonal/>
    </border>
    <border>
      <left style="hair">
        <color rgb="FFA97F4D"/>
      </left>
      <right style="thin">
        <color theme="0" tint="-4.9989318521683403E-2"/>
      </right>
      <top/>
      <bottom style="thin">
        <color theme="0" tint="-4.9989318521683403E-2"/>
      </bottom>
      <diagonal/>
    </border>
    <border>
      <left style="thin">
        <color theme="0" tint="-4.9989318521683403E-2"/>
      </left>
      <right style="hair">
        <color rgb="FFA97F4D"/>
      </right>
      <top/>
      <bottom style="thin">
        <color theme="0" tint="-4.9989318521683403E-2"/>
      </bottom>
      <diagonal/>
    </border>
    <border>
      <left style="hair">
        <color rgb="FFA97F4D"/>
      </left>
      <right/>
      <top style="thin">
        <color theme="0" tint="-4.9989318521683403E-2"/>
      </top>
      <bottom/>
      <diagonal/>
    </border>
    <border>
      <left/>
      <right style="hair">
        <color rgb="FFA97F4D"/>
      </right>
      <top style="thin">
        <color theme="0" tint="-4.9989318521683403E-2"/>
      </top>
      <bottom/>
      <diagonal/>
    </border>
    <border>
      <left style="hair">
        <color rgb="FFA97F4D"/>
      </left>
      <right/>
      <top/>
      <bottom style="hair">
        <color rgb="FFA97F4D"/>
      </bottom>
      <diagonal/>
    </border>
    <border>
      <left/>
      <right/>
      <top/>
      <bottom style="hair">
        <color rgb="FFA97F4D"/>
      </bottom>
      <diagonal/>
    </border>
    <border>
      <left/>
      <right style="hair">
        <color rgb="FFA97F4D"/>
      </right>
      <top/>
      <bottom style="hair">
        <color rgb="FFA97F4D"/>
      </bottom>
      <diagonal/>
    </border>
  </borders>
  <cellStyleXfs count="149">
    <xf numFmtId="0" fontId="0" fillId="0" borderId="0"/>
    <xf numFmtId="168" fontId="35" fillId="0" borderId="0" applyFont="0" applyFill="0" applyBorder="0" applyAlignment="0" applyProtection="0"/>
    <xf numFmtId="168" fontId="35" fillId="0" borderId="0" applyFont="0" applyFill="0" applyBorder="0" applyAlignment="0" applyProtection="0"/>
    <xf numFmtId="171" fontId="48" fillId="0" borderId="0" applyFont="0" applyFill="0" applyBorder="0" applyAlignment="0" applyProtection="0"/>
    <xf numFmtId="0" fontId="35" fillId="0" borderId="0"/>
    <xf numFmtId="0" fontId="50" fillId="0" borderId="0"/>
    <xf numFmtId="0" fontId="46" fillId="0" borderId="0"/>
    <xf numFmtId="0" fontId="53" fillId="0" borderId="0"/>
    <xf numFmtId="171" fontId="53" fillId="0" borderId="0" applyFont="0" applyFill="0" applyBorder="0" applyAlignment="0" applyProtection="0"/>
    <xf numFmtId="9" fontId="53" fillId="0" borderId="0" applyFont="0" applyFill="0" applyBorder="0" applyAlignment="0" applyProtection="0"/>
    <xf numFmtId="171" fontId="35" fillId="0" borderId="0" applyFont="0" applyFill="0" applyBorder="0" applyAlignment="0" applyProtection="0"/>
    <xf numFmtId="0" fontId="54" fillId="0" borderId="0" applyNumberFormat="0" applyFill="0" applyBorder="0" applyAlignment="0" applyProtection="0">
      <alignment vertical="top"/>
      <protection locked="0"/>
    </xf>
    <xf numFmtId="9" fontId="35" fillId="0" borderId="0" applyFont="0" applyFill="0" applyBorder="0" applyAlignment="0" applyProtection="0"/>
    <xf numFmtId="0" fontId="34" fillId="0" borderId="0"/>
    <xf numFmtId="0" fontId="35" fillId="0" borderId="0" applyFont="0" applyFill="0" applyBorder="0" applyAlignment="0" applyProtection="0"/>
    <xf numFmtId="43" fontId="55" fillId="0" borderId="0" applyFont="0" applyFill="0" applyBorder="0" applyAlignment="0" applyProtection="0"/>
    <xf numFmtId="0" fontId="57" fillId="2" borderId="0" applyNumberFormat="0" applyBorder="0" applyAlignment="0" applyProtection="0"/>
    <xf numFmtId="0" fontId="35" fillId="0" borderId="0"/>
    <xf numFmtId="0" fontId="35" fillId="0" borderId="0"/>
    <xf numFmtId="0" fontId="35" fillId="0" borderId="0"/>
    <xf numFmtId="0" fontId="34" fillId="0" borderId="0"/>
    <xf numFmtId="0" fontId="35" fillId="0" borderId="0"/>
    <xf numFmtId="0" fontId="35" fillId="0" borderId="0"/>
    <xf numFmtId="9" fontId="55" fillId="0" borderId="0" applyFont="0" applyFill="0" applyBorder="0" applyAlignment="0" applyProtection="0"/>
    <xf numFmtId="0" fontId="56" fillId="0" borderId="39" applyNumberFormat="0" applyFill="0" applyAlignment="0" applyProtection="0"/>
    <xf numFmtId="0" fontId="33" fillId="0" borderId="0"/>
    <xf numFmtId="0" fontId="33" fillId="0" borderId="0"/>
    <xf numFmtId="0" fontId="58" fillId="0" borderId="0"/>
    <xf numFmtId="0" fontId="35" fillId="0" borderId="0"/>
    <xf numFmtId="0" fontId="32" fillId="0" borderId="0"/>
    <xf numFmtId="0" fontId="35" fillId="0" borderId="0"/>
    <xf numFmtId="0" fontId="31" fillId="0" borderId="0"/>
    <xf numFmtId="0" fontId="31" fillId="0" borderId="0"/>
    <xf numFmtId="0" fontId="31" fillId="0" borderId="0"/>
    <xf numFmtId="0" fontId="30" fillId="0" borderId="0"/>
    <xf numFmtId="0" fontId="30" fillId="0" borderId="0"/>
    <xf numFmtId="0" fontId="29" fillId="0" borderId="0"/>
    <xf numFmtId="0" fontId="29" fillId="0" borderId="0"/>
    <xf numFmtId="0" fontId="59" fillId="0" borderId="0"/>
    <xf numFmtId="0" fontId="28" fillId="0" borderId="0"/>
    <xf numFmtId="0" fontId="28" fillId="0" borderId="0"/>
    <xf numFmtId="0" fontId="35" fillId="0" borderId="0"/>
    <xf numFmtId="0" fontId="27" fillId="0" borderId="0"/>
    <xf numFmtId="0" fontId="27" fillId="0" borderId="0"/>
    <xf numFmtId="0" fontId="60" fillId="0" borderId="0"/>
    <xf numFmtId="0" fontId="26" fillId="0" borderId="0"/>
    <xf numFmtId="0" fontId="26" fillId="0" borderId="0"/>
    <xf numFmtId="0" fontId="25" fillId="0" borderId="0"/>
    <xf numFmtId="0" fontId="25" fillId="0" borderId="0"/>
    <xf numFmtId="0" fontId="24" fillId="0" borderId="0"/>
    <xf numFmtId="0" fontId="24" fillId="0" borderId="0"/>
    <xf numFmtId="0" fontId="35" fillId="0" borderId="0"/>
    <xf numFmtId="0" fontId="35" fillId="0" borderId="0"/>
    <xf numFmtId="0" fontId="35" fillId="0" borderId="0"/>
    <xf numFmtId="0" fontId="35" fillId="0" borderId="0"/>
    <xf numFmtId="0" fontId="35" fillId="0" borderId="0"/>
    <xf numFmtId="9" fontId="55" fillId="0" borderId="0" applyFont="0" applyFill="0" applyBorder="0" applyAlignment="0" applyProtection="0"/>
    <xf numFmtId="0" fontId="23" fillId="0" borderId="0"/>
    <xf numFmtId="0" fontId="23" fillId="0" borderId="0"/>
    <xf numFmtId="0" fontId="66" fillId="0" borderId="0"/>
    <xf numFmtId="171" fontId="66" fillId="0" borderId="0" applyFont="0" applyFill="0" applyBorder="0" applyAlignment="0" applyProtection="0"/>
    <xf numFmtId="9" fontId="66" fillId="0" borderId="0" applyFont="0" applyFill="0" applyBorder="0" applyAlignment="0" applyProtection="0"/>
    <xf numFmtId="0" fontId="22" fillId="0" borderId="0"/>
    <xf numFmtId="0" fontId="35" fillId="0" borderId="0"/>
    <xf numFmtId="0" fontId="22" fillId="0" borderId="0"/>
    <xf numFmtId="0" fontId="67" fillId="0" borderId="0"/>
    <xf numFmtId="171" fontId="67" fillId="0" borderId="0" applyFont="0" applyFill="0" applyBorder="0" applyAlignment="0" applyProtection="0"/>
    <xf numFmtId="9" fontId="67" fillId="0" borderId="0" applyFont="0" applyFill="0" applyBorder="0" applyAlignment="0" applyProtection="0"/>
    <xf numFmtId="0" fontId="21" fillId="0" borderId="0"/>
    <xf numFmtId="164" fontId="55" fillId="0" borderId="0" applyFont="0" applyFill="0" applyBorder="0" applyAlignment="0" applyProtection="0"/>
    <xf numFmtId="0" fontId="21" fillId="0" borderId="0"/>
    <xf numFmtId="0" fontId="20" fillId="0" borderId="0"/>
    <xf numFmtId="0" fontId="20" fillId="0" borderId="0"/>
    <xf numFmtId="9" fontId="68" fillId="0" borderId="0" applyFont="0" applyFill="0" applyBorder="0" applyAlignment="0" applyProtection="0"/>
    <xf numFmtId="171" fontId="68" fillId="0" borderId="0" applyFont="0" applyFill="0" applyBorder="0" applyAlignment="0" applyProtection="0"/>
    <xf numFmtId="0" fontId="68" fillId="0" borderId="0"/>
    <xf numFmtId="0" fontId="19" fillId="0" borderId="0"/>
    <xf numFmtId="0" fontId="19" fillId="0" borderId="0"/>
    <xf numFmtId="0" fontId="18" fillId="0" borderId="0"/>
    <xf numFmtId="0" fontId="18" fillId="0" borderId="0"/>
    <xf numFmtId="9" fontId="55" fillId="0" borderId="0" applyFont="0" applyFill="0" applyBorder="0" applyAlignment="0" applyProtection="0"/>
    <xf numFmtId="0" fontId="69" fillId="0" borderId="0"/>
    <xf numFmtId="43" fontId="69" fillId="0" borderId="0" applyFont="0" applyFill="0" applyBorder="0" applyAlignment="0" applyProtection="0"/>
    <xf numFmtId="171" fontId="69" fillId="0" borderId="0" applyFont="0" applyFill="0" applyBorder="0" applyAlignment="0" applyProtection="0"/>
    <xf numFmtId="9" fontId="69" fillId="0" borderId="0" applyFont="0" applyFill="0" applyBorder="0" applyAlignment="0" applyProtection="0"/>
    <xf numFmtId="43" fontId="35" fillId="0" borderId="0" applyFont="0" applyFill="0" applyBorder="0" applyAlignment="0" applyProtection="0"/>
    <xf numFmtId="0" fontId="17" fillId="0" borderId="0"/>
    <xf numFmtId="0" fontId="35" fillId="0" borderId="0"/>
    <xf numFmtId="0" fontId="17" fillId="0" borderId="0"/>
    <xf numFmtId="0" fontId="16" fillId="0" borderId="0"/>
    <xf numFmtId="0" fontId="35" fillId="0" borderId="0" applyFont="0" applyFill="0" applyBorder="0" applyAlignment="0" applyProtection="0"/>
    <xf numFmtId="164" fontId="55" fillId="0" borderId="0" applyFont="0" applyFill="0" applyBorder="0" applyAlignment="0" applyProtection="0"/>
    <xf numFmtId="0" fontId="16" fillId="0" borderId="0"/>
    <xf numFmtId="9" fontId="55" fillId="0" borderId="0" applyFont="0" applyFill="0" applyBorder="0" applyAlignment="0" applyProtection="0"/>
    <xf numFmtId="0" fontId="15" fillId="0" borderId="0"/>
    <xf numFmtId="43" fontId="55" fillId="0" borderId="0" applyFont="0" applyFill="0" applyBorder="0" applyAlignment="0" applyProtection="0"/>
    <xf numFmtId="0" fontId="15" fillId="0" borderId="0"/>
    <xf numFmtId="0" fontId="14" fillId="0" borderId="0"/>
    <xf numFmtId="0" fontId="14" fillId="0" borderId="0"/>
    <xf numFmtId="0" fontId="14" fillId="0" borderId="0"/>
    <xf numFmtId="0" fontId="70" fillId="0" borderId="0"/>
    <xf numFmtId="0" fontId="13" fillId="0" borderId="0"/>
    <xf numFmtId="0" fontId="13" fillId="0" borderId="0"/>
    <xf numFmtId="0" fontId="49" fillId="0" borderId="0"/>
    <xf numFmtId="0" fontId="13" fillId="0" borderId="0"/>
    <xf numFmtId="0" fontId="13" fillId="0" borderId="0"/>
    <xf numFmtId="0" fontId="13" fillId="0" borderId="0"/>
    <xf numFmtId="0" fontId="71" fillId="0" borderId="0"/>
    <xf numFmtId="0" fontId="12" fillId="0" borderId="0"/>
    <xf numFmtId="0" fontId="73" fillId="6" borderId="51" applyNumberFormat="0" applyAlignment="0" applyProtection="0"/>
    <xf numFmtId="0" fontId="72" fillId="5" borderId="0" applyNumberFormat="0" applyBorder="0" applyAlignment="0" applyProtection="0"/>
    <xf numFmtId="0" fontId="71" fillId="0" borderId="0"/>
    <xf numFmtId="0" fontId="12" fillId="0" borderId="0"/>
    <xf numFmtId="0" fontId="74" fillId="0" borderId="52" applyNumberFormat="0" applyFill="0" applyAlignment="0" applyProtection="0"/>
    <xf numFmtId="0" fontId="75" fillId="0" borderId="0" applyNumberFormat="0" applyFill="0" applyBorder="0" applyAlignment="0" applyProtection="0"/>
    <xf numFmtId="0" fontId="76" fillId="3" borderId="50" applyNumberFormat="0" applyAlignment="0" applyProtection="0"/>
    <xf numFmtId="0" fontId="77" fillId="2" borderId="0" applyNumberFormat="0" applyBorder="0" applyAlignment="0" applyProtection="0"/>
    <xf numFmtId="0" fontId="45" fillId="4" borderId="53" applyNumberFormat="0" applyFont="0" applyAlignment="0" applyProtection="0"/>
    <xf numFmtId="0" fontId="78" fillId="0" borderId="0" applyNumberFormat="0" applyFill="0" applyBorder="0" applyAlignment="0" applyProtection="0"/>
    <xf numFmtId="0" fontId="79" fillId="0" borderId="54" applyNumberFormat="0" applyFill="0" applyAlignment="0" applyProtection="0"/>
    <xf numFmtId="0" fontId="80" fillId="0" borderId="55" applyNumberFormat="0" applyFill="0" applyAlignment="0" applyProtection="0"/>
    <xf numFmtId="0" fontId="11" fillId="0" borderId="0"/>
    <xf numFmtId="0" fontId="11" fillId="0" borderId="0"/>
    <xf numFmtId="0" fontId="10" fillId="0" borderId="0"/>
    <xf numFmtId="0" fontId="10" fillId="0" borderId="0"/>
    <xf numFmtId="0" fontId="9" fillId="0" borderId="0"/>
    <xf numFmtId="0" fontId="9" fillId="0" borderId="0"/>
    <xf numFmtId="0" fontId="82" fillId="0" borderId="0"/>
    <xf numFmtId="9" fontId="35" fillId="0" borderId="0" applyFont="0" applyFill="0" applyBorder="0" applyAlignment="0" applyProtection="0"/>
    <xf numFmtId="0" fontId="8" fillId="0" borderId="0"/>
    <xf numFmtId="0" fontId="8" fillId="0" borderId="0"/>
    <xf numFmtId="0" fontId="7" fillId="0" borderId="0"/>
    <xf numFmtId="0" fontId="7" fillId="0" borderId="0"/>
    <xf numFmtId="0" fontId="6" fillId="0" borderId="0"/>
    <xf numFmtId="0" fontId="6" fillId="0" borderId="0"/>
    <xf numFmtId="0" fontId="5" fillId="0" borderId="0"/>
    <xf numFmtId="0" fontId="5" fillId="0" borderId="0"/>
    <xf numFmtId="0" fontId="4" fillId="0" borderId="0"/>
    <xf numFmtId="0" fontId="4" fillId="0" borderId="0"/>
    <xf numFmtId="0" fontId="85" fillId="0" borderId="0"/>
    <xf numFmtId="0" fontId="85" fillId="0" borderId="0"/>
    <xf numFmtId="0" fontId="3" fillId="0" borderId="0"/>
    <xf numFmtId="0" fontId="3" fillId="0" borderId="0"/>
    <xf numFmtId="43" fontId="55" fillId="0" borderId="0" applyFont="0" applyFill="0" applyBorder="0" applyAlignment="0" applyProtection="0"/>
    <xf numFmtId="0" fontId="3" fillId="0" borderId="0"/>
    <xf numFmtId="0" fontId="86" fillId="0" borderId="0"/>
    <xf numFmtId="0" fontId="2" fillId="0" borderId="0"/>
    <xf numFmtId="0" fontId="35" fillId="0" borderId="0"/>
    <xf numFmtId="0" fontId="1" fillId="0" borderId="0"/>
  </cellStyleXfs>
  <cellXfs count="649">
    <xf numFmtId="0" fontId="0" fillId="0" borderId="0" xfId="0"/>
    <xf numFmtId="0" fontId="39" fillId="0" borderId="5" xfId="0" applyFont="1" applyBorder="1" applyAlignment="1">
      <alignment horizontal="center" vertical="center"/>
    </xf>
    <xf numFmtId="0" fontId="36" fillId="0" borderId="0" xfId="0" quotePrefix="1" applyFont="1" applyAlignment="1">
      <alignment horizontal="center"/>
    </xf>
    <xf numFmtId="165" fontId="36" fillId="0" borderId="0" xfId="0" applyNumberFormat="1" applyFont="1" applyAlignment="1">
      <alignment horizontal="center"/>
    </xf>
    <xf numFmtId="0" fontId="36" fillId="0" borderId="0" xfId="0" applyFont="1" applyAlignment="1">
      <alignment horizontal="center"/>
    </xf>
    <xf numFmtId="2" fontId="36" fillId="0" borderId="0" xfId="0" quotePrefix="1" applyNumberFormat="1" applyFont="1" applyAlignment="1">
      <alignment horizontal="center"/>
    </xf>
    <xf numFmtId="166" fontId="36" fillId="0" borderId="0" xfId="0" applyNumberFormat="1" applyFont="1" applyAlignment="1">
      <alignment horizontal="center"/>
    </xf>
    <xf numFmtId="0" fontId="45" fillId="0" borderId="0" xfId="0" applyFont="1"/>
    <xf numFmtId="0" fontId="37" fillId="0" borderId="0" xfId="0" applyFont="1" applyAlignment="1">
      <alignment horizontal="centerContinuous" vertical="center"/>
    </xf>
    <xf numFmtId="49" fontId="39" fillId="0" borderId="0" xfId="0" applyNumberFormat="1" applyFont="1"/>
    <xf numFmtId="49" fontId="40" fillId="0" borderId="5" xfId="0" applyNumberFormat="1" applyFont="1" applyBorder="1"/>
    <xf numFmtId="0" fontId="36" fillId="0" borderId="2" xfId="0" quotePrefix="1" applyFont="1" applyBorder="1" applyAlignment="1">
      <alignment horizontal="center"/>
    </xf>
    <xf numFmtId="0" fontId="36" fillId="0" borderId="4" xfId="0" quotePrefix="1" applyFont="1" applyBorder="1" applyAlignment="1">
      <alignment horizontal="center"/>
    </xf>
    <xf numFmtId="0" fontId="51" fillId="0" borderId="0" xfId="0" applyFont="1"/>
    <xf numFmtId="2" fontId="36" fillId="0" borderId="3" xfId="0" quotePrefix="1" applyNumberFormat="1" applyFont="1" applyBorder="1" applyAlignment="1">
      <alignment horizontal="center"/>
    </xf>
    <xf numFmtId="2" fontId="36" fillId="0" borderId="6" xfId="0" quotePrefix="1" applyNumberFormat="1" applyFont="1" applyBorder="1" applyAlignment="1">
      <alignment horizontal="center"/>
    </xf>
    <xf numFmtId="49" fontId="45" fillId="0" borderId="0" xfId="0" applyNumberFormat="1" applyFont="1"/>
    <xf numFmtId="2" fontId="36" fillId="0" borderId="0" xfId="0" applyNumberFormat="1" applyFont="1" applyAlignment="1">
      <alignment horizontal="center" vertical="center"/>
    </xf>
    <xf numFmtId="166" fontId="45" fillId="0" borderId="0" xfId="0" applyNumberFormat="1" applyFont="1"/>
    <xf numFmtId="165" fontId="37" fillId="0" borderId="0" xfId="0" applyNumberFormat="1" applyFont="1" applyAlignment="1">
      <alignment horizontal="centerContinuous" vertical="center"/>
    </xf>
    <xf numFmtId="0" fontId="39" fillId="0" borderId="0" xfId="0" applyFont="1" applyAlignment="1">
      <alignment horizontal="centerContinuous" vertical="center"/>
    </xf>
    <xf numFmtId="1" fontId="39" fillId="0" borderId="0" xfId="0" applyNumberFormat="1" applyFont="1" applyAlignment="1">
      <alignment horizontal="centerContinuous" vertical="center"/>
    </xf>
    <xf numFmtId="1" fontId="37" fillId="0" borderId="0" xfId="0" applyNumberFormat="1" applyFont="1" applyAlignment="1">
      <alignment horizontal="centerContinuous" vertical="center"/>
    </xf>
    <xf numFmtId="166" fontId="37" fillId="0" borderId="0" xfId="0" applyNumberFormat="1" applyFont="1" applyAlignment="1">
      <alignment horizontal="centerContinuous" vertical="center"/>
    </xf>
    <xf numFmtId="2" fontId="37" fillId="0" borderId="0" xfId="0" applyNumberFormat="1" applyFont="1" applyAlignment="1">
      <alignment horizontal="centerContinuous" vertical="center"/>
    </xf>
    <xf numFmtId="0" fontId="39" fillId="0" borderId="0" xfId="0" applyFont="1" applyAlignment="1">
      <alignment vertical="center"/>
    </xf>
    <xf numFmtId="165" fontId="45" fillId="0" borderId="0" xfId="0" applyNumberFormat="1" applyFont="1"/>
    <xf numFmtId="0" fontId="36" fillId="0" borderId="0" xfId="0" applyFont="1"/>
    <xf numFmtId="1" fontId="36" fillId="0" borderId="0" xfId="0" applyNumberFormat="1" applyFont="1"/>
    <xf numFmtId="1" fontId="45" fillId="0" borderId="0" xfId="0" applyNumberFormat="1" applyFont="1"/>
    <xf numFmtId="2" fontId="45" fillId="0" borderId="0" xfId="0" applyNumberFormat="1" applyFont="1"/>
    <xf numFmtId="49" fontId="45" fillId="0" borderId="1" xfId="0" applyNumberFormat="1" applyFont="1" applyBorder="1"/>
    <xf numFmtId="49" fontId="39" fillId="0" borderId="2" xfId="0" applyNumberFormat="1" applyFont="1" applyBorder="1"/>
    <xf numFmtId="0" fontId="45" fillId="0" borderId="3" xfId="0" applyFont="1" applyBorder="1"/>
    <xf numFmtId="165" fontId="40" fillId="0" borderId="0" xfId="0" applyNumberFormat="1" applyFont="1" applyAlignment="1">
      <alignment horizontal="left"/>
    </xf>
    <xf numFmtId="166" fontId="45" fillId="0" borderId="2" xfId="0" applyNumberFormat="1" applyFont="1" applyBorder="1"/>
    <xf numFmtId="49" fontId="40" fillId="0" borderId="4" xfId="0" applyNumberFormat="1" applyFont="1" applyBorder="1"/>
    <xf numFmtId="0" fontId="45" fillId="0" borderId="5" xfId="0" applyFont="1" applyBorder="1"/>
    <xf numFmtId="0" fontId="45" fillId="0" borderId="5" xfId="0" applyFont="1" applyBorder="1" applyAlignment="1">
      <alignment horizontal="center" vertical="center" wrapText="1"/>
    </xf>
    <xf numFmtId="0" fontId="39" fillId="0" borderId="0" xfId="0" applyFont="1"/>
    <xf numFmtId="165" fontId="39" fillId="0" borderId="0" xfId="0" applyNumberFormat="1" applyFont="1"/>
    <xf numFmtId="0" fontId="40" fillId="0" borderId="0" xfId="0" applyFont="1" applyAlignment="1">
      <alignment horizontal="left"/>
    </xf>
    <xf numFmtId="165" fontId="45" fillId="0" borderId="5" xfId="0" applyNumberFormat="1" applyFont="1" applyBorder="1"/>
    <xf numFmtId="165" fontId="40" fillId="0" borderId="5" xfId="0" applyNumberFormat="1" applyFont="1" applyBorder="1"/>
    <xf numFmtId="0" fontId="42" fillId="0" borderId="8" xfId="0" applyFont="1" applyBorder="1" applyAlignment="1">
      <alignment horizontal="center" wrapText="1"/>
    </xf>
    <xf numFmtId="1" fontId="39" fillId="0" borderId="14" xfId="0" applyNumberFormat="1" applyFont="1" applyBorder="1" applyAlignment="1">
      <alignment horizontal="center" vertical="center" wrapText="1"/>
    </xf>
    <xf numFmtId="1" fontId="42" fillId="0" borderId="9" xfId="0" applyNumberFormat="1" applyFont="1" applyBorder="1" applyAlignment="1">
      <alignment horizontal="center" vertical="center" wrapText="1"/>
    </xf>
    <xf numFmtId="166" fontId="42" fillId="0" borderId="17" xfId="0" applyNumberFormat="1" applyFont="1" applyBorder="1" applyAlignment="1">
      <alignment horizontal="center" vertical="center" wrapText="1"/>
    </xf>
    <xf numFmtId="165" fontId="42" fillId="0" borderId="19" xfId="0" applyNumberFormat="1" applyFont="1" applyBorder="1" applyAlignment="1">
      <alignment horizontal="center" wrapText="1"/>
    </xf>
    <xf numFmtId="166" fontId="42" fillId="0" borderId="19" xfId="0" applyNumberFormat="1" applyFont="1" applyBorder="1" applyAlignment="1">
      <alignment horizontal="center" vertical="center" wrapText="1"/>
    </xf>
    <xf numFmtId="165" fontId="42" fillId="0" borderId="12" xfId="0" applyNumberFormat="1" applyFont="1" applyBorder="1" applyAlignment="1">
      <alignment horizontal="center" vertical="center"/>
    </xf>
    <xf numFmtId="49" fontId="39" fillId="0" borderId="13" xfId="0" applyNumberFormat="1" applyFont="1" applyBorder="1" applyAlignment="1">
      <alignment horizontal="center" vertical="center" wrapText="1"/>
    </xf>
    <xf numFmtId="0" fontId="45" fillId="0" borderId="1" xfId="0" applyFont="1" applyBorder="1" applyAlignment="1">
      <alignment horizontal="center"/>
    </xf>
    <xf numFmtId="0" fontId="45" fillId="0" borderId="1" xfId="0" applyFont="1" applyBorder="1"/>
    <xf numFmtId="0" fontId="36" fillId="0" borderId="2" xfId="0" applyFont="1" applyBorder="1" applyAlignment="1">
      <alignment horizontal="center"/>
    </xf>
    <xf numFmtId="1" fontId="39" fillId="0" borderId="3" xfId="0" applyNumberFormat="1" applyFont="1" applyBorder="1" applyAlignment="1">
      <alignment horizontal="right"/>
    </xf>
    <xf numFmtId="0" fontId="45" fillId="0" borderId="2" xfId="0" applyFont="1" applyBorder="1"/>
    <xf numFmtId="0" fontId="52" fillId="0" borderId="2" xfId="0" applyFont="1" applyBorder="1"/>
    <xf numFmtId="0" fontId="36" fillId="0" borderId="4" xfId="0" applyFont="1" applyBorder="1" applyAlignment="1">
      <alignment horizontal="center"/>
    </xf>
    <xf numFmtId="1" fontId="39" fillId="0" borderId="6" xfId="0" applyNumberFormat="1" applyFont="1" applyBorder="1" applyAlignment="1">
      <alignment horizontal="right"/>
    </xf>
    <xf numFmtId="0" fontId="45" fillId="0" borderId="4" xfId="0" applyFont="1" applyBorder="1"/>
    <xf numFmtId="0" fontId="36" fillId="0" borderId="5" xfId="0" applyFont="1" applyBorder="1"/>
    <xf numFmtId="1" fontId="45" fillId="0" borderId="5" xfId="0" applyNumberFormat="1" applyFont="1" applyBorder="1"/>
    <xf numFmtId="166" fontId="45" fillId="0" borderId="5" xfId="0" applyNumberFormat="1" applyFont="1" applyBorder="1"/>
    <xf numFmtId="2" fontId="36" fillId="0" borderId="5" xfId="0" applyNumberFormat="1" applyFont="1" applyBorder="1" applyAlignment="1">
      <alignment horizontal="center" vertical="center"/>
    </xf>
    <xf numFmtId="1" fontId="39" fillId="0" borderId="0" xfId="0" applyNumberFormat="1" applyFont="1" applyAlignment="1">
      <alignment horizontal="right"/>
    </xf>
    <xf numFmtId="166" fontId="39" fillId="0" borderId="2" xfId="0" applyNumberFormat="1" applyFont="1" applyBorder="1" applyAlignment="1">
      <alignment horizontal="left"/>
    </xf>
    <xf numFmtId="166" fontId="39" fillId="0" borderId="4" xfId="0" applyNumberFormat="1" applyFont="1" applyBorder="1" applyAlignment="1">
      <alignment horizontal="left"/>
    </xf>
    <xf numFmtId="166" fontId="42" fillId="0" borderId="7" xfId="0" applyNumberFormat="1" applyFont="1" applyBorder="1" applyAlignment="1">
      <alignment horizontal="center" wrapText="1"/>
    </xf>
    <xf numFmtId="1" fontId="36" fillId="0" borderId="24" xfId="0" applyNumberFormat="1" applyFont="1" applyBorder="1" applyAlignment="1">
      <alignment horizontal="center" vertical="center"/>
    </xf>
    <xf numFmtId="1" fontId="36" fillId="0" borderId="19" xfId="0" applyNumberFormat="1" applyFont="1" applyBorder="1" applyAlignment="1">
      <alignment horizontal="center" vertical="center"/>
    </xf>
    <xf numFmtId="165" fontId="42" fillId="0" borderId="8" xfId="0" applyNumberFormat="1" applyFont="1" applyBorder="1" applyAlignment="1">
      <alignment horizontal="center" vertical="center" wrapText="1"/>
    </xf>
    <xf numFmtId="0" fontId="42" fillId="0" borderId="8" xfId="0" applyFont="1" applyBorder="1" applyAlignment="1">
      <alignment horizontal="center" vertical="center" wrapText="1"/>
    </xf>
    <xf numFmtId="0" fontId="42" fillId="0" borderId="12" xfId="0" applyFont="1" applyBorder="1" applyAlignment="1">
      <alignment horizontal="center" vertical="center" wrapText="1"/>
    </xf>
    <xf numFmtId="0" fontId="42" fillId="0" borderId="7" xfId="0" applyFont="1" applyBorder="1" applyAlignment="1">
      <alignment horizontal="center" vertical="center" wrapText="1"/>
    </xf>
    <xf numFmtId="166" fontId="38" fillId="0" borderId="1" xfId="0" applyNumberFormat="1" applyFont="1" applyBorder="1" applyAlignment="1">
      <alignment horizontal="center"/>
    </xf>
    <xf numFmtId="0" fontId="39" fillId="0" borderId="7" xfId="0" applyFont="1" applyBorder="1" applyAlignment="1">
      <alignment horizontal="center" vertical="center"/>
    </xf>
    <xf numFmtId="0" fontId="39" fillId="0" borderId="8" xfId="0" applyFont="1" applyBorder="1" applyAlignment="1">
      <alignment horizontal="center" vertical="center"/>
    </xf>
    <xf numFmtId="165" fontId="39" fillId="0" borderId="20" xfId="0" applyNumberFormat="1" applyFont="1" applyBorder="1" applyAlignment="1">
      <alignment horizontal="center" vertical="center"/>
    </xf>
    <xf numFmtId="0" fontId="39" fillId="0" borderId="10" xfId="0" applyFont="1" applyBorder="1" applyAlignment="1">
      <alignment horizontal="center" vertical="center"/>
    </xf>
    <xf numFmtId="166" fontId="39" fillId="0" borderId="7" xfId="0" applyNumberFormat="1" applyFont="1" applyBorder="1" applyAlignment="1">
      <alignment horizontal="center" vertical="center"/>
    </xf>
    <xf numFmtId="166" fontId="39" fillId="0" borderId="8" xfId="0" applyNumberFormat="1" applyFont="1" applyBorder="1" applyAlignment="1">
      <alignment horizontal="center" vertical="center"/>
    </xf>
    <xf numFmtId="165" fontId="39" fillId="0" borderId="9" xfId="0" applyNumberFormat="1" applyFont="1" applyBorder="1" applyAlignment="1">
      <alignment horizontal="center" vertical="center"/>
    </xf>
    <xf numFmtId="165" fontId="42" fillId="0" borderId="14" xfId="0" applyNumberFormat="1" applyFont="1" applyBorder="1" applyAlignment="1">
      <alignment horizontal="center" vertical="center"/>
    </xf>
    <xf numFmtId="165" fontId="42" fillId="0" borderId="11" xfId="0" applyNumberFormat="1" applyFont="1" applyBorder="1" applyAlignment="1">
      <alignment horizontal="center" vertical="center"/>
    </xf>
    <xf numFmtId="0" fontId="42" fillId="0" borderId="11" xfId="0" applyFont="1" applyBorder="1" applyAlignment="1">
      <alignment horizontal="center" vertical="center"/>
    </xf>
    <xf numFmtId="165" fontId="42" fillId="0" borderId="20" xfId="0" applyNumberFormat="1" applyFont="1" applyBorder="1" applyAlignment="1">
      <alignment horizontal="center" vertical="center"/>
    </xf>
    <xf numFmtId="165" fontId="42" fillId="0" borderId="10" xfId="0" applyNumberFormat="1" applyFont="1" applyBorder="1" applyAlignment="1">
      <alignment horizontal="center" vertical="center"/>
    </xf>
    <xf numFmtId="1" fontId="39" fillId="0" borderId="38" xfId="0" applyNumberFormat="1" applyFont="1" applyBorder="1" applyAlignment="1">
      <alignment horizontal="center"/>
    </xf>
    <xf numFmtId="1" fontId="42" fillId="0" borderId="36" xfId="0" applyNumberFormat="1" applyFont="1" applyBorder="1" applyAlignment="1">
      <alignment horizontal="center"/>
    </xf>
    <xf numFmtId="166" fontId="42" fillId="0" borderId="31" xfId="0" applyNumberFormat="1" applyFont="1" applyBorder="1" applyAlignment="1">
      <alignment horizontal="center" wrapText="1"/>
    </xf>
    <xf numFmtId="14" fontId="37" fillId="0" borderId="0" xfId="0" applyNumberFormat="1" applyFont="1" applyAlignment="1">
      <alignment horizontal="centerContinuous" vertical="center"/>
    </xf>
    <xf numFmtId="14" fontId="45" fillId="0" borderId="0" xfId="0" applyNumberFormat="1" applyFont="1"/>
    <xf numFmtId="14" fontId="45" fillId="0" borderId="5" xfId="0" applyNumberFormat="1" applyFont="1" applyBorder="1"/>
    <xf numFmtId="165" fontId="0" fillId="0" borderId="21" xfId="0" applyNumberFormat="1" applyBorder="1" applyAlignment="1">
      <alignment horizontal="center"/>
    </xf>
    <xf numFmtId="0" fontId="36" fillId="0" borderId="0" xfId="0" applyFont="1" applyAlignment="1" applyProtection="1">
      <alignment horizontal="center" vertical="center" wrapText="1"/>
      <protection locked="0"/>
    </xf>
    <xf numFmtId="1" fontId="36" fillId="0" borderId="23" xfId="0" quotePrefix="1" applyNumberFormat="1" applyFont="1" applyBorder="1" applyAlignment="1" applyProtection="1">
      <alignment horizontal="center" vertical="center"/>
      <protection locked="0"/>
    </xf>
    <xf numFmtId="165" fontId="42" fillId="0" borderId="42" xfId="0" applyNumberFormat="1" applyFont="1" applyBorder="1" applyAlignment="1">
      <alignment horizontal="center"/>
    </xf>
    <xf numFmtId="165" fontId="42" fillId="0" borderId="43" xfId="0" applyNumberFormat="1" applyFont="1" applyBorder="1" applyAlignment="1">
      <alignment horizontal="center"/>
    </xf>
    <xf numFmtId="166" fontId="42" fillId="0" borderId="13" xfId="0" applyNumberFormat="1" applyFont="1" applyBorder="1" applyAlignment="1">
      <alignment horizontal="center" wrapText="1"/>
    </xf>
    <xf numFmtId="0" fontId="42" fillId="0" borderId="43" xfId="0" applyFont="1" applyBorder="1" applyAlignment="1">
      <alignment horizontal="center"/>
    </xf>
    <xf numFmtId="166" fontId="42" fillId="0" borderId="42" xfId="0" applyNumberFormat="1" applyFont="1" applyBorder="1" applyAlignment="1">
      <alignment horizontal="center" wrapText="1"/>
    </xf>
    <xf numFmtId="0" fontId="42" fillId="0" borderId="13" xfId="0" applyFont="1" applyBorder="1" applyAlignment="1">
      <alignment horizontal="center"/>
    </xf>
    <xf numFmtId="165" fontId="42" fillId="0" borderId="42" xfId="0" quotePrefix="1" applyNumberFormat="1" applyFont="1" applyBorder="1" applyAlignment="1">
      <alignment horizontal="center" vertical="center"/>
    </xf>
    <xf numFmtId="49" fontId="39" fillId="0" borderId="42" xfId="0" applyNumberFormat="1" applyFont="1" applyBorder="1" applyAlignment="1">
      <alignment horizontal="center" vertical="center" wrapText="1"/>
    </xf>
    <xf numFmtId="0" fontId="40" fillId="0" borderId="42" xfId="0" applyFont="1" applyBorder="1" applyAlignment="1">
      <alignment horizontal="center" vertical="center" wrapText="1"/>
    </xf>
    <xf numFmtId="165" fontId="42" fillId="0" borderId="42" xfId="0" applyNumberFormat="1" applyFont="1" applyBorder="1" applyAlignment="1">
      <alignment horizontal="center" vertical="center"/>
    </xf>
    <xf numFmtId="0" fontId="42" fillId="0" borderId="42" xfId="0" applyFont="1" applyBorder="1" applyAlignment="1">
      <alignment horizontal="center" vertical="center"/>
    </xf>
    <xf numFmtId="0" fontId="42" fillId="0" borderId="42" xfId="0" applyFont="1" applyBorder="1" applyAlignment="1">
      <alignment horizontal="center" wrapText="1"/>
    </xf>
    <xf numFmtId="0" fontId="36" fillId="0" borderId="17" xfId="0" quotePrefix="1" applyFont="1" applyBorder="1" applyAlignment="1">
      <alignment horizontal="center" vertical="center"/>
    </xf>
    <xf numFmtId="0" fontId="36" fillId="0" borderId="19" xfId="0" applyFont="1" applyBorder="1" applyAlignment="1">
      <alignment horizontal="center" vertical="center"/>
    </xf>
    <xf numFmtId="169" fontId="36" fillId="0" borderId="24" xfId="0" applyNumberFormat="1" applyFont="1" applyBorder="1" applyAlignment="1">
      <alignment horizontal="center" vertical="center"/>
    </xf>
    <xf numFmtId="169" fontId="36" fillId="0" borderId="19" xfId="0" applyNumberFormat="1" applyFont="1" applyBorder="1" applyAlignment="1">
      <alignment horizontal="center" vertical="center"/>
    </xf>
    <xf numFmtId="2" fontId="36" fillId="0" borderId="12" xfId="0" applyNumberFormat="1" applyFont="1" applyBorder="1" applyAlignment="1">
      <alignment horizontal="center" vertical="center"/>
    </xf>
    <xf numFmtId="1" fontId="36" fillId="0" borderId="12" xfId="0" applyNumberFormat="1" applyFont="1" applyBorder="1" applyAlignment="1">
      <alignment horizontal="center" vertical="center"/>
    </xf>
    <xf numFmtId="2" fontId="36" fillId="0" borderId="19" xfId="0" applyNumberFormat="1" applyFont="1" applyBorder="1" applyAlignment="1">
      <alignment horizontal="center" vertical="center"/>
    </xf>
    <xf numFmtId="165" fontId="36" fillId="0" borderId="19" xfId="0" applyNumberFormat="1" applyFont="1" applyBorder="1" applyAlignment="1">
      <alignment horizontal="center" vertical="center"/>
    </xf>
    <xf numFmtId="166" fontId="36" fillId="0" borderId="19" xfId="0" applyNumberFormat="1" applyFont="1" applyBorder="1" applyAlignment="1">
      <alignment horizontal="center" vertical="center"/>
    </xf>
    <xf numFmtId="2" fontId="36" fillId="0" borderId="12" xfId="0" quotePrefix="1" applyNumberFormat="1" applyFont="1" applyBorder="1" applyAlignment="1">
      <alignment horizontal="center" vertical="center"/>
    </xf>
    <xf numFmtId="166" fontId="36" fillId="0" borderId="24" xfId="0" quotePrefix="1" applyNumberFormat="1" applyFont="1" applyBorder="1" applyAlignment="1">
      <alignment horizontal="center" vertical="center"/>
    </xf>
    <xf numFmtId="167" fontId="36" fillId="0" borderId="24" xfId="0" applyNumberFormat="1" applyFont="1" applyBorder="1" applyAlignment="1">
      <alignment horizontal="center" vertical="center"/>
    </xf>
    <xf numFmtId="167" fontId="36" fillId="0" borderId="19" xfId="0" quotePrefix="1" applyNumberFormat="1" applyFont="1" applyBorder="1" applyAlignment="1">
      <alignment horizontal="center" vertical="center"/>
    </xf>
    <xf numFmtId="0" fontId="36" fillId="0" borderId="24" xfId="0" quotePrefix="1" applyFont="1" applyBorder="1" applyAlignment="1">
      <alignment horizontal="center" vertical="center"/>
    </xf>
    <xf numFmtId="2" fontId="36" fillId="0" borderId="37" xfId="0" applyNumberFormat="1" applyFont="1" applyBorder="1" applyAlignment="1" applyProtection="1">
      <alignment horizontal="center" vertical="center"/>
      <protection locked="0"/>
    </xf>
    <xf numFmtId="170" fontId="36" fillId="0" borderId="12" xfId="0" applyNumberFormat="1" applyFont="1" applyBorder="1" applyAlignment="1">
      <alignment horizontal="center" vertical="center"/>
    </xf>
    <xf numFmtId="49" fontId="36" fillId="0" borderId="24" xfId="0" quotePrefix="1" applyNumberFormat="1" applyFont="1" applyBorder="1" applyAlignment="1">
      <alignment horizontal="center" vertical="center"/>
    </xf>
    <xf numFmtId="0" fontId="0" fillId="0" borderId="4" xfId="0" applyBorder="1"/>
    <xf numFmtId="0" fontId="39" fillId="0" borderId="1" xfId="0" applyFont="1" applyBorder="1" applyAlignment="1">
      <alignment horizontal="center"/>
    </xf>
    <xf numFmtId="0" fontId="61" fillId="0" borderId="28" xfId="0" applyFont="1" applyBorder="1" applyAlignment="1">
      <alignment horizontal="center"/>
    </xf>
    <xf numFmtId="0" fontId="0" fillId="0" borderId="29" xfId="0" applyBorder="1"/>
    <xf numFmtId="1" fontId="36" fillId="0" borderId="0" xfId="0" applyNumberFormat="1" applyFont="1" applyAlignment="1">
      <alignment horizontal="center" vertical="center"/>
    </xf>
    <xf numFmtId="0" fontId="40" fillId="0" borderId="0" xfId="0" applyFont="1"/>
    <xf numFmtId="49" fontId="40" fillId="0" borderId="0" xfId="0" applyNumberFormat="1" applyFont="1"/>
    <xf numFmtId="0" fontId="39" fillId="0" borderId="0" xfId="0" applyFont="1" applyAlignment="1">
      <alignment horizontal="center" vertical="center"/>
    </xf>
    <xf numFmtId="165" fontId="63" fillId="0" borderId="0" xfId="0" applyNumberFormat="1" applyFont="1" applyAlignment="1">
      <alignment horizontal="centerContinuous" vertical="center"/>
    </xf>
    <xf numFmtId="165" fontId="51" fillId="0" borderId="0" xfId="0" applyNumberFormat="1" applyFont="1"/>
    <xf numFmtId="165" fontId="51" fillId="0" borderId="3" xfId="0" applyNumberFormat="1" applyFont="1" applyBorder="1"/>
    <xf numFmtId="165" fontId="62" fillId="0" borderId="6" xfId="0" applyNumberFormat="1" applyFont="1" applyBorder="1" applyAlignment="1">
      <alignment horizontal="center" vertical="center"/>
    </xf>
    <xf numFmtId="165" fontId="51" fillId="0" borderId="21" xfId="0" applyNumberFormat="1" applyFont="1" applyBorder="1" applyAlignment="1">
      <alignment horizontal="center"/>
    </xf>
    <xf numFmtId="165" fontId="65" fillId="0" borderId="0" xfId="0" applyNumberFormat="1" applyFont="1" applyAlignment="1">
      <alignment horizontal="center"/>
    </xf>
    <xf numFmtId="172" fontId="37" fillId="0" borderId="0" xfId="0" applyNumberFormat="1" applyFont="1" applyAlignment="1">
      <alignment horizontal="centerContinuous" vertical="center"/>
    </xf>
    <xf numFmtId="172" fontId="45" fillId="0" borderId="0" xfId="0" applyNumberFormat="1" applyFont="1"/>
    <xf numFmtId="172" fontId="45" fillId="0" borderId="3" xfId="0" applyNumberFormat="1" applyFont="1" applyBorder="1"/>
    <xf numFmtId="172" fontId="45" fillId="0" borderId="6" xfId="0" applyNumberFormat="1" applyFont="1" applyBorder="1" applyAlignment="1">
      <alignment horizontal="center" vertical="center" wrapText="1"/>
    </xf>
    <xf numFmtId="172" fontId="39" fillId="0" borderId="9" xfId="0" applyNumberFormat="1" applyFont="1" applyBorder="1" applyAlignment="1">
      <alignment horizontal="center" vertical="center"/>
    </xf>
    <xf numFmtId="172" fontId="42" fillId="0" borderId="36" xfId="0" applyNumberFormat="1" applyFont="1" applyBorder="1" applyAlignment="1">
      <alignment horizontal="center" vertical="center" wrapText="1"/>
    </xf>
    <xf numFmtId="172" fontId="42" fillId="0" borderId="40" xfId="0" applyNumberFormat="1" applyFont="1" applyBorder="1" applyAlignment="1">
      <alignment horizontal="center" vertical="center" wrapText="1"/>
    </xf>
    <xf numFmtId="172" fontId="45" fillId="0" borderId="1" xfId="0" applyNumberFormat="1" applyFont="1" applyBorder="1" applyAlignment="1">
      <alignment horizontal="center"/>
    </xf>
    <xf numFmtId="172" fontId="36" fillId="0" borderId="2" xfId="0" applyNumberFormat="1" applyFont="1" applyBorder="1" applyAlignment="1">
      <alignment horizontal="center"/>
    </xf>
    <xf numFmtId="172" fontId="36" fillId="0" borderId="4" xfId="0" applyNumberFormat="1" applyFont="1" applyBorder="1" applyAlignment="1">
      <alignment horizontal="center"/>
    </xf>
    <xf numFmtId="172" fontId="36" fillId="0" borderId="0" xfId="0" applyNumberFormat="1" applyFont="1" applyAlignment="1">
      <alignment horizontal="center"/>
    </xf>
    <xf numFmtId="166" fontId="37" fillId="0" borderId="0" xfId="0" applyNumberFormat="1" applyFont="1" applyAlignment="1">
      <alignment horizontal="center" vertical="center"/>
    </xf>
    <xf numFmtId="166" fontId="45" fillId="0" borderId="0" xfId="0" applyNumberFormat="1" applyFont="1" applyAlignment="1">
      <alignment horizontal="center"/>
    </xf>
    <xf numFmtId="166" fontId="45" fillId="0" borderId="5" xfId="0" applyNumberFormat="1" applyFont="1" applyBorder="1" applyAlignment="1">
      <alignment horizontal="center"/>
    </xf>
    <xf numFmtId="0" fontId="45" fillId="0" borderId="0" xfId="0" applyFont="1" applyAlignment="1">
      <alignment horizontal="center"/>
    </xf>
    <xf numFmtId="165" fontId="37" fillId="0" borderId="0" xfId="0" applyNumberFormat="1" applyFont="1" applyAlignment="1">
      <alignment horizontal="center" vertical="center"/>
    </xf>
    <xf numFmtId="165" fontId="45" fillId="0" borderId="0" xfId="0" applyNumberFormat="1" applyFont="1" applyAlignment="1">
      <alignment horizontal="center"/>
    </xf>
    <xf numFmtId="165" fontId="45" fillId="0" borderId="5" xfId="0" applyNumberFormat="1" applyFont="1" applyBorder="1" applyAlignment="1">
      <alignment horizontal="center"/>
    </xf>
    <xf numFmtId="165" fontId="39" fillId="0" borderId="0" xfId="0" applyNumberFormat="1" applyFont="1" applyAlignment="1">
      <alignment horizontal="center"/>
    </xf>
    <xf numFmtId="0" fontId="42" fillId="0" borderId="22" xfId="0" applyFont="1" applyBorder="1" applyAlignment="1">
      <alignment horizontal="center" vertical="center" wrapText="1"/>
    </xf>
    <xf numFmtId="49" fontId="39" fillId="0" borderId="15" xfId="0" applyNumberFormat="1" applyFont="1" applyBorder="1" applyAlignment="1">
      <alignment horizontal="center" vertical="center" wrapText="1"/>
    </xf>
    <xf numFmtId="0" fontId="39" fillId="0" borderId="15" xfId="0" applyFont="1" applyBorder="1" applyAlignment="1">
      <alignment horizontal="center" vertical="center" wrapText="1"/>
    </xf>
    <xf numFmtId="14" fontId="39" fillId="0" borderId="16" xfId="0" applyNumberFormat="1" applyFont="1" applyBorder="1" applyAlignment="1">
      <alignment horizontal="center" vertical="center" wrapText="1"/>
    </xf>
    <xf numFmtId="15" fontId="42" fillId="0" borderId="45" xfId="0" applyNumberFormat="1" applyFont="1" applyBorder="1" applyAlignment="1">
      <alignment horizontal="center" vertical="center" wrapText="1"/>
    </xf>
    <xf numFmtId="0" fontId="42" fillId="0" borderId="15" xfId="0" applyFont="1" applyBorder="1" applyAlignment="1">
      <alignment horizontal="center" vertical="center" wrapText="1"/>
    </xf>
    <xf numFmtId="0" fontId="42" fillId="0" borderId="16" xfId="0" applyFont="1" applyBorder="1" applyAlignment="1">
      <alignment horizontal="center" vertical="center" wrapText="1"/>
    </xf>
    <xf numFmtId="165" fontId="42" fillId="0" borderId="15" xfId="0" applyNumberFormat="1" applyFont="1" applyBorder="1" applyAlignment="1">
      <alignment horizontal="center" vertical="center"/>
    </xf>
    <xf numFmtId="0" fontId="42" fillId="0" borderId="15" xfId="0" applyFont="1" applyBorder="1" applyAlignment="1">
      <alignment horizontal="center" vertical="center"/>
    </xf>
    <xf numFmtId="0" fontId="42" fillId="0" borderId="15" xfId="0" applyFont="1" applyBorder="1" applyAlignment="1">
      <alignment horizontal="center" wrapText="1"/>
    </xf>
    <xf numFmtId="1" fontId="39" fillId="0" borderId="46" xfId="0" applyNumberFormat="1" applyFont="1" applyBorder="1" applyAlignment="1">
      <alignment horizontal="center"/>
    </xf>
    <xf numFmtId="1" fontId="42" fillId="0" borderId="16" xfId="0" applyNumberFormat="1" applyFont="1" applyBorder="1" applyAlignment="1">
      <alignment horizontal="center"/>
    </xf>
    <xf numFmtId="166" fontId="42" fillId="0" borderId="45" xfId="0" applyNumberFormat="1" applyFont="1" applyBorder="1" applyAlignment="1">
      <alignment horizontal="center" wrapText="1"/>
    </xf>
    <xf numFmtId="165" fontId="42" fillId="0" borderId="15" xfId="0" applyNumberFormat="1" applyFont="1" applyBorder="1" applyAlignment="1">
      <alignment horizontal="center" vertical="center" wrapText="1"/>
    </xf>
    <xf numFmtId="165" fontId="42" fillId="0" borderId="15" xfId="0" applyNumberFormat="1" applyFont="1" applyBorder="1" applyAlignment="1">
      <alignment horizontal="center"/>
    </xf>
    <xf numFmtId="165" fontId="42" fillId="0" borderId="16" xfId="0" applyNumberFormat="1" applyFont="1" applyBorder="1" applyAlignment="1">
      <alignment horizontal="center"/>
    </xf>
    <xf numFmtId="0" fontId="42" fillId="0" borderId="16" xfId="0" applyFont="1" applyBorder="1" applyAlignment="1">
      <alignment horizontal="center"/>
    </xf>
    <xf numFmtId="166" fontId="42" fillId="0" borderId="15" xfId="0" applyNumberFormat="1" applyFont="1" applyBorder="1" applyAlignment="1">
      <alignment horizontal="center" wrapText="1"/>
    </xf>
    <xf numFmtId="0" fontId="42" fillId="0" borderId="45" xfId="0" applyFont="1" applyBorder="1" applyAlignment="1">
      <alignment horizontal="center"/>
    </xf>
    <xf numFmtId="2" fontId="42" fillId="0" borderId="47" xfId="0" applyNumberFormat="1" applyFont="1" applyBorder="1" applyAlignment="1">
      <alignment horizontal="center" vertical="center" wrapText="1"/>
    </xf>
    <xf numFmtId="0" fontId="36" fillId="0" borderId="12" xfId="0" applyFont="1" applyBorder="1" applyAlignment="1">
      <alignment horizontal="center" vertical="center"/>
    </xf>
    <xf numFmtId="0" fontId="0" fillId="0" borderId="0" xfId="0" applyAlignment="1">
      <alignment horizontal="center" vertical="center"/>
    </xf>
    <xf numFmtId="0" fontId="45" fillId="0" borderId="48" xfId="0" applyFont="1" applyBorder="1" applyAlignment="1" applyProtection="1">
      <alignment horizontal="center" vertical="center"/>
      <protection locked="0"/>
    </xf>
    <xf numFmtId="49" fontId="36" fillId="0" borderId="24" xfId="0" applyNumberFormat="1" applyFont="1" applyBorder="1" applyAlignment="1">
      <alignment horizontal="center" vertical="center"/>
    </xf>
    <xf numFmtId="49" fontId="37" fillId="0" borderId="0" xfId="0" applyNumberFormat="1" applyFont="1" applyAlignment="1">
      <alignment horizontal="centerContinuous" vertical="center"/>
    </xf>
    <xf numFmtId="49" fontId="38" fillId="0" borderId="1" xfId="0" applyNumberFormat="1" applyFont="1" applyBorder="1" applyAlignment="1">
      <alignment horizontal="center"/>
    </xf>
    <xf numFmtId="49" fontId="45" fillId="0" borderId="2" xfId="0" applyNumberFormat="1" applyFont="1" applyBorder="1"/>
    <xf numFmtId="49" fontId="42" fillId="0" borderId="15" xfId="0" applyNumberFormat="1" applyFont="1" applyBorder="1" applyAlignment="1">
      <alignment horizontal="center" vertical="center" wrapText="1"/>
    </xf>
    <xf numFmtId="49" fontId="36" fillId="0" borderId="0" xfId="0" applyNumberFormat="1" applyFont="1" applyAlignment="1">
      <alignment horizontal="center"/>
    </xf>
    <xf numFmtId="49" fontId="52" fillId="0" borderId="0" xfId="0" applyNumberFormat="1" applyFont="1"/>
    <xf numFmtId="49" fontId="36" fillId="0" borderId="5" xfId="0" applyNumberFormat="1" applyFont="1" applyBorder="1" applyAlignment="1">
      <alignment horizontal="center"/>
    </xf>
    <xf numFmtId="49" fontId="36" fillId="0" borderId="19" xfId="0" applyNumberFormat="1" applyFont="1" applyBorder="1" applyAlignment="1">
      <alignment horizontal="center" vertical="center"/>
    </xf>
    <xf numFmtId="0" fontId="36" fillId="0" borderId="19" xfId="0" quotePrefix="1" applyFont="1" applyBorder="1" applyAlignment="1">
      <alignment horizontal="center" vertical="center"/>
    </xf>
    <xf numFmtId="166" fontId="39" fillId="0" borderId="18" xfId="0" applyNumberFormat="1" applyFont="1" applyBorder="1" applyAlignment="1">
      <alignment horizontal="left" vertical="center"/>
    </xf>
    <xf numFmtId="173" fontId="39" fillId="0" borderId="19" xfId="0" quotePrefix="1" applyNumberFormat="1" applyFont="1" applyBorder="1" applyAlignment="1">
      <alignment horizontal="center" vertical="center"/>
    </xf>
    <xf numFmtId="172" fontId="39" fillId="0" borderId="12" xfId="0" applyNumberFormat="1" applyFont="1" applyBorder="1" applyAlignment="1">
      <alignment horizontal="center" vertical="center"/>
    </xf>
    <xf numFmtId="165" fontId="65" fillId="0" borderId="12" xfId="0" applyNumberFormat="1" applyFont="1" applyBorder="1" applyAlignment="1">
      <alignment horizontal="center" vertical="center"/>
    </xf>
    <xf numFmtId="166" fontId="36" fillId="0" borderId="49" xfId="0" quotePrefix="1" applyNumberFormat="1" applyFont="1" applyBorder="1" applyAlignment="1">
      <alignment horizontal="center" vertical="center"/>
    </xf>
    <xf numFmtId="165" fontId="36" fillId="0" borderId="49" xfId="0" applyNumberFormat="1" applyFont="1" applyBorder="1" applyAlignment="1">
      <alignment horizontal="center" vertical="center"/>
    </xf>
    <xf numFmtId="2" fontId="36" fillId="0" borderId="49" xfId="0" applyNumberFormat="1" applyFont="1" applyBorder="1" applyAlignment="1">
      <alignment horizontal="center" vertical="center"/>
    </xf>
    <xf numFmtId="2" fontId="36" fillId="0" borderId="37" xfId="0" quotePrefix="1" applyNumberFormat="1" applyFont="1" applyBorder="1" applyAlignment="1">
      <alignment horizontal="center" vertical="center"/>
    </xf>
    <xf numFmtId="0" fontId="36" fillId="0" borderId="49" xfId="0" applyFont="1" applyBorder="1" applyAlignment="1">
      <alignment horizontal="center" vertical="center"/>
    </xf>
    <xf numFmtId="167" fontId="36" fillId="0" borderId="49" xfId="0" applyNumberFormat="1" applyFont="1" applyBorder="1" applyAlignment="1">
      <alignment horizontal="center" vertical="center"/>
    </xf>
    <xf numFmtId="167" fontId="36" fillId="0" borderId="49" xfId="0" quotePrefix="1" applyNumberFormat="1" applyFont="1" applyBorder="1" applyAlignment="1">
      <alignment horizontal="center" vertical="center"/>
    </xf>
    <xf numFmtId="49" fontId="36" fillId="0" borderId="49" xfId="0" quotePrefix="1" applyNumberFormat="1" applyFont="1" applyBorder="1" applyAlignment="1">
      <alignment horizontal="center" vertical="center"/>
    </xf>
    <xf numFmtId="165" fontId="65" fillId="0" borderId="49" xfId="0" applyNumberFormat="1" applyFont="1" applyBorder="1" applyAlignment="1">
      <alignment horizontal="center" vertical="center"/>
    </xf>
    <xf numFmtId="0" fontId="36" fillId="0" borderId="49" xfId="0" quotePrefix="1" applyFont="1" applyBorder="1" applyAlignment="1">
      <alignment horizontal="center" vertical="center"/>
    </xf>
    <xf numFmtId="2" fontId="36" fillId="0" borderId="49" xfId="0" applyNumberFormat="1" applyFont="1" applyBorder="1" applyAlignment="1" applyProtection="1">
      <alignment horizontal="center" vertical="center"/>
      <protection locked="0"/>
    </xf>
    <xf numFmtId="1" fontId="36" fillId="0" borderId="49" xfId="0" quotePrefix="1" applyNumberFormat="1" applyFont="1" applyBorder="1" applyAlignment="1" applyProtection="1">
      <alignment horizontal="center" vertical="center"/>
      <protection locked="0"/>
    </xf>
    <xf numFmtId="166" fontId="36" fillId="0" borderId="24" xfId="0" applyNumberFormat="1" applyFont="1" applyBorder="1" applyAlignment="1" applyProtection="1">
      <alignment horizontal="center" vertical="center" wrapText="1"/>
      <protection locked="0"/>
    </xf>
    <xf numFmtId="0" fontId="38" fillId="0" borderId="1" xfId="0" applyFont="1" applyBorder="1" applyAlignment="1">
      <alignment horizontal="center"/>
    </xf>
    <xf numFmtId="0" fontId="42" fillId="0" borderId="14" xfId="0" applyFont="1" applyBorder="1" applyAlignment="1">
      <alignment horizontal="center" vertical="center" wrapText="1"/>
    </xf>
    <xf numFmtId="1" fontId="36" fillId="0" borderId="0" xfId="0" applyNumberFormat="1" applyFont="1" applyAlignment="1" applyProtection="1">
      <alignment horizontal="center" vertical="center"/>
      <protection locked="0"/>
    </xf>
    <xf numFmtId="0" fontId="36" fillId="0" borderId="17" xfId="0" applyFont="1" applyBorder="1" applyAlignment="1">
      <alignment horizontal="center" vertical="center"/>
    </xf>
    <xf numFmtId="0" fontId="39" fillId="0" borderId="19" xfId="0" applyFont="1" applyBorder="1" applyAlignment="1">
      <alignment horizontal="center" vertical="center"/>
    </xf>
    <xf numFmtId="0" fontId="36" fillId="0" borderId="24" xfId="0" applyFont="1" applyBorder="1" applyAlignment="1" applyProtection="1">
      <alignment horizontal="center" vertical="center" wrapText="1"/>
      <protection locked="0"/>
    </xf>
    <xf numFmtId="166" fontId="36" fillId="0" borderId="24" xfId="0" applyNumberFormat="1" applyFont="1" applyBorder="1" applyAlignment="1">
      <alignment horizontal="center" vertical="center"/>
    </xf>
    <xf numFmtId="49" fontId="36" fillId="0" borderId="12" xfId="0" applyNumberFormat="1" applyFont="1" applyBorder="1" applyAlignment="1">
      <alignment horizontal="center" vertical="center"/>
    </xf>
    <xf numFmtId="167" fontId="36" fillId="0" borderId="19" xfId="0" applyNumberFormat="1" applyFont="1" applyBorder="1" applyAlignment="1">
      <alignment horizontal="center" vertical="center"/>
    </xf>
    <xf numFmtId="0" fontId="36" fillId="0" borderId="24" xfId="0" applyFont="1" applyBorder="1" applyAlignment="1">
      <alignment horizontal="center" vertical="center"/>
    </xf>
    <xf numFmtId="1" fontId="36" fillId="0" borderId="23" xfId="0" applyNumberFormat="1" applyFont="1" applyBorder="1" applyAlignment="1" applyProtection="1">
      <alignment horizontal="center" vertical="center"/>
      <protection locked="0"/>
    </xf>
    <xf numFmtId="0" fontId="45" fillId="0" borderId="0" xfId="0" quotePrefix="1" applyFont="1"/>
    <xf numFmtId="0" fontId="45" fillId="0" borderId="0" xfId="0" applyFont="1" applyAlignment="1" applyProtection="1">
      <alignment horizontal="center" vertical="center"/>
      <protection locked="0"/>
    </xf>
    <xf numFmtId="0" fontId="45" fillId="0" borderId="0" xfId="0" applyFont="1" applyAlignment="1">
      <alignment horizontal="center" vertical="center"/>
    </xf>
    <xf numFmtId="2" fontId="36" fillId="0" borderId="0" xfId="0" applyNumberFormat="1" applyFont="1" applyAlignment="1" applyProtection="1">
      <alignment horizontal="center" vertical="center"/>
      <protection locked="0"/>
    </xf>
    <xf numFmtId="0" fontId="45" fillId="7" borderId="21" xfId="0" applyFont="1" applyFill="1" applyBorder="1" applyAlignment="1">
      <alignment horizontal="center" vertical="center"/>
    </xf>
    <xf numFmtId="170" fontId="45" fillId="8" borderId="0" xfId="0" applyNumberFormat="1" applyFont="1" applyFill="1" applyAlignment="1">
      <alignment horizontal="center" vertical="center"/>
    </xf>
    <xf numFmtId="165" fontId="81" fillId="0" borderId="12" xfId="0" applyNumberFormat="1" applyFont="1" applyBorder="1" applyAlignment="1">
      <alignment horizontal="center" vertical="center"/>
    </xf>
    <xf numFmtId="1" fontId="37" fillId="0" borderId="57" xfId="0" applyNumberFormat="1" applyFont="1" applyBorder="1" applyAlignment="1">
      <alignment vertical="center"/>
    </xf>
    <xf numFmtId="165" fontId="37" fillId="0" borderId="57" xfId="0" applyNumberFormat="1" applyFont="1" applyBorder="1" applyAlignment="1">
      <alignment vertical="center"/>
    </xf>
    <xf numFmtId="0" fontId="39" fillId="0" borderId="58" xfId="0" applyFont="1" applyBorder="1" applyAlignment="1">
      <alignment horizontal="left" vertical="center"/>
    </xf>
    <xf numFmtId="0" fontId="40" fillId="0" borderId="0" xfId="0" applyFont="1" applyAlignment="1">
      <alignment vertical="center"/>
    </xf>
    <xf numFmtId="0" fontId="36" fillId="0" borderId="61" xfId="0" applyFont="1" applyBorder="1"/>
    <xf numFmtId="49" fontId="45" fillId="0" borderId="62" xfId="0" applyNumberFormat="1" applyFont="1" applyBorder="1"/>
    <xf numFmtId="49" fontId="45" fillId="0" borderId="63" xfId="0" applyNumberFormat="1" applyFont="1" applyBorder="1"/>
    <xf numFmtId="49" fontId="40" fillId="0" borderId="63" xfId="0" applyNumberFormat="1" applyFont="1" applyBorder="1"/>
    <xf numFmtId="0" fontId="45" fillId="0" borderId="63" xfId="0" applyFont="1" applyBorder="1"/>
    <xf numFmtId="14" fontId="45" fillId="0" borderId="63" xfId="0" applyNumberFormat="1" applyFont="1" applyBorder="1"/>
    <xf numFmtId="172" fontId="45" fillId="0" borderId="63" xfId="0" applyNumberFormat="1" applyFont="1" applyBorder="1"/>
    <xf numFmtId="0" fontId="45" fillId="0" borderId="64" xfId="0" applyFont="1" applyBorder="1"/>
    <xf numFmtId="14" fontId="36" fillId="0" borderId="63" xfId="0" applyNumberFormat="1" applyFont="1" applyBorder="1" applyAlignment="1">
      <alignment horizontal="center" vertical="center"/>
    </xf>
    <xf numFmtId="0" fontId="45" fillId="0" borderId="63" xfId="0" applyFont="1" applyBorder="1" applyAlignment="1">
      <alignment horizontal="center" vertical="center"/>
    </xf>
    <xf numFmtId="0" fontId="36" fillId="0" borderId="64" xfId="0" applyFont="1" applyBorder="1"/>
    <xf numFmtId="1" fontId="36" fillId="0" borderId="59" xfId="0" applyNumberFormat="1" applyFont="1" applyBorder="1"/>
    <xf numFmtId="165" fontId="51" fillId="0" borderId="5" xfId="0" applyNumberFormat="1" applyFont="1" applyBorder="1"/>
    <xf numFmtId="2" fontId="45" fillId="0" borderId="5" xfId="0" applyNumberFormat="1" applyFont="1" applyBorder="1"/>
    <xf numFmtId="49" fontId="84" fillId="0" borderId="13" xfId="0" applyNumberFormat="1" applyFont="1" applyBorder="1" applyAlignment="1">
      <alignment horizontal="center" vertical="center" wrapText="1"/>
    </xf>
    <xf numFmtId="1" fontId="36" fillId="0" borderId="49" xfId="0" applyNumberFormat="1" applyFont="1" applyBorder="1" applyAlignment="1" applyProtection="1">
      <alignment horizontal="center" vertical="center"/>
      <protection locked="0"/>
    </xf>
    <xf numFmtId="166" fontId="0" fillId="0" borderId="21" xfId="0" applyNumberFormat="1" applyBorder="1" applyAlignment="1">
      <alignment horizontal="center"/>
    </xf>
    <xf numFmtId="0" fontId="36" fillId="0" borderId="2" xfId="0" applyFont="1" applyBorder="1" applyAlignment="1">
      <alignment horizontal="center" vertical="center"/>
    </xf>
    <xf numFmtId="0" fontId="36" fillId="0" borderId="0" xfId="0" applyFont="1" applyAlignment="1">
      <alignment horizontal="center" vertical="center"/>
    </xf>
    <xf numFmtId="170" fontId="36" fillId="0" borderId="0" xfId="0" applyNumberFormat="1" applyFont="1" applyAlignment="1">
      <alignment horizontal="center" vertical="center"/>
    </xf>
    <xf numFmtId="169" fontId="36" fillId="0" borderId="0" xfId="0" applyNumberFormat="1" applyFont="1" applyAlignment="1">
      <alignment horizontal="center" vertical="center"/>
    </xf>
    <xf numFmtId="172" fontId="36" fillId="0" borderId="0" xfId="0" applyNumberFormat="1" applyFont="1" applyAlignment="1">
      <alignment horizontal="center" vertical="center"/>
    </xf>
    <xf numFmtId="49" fontId="36" fillId="0" borderId="0" xfId="0" applyNumberFormat="1" applyFont="1" applyAlignment="1">
      <alignment horizontal="center" vertical="center"/>
    </xf>
    <xf numFmtId="165" fontId="36" fillId="0" borderId="5" xfId="0" applyNumberFormat="1" applyFont="1" applyBorder="1" applyAlignment="1">
      <alignment horizontal="center" vertical="center"/>
    </xf>
    <xf numFmtId="166" fontId="36" fillId="0" borderId="5" xfId="0" applyNumberFormat="1" applyFont="1" applyBorder="1" applyAlignment="1">
      <alignment horizontal="center" vertical="center"/>
    </xf>
    <xf numFmtId="166" fontId="36" fillId="0" borderId="0" xfId="0" applyNumberFormat="1" applyFont="1" applyAlignment="1">
      <alignment horizontal="center" vertical="center"/>
    </xf>
    <xf numFmtId="167" fontId="36" fillId="0" borderId="0" xfId="0" applyNumberFormat="1" applyFont="1" applyAlignment="1">
      <alignment horizontal="center" vertical="center"/>
    </xf>
    <xf numFmtId="0" fontId="88" fillId="0" borderId="0" xfId="0" applyFont="1" applyAlignment="1">
      <alignment vertical="center"/>
    </xf>
    <xf numFmtId="0" fontId="89" fillId="0" borderId="0" xfId="0" applyFont="1" applyAlignment="1">
      <alignment vertical="center"/>
    </xf>
    <xf numFmtId="0" fontId="88" fillId="0" borderId="0" xfId="0" applyFont="1" applyAlignment="1">
      <alignment horizontal="center" vertical="center"/>
    </xf>
    <xf numFmtId="165" fontId="95" fillId="9" borderId="79" xfId="0" applyNumberFormat="1" applyFont="1" applyFill="1" applyBorder="1" applyAlignment="1">
      <alignment horizontal="center" vertical="center" wrapText="1" readingOrder="1"/>
    </xf>
    <xf numFmtId="0" fontId="96" fillId="0" borderId="0" xfId="0" applyFont="1"/>
    <xf numFmtId="1" fontId="95" fillId="9" borderId="79" xfId="0" applyNumberFormat="1" applyFont="1" applyFill="1" applyBorder="1" applyAlignment="1">
      <alignment horizontal="center" vertical="center" wrapText="1" readingOrder="1"/>
    </xf>
    <xf numFmtId="0" fontId="97" fillId="9" borderId="79" xfId="0" applyFont="1" applyFill="1" applyBorder="1" applyAlignment="1">
      <alignment horizontal="center" vertical="center" wrapText="1" readingOrder="1"/>
    </xf>
    <xf numFmtId="0" fontId="98" fillId="9" borderId="79" xfId="0" applyFont="1" applyFill="1" applyBorder="1" applyAlignment="1">
      <alignment horizontal="center" vertical="center" wrapText="1" readingOrder="1"/>
    </xf>
    <xf numFmtId="174" fontId="98" fillId="9" borderId="79" xfId="0" applyNumberFormat="1" applyFont="1" applyFill="1" applyBorder="1" applyAlignment="1">
      <alignment horizontal="center" wrapText="1" readingOrder="1"/>
    </xf>
    <xf numFmtId="14" fontId="96" fillId="0" borderId="0" xfId="0" applyNumberFormat="1" applyFont="1"/>
    <xf numFmtId="49" fontId="96" fillId="0" borderId="0" xfId="0" applyNumberFormat="1" applyFont="1"/>
    <xf numFmtId="165" fontId="96" fillId="0" borderId="0" xfId="0" applyNumberFormat="1" applyFont="1"/>
    <xf numFmtId="170" fontId="45" fillId="0" borderId="0" xfId="0" applyNumberFormat="1" applyFont="1"/>
    <xf numFmtId="1" fontId="100" fillId="14" borderId="21" xfId="0" applyNumberFormat="1" applyFont="1" applyFill="1" applyBorder="1" applyAlignment="1">
      <alignment horizontal="center" vertical="center"/>
    </xf>
    <xf numFmtId="1" fontId="100" fillId="15" borderId="21" xfId="0" applyNumberFormat="1" applyFont="1" applyFill="1" applyBorder="1" applyAlignment="1">
      <alignment horizontal="center" vertical="center"/>
    </xf>
    <xf numFmtId="174" fontId="102" fillId="16" borderId="21" xfId="12" applyNumberFormat="1" applyFont="1" applyFill="1" applyBorder="1" applyAlignment="1">
      <alignment horizontal="center" vertical="center"/>
    </xf>
    <xf numFmtId="1" fontId="100" fillId="14" borderId="21" xfId="63" applyNumberFormat="1" applyFont="1" applyFill="1" applyBorder="1" applyAlignment="1">
      <alignment horizontal="center" vertical="center"/>
    </xf>
    <xf numFmtId="1" fontId="100" fillId="15" borderId="21" xfId="63" applyNumberFormat="1" applyFont="1" applyFill="1" applyBorder="1" applyAlignment="1">
      <alignment horizontal="center" vertical="center"/>
    </xf>
    <xf numFmtId="14" fontId="103" fillId="0" borderId="28" xfId="0" applyNumberFormat="1" applyFont="1" applyBorder="1"/>
    <xf numFmtId="14" fontId="103" fillId="0" borderId="1" xfId="0" applyNumberFormat="1" applyFont="1" applyBorder="1"/>
    <xf numFmtId="1" fontId="103" fillId="0" borderId="28" xfId="0" applyNumberFormat="1" applyFont="1" applyBorder="1"/>
    <xf numFmtId="49" fontId="104" fillId="0" borderId="0" xfId="0" applyNumberFormat="1" applyFont="1"/>
    <xf numFmtId="0" fontId="105" fillId="0" borderId="80" xfId="0" applyFont="1" applyBorder="1"/>
    <xf numFmtId="0" fontId="105" fillId="9" borderId="2" xfId="0" applyFont="1" applyFill="1" applyBorder="1"/>
    <xf numFmtId="0" fontId="103" fillId="0" borderId="80" xfId="0" quotePrefix="1" applyFont="1" applyBorder="1"/>
    <xf numFmtId="0" fontId="105" fillId="0" borderId="0" xfId="0" applyFont="1"/>
    <xf numFmtId="14" fontId="105" fillId="0" borderId="80" xfId="0" applyNumberFormat="1" applyFont="1" applyBorder="1"/>
    <xf numFmtId="14" fontId="105" fillId="9" borderId="2" xfId="0" applyNumberFormat="1" applyFont="1" applyFill="1" applyBorder="1"/>
    <xf numFmtId="14" fontId="105" fillId="9" borderId="80" xfId="0" applyNumberFormat="1" applyFont="1" applyFill="1" applyBorder="1"/>
    <xf numFmtId="0" fontId="103" fillId="0" borderId="80" xfId="0" applyFont="1" applyBorder="1"/>
    <xf numFmtId="0" fontId="105" fillId="0" borderId="29" xfId="0" applyFont="1" applyBorder="1"/>
    <xf numFmtId="0" fontId="105" fillId="9" borderId="4" xfId="0" applyFont="1" applyFill="1" applyBorder="1"/>
    <xf numFmtId="0" fontId="105" fillId="9" borderId="29" xfId="0" applyFont="1" applyFill="1" applyBorder="1"/>
    <xf numFmtId="0" fontId="103" fillId="0" borderId="29" xfId="0" quotePrefix="1" applyFont="1" applyBorder="1"/>
    <xf numFmtId="0" fontId="104" fillId="0" borderId="0" xfId="0" applyFont="1"/>
    <xf numFmtId="165" fontId="39" fillId="0" borderId="6" xfId="0" applyNumberFormat="1" applyFont="1" applyBorder="1" applyAlignment="1">
      <alignment horizontal="right"/>
    </xf>
    <xf numFmtId="165" fontId="39" fillId="0" borderId="3" xfId="0" applyNumberFormat="1" applyFont="1" applyBorder="1" applyAlignment="1">
      <alignment horizontal="right"/>
    </xf>
    <xf numFmtId="1" fontId="36" fillId="0" borderId="0" xfId="0" applyNumberFormat="1" applyFont="1" applyAlignment="1">
      <alignment horizontal="center"/>
    </xf>
    <xf numFmtId="0" fontId="45" fillId="0" borderId="0" xfId="0" applyFont="1" applyAlignment="1">
      <alignment horizontal="center" vertical="center" wrapText="1"/>
    </xf>
    <xf numFmtId="1" fontId="36" fillId="0" borderId="83" xfId="0" applyNumberFormat="1" applyFont="1" applyBorder="1" applyAlignment="1">
      <alignment horizontal="center" vertical="center"/>
    </xf>
    <xf numFmtId="0" fontId="61" fillId="12" borderId="0" xfId="0" applyFont="1" applyFill="1" applyAlignment="1">
      <alignment horizontal="center"/>
    </xf>
    <xf numFmtId="0" fontId="38" fillId="0" borderId="81" xfId="0" applyFont="1" applyBorder="1" applyAlignment="1">
      <alignment horizontal="center"/>
    </xf>
    <xf numFmtId="172" fontId="38" fillId="0" borderId="82" xfId="0" applyNumberFormat="1" applyFont="1" applyBorder="1" applyAlignment="1">
      <alignment horizontal="center"/>
    </xf>
    <xf numFmtId="165" fontId="38" fillId="0" borderId="81" xfId="0" applyNumberFormat="1" applyFont="1" applyBorder="1" applyAlignment="1">
      <alignment horizontal="center"/>
    </xf>
    <xf numFmtId="0" fontId="47" fillId="0" borderId="81" xfId="0" applyFont="1" applyBorder="1" applyAlignment="1">
      <alignment horizontal="center"/>
    </xf>
    <xf numFmtId="1" fontId="47" fillId="0" borderId="82" xfId="0" applyNumberFormat="1" applyFont="1" applyBorder="1" applyAlignment="1">
      <alignment horizontal="center"/>
    </xf>
    <xf numFmtId="1" fontId="38" fillId="0" borderId="81" xfId="0" applyNumberFormat="1" applyFont="1" applyBorder="1" applyAlignment="1">
      <alignment horizontal="center"/>
    </xf>
    <xf numFmtId="166" fontId="38" fillId="0" borderId="81" xfId="0" applyNumberFormat="1" applyFont="1" applyBorder="1" applyAlignment="1">
      <alignment horizontal="center"/>
    </xf>
    <xf numFmtId="0" fontId="38" fillId="0" borderId="82" xfId="0" applyFont="1" applyBorder="1" applyAlignment="1">
      <alignment horizontal="center"/>
    </xf>
    <xf numFmtId="165" fontId="64" fillId="0" borderId="82" xfId="0" applyNumberFormat="1" applyFont="1" applyBorder="1" applyAlignment="1">
      <alignment horizontal="center"/>
    </xf>
    <xf numFmtId="49" fontId="45" fillId="0" borderId="81" xfId="0" applyNumberFormat="1" applyFont="1" applyBorder="1" applyAlignment="1">
      <alignment horizontal="center"/>
    </xf>
    <xf numFmtId="1" fontId="39" fillId="0" borderId="82" xfId="0" applyNumberFormat="1" applyFont="1" applyBorder="1" applyAlignment="1">
      <alignment horizontal="right"/>
    </xf>
    <xf numFmtId="0" fontId="36" fillId="0" borderId="81" xfId="0" applyFont="1" applyBorder="1"/>
    <xf numFmtId="1" fontId="45" fillId="0" borderId="81" xfId="0" applyNumberFormat="1" applyFont="1" applyBorder="1"/>
    <xf numFmtId="166" fontId="45" fillId="0" borderId="81" xfId="0" applyNumberFormat="1" applyFont="1" applyBorder="1"/>
    <xf numFmtId="165" fontId="45" fillId="0" borderId="81" xfId="0" applyNumberFormat="1" applyFont="1" applyBorder="1"/>
    <xf numFmtId="166" fontId="45" fillId="0" borderId="81" xfId="0" applyNumberFormat="1" applyFont="1" applyBorder="1" applyAlignment="1">
      <alignment horizontal="center"/>
    </xf>
    <xf numFmtId="165" fontId="45" fillId="0" borderId="81" xfId="0" applyNumberFormat="1" applyFont="1" applyBorder="1" applyAlignment="1">
      <alignment horizontal="center"/>
    </xf>
    <xf numFmtId="2" fontId="36" fillId="0" borderId="81" xfId="0" applyNumberFormat="1" applyFont="1" applyBorder="1" applyAlignment="1">
      <alignment horizontal="center" vertical="center"/>
    </xf>
    <xf numFmtId="165" fontId="39" fillId="0" borderId="82" xfId="0" applyNumberFormat="1" applyFont="1" applyBorder="1" applyAlignment="1">
      <alignment horizontal="right"/>
    </xf>
    <xf numFmtId="2" fontId="45" fillId="0" borderId="82" xfId="0" applyNumberFormat="1" applyFont="1" applyBorder="1" applyAlignment="1">
      <alignment horizontal="center"/>
    </xf>
    <xf numFmtId="49" fontId="45" fillId="0" borderId="81" xfId="0" applyNumberFormat="1" applyFont="1" applyBorder="1"/>
    <xf numFmtId="49" fontId="40" fillId="0" borderId="81" xfId="0" applyNumberFormat="1" applyFont="1" applyBorder="1"/>
    <xf numFmtId="0" fontId="45" fillId="0" borderId="81" xfId="0" applyFont="1" applyBorder="1"/>
    <xf numFmtId="14" fontId="45" fillId="0" borderId="81" xfId="0" applyNumberFormat="1" applyFont="1" applyBorder="1"/>
    <xf numFmtId="172" fontId="45" fillId="0" borderId="81" xfId="0" applyNumberFormat="1" applyFont="1" applyBorder="1"/>
    <xf numFmtId="1" fontId="36" fillId="0" borderId="81" xfId="0" applyNumberFormat="1" applyFont="1" applyBorder="1"/>
    <xf numFmtId="165" fontId="51" fillId="0" borderId="81" xfId="0" applyNumberFormat="1" applyFont="1" applyBorder="1"/>
    <xf numFmtId="2" fontId="45" fillId="0" borderId="81" xfId="0" applyNumberFormat="1" applyFont="1" applyBorder="1"/>
    <xf numFmtId="14" fontId="38" fillId="0" borderId="81" xfId="0" applyNumberFormat="1" applyFont="1" applyBorder="1" applyAlignment="1">
      <alignment horizontal="center"/>
    </xf>
    <xf numFmtId="0" fontId="51" fillId="0" borderId="0" xfId="0" applyFont="1" applyAlignment="1">
      <alignment horizontal="center"/>
    </xf>
    <xf numFmtId="0" fontId="42" fillId="0" borderId="85" xfId="0" applyFont="1" applyBorder="1" applyAlignment="1">
      <alignment horizontal="center" vertical="center"/>
    </xf>
    <xf numFmtId="14" fontId="36" fillId="0" borderId="17" xfId="0" quotePrefix="1" applyNumberFormat="1" applyFont="1" applyBorder="1" applyAlignment="1" applyProtection="1">
      <alignment horizontal="center" vertical="center"/>
      <protection locked="0"/>
    </xf>
    <xf numFmtId="173" fontId="39" fillId="0" borderId="19" xfId="0" quotePrefix="1" applyNumberFormat="1" applyFont="1" applyBorder="1" applyAlignment="1" applyProtection="1">
      <alignment horizontal="center" vertical="center"/>
      <protection locked="0"/>
    </xf>
    <xf numFmtId="0" fontId="36" fillId="0" borderId="19" xfId="0" applyFont="1" applyBorder="1" applyAlignment="1" applyProtection="1">
      <alignment horizontal="center" vertical="center"/>
      <protection locked="0"/>
    </xf>
    <xf numFmtId="0" fontId="36" fillId="0" borderId="19" xfId="0" quotePrefix="1" applyFont="1" applyBorder="1" applyAlignment="1" applyProtection="1">
      <alignment horizontal="center" vertical="center"/>
      <protection locked="0"/>
    </xf>
    <xf numFmtId="170" fontId="36" fillId="0" borderId="12" xfId="0" applyNumberFormat="1" applyFont="1" applyBorder="1" applyAlignment="1" applyProtection="1">
      <alignment horizontal="center" vertical="center"/>
      <protection locked="0"/>
    </xf>
    <xf numFmtId="169" fontId="36" fillId="0" borderId="24" xfId="0" applyNumberFormat="1" applyFont="1" applyBorder="1" applyAlignment="1" applyProtection="1">
      <alignment horizontal="center" vertical="center"/>
      <protection locked="0"/>
    </xf>
    <xf numFmtId="169" fontId="36" fillId="0" borderId="19" xfId="0" applyNumberFormat="1" applyFont="1" applyBorder="1" applyAlignment="1" applyProtection="1">
      <alignment horizontal="center" vertical="center"/>
      <protection locked="0"/>
    </xf>
    <xf numFmtId="2" fontId="36" fillId="0" borderId="12" xfId="0" applyNumberFormat="1" applyFont="1" applyBorder="1" applyAlignment="1" applyProtection="1">
      <alignment horizontal="center" vertical="center"/>
      <protection locked="0"/>
    </xf>
    <xf numFmtId="1" fontId="36" fillId="0" borderId="24" xfId="0" applyNumberFormat="1" applyFont="1" applyBorder="1" applyAlignment="1" applyProtection="1">
      <alignment horizontal="center" vertical="center"/>
      <protection locked="0"/>
    </xf>
    <xf numFmtId="1" fontId="36" fillId="0" borderId="19" xfId="0" applyNumberFormat="1" applyFont="1" applyBorder="1" applyAlignment="1" applyProtection="1">
      <alignment horizontal="center" vertical="center"/>
      <protection locked="0"/>
    </xf>
    <xf numFmtId="172" fontId="39" fillId="0" borderId="12" xfId="0" applyNumberFormat="1" applyFont="1" applyBorder="1" applyAlignment="1" applyProtection="1">
      <alignment horizontal="center" vertical="center"/>
      <protection locked="0"/>
    </xf>
    <xf numFmtId="49" fontId="36" fillId="0" borderId="24" xfId="0" applyNumberFormat="1" applyFont="1" applyBorder="1" applyAlignment="1" applyProtection="1">
      <alignment horizontal="center" vertical="center"/>
      <protection locked="0"/>
    </xf>
    <xf numFmtId="2" fontId="36" fillId="0" borderId="19" xfId="0" applyNumberFormat="1" applyFont="1" applyBorder="1" applyAlignment="1" applyProtection="1">
      <alignment horizontal="center" vertical="center"/>
      <protection locked="0"/>
    </xf>
    <xf numFmtId="165" fontId="36" fillId="0" borderId="19" xfId="0" applyNumberFormat="1" applyFont="1" applyBorder="1" applyAlignment="1" applyProtection="1">
      <alignment horizontal="center" vertical="center"/>
      <protection locked="0"/>
    </xf>
    <xf numFmtId="166" fontId="36" fillId="0" borderId="19" xfId="0" applyNumberFormat="1" applyFont="1" applyBorder="1" applyAlignment="1" applyProtection="1">
      <alignment horizontal="center" vertical="center"/>
      <protection locked="0"/>
    </xf>
    <xf numFmtId="49" fontId="36" fillId="0" borderId="19" xfId="0" applyNumberFormat="1" applyFont="1" applyBorder="1" applyAlignment="1" applyProtection="1">
      <alignment horizontal="center" vertical="center"/>
      <protection locked="0"/>
    </xf>
    <xf numFmtId="1" fontId="36" fillId="0" borderId="12" xfId="0" applyNumberFormat="1" applyFont="1" applyBorder="1" applyAlignment="1" applyProtection="1">
      <alignment horizontal="center" vertical="center"/>
      <protection locked="0"/>
    </xf>
    <xf numFmtId="2" fontId="36" fillId="0" borderId="37" xfId="0" quotePrefix="1" applyNumberFormat="1" applyFont="1" applyBorder="1" applyAlignment="1" applyProtection="1">
      <alignment horizontal="center" vertical="center"/>
      <protection locked="0"/>
    </xf>
    <xf numFmtId="166" fontId="36" fillId="0" borderId="49" xfId="0" quotePrefix="1" applyNumberFormat="1" applyFont="1" applyBorder="1" applyAlignment="1" applyProtection="1">
      <alignment horizontal="center" vertical="center"/>
      <protection locked="0"/>
    </xf>
    <xf numFmtId="165" fontId="36" fillId="0" borderId="49" xfId="0" applyNumberFormat="1" applyFont="1" applyBorder="1" applyAlignment="1" applyProtection="1">
      <alignment horizontal="center" vertical="center"/>
      <protection locked="0"/>
    </xf>
    <xf numFmtId="0" fontId="36" fillId="0" borderId="49" xfId="0" applyFont="1" applyBorder="1" applyAlignment="1" applyProtection="1">
      <alignment horizontal="center" vertical="center"/>
      <protection locked="0"/>
    </xf>
    <xf numFmtId="167" fontId="36" fillId="0" borderId="49" xfId="0" applyNumberFormat="1" applyFont="1" applyBorder="1" applyAlignment="1" applyProtection="1">
      <alignment horizontal="center" vertical="center"/>
      <protection locked="0"/>
    </xf>
    <xf numFmtId="167" fontId="36" fillId="0" borderId="49" xfId="0" quotePrefix="1" applyNumberFormat="1" applyFont="1" applyBorder="1" applyAlignment="1" applyProtection="1">
      <alignment horizontal="center" vertical="center"/>
      <protection locked="0"/>
    </xf>
    <xf numFmtId="49" fontId="36" fillId="0" borderId="49" xfId="0" quotePrefix="1" applyNumberFormat="1" applyFont="1" applyBorder="1" applyAlignment="1" applyProtection="1">
      <alignment horizontal="center" vertical="center"/>
      <protection locked="0"/>
    </xf>
    <xf numFmtId="165" fontId="65" fillId="0" borderId="49" xfId="0" applyNumberFormat="1" applyFont="1" applyBorder="1" applyAlignment="1" applyProtection="1">
      <alignment horizontal="center" vertical="center"/>
      <protection locked="0"/>
    </xf>
    <xf numFmtId="0" fontId="36" fillId="0" borderId="49" xfId="0" quotePrefix="1" applyFont="1" applyBorder="1" applyAlignment="1" applyProtection="1">
      <alignment horizontal="center" vertical="center"/>
      <protection locked="0"/>
    </xf>
    <xf numFmtId="0" fontId="36" fillId="0" borderId="17" xfId="0" quotePrefix="1" applyFont="1" applyBorder="1" applyAlignment="1" applyProtection="1">
      <alignment horizontal="center" vertical="center"/>
      <protection locked="0"/>
    </xf>
    <xf numFmtId="0" fontId="87" fillId="0" borderId="17" xfId="0" quotePrefix="1" applyFont="1" applyBorder="1" applyAlignment="1" applyProtection="1">
      <alignment horizontal="center" vertical="center"/>
      <protection locked="0"/>
    </xf>
    <xf numFmtId="166" fontId="36" fillId="0" borderId="49" xfId="0" applyNumberFormat="1" applyFont="1" applyBorder="1" applyAlignment="1" applyProtection="1">
      <alignment horizontal="center" vertical="center"/>
      <protection locked="0"/>
    </xf>
    <xf numFmtId="49" fontId="36" fillId="0" borderId="49" xfId="0" applyNumberFormat="1" applyFont="1" applyBorder="1" applyAlignment="1" applyProtection="1">
      <alignment horizontal="center" vertical="center"/>
      <protection locked="0"/>
    </xf>
    <xf numFmtId="173" fontId="36" fillId="0" borderId="19" xfId="0" applyNumberFormat="1" applyFont="1" applyBorder="1" applyAlignment="1" applyProtection="1">
      <alignment horizontal="center" vertical="center"/>
      <protection locked="0"/>
    </xf>
    <xf numFmtId="1" fontId="36" fillId="0" borderId="19" xfId="0" quotePrefix="1" applyNumberFormat="1" applyFont="1" applyBorder="1" applyAlignment="1" applyProtection="1">
      <alignment horizontal="center" vertical="center"/>
      <protection locked="0"/>
    </xf>
    <xf numFmtId="172" fontId="36" fillId="0" borderId="12" xfId="0" applyNumberFormat="1" applyFont="1" applyBorder="1" applyAlignment="1" applyProtection="1">
      <alignment horizontal="center" vertical="center"/>
      <protection locked="0"/>
    </xf>
    <xf numFmtId="166" fontId="87" fillId="0" borderId="49" xfId="0" applyNumberFormat="1" applyFont="1" applyBorder="1" applyAlignment="1" applyProtection="1">
      <alignment horizontal="center" vertical="center"/>
      <protection locked="0"/>
    </xf>
    <xf numFmtId="173" fontId="39" fillId="0" borderId="19" xfId="0" applyNumberFormat="1" applyFont="1" applyBorder="1" applyAlignment="1" applyProtection="1">
      <alignment horizontal="center" vertical="center"/>
      <protection locked="0"/>
    </xf>
    <xf numFmtId="0" fontId="106" fillId="0" borderId="19" xfId="0" applyFont="1" applyBorder="1" applyAlignment="1" applyProtection="1">
      <alignment horizontal="center" vertical="center"/>
      <protection locked="0"/>
    </xf>
    <xf numFmtId="170" fontId="44" fillId="0" borderId="12" xfId="0" applyNumberFormat="1" applyFont="1" applyBorder="1" applyAlignment="1" applyProtection="1">
      <alignment horizontal="center" vertical="center"/>
      <protection locked="0"/>
    </xf>
    <xf numFmtId="14" fontId="0" fillId="0" borderId="0" xfId="0" applyNumberFormat="1"/>
    <xf numFmtId="2" fontId="0" fillId="0" borderId="0" xfId="0" applyNumberFormat="1"/>
    <xf numFmtId="0" fontId="117" fillId="17" borderId="81" xfId="63" applyFont="1" applyFill="1" applyBorder="1" applyAlignment="1">
      <alignment horizontal="center" vertical="center" wrapText="1"/>
    </xf>
    <xf numFmtId="0" fontId="45" fillId="9" borderId="81" xfId="63" applyFont="1" applyFill="1" applyBorder="1"/>
    <xf numFmtId="0" fontId="45" fillId="9" borderId="3" xfId="63" applyFont="1" applyFill="1" applyBorder="1"/>
    <xf numFmtId="0" fontId="45" fillId="18" borderId="0" xfId="63" applyFont="1" applyFill="1"/>
    <xf numFmtId="0" fontId="45" fillId="0" borderId="0" xfId="63" applyFont="1"/>
    <xf numFmtId="0" fontId="111" fillId="0" borderId="0" xfId="144" applyFont="1"/>
    <xf numFmtId="0" fontId="117" fillId="17" borderId="0" xfId="63" applyFont="1" applyFill="1" applyAlignment="1">
      <alignment horizontal="center" vertical="center" wrapText="1"/>
    </xf>
    <xf numFmtId="0" fontId="45" fillId="9" borderId="0" xfId="63" applyFont="1" applyFill="1"/>
    <xf numFmtId="169" fontId="111" fillId="0" borderId="0" xfId="144" applyNumberFormat="1" applyFont="1"/>
    <xf numFmtId="2" fontId="111" fillId="0" borderId="0" xfId="144" applyNumberFormat="1" applyFont="1"/>
    <xf numFmtId="0" fontId="111" fillId="0" borderId="0" xfId="144" applyFont="1" applyAlignment="1">
      <alignment horizontal="right"/>
    </xf>
    <xf numFmtId="176" fontId="111" fillId="0" borderId="0" xfId="144" applyNumberFormat="1" applyFont="1"/>
    <xf numFmtId="0" fontId="40" fillId="17" borderId="0" xfId="63" applyFont="1" applyFill="1"/>
    <xf numFmtId="0" fontId="39" fillId="9" borderId="3" xfId="63" applyFont="1" applyFill="1" applyBorder="1"/>
    <xf numFmtId="0" fontId="39" fillId="9" borderId="3" xfId="63" applyFont="1" applyFill="1" applyBorder="1" applyAlignment="1">
      <alignment horizontal="center"/>
    </xf>
    <xf numFmtId="0" fontId="45" fillId="17" borderId="0" xfId="63" applyFont="1" applyFill="1"/>
    <xf numFmtId="0" fontId="45" fillId="9" borderId="3" xfId="63" applyFont="1" applyFill="1" applyBorder="1" applyProtection="1">
      <protection locked="0"/>
    </xf>
    <xf numFmtId="0" fontId="111" fillId="0" borderId="0" xfId="144" applyFont="1" applyAlignment="1">
      <alignment horizontal="center" vertical="center"/>
    </xf>
    <xf numFmtId="165" fontId="45" fillId="17" borderId="0" xfId="63" applyNumberFormat="1" applyFont="1" applyFill="1"/>
    <xf numFmtId="0" fontId="49" fillId="0" borderId="0" xfId="0" applyFont="1"/>
    <xf numFmtId="0" fontId="36" fillId="17" borderId="0" xfId="63" applyFont="1" applyFill="1" applyAlignment="1" applyProtection="1">
      <alignment horizontal="center"/>
      <protection locked="0"/>
    </xf>
    <xf numFmtId="0" fontId="45" fillId="9" borderId="0" xfId="63" applyFont="1" applyFill="1" applyAlignment="1">
      <alignment vertical="center" wrapText="1"/>
    </xf>
    <xf numFmtId="0" fontId="45" fillId="9" borderId="3" xfId="63" applyFont="1" applyFill="1" applyBorder="1" applyAlignment="1">
      <alignment vertical="center" wrapText="1"/>
    </xf>
    <xf numFmtId="175" fontId="44" fillId="18" borderId="0" xfId="63" quotePrefix="1" applyNumberFormat="1" applyFont="1" applyFill="1" applyAlignment="1">
      <alignment vertical="center"/>
    </xf>
    <xf numFmtId="0" fontId="45" fillId="9" borderId="2" xfId="63" applyFont="1" applyFill="1" applyBorder="1" applyProtection="1">
      <protection locked="0"/>
    </xf>
    <xf numFmtId="0" fontId="45" fillId="9" borderId="5" xfId="63" applyFont="1" applyFill="1" applyBorder="1"/>
    <xf numFmtId="0" fontId="119" fillId="0" borderId="0" xfId="63" applyFont="1" applyAlignment="1">
      <alignment vertical="center"/>
    </xf>
    <xf numFmtId="0" fontId="36" fillId="0" borderId="0" xfId="63" applyFont="1" applyAlignment="1">
      <alignment vertical="center"/>
    </xf>
    <xf numFmtId="0" fontId="119" fillId="0" borderId="0" xfId="63" applyFont="1" applyAlignment="1">
      <alignment horizontal="center" vertical="center"/>
    </xf>
    <xf numFmtId="0" fontId="45" fillId="9" borderId="0" xfId="63" applyFont="1" applyFill="1" applyAlignment="1">
      <alignment vertical="top"/>
    </xf>
    <xf numFmtId="0" fontId="49" fillId="0" borderId="0" xfId="63" applyFont="1"/>
    <xf numFmtId="0" fontId="45" fillId="0" borderId="0" xfId="63" applyFont="1" applyAlignment="1">
      <alignment vertical="center"/>
    </xf>
    <xf numFmtId="0" fontId="114" fillId="9" borderId="3" xfId="63" applyFont="1" applyFill="1" applyBorder="1" applyAlignment="1">
      <alignment horizontal="center"/>
    </xf>
    <xf numFmtId="0" fontId="114" fillId="18" borderId="0" xfId="63" applyFont="1" applyFill="1" applyAlignment="1">
      <alignment horizontal="center"/>
    </xf>
    <xf numFmtId="0" fontId="122" fillId="18" borderId="0" xfId="63" applyFont="1" applyFill="1" applyAlignment="1">
      <alignment horizontal="center" vertical="center"/>
    </xf>
    <xf numFmtId="0" fontId="45" fillId="9" borderId="4" xfId="63" applyFont="1" applyFill="1" applyBorder="1"/>
    <xf numFmtId="0" fontId="36" fillId="9" borderId="5" xfId="63" applyFont="1" applyFill="1" applyBorder="1"/>
    <xf numFmtId="0" fontId="36" fillId="9" borderId="0" xfId="63" applyFont="1" applyFill="1"/>
    <xf numFmtId="0" fontId="45" fillId="18" borderId="0" xfId="63" applyFont="1" applyFill="1" applyAlignment="1">
      <alignment vertical="center"/>
    </xf>
    <xf numFmtId="0" fontId="40" fillId="9" borderId="0" xfId="63" applyFont="1" applyFill="1" applyAlignment="1">
      <alignment vertical="center" wrapText="1"/>
    </xf>
    <xf numFmtId="0" fontId="123" fillId="9" borderId="0" xfId="63" applyFont="1" applyFill="1" applyAlignment="1">
      <alignment vertical="center"/>
    </xf>
    <xf numFmtId="0" fontId="124" fillId="9" borderId="0" xfId="63" applyFont="1" applyFill="1"/>
    <xf numFmtId="14" fontId="45" fillId="0" borderId="0" xfId="63" applyNumberFormat="1" applyFont="1"/>
    <xf numFmtId="0" fontId="129" fillId="0" borderId="17" xfId="0" quotePrefix="1" applyFont="1" applyBorder="1" applyAlignment="1" applyProtection="1">
      <alignment horizontal="center" vertical="center"/>
      <protection locked="0"/>
    </xf>
    <xf numFmtId="173" fontId="47" fillId="0" borderId="19" xfId="0" quotePrefix="1" applyNumberFormat="1" applyFont="1" applyBorder="1" applyAlignment="1" applyProtection="1">
      <alignment horizontal="center" vertical="center"/>
      <protection locked="0"/>
    </xf>
    <xf numFmtId="0" fontId="129" fillId="0" borderId="19" xfId="0" applyFont="1" applyBorder="1" applyAlignment="1" applyProtection="1">
      <alignment horizontal="center" vertical="center"/>
      <protection locked="0"/>
    </xf>
    <xf numFmtId="0" fontId="129" fillId="0" borderId="19" xfId="0" quotePrefix="1" applyFont="1" applyBorder="1" applyAlignment="1" applyProtection="1">
      <alignment horizontal="center" vertical="center"/>
      <protection locked="0"/>
    </xf>
    <xf numFmtId="170" fontId="129" fillId="0" borderId="12" xfId="0" applyNumberFormat="1" applyFont="1" applyBorder="1" applyAlignment="1" applyProtection="1">
      <alignment horizontal="center" vertical="center"/>
      <protection locked="0"/>
    </xf>
    <xf numFmtId="169" fontId="129" fillId="0" borderId="24" xfId="0" applyNumberFormat="1" applyFont="1" applyBorder="1" applyAlignment="1" applyProtection="1">
      <alignment horizontal="center" vertical="center"/>
      <protection locked="0"/>
    </xf>
    <xf numFmtId="169" fontId="129" fillId="0" borderId="19" xfId="0" applyNumberFormat="1" applyFont="1" applyBorder="1" applyAlignment="1" applyProtection="1">
      <alignment horizontal="center" vertical="center"/>
      <protection locked="0"/>
    </xf>
    <xf numFmtId="2" fontId="129" fillId="0" borderId="12" xfId="0" applyNumberFormat="1" applyFont="1" applyBorder="1" applyAlignment="1" applyProtection="1">
      <alignment horizontal="center" vertical="center"/>
      <protection locked="0"/>
    </xf>
    <xf numFmtId="1" fontId="129" fillId="0" borderId="24" xfId="0" applyNumberFormat="1" applyFont="1" applyBorder="1" applyAlignment="1" applyProtection="1">
      <alignment horizontal="center" vertical="center"/>
      <protection locked="0"/>
    </xf>
    <xf numFmtId="1" fontId="129" fillId="0" borderId="19" xfId="0" applyNumberFormat="1" applyFont="1" applyBorder="1" applyAlignment="1" applyProtection="1">
      <alignment horizontal="center" vertical="center"/>
      <protection locked="0"/>
    </xf>
    <xf numFmtId="172" fontId="47" fillId="0" borderId="12" xfId="0" applyNumberFormat="1" applyFont="1" applyBorder="1" applyAlignment="1" applyProtection="1">
      <alignment horizontal="center" vertical="center"/>
      <protection locked="0"/>
    </xf>
    <xf numFmtId="49" fontId="129" fillId="0" borderId="24" xfId="0" applyNumberFormat="1" applyFont="1" applyBorder="1" applyAlignment="1" applyProtection="1">
      <alignment horizontal="center" vertical="center"/>
      <protection locked="0"/>
    </xf>
    <xf numFmtId="2" fontId="129" fillId="0" borderId="19" xfId="0" applyNumberFormat="1" applyFont="1" applyBorder="1" applyAlignment="1" applyProtection="1">
      <alignment horizontal="center" vertical="center"/>
      <protection locked="0"/>
    </xf>
    <xf numFmtId="165" fontId="129" fillId="0" borderId="19" xfId="0" applyNumberFormat="1" applyFont="1" applyBorder="1" applyAlignment="1" applyProtection="1">
      <alignment horizontal="center" vertical="center"/>
      <protection locked="0"/>
    </xf>
    <xf numFmtId="166" fontId="129" fillId="0" borderId="19" xfId="0" applyNumberFormat="1" applyFont="1" applyBorder="1" applyAlignment="1" applyProtection="1">
      <alignment horizontal="center" vertical="center"/>
      <protection locked="0"/>
    </xf>
    <xf numFmtId="49" fontId="129" fillId="0" borderId="19" xfId="0" applyNumberFormat="1" applyFont="1" applyBorder="1" applyAlignment="1" applyProtection="1">
      <alignment horizontal="center" vertical="center"/>
      <protection locked="0"/>
    </xf>
    <xf numFmtId="1" fontId="129" fillId="0" borderId="12" xfId="0" applyNumberFormat="1" applyFont="1" applyBorder="1" applyAlignment="1" applyProtection="1">
      <alignment horizontal="center" vertical="center"/>
      <protection locked="0"/>
    </xf>
    <xf numFmtId="166" fontId="129" fillId="0" borderId="24" xfId="0" applyNumberFormat="1" applyFont="1" applyBorder="1" applyAlignment="1" applyProtection="1">
      <alignment horizontal="center" vertical="center" wrapText="1"/>
      <protection locked="0"/>
    </xf>
    <xf numFmtId="2" fontId="129" fillId="0" borderId="37" xfId="0" quotePrefix="1" applyNumberFormat="1" applyFont="1" applyBorder="1" applyAlignment="1" applyProtection="1">
      <alignment horizontal="center" vertical="center"/>
      <protection locked="0"/>
    </xf>
    <xf numFmtId="166" fontId="129" fillId="0" borderId="49" xfId="0" quotePrefix="1" applyNumberFormat="1" applyFont="1" applyBorder="1" applyAlignment="1" applyProtection="1">
      <alignment horizontal="center" vertical="center"/>
      <protection locked="0"/>
    </xf>
    <xf numFmtId="165" fontId="129" fillId="0" borderId="49" xfId="0" applyNumberFormat="1" applyFont="1" applyBorder="1" applyAlignment="1" applyProtection="1">
      <alignment horizontal="center" vertical="center"/>
      <protection locked="0"/>
    </xf>
    <xf numFmtId="0" fontId="129" fillId="0" borderId="49" xfId="0" applyFont="1" applyBorder="1" applyAlignment="1" applyProtection="1">
      <alignment horizontal="center" vertical="center"/>
      <protection locked="0"/>
    </xf>
    <xf numFmtId="167" fontId="129" fillId="0" borderId="49" xfId="0" applyNumberFormat="1" applyFont="1" applyBorder="1" applyAlignment="1" applyProtection="1">
      <alignment horizontal="center" vertical="center"/>
      <protection locked="0"/>
    </xf>
    <xf numFmtId="167" fontId="129" fillId="0" borderId="49" xfId="0" quotePrefix="1" applyNumberFormat="1" applyFont="1" applyBorder="1" applyAlignment="1" applyProtection="1">
      <alignment horizontal="center" vertical="center"/>
      <protection locked="0"/>
    </xf>
    <xf numFmtId="2" fontId="129" fillId="0" borderId="49" xfId="0" applyNumberFormat="1" applyFont="1" applyBorder="1" applyAlignment="1" applyProtection="1">
      <alignment horizontal="center" vertical="center"/>
      <protection locked="0"/>
    </xf>
    <xf numFmtId="49" fontId="129" fillId="0" borderId="49" xfId="0" quotePrefix="1" applyNumberFormat="1" applyFont="1" applyBorder="1" applyAlignment="1" applyProtection="1">
      <alignment horizontal="center" vertical="center"/>
      <protection locked="0"/>
    </xf>
    <xf numFmtId="165" fontId="130" fillId="0" borderId="49" xfId="0" applyNumberFormat="1" applyFont="1" applyBorder="1" applyAlignment="1" applyProtection="1">
      <alignment horizontal="center" vertical="center"/>
      <protection locked="0"/>
    </xf>
    <xf numFmtId="0" fontId="129" fillId="0" borderId="49" xfId="0" quotePrefix="1" applyFont="1" applyBorder="1" applyAlignment="1" applyProtection="1">
      <alignment horizontal="center" vertical="center"/>
      <protection locked="0"/>
    </xf>
    <xf numFmtId="1" fontId="129" fillId="0" borderId="49" xfId="0" quotePrefix="1" applyNumberFormat="1" applyFont="1" applyBorder="1" applyAlignment="1" applyProtection="1">
      <alignment horizontal="center" vertical="center"/>
      <protection locked="0"/>
    </xf>
    <xf numFmtId="0" fontId="36" fillId="0" borderId="17" xfId="0" applyFont="1" applyBorder="1" applyAlignment="1" applyProtection="1">
      <alignment horizontal="center" vertical="center"/>
      <protection locked="0"/>
    </xf>
    <xf numFmtId="174" fontId="117" fillId="16" borderId="21" xfId="12" applyNumberFormat="1" applyFont="1" applyFill="1" applyBorder="1" applyAlignment="1">
      <alignment horizontal="center" vertical="center"/>
    </xf>
    <xf numFmtId="0" fontId="36" fillId="0" borderId="5" xfId="0" applyFont="1" applyBorder="1" applyAlignment="1">
      <alignment horizontal="center"/>
    </xf>
    <xf numFmtId="0" fontId="38" fillId="0" borderId="1" xfId="0" applyFont="1" applyBorder="1" applyAlignment="1">
      <alignment horizontal="center"/>
    </xf>
    <xf numFmtId="0" fontId="0" fillId="0" borderId="81" xfId="0" applyBorder="1"/>
    <xf numFmtId="0" fontId="0" fillId="0" borderId="82" xfId="0" applyBorder="1"/>
    <xf numFmtId="0" fontId="0" fillId="0" borderId="2" xfId="0" applyBorder="1"/>
    <xf numFmtId="0" fontId="0" fillId="0" borderId="0" xfId="0"/>
    <xf numFmtId="0" fontId="0" fillId="0" borderId="3" xfId="0" applyBorder="1"/>
    <xf numFmtId="0" fontId="0" fillId="0" borderId="4" xfId="0" applyBorder="1"/>
    <xf numFmtId="0" fontId="0" fillId="0" borderId="5" xfId="0" applyBorder="1"/>
    <xf numFmtId="0" fontId="0" fillId="0" borderId="6" xfId="0" applyBorder="1"/>
    <xf numFmtId="0" fontId="42" fillId="0" borderId="22" xfId="0" applyFont="1" applyBorder="1" applyAlignment="1">
      <alignment horizontal="center" vertical="center" wrapText="1"/>
    </xf>
    <xf numFmtId="0" fontId="0" fillId="0" borderId="44" xfId="0" applyBorder="1"/>
    <xf numFmtId="2" fontId="42" fillId="0" borderId="27" xfId="0" applyNumberFormat="1" applyFont="1" applyBorder="1" applyAlignment="1">
      <alignment horizontal="center" vertical="center" wrapText="1"/>
    </xf>
    <xf numFmtId="0" fontId="0" fillId="0" borderId="40" xfId="0" applyBorder="1"/>
    <xf numFmtId="0" fontId="39" fillId="0" borderId="33" xfId="0" applyFont="1" applyBorder="1" applyAlignment="1">
      <alignment horizontal="center" vertical="center" wrapText="1"/>
    </xf>
    <xf numFmtId="0" fontId="0" fillId="0" borderId="41" xfId="0" applyBorder="1"/>
    <xf numFmtId="0" fontId="42" fillId="0" borderId="14" xfId="0" applyFont="1" applyBorder="1" applyAlignment="1">
      <alignment horizontal="center" vertical="center" wrapText="1"/>
    </xf>
    <xf numFmtId="0" fontId="0" fillId="0" borderId="10" xfId="0" applyBorder="1"/>
    <xf numFmtId="165" fontId="42" fillId="0" borderId="33" xfId="0" applyNumberFormat="1" applyFont="1" applyBorder="1" applyAlignment="1">
      <alignment horizontal="center" vertical="center" wrapText="1"/>
    </xf>
    <xf numFmtId="0" fontId="42" fillId="0" borderId="33" xfId="0" applyFont="1" applyBorder="1" applyAlignment="1">
      <alignment horizontal="center" vertical="center" wrapText="1"/>
    </xf>
    <xf numFmtId="0" fontId="37" fillId="0" borderId="1" xfId="0" applyFont="1" applyBorder="1" applyAlignment="1">
      <alignment horizontal="center" vertical="center"/>
    </xf>
    <xf numFmtId="0" fontId="37" fillId="0" borderId="81" xfId="0" applyFont="1" applyBorder="1" applyAlignment="1">
      <alignment horizontal="center" vertical="center"/>
    </xf>
    <xf numFmtId="0" fontId="37" fillId="0" borderId="82" xfId="0" applyFont="1" applyBorder="1" applyAlignment="1">
      <alignment horizontal="center" vertical="center"/>
    </xf>
    <xf numFmtId="0" fontId="37" fillId="0" borderId="2" xfId="0" applyFont="1" applyBorder="1" applyAlignment="1">
      <alignment horizontal="center" vertical="center"/>
    </xf>
    <xf numFmtId="0" fontId="37" fillId="0" borderId="0" xfId="0" applyFont="1" applyAlignment="1">
      <alignment horizontal="center" vertical="center"/>
    </xf>
    <xf numFmtId="0" fontId="37" fillId="0" borderId="3" xfId="0" applyFont="1" applyBorder="1" applyAlignment="1">
      <alignment horizontal="center" vertical="center"/>
    </xf>
    <xf numFmtId="0" fontId="37" fillId="0" borderId="4" xfId="0" applyFont="1" applyBorder="1" applyAlignment="1">
      <alignment horizontal="center" vertical="center"/>
    </xf>
    <xf numFmtId="0" fontId="37" fillId="0" borderId="5" xfId="0" applyFont="1" applyBorder="1" applyAlignment="1">
      <alignment horizontal="center" vertical="center"/>
    </xf>
    <xf numFmtId="0" fontId="37" fillId="0" borderId="6" xfId="0" applyFont="1" applyBorder="1" applyAlignment="1">
      <alignment horizontal="center" vertical="center"/>
    </xf>
    <xf numFmtId="49" fontId="39" fillId="0" borderId="33" xfId="0" applyNumberFormat="1" applyFont="1" applyBorder="1" applyAlignment="1">
      <alignment horizontal="center" vertical="center" wrapText="1"/>
    </xf>
    <xf numFmtId="49" fontId="39" fillId="0" borderId="15" xfId="0" applyNumberFormat="1" applyFont="1" applyBorder="1" applyAlignment="1">
      <alignment horizontal="center" vertical="center" wrapText="1"/>
    </xf>
    <xf numFmtId="49" fontId="39" fillId="0" borderId="41" xfId="0" applyNumberFormat="1" applyFont="1" applyBorder="1" applyAlignment="1">
      <alignment horizontal="center" vertical="center" wrapText="1"/>
    </xf>
    <xf numFmtId="49" fontId="39" fillId="0" borderId="1" xfId="0" applyNumberFormat="1" applyFont="1" applyBorder="1" applyAlignment="1">
      <alignment horizontal="center" vertical="center" wrapText="1"/>
    </xf>
    <xf numFmtId="0" fontId="0" fillId="0" borderId="34" xfId="0" applyBorder="1"/>
    <xf numFmtId="0" fontId="0" fillId="0" borderId="30" xfId="0" applyBorder="1"/>
    <xf numFmtId="0" fontId="0" fillId="0" borderId="35" xfId="0" applyBorder="1"/>
    <xf numFmtId="0" fontId="42" fillId="0" borderId="32" xfId="0" applyFont="1" applyBorder="1" applyAlignment="1">
      <alignment horizontal="center" vertical="center" wrapText="1"/>
    </xf>
    <xf numFmtId="0" fontId="42" fillId="0" borderId="41" xfId="0" applyFont="1" applyBorder="1" applyAlignment="1">
      <alignment horizontal="center" vertical="center" wrapText="1"/>
    </xf>
    <xf numFmtId="15" fontId="42" fillId="0" borderId="31" xfId="0" applyNumberFormat="1" applyFont="1" applyBorder="1" applyAlignment="1">
      <alignment horizontal="center" vertical="center" wrapText="1"/>
    </xf>
    <xf numFmtId="15" fontId="42" fillId="0" borderId="44" xfId="0" applyNumberFormat="1" applyFont="1" applyBorder="1" applyAlignment="1">
      <alignment horizontal="center" vertical="center" wrapText="1"/>
    </xf>
    <xf numFmtId="14" fontId="39" fillId="0" borderId="27" xfId="0" applyNumberFormat="1" applyFont="1" applyBorder="1" applyAlignment="1">
      <alignment horizontal="center" vertical="center" wrapText="1"/>
    </xf>
    <xf numFmtId="14" fontId="0" fillId="0" borderId="16" xfId="0" applyNumberFormat="1" applyBorder="1"/>
    <xf numFmtId="14" fontId="0" fillId="0" borderId="40" xfId="0" applyNumberFormat="1" applyBorder="1"/>
    <xf numFmtId="0" fontId="39" fillId="0" borderId="15" xfId="0" applyFont="1" applyBorder="1" applyAlignment="1">
      <alignment horizontal="center" vertical="center" wrapText="1"/>
    </xf>
    <xf numFmtId="0" fontId="39" fillId="0" borderId="41" xfId="0" applyFont="1" applyBorder="1" applyAlignment="1">
      <alignment horizontal="center" vertical="center" wrapText="1"/>
    </xf>
    <xf numFmtId="49" fontId="42" fillId="0" borderId="22" xfId="0" applyNumberFormat="1" applyFont="1" applyBorder="1" applyAlignment="1">
      <alignment horizontal="center" vertical="center" wrapText="1"/>
    </xf>
    <xf numFmtId="49" fontId="42" fillId="0" borderId="44" xfId="0" applyNumberFormat="1" applyFont="1" applyBorder="1" applyAlignment="1">
      <alignment horizontal="center" vertical="center" wrapText="1"/>
    </xf>
    <xf numFmtId="165" fontId="42" fillId="0" borderId="14" xfId="0" applyNumberFormat="1" applyFont="1" applyBorder="1" applyAlignment="1">
      <alignment horizontal="center" vertical="center"/>
    </xf>
    <xf numFmtId="165" fontId="42" fillId="0" borderId="11" xfId="0" applyNumberFormat="1" applyFont="1" applyBorder="1" applyAlignment="1">
      <alignment horizontal="center" vertical="center"/>
    </xf>
    <xf numFmtId="0" fontId="42" fillId="0" borderId="11" xfId="0" applyFont="1" applyBorder="1" applyAlignment="1">
      <alignment horizontal="center" vertical="center" wrapText="1"/>
    </xf>
    <xf numFmtId="0" fontId="38" fillId="0" borderId="65" xfId="0" applyFont="1" applyBorder="1" applyAlignment="1">
      <alignment horizontal="left"/>
    </xf>
    <xf numFmtId="0" fontId="38" fillId="0" borderId="57" xfId="0" applyFont="1" applyBorder="1" applyAlignment="1">
      <alignment horizontal="left"/>
    </xf>
    <xf numFmtId="49" fontId="39" fillId="0" borderId="2" xfId="0" applyNumberFormat="1" applyFont="1" applyBorder="1" applyAlignment="1">
      <alignment horizontal="left"/>
    </xf>
    <xf numFmtId="49" fontId="39" fillId="0" borderId="0" xfId="0" applyNumberFormat="1" applyFont="1" applyAlignment="1">
      <alignment horizontal="left"/>
    </xf>
    <xf numFmtId="49" fontId="40" fillId="0" borderId="4" xfId="0" applyNumberFormat="1" applyFont="1" applyBorder="1" applyAlignment="1">
      <alignment horizontal="left"/>
    </xf>
    <xf numFmtId="49" fontId="40" fillId="0" borderId="5" xfId="0" applyNumberFormat="1" applyFont="1" applyBorder="1" applyAlignment="1">
      <alignment horizontal="left"/>
    </xf>
    <xf numFmtId="0" fontId="37" fillId="0" borderId="56" xfId="0" applyFont="1" applyBorder="1" applyAlignment="1">
      <alignment horizontal="center" vertical="center"/>
    </xf>
    <xf numFmtId="0" fontId="37" fillId="0" borderId="57" xfId="0" applyFont="1" applyBorder="1" applyAlignment="1">
      <alignment horizontal="center" vertical="center"/>
    </xf>
    <xf numFmtId="0" fontId="37" fillId="0" borderId="58" xfId="0" applyFont="1" applyBorder="1" applyAlignment="1">
      <alignment horizontal="center" vertical="center"/>
    </xf>
    <xf numFmtId="165" fontId="37" fillId="0" borderId="56" xfId="0" applyNumberFormat="1" applyFont="1" applyBorder="1" applyAlignment="1">
      <alignment horizontal="center" vertical="center"/>
    </xf>
    <xf numFmtId="165" fontId="37" fillId="0" borderId="57" xfId="0" applyNumberFormat="1" applyFont="1" applyBorder="1" applyAlignment="1">
      <alignment horizontal="center" vertical="center"/>
    </xf>
    <xf numFmtId="0" fontId="83" fillId="0" borderId="59" xfId="0" applyFont="1" applyBorder="1" applyAlignment="1">
      <alignment horizontal="center" vertical="center"/>
    </xf>
    <xf numFmtId="0" fontId="83" fillId="0" borderId="5" xfId="0" applyFont="1" applyBorder="1" applyAlignment="1">
      <alignment horizontal="center" vertical="center"/>
    </xf>
    <xf numFmtId="0" fontId="83" fillId="0" borderId="60" xfId="0" applyFont="1" applyBorder="1" applyAlignment="1">
      <alignment horizontal="center" vertical="center"/>
    </xf>
    <xf numFmtId="165" fontId="40" fillId="0" borderId="59" xfId="0" applyNumberFormat="1" applyFont="1" applyBorder="1" applyAlignment="1">
      <alignment horizontal="center" vertical="center"/>
    </xf>
    <xf numFmtId="165" fontId="40" fillId="0" borderId="5" xfId="0" applyNumberFormat="1" applyFont="1" applyBorder="1" applyAlignment="1">
      <alignment horizontal="center" vertical="center"/>
    </xf>
    <xf numFmtId="165" fontId="40" fillId="0" borderId="62" xfId="0" applyNumberFormat="1" applyFont="1" applyBorder="1" applyAlignment="1">
      <alignment horizontal="center" vertical="center"/>
    </xf>
    <xf numFmtId="165" fontId="40" fillId="0" borderId="63" xfId="0" applyNumberFormat="1" applyFont="1" applyBorder="1" applyAlignment="1">
      <alignment horizontal="center" vertical="center"/>
    </xf>
    <xf numFmtId="16" fontId="88" fillId="0" borderId="0" xfId="0" applyNumberFormat="1" applyFont="1" applyAlignment="1">
      <alignment horizontal="center" vertical="center"/>
    </xf>
    <xf numFmtId="0" fontId="90" fillId="0" borderId="67" xfId="0" applyFont="1" applyBorder="1" applyAlignment="1">
      <alignment horizontal="center" vertical="center"/>
    </xf>
    <xf numFmtId="0" fontId="90" fillId="0" borderId="68" xfId="0" applyFont="1" applyBorder="1" applyAlignment="1">
      <alignment horizontal="center" vertical="center"/>
    </xf>
    <xf numFmtId="0" fontId="90" fillId="0" borderId="69" xfId="0" applyFont="1" applyBorder="1" applyAlignment="1">
      <alignment horizontal="center" vertical="center"/>
    </xf>
    <xf numFmtId="0" fontId="91" fillId="10" borderId="70" xfId="0" applyFont="1" applyFill="1" applyBorder="1" applyAlignment="1">
      <alignment horizontal="center" vertical="center"/>
    </xf>
    <xf numFmtId="0" fontId="91" fillId="10" borderId="82" xfId="0" applyFont="1" applyFill="1" applyBorder="1" applyAlignment="1">
      <alignment horizontal="center" vertical="center"/>
    </xf>
    <xf numFmtId="0" fontId="91" fillId="10" borderId="71" xfId="0" applyFont="1" applyFill="1" applyBorder="1" applyAlignment="1">
      <alignment horizontal="center" vertical="center"/>
    </xf>
    <xf numFmtId="0" fontId="91" fillId="10" borderId="6" xfId="0" applyFont="1" applyFill="1" applyBorder="1" applyAlignment="1">
      <alignment horizontal="center" vertical="center"/>
    </xf>
    <xf numFmtId="0" fontId="91" fillId="11" borderId="1" xfId="0" applyFont="1" applyFill="1" applyBorder="1" applyAlignment="1">
      <alignment horizontal="center" vertical="center" wrapText="1"/>
    </xf>
    <xf numFmtId="0" fontId="91" fillId="11" borderId="82" xfId="0" applyFont="1" applyFill="1" applyBorder="1" applyAlignment="1">
      <alignment horizontal="center" vertical="center" wrapText="1"/>
    </xf>
    <xf numFmtId="0" fontId="91" fillId="11" borderId="4" xfId="0" applyFont="1" applyFill="1" applyBorder="1" applyAlignment="1">
      <alignment horizontal="center" vertical="center" wrapText="1"/>
    </xf>
    <xf numFmtId="0" fontId="91" fillId="11" borderId="6" xfId="0" applyFont="1" applyFill="1" applyBorder="1" applyAlignment="1">
      <alignment horizontal="center" vertical="center" wrapText="1"/>
    </xf>
    <xf numFmtId="0" fontId="91" fillId="12" borderId="1" xfId="0" applyFont="1" applyFill="1" applyBorder="1" applyAlignment="1">
      <alignment horizontal="center" vertical="center" wrapText="1"/>
    </xf>
    <xf numFmtId="0" fontId="91" fillId="12" borderId="82" xfId="0" applyFont="1" applyFill="1" applyBorder="1" applyAlignment="1">
      <alignment horizontal="center" vertical="center" wrapText="1"/>
    </xf>
    <xf numFmtId="0" fontId="91" fillId="12" borderId="4" xfId="0" applyFont="1" applyFill="1" applyBorder="1" applyAlignment="1">
      <alignment horizontal="center" vertical="center" wrapText="1"/>
    </xf>
    <xf numFmtId="0" fontId="91" fillId="12" borderId="6" xfId="0" applyFont="1" applyFill="1" applyBorder="1" applyAlignment="1">
      <alignment horizontal="center" vertical="center" wrapText="1"/>
    </xf>
    <xf numFmtId="0" fontId="91" fillId="11" borderId="84" xfId="0" applyFont="1" applyFill="1" applyBorder="1" applyAlignment="1">
      <alignment horizontal="center" vertical="center" wrapText="1"/>
    </xf>
    <xf numFmtId="0" fontId="91" fillId="11" borderId="72" xfId="0" applyFont="1" applyFill="1" applyBorder="1" applyAlignment="1">
      <alignment horizontal="center" vertical="center" wrapText="1"/>
    </xf>
    <xf numFmtId="0" fontId="92" fillId="0" borderId="66" xfId="0" applyFont="1" applyBorder="1" applyAlignment="1">
      <alignment horizontal="center" vertical="center"/>
    </xf>
    <xf numFmtId="0" fontId="92" fillId="0" borderId="26" xfId="0" applyFont="1" applyBorder="1" applyAlignment="1">
      <alignment horizontal="center" vertical="center"/>
    </xf>
    <xf numFmtId="165" fontId="92" fillId="0" borderId="66" xfId="0" applyNumberFormat="1" applyFont="1" applyBorder="1" applyAlignment="1">
      <alignment horizontal="center" vertical="center"/>
    </xf>
    <xf numFmtId="165" fontId="92" fillId="0" borderId="74" xfId="0" applyNumberFormat="1" applyFont="1" applyBorder="1" applyAlignment="1">
      <alignment horizontal="center" vertical="center"/>
    </xf>
    <xf numFmtId="0" fontId="92" fillId="10" borderId="73" xfId="0" applyFont="1" applyFill="1" applyBorder="1" applyAlignment="1">
      <alignment horizontal="left" vertical="center"/>
    </xf>
    <xf numFmtId="0" fontId="92" fillId="10" borderId="26" xfId="0" applyFont="1" applyFill="1" applyBorder="1" applyAlignment="1">
      <alignment horizontal="left" vertical="center"/>
    </xf>
    <xf numFmtId="0" fontId="93" fillId="0" borderId="66" xfId="0" applyFont="1" applyBorder="1" applyAlignment="1">
      <alignment horizontal="center" vertical="center"/>
    </xf>
    <xf numFmtId="0" fontId="93" fillId="0" borderId="26" xfId="0" applyFont="1" applyBorder="1" applyAlignment="1">
      <alignment horizontal="center" vertical="center"/>
    </xf>
    <xf numFmtId="165" fontId="93" fillId="0" borderId="66" xfId="0" applyNumberFormat="1" applyFont="1" applyBorder="1" applyAlignment="1">
      <alignment horizontal="center" vertical="center"/>
    </xf>
    <xf numFmtId="165" fontId="93" fillId="0" borderId="74" xfId="0" applyNumberFormat="1" applyFont="1" applyBorder="1" applyAlignment="1">
      <alignment horizontal="center" vertical="center"/>
    </xf>
    <xf numFmtId="0" fontId="99" fillId="0" borderId="5" xfId="0" applyFont="1" applyBorder="1" applyAlignment="1">
      <alignment horizontal="left"/>
    </xf>
    <xf numFmtId="0" fontId="100" fillId="14" borderId="66" xfId="0" applyFont="1" applyFill="1" applyBorder="1" applyAlignment="1">
      <alignment horizontal="left" vertical="center"/>
    </xf>
    <xf numFmtId="0" fontId="100" fillId="14" borderId="25" xfId="0" applyFont="1" applyFill="1" applyBorder="1" applyAlignment="1">
      <alignment horizontal="left" vertical="center"/>
    </xf>
    <xf numFmtId="0" fontId="100" fillId="14" borderId="26" xfId="0" applyFont="1" applyFill="1" applyBorder="1" applyAlignment="1">
      <alignment horizontal="left" vertical="center"/>
    </xf>
    <xf numFmtId="0" fontId="100" fillId="15" borderId="66" xfId="0" applyFont="1" applyFill="1" applyBorder="1" applyAlignment="1">
      <alignment horizontal="left" vertical="center"/>
    </xf>
    <xf numFmtId="0" fontId="100" fillId="15" borderId="25" xfId="0" applyFont="1" applyFill="1" applyBorder="1" applyAlignment="1">
      <alignment horizontal="left" vertical="center"/>
    </xf>
    <xf numFmtId="0" fontId="100" fillId="15" borderId="26" xfId="0" applyFont="1" applyFill="1" applyBorder="1" applyAlignment="1">
      <alignment horizontal="left" vertical="center"/>
    </xf>
    <xf numFmtId="0" fontId="101" fillId="16" borderId="66" xfId="0" applyFont="1" applyFill="1" applyBorder="1" applyAlignment="1">
      <alignment horizontal="left" vertical="center"/>
    </xf>
    <xf numFmtId="0" fontId="101" fillId="16" borderId="25" xfId="0" applyFont="1" applyFill="1" applyBorder="1" applyAlignment="1">
      <alignment horizontal="left" vertical="center"/>
    </xf>
    <xf numFmtId="0" fontId="101" fillId="16" borderId="26" xfId="0" applyFont="1" applyFill="1" applyBorder="1" applyAlignment="1">
      <alignment horizontal="left" vertical="center"/>
    </xf>
    <xf numFmtId="0" fontId="91" fillId="13" borderId="75" xfId="0" applyFont="1" applyFill="1" applyBorder="1" applyAlignment="1">
      <alignment horizontal="left" vertical="center"/>
    </xf>
    <xf numFmtId="0" fontId="91" fillId="13" borderId="76" xfId="0" applyFont="1" applyFill="1" applyBorder="1" applyAlignment="1">
      <alignment horizontal="left" vertical="center"/>
    </xf>
    <xf numFmtId="0" fontId="94" fillId="13" borderId="77" xfId="0" applyFont="1" applyFill="1" applyBorder="1" applyAlignment="1">
      <alignment horizontal="center" vertical="center"/>
    </xf>
    <xf numFmtId="0" fontId="94" fillId="13" borderId="76" xfId="0" applyFont="1" applyFill="1" applyBorder="1" applyAlignment="1">
      <alignment horizontal="center" vertical="center"/>
    </xf>
    <xf numFmtId="165" fontId="94" fillId="13" borderId="77" xfId="0" applyNumberFormat="1" applyFont="1" applyFill="1" applyBorder="1" applyAlignment="1">
      <alignment horizontal="center" vertical="center"/>
    </xf>
    <xf numFmtId="165" fontId="94" fillId="13" borderId="78" xfId="0" applyNumberFormat="1" applyFont="1" applyFill="1" applyBorder="1" applyAlignment="1">
      <alignment horizontal="center" vertical="center"/>
    </xf>
    <xf numFmtId="0" fontId="95" fillId="9" borderId="21" xfId="0" applyFont="1" applyFill="1" applyBorder="1" applyAlignment="1">
      <alignment horizontal="center" vertical="center" wrapText="1" readingOrder="1"/>
    </xf>
    <xf numFmtId="0" fontId="95" fillId="9" borderId="66" xfId="0" applyFont="1" applyFill="1" applyBorder="1" applyAlignment="1">
      <alignment horizontal="center" vertical="center" wrapText="1" readingOrder="1"/>
    </xf>
    <xf numFmtId="0" fontId="95" fillId="9" borderId="25" xfId="0" applyFont="1" applyFill="1" applyBorder="1" applyAlignment="1">
      <alignment horizontal="center" vertical="center" wrapText="1" readingOrder="1"/>
    </xf>
    <xf numFmtId="0" fontId="95" fillId="9" borderId="26" xfId="0" applyFont="1" applyFill="1" applyBorder="1" applyAlignment="1">
      <alignment horizontal="center" vertical="center" wrapText="1" readingOrder="1"/>
    </xf>
    <xf numFmtId="0" fontId="116" fillId="0" borderId="66" xfId="144" applyFont="1" applyBorder="1" applyAlignment="1">
      <alignment horizontal="center"/>
    </xf>
    <xf numFmtId="0" fontId="116" fillId="0" borderId="25" xfId="144" applyFont="1" applyBorder="1" applyAlignment="1">
      <alignment horizontal="center"/>
    </xf>
    <xf numFmtId="0" fontId="116" fillId="0" borderId="26" xfId="144" applyFont="1" applyBorder="1" applyAlignment="1">
      <alignment horizontal="center"/>
    </xf>
    <xf numFmtId="16" fontId="119" fillId="0" borderId="0" xfId="63" applyNumberFormat="1" applyFont="1" applyAlignment="1">
      <alignment horizontal="center" vertical="center"/>
    </xf>
    <xf numFmtId="0" fontId="120" fillId="0" borderId="67" xfId="63" applyFont="1" applyBorder="1" applyAlignment="1">
      <alignment horizontal="center" vertical="center"/>
    </xf>
    <xf numFmtId="0" fontId="120" fillId="0" borderId="68" xfId="63" applyFont="1" applyBorder="1" applyAlignment="1">
      <alignment horizontal="center" vertical="center"/>
    </xf>
    <xf numFmtId="0" fontId="120" fillId="0" borderId="69" xfId="63" applyFont="1" applyBorder="1" applyAlignment="1">
      <alignment horizontal="center" vertical="center"/>
    </xf>
    <xf numFmtId="0" fontId="61" fillId="0" borderId="5" xfId="63" applyFont="1" applyBorder="1" applyAlignment="1">
      <alignment horizontal="left"/>
    </xf>
    <xf numFmtId="0" fontId="118" fillId="0" borderId="0" xfId="144" applyFont="1" applyAlignment="1">
      <alignment horizontal="center"/>
    </xf>
    <xf numFmtId="0" fontId="111" fillId="0" borderId="66" xfId="144" applyFont="1" applyBorder="1" applyAlignment="1">
      <alignment horizontal="center"/>
    </xf>
    <xf numFmtId="0" fontId="111" fillId="0" borderId="25" xfId="144" applyFont="1" applyBorder="1" applyAlignment="1">
      <alignment horizontal="center"/>
    </xf>
    <xf numFmtId="0" fontId="111" fillId="0" borderId="26" xfId="144" applyFont="1" applyBorder="1" applyAlignment="1">
      <alignment horizontal="center"/>
    </xf>
    <xf numFmtId="0" fontId="111" fillId="0" borderId="21" xfId="144" applyFont="1" applyBorder="1" applyAlignment="1">
      <alignment horizontal="center" vertical="center"/>
    </xf>
    <xf numFmtId="0" fontId="112" fillId="0" borderId="92" xfId="0" applyFont="1" applyBorder="1" applyAlignment="1">
      <alignment horizontal="center" vertical="center"/>
    </xf>
    <xf numFmtId="0" fontId="112" fillId="0" borderId="93" xfId="0" applyFont="1" applyBorder="1" applyAlignment="1">
      <alignment horizontal="center" vertical="center"/>
    </xf>
    <xf numFmtId="0" fontId="112" fillId="0" borderId="104" xfId="0" applyFont="1" applyBorder="1" applyAlignment="1">
      <alignment horizontal="center" vertical="center"/>
    </xf>
    <xf numFmtId="0" fontId="112" fillId="0" borderId="98" xfId="0" applyFont="1" applyBorder="1" applyAlignment="1">
      <alignment horizontal="center" vertical="center"/>
    </xf>
    <xf numFmtId="0" fontId="49" fillId="9" borderId="103" xfId="0" applyFont="1" applyFill="1" applyBorder="1" applyAlignment="1">
      <alignment horizontal="center" vertical="center"/>
    </xf>
    <xf numFmtId="0" fontId="49" fillId="9" borderId="97" xfId="0" applyFont="1" applyFill="1" applyBorder="1" applyAlignment="1">
      <alignment horizontal="center" vertical="center"/>
    </xf>
    <xf numFmtId="0" fontId="49" fillId="9" borderId="92" xfId="0" applyFont="1" applyFill="1" applyBorder="1" applyAlignment="1">
      <alignment horizontal="center" vertical="center"/>
    </xf>
    <xf numFmtId="0" fontId="49" fillId="9" borderId="93" xfId="0" applyFont="1" applyFill="1" applyBorder="1" applyAlignment="1">
      <alignment horizontal="center" vertical="center"/>
    </xf>
    <xf numFmtId="0" fontId="115" fillId="10" borderId="70" xfId="63" applyFont="1" applyFill="1" applyBorder="1" applyAlignment="1">
      <alignment horizontal="center" vertical="center"/>
    </xf>
    <xf numFmtId="0" fontId="115" fillId="10" borderId="82" xfId="63" applyFont="1" applyFill="1" applyBorder="1" applyAlignment="1">
      <alignment horizontal="center" vertical="center"/>
    </xf>
    <xf numFmtId="0" fontId="115" fillId="10" borderId="71" xfId="63" applyFont="1" applyFill="1" applyBorder="1" applyAlignment="1">
      <alignment horizontal="center" vertical="center"/>
    </xf>
    <xf numFmtId="0" fontId="115" fillId="10" borderId="6" xfId="63" applyFont="1" applyFill="1" applyBorder="1" applyAlignment="1">
      <alignment horizontal="center" vertical="center"/>
    </xf>
    <xf numFmtId="0" fontId="115" fillId="11" borderId="1" xfId="63" applyFont="1" applyFill="1" applyBorder="1" applyAlignment="1">
      <alignment horizontal="center" vertical="center" wrapText="1"/>
    </xf>
    <xf numFmtId="0" fontId="115" fillId="11" borderId="82" xfId="63" applyFont="1" applyFill="1" applyBorder="1" applyAlignment="1">
      <alignment horizontal="center" vertical="center" wrapText="1"/>
    </xf>
    <xf numFmtId="0" fontId="115" fillId="11" borderId="4" xfId="63" applyFont="1" applyFill="1" applyBorder="1" applyAlignment="1">
      <alignment horizontal="center" vertical="center" wrapText="1"/>
    </xf>
    <xf numFmtId="0" fontId="115" fillId="11" borderId="6" xfId="63" applyFont="1" applyFill="1" applyBorder="1" applyAlignment="1">
      <alignment horizontal="center" vertical="center" wrapText="1"/>
    </xf>
    <xf numFmtId="0" fontId="115" fillId="12" borderId="1" xfId="63" applyFont="1" applyFill="1" applyBorder="1" applyAlignment="1">
      <alignment horizontal="center" vertical="center" wrapText="1"/>
    </xf>
    <xf numFmtId="0" fontId="115" fillId="12" borderId="82" xfId="63" applyFont="1" applyFill="1" applyBorder="1" applyAlignment="1">
      <alignment horizontal="center" vertical="center" wrapText="1"/>
    </xf>
    <xf numFmtId="0" fontId="115" fillId="12" borderId="4" xfId="63" applyFont="1" applyFill="1" applyBorder="1" applyAlignment="1">
      <alignment horizontal="center" vertical="center" wrapText="1"/>
    </xf>
    <xf numFmtId="0" fontId="115" fillId="12" borderId="6" xfId="63" applyFont="1" applyFill="1" applyBorder="1" applyAlignment="1">
      <alignment horizontal="center" vertical="center" wrapText="1"/>
    </xf>
    <xf numFmtId="0" fontId="115" fillId="11" borderId="84" xfId="63" applyFont="1" applyFill="1" applyBorder="1" applyAlignment="1">
      <alignment horizontal="center" vertical="center" wrapText="1"/>
    </xf>
    <xf numFmtId="0" fontId="115" fillId="11" borderId="72" xfId="63" applyFont="1" applyFill="1" applyBorder="1" applyAlignment="1">
      <alignment horizontal="center" vertical="center" wrapText="1"/>
    </xf>
    <xf numFmtId="0" fontId="100" fillId="14" borderId="21" xfId="63" applyFont="1" applyFill="1" applyBorder="1" applyAlignment="1">
      <alignment horizontal="left" vertical="center"/>
    </xf>
    <xf numFmtId="0" fontId="100" fillId="15" borderId="21" xfId="63" applyFont="1" applyFill="1" applyBorder="1" applyAlignment="1">
      <alignment horizontal="left" vertical="center"/>
    </xf>
    <xf numFmtId="0" fontId="101" fillId="16" borderId="21" xfId="63" applyFont="1" applyFill="1" applyBorder="1" applyAlignment="1">
      <alignment horizontal="left" vertical="center"/>
    </xf>
    <xf numFmtId="0" fontId="128" fillId="9" borderId="0" xfId="63" applyFont="1" applyFill="1" applyAlignment="1">
      <alignment horizontal="center" vertical="top"/>
    </xf>
    <xf numFmtId="0" fontId="107" fillId="20" borderId="100" xfId="0" applyFont="1" applyFill="1" applyBorder="1" applyAlignment="1">
      <alignment horizontal="center" vertical="center" wrapText="1"/>
    </xf>
    <xf numFmtId="0" fontId="107" fillId="20" borderId="102" xfId="0" applyFont="1" applyFill="1" applyBorder="1" applyAlignment="1">
      <alignment horizontal="center" vertical="center" wrapText="1"/>
    </xf>
    <xf numFmtId="0" fontId="109" fillId="13" borderId="103" xfId="0" applyFont="1" applyFill="1" applyBorder="1" applyAlignment="1">
      <alignment horizontal="center" vertical="center"/>
    </xf>
    <xf numFmtId="0" fontId="109" fillId="13" borderId="105" xfId="0" applyFont="1" applyFill="1" applyBorder="1" applyAlignment="1">
      <alignment horizontal="center" vertical="center"/>
    </xf>
    <xf numFmtId="0" fontId="113" fillId="13" borderId="92" xfId="0" applyFont="1" applyFill="1" applyBorder="1" applyAlignment="1">
      <alignment horizontal="center" vertical="center"/>
    </xf>
    <xf numFmtId="0" fontId="113" fillId="13" borderId="106" xfId="0" applyFont="1" applyFill="1" applyBorder="1" applyAlignment="1">
      <alignment horizontal="center" vertical="center"/>
    </xf>
    <xf numFmtId="0" fontId="113" fillId="13" borderId="104" xfId="0" applyFont="1" applyFill="1" applyBorder="1" applyAlignment="1">
      <alignment horizontal="center" vertical="center"/>
    </xf>
    <xf numFmtId="0" fontId="113" fillId="13" borderId="107" xfId="0" applyFont="1" applyFill="1" applyBorder="1" applyAlignment="1">
      <alignment horizontal="center" vertical="center"/>
    </xf>
    <xf numFmtId="0" fontId="111" fillId="9" borderId="104" xfId="0" applyFont="1" applyFill="1" applyBorder="1" applyAlignment="1">
      <alignment horizontal="center" vertical="center"/>
    </xf>
    <xf numFmtId="0" fontId="111" fillId="9" borderId="98" xfId="0" applyFont="1" applyFill="1" applyBorder="1" applyAlignment="1">
      <alignment horizontal="center" vertical="center"/>
    </xf>
    <xf numFmtId="0" fontId="108" fillId="0" borderId="103" xfId="0" applyFont="1" applyBorder="1" applyAlignment="1">
      <alignment horizontal="center" vertical="center"/>
    </xf>
    <xf numFmtId="0" fontId="108" fillId="0" borderId="97" xfId="0" applyFont="1" applyBorder="1" applyAlignment="1">
      <alignment horizontal="center" vertical="center"/>
    </xf>
    <xf numFmtId="0" fontId="111" fillId="0" borderId="28" xfId="144" applyFont="1" applyBorder="1" applyAlignment="1">
      <alignment horizontal="center" vertical="center"/>
    </xf>
    <xf numFmtId="0" fontId="111" fillId="0" borderId="29" xfId="144" applyFont="1" applyBorder="1" applyAlignment="1">
      <alignment horizontal="center" vertical="center"/>
    </xf>
    <xf numFmtId="0" fontId="111" fillId="0" borderId="66" xfId="63" applyFont="1" applyBorder="1" applyAlignment="1">
      <alignment horizontal="center" vertical="center"/>
    </xf>
    <xf numFmtId="0" fontId="111" fillId="0" borderId="26" xfId="63" applyFont="1" applyBorder="1" applyAlignment="1">
      <alignment horizontal="center" vertical="center"/>
    </xf>
    <xf numFmtId="0" fontId="111" fillId="10" borderId="73" xfId="63" applyFont="1" applyFill="1" applyBorder="1" applyAlignment="1">
      <alignment horizontal="left" vertical="center"/>
    </xf>
    <xf numFmtId="0" fontId="111" fillId="10" borderId="26" xfId="63" applyFont="1" applyFill="1" applyBorder="1" applyAlignment="1">
      <alignment horizontal="left" vertical="center"/>
    </xf>
    <xf numFmtId="165" fontId="116" fillId="13" borderId="77" xfId="63" applyNumberFormat="1" applyFont="1" applyFill="1" applyBorder="1" applyAlignment="1">
      <alignment horizontal="center" vertical="center"/>
    </xf>
    <xf numFmtId="165" fontId="116" fillId="13" borderId="78" xfId="63" applyNumberFormat="1" applyFont="1" applyFill="1" applyBorder="1" applyAlignment="1">
      <alignment horizontal="center" vertical="center"/>
    </xf>
    <xf numFmtId="0" fontId="116" fillId="13" borderId="77" xfId="63" applyFont="1" applyFill="1" applyBorder="1" applyAlignment="1">
      <alignment horizontal="center" vertical="center"/>
    </xf>
    <xf numFmtId="0" fontId="116" fillId="13" borderId="76" xfId="63" applyFont="1" applyFill="1" applyBorder="1" applyAlignment="1">
      <alignment horizontal="center" vertical="center"/>
    </xf>
    <xf numFmtId="0" fontId="115" fillId="13" borderId="75" xfId="63" applyFont="1" applyFill="1" applyBorder="1" applyAlignment="1">
      <alignment horizontal="left" vertical="center"/>
    </xf>
    <xf numFmtId="0" fontId="115" fillId="13" borderId="76" xfId="63" applyFont="1" applyFill="1" applyBorder="1" applyAlignment="1">
      <alignment horizontal="left" vertical="center"/>
    </xf>
    <xf numFmtId="165" fontId="121" fillId="0" borderId="66" xfId="63" applyNumberFormat="1" applyFont="1" applyBorder="1" applyAlignment="1">
      <alignment horizontal="center" vertical="center"/>
    </xf>
    <xf numFmtId="165" fontId="121" fillId="0" borderId="74" xfId="63" applyNumberFormat="1" applyFont="1" applyBorder="1" applyAlignment="1">
      <alignment horizontal="center" vertical="center"/>
    </xf>
    <xf numFmtId="0" fontId="121" fillId="0" borderId="66" xfId="63" applyFont="1" applyBorder="1" applyAlignment="1">
      <alignment horizontal="center" vertical="center"/>
    </xf>
    <xf numFmtId="0" fontId="121" fillId="0" borderId="26" xfId="63" applyFont="1" applyBorder="1" applyAlignment="1">
      <alignment horizontal="center" vertical="center"/>
    </xf>
    <xf numFmtId="165" fontId="111" fillId="0" borderId="66" xfId="63" applyNumberFormat="1" applyFont="1" applyBorder="1" applyAlignment="1">
      <alignment horizontal="center" vertical="center"/>
    </xf>
    <xf numFmtId="165" fontId="111" fillId="0" borderId="74" xfId="63" applyNumberFormat="1" applyFont="1" applyBorder="1" applyAlignment="1">
      <alignment horizontal="center" vertical="center"/>
    </xf>
    <xf numFmtId="0" fontId="45" fillId="9" borderId="0" xfId="63" applyFont="1" applyFill="1" applyAlignment="1">
      <alignment horizontal="center"/>
    </xf>
    <xf numFmtId="0" fontId="123" fillId="9" borderId="0" xfId="63" applyFont="1" applyFill="1" applyAlignment="1">
      <alignment horizontal="center" vertical="center"/>
    </xf>
    <xf numFmtId="0" fontId="111" fillId="9" borderId="92" xfId="0" applyFont="1" applyFill="1" applyBorder="1" applyAlignment="1">
      <alignment horizontal="center" vertical="center"/>
    </xf>
    <xf numFmtId="0" fontId="111" fillId="9" borderId="93" xfId="0" applyFont="1" applyFill="1" applyBorder="1" applyAlignment="1">
      <alignment horizontal="center" vertical="center"/>
    </xf>
    <xf numFmtId="0" fontId="125" fillId="9" borderId="88" xfId="147" applyFont="1" applyFill="1" applyBorder="1" applyAlignment="1" applyProtection="1">
      <alignment horizontal="center" vertical="center" wrapText="1"/>
      <protection locked="0"/>
    </xf>
    <xf numFmtId="0" fontId="125" fillId="9" borderId="86" xfId="147" applyFont="1" applyFill="1" applyBorder="1" applyAlignment="1" applyProtection="1">
      <alignment horizontal="center" vertical="center" wrapText="1"/>
      <protection locked="0"/>
    </xf>
    <xf numFmtId="0" fontId="125" fillId="9" borderId="89" xfId="147" applyFont="1" applyFill="1" applyBorder="1" applyAlignment="1" applyProtection="1">
      <alignment horizontal="center" vertical="center" wrapText="1"/>
      <protection locked="0"/>
    </xf>
    <xf numFmtId="0" fontId="125" fillId="9" borderId="87" xfId="147" applyFont="1" applyFill="1" applyBorder="1" applyAlignment="1" applyProtection="1">
      <alignment horizontal="center" vertical="center" wrapText="1"/>
      <protection locked="0"/>
    </xf>
    <xf numFmtId="0" fontId="110" fillId="19" borderId="94" xfId="0" applyFont="1" applyFill="1" applyBorder="1" applyAlignment="1">
      <alignment horizontal="center" vertical="center"/>
    </xf>
    <xf numFmtId="0" fontId="110" fillId="19" borderId="95" xfId="0" applyFont="1" applyFill="1" applyBorder="1" applyAlignment="1">
      <alignment horizontal="center" vertical="center"/>
    </xf>
    <xf numFmtId="0" fontId="110" fillId="19" borderId="96" xfId="0" applyFont="1" applyFill="1" applyBorder="1" applyAlignment="1">
      <alignment horizontal="center" vertical="center"/>
    </xf>
    <xf numFmtId="0" fontId="110" fillId="19" borderId="97" xfId="0" applyFont="1" applyFill="1" applyBorder="1" applyAlignment="1">
      <alignment horizontal="center" vertical="center"/>
    </xf>
    <xf numFmtId="0" fontId="110" fillId="19" borderId="93" xfId="0" applyFont="1" applyFill="1" applyBorder="1" applyAlignment="1">
      <alignment horizontal="center" vertical="center"/>
    </xf>
    <xf numFmtId="0" fontId="110" fillId="19" borderId="98" xfId="0" applyFont="1" applyFill="1" applyBorder="1" applyAlignment="1">
      <alignment horizontal="center" vertical="center"/>
    </xf>
    <xf numFmtId="0" fontId="107" fillId="20" borderId="99" xfId="0" applyFont="1" applyFill="1" applyBorder="1" applyAlignment="1">
      <alignment horizontal="center" vertical="center" wrapText="1"/>
    </xf>
    <xf numFmtId="0" fontId="107" fillId="20" borderId="101" xfId="0" applyFont="1" applyFill="1" applyBorder="1" applyAlignment="1">
      <alignment horizontal="center" vertical="center" wrapText="1"/>
    </xf>
    <xf numFmtId="0" fontId="107" fillId="20" borderId="90" xfId="0" applyFont="1" applyFill="1" applyBorder="1" applyAlignment="1">
      <alignment horizontal="center" vertical="center" wrapText="1"/>
    </xf>
    <xf numFmtId="0" fontId="107" fillId="20" borderId="91" xfId="0" applyFont="1" applyFill="1" applyBorder="1" applyAlignment="1">
      <alignment horizontal="center" vertical="center" wrapText="1"/>
    </xf>
    <xf numFmtId="0" fontId="0" fillId="0" borderId="0" xfId="0" applyAlignment="1">
      <alignment horizontal="center"/>
    </xf>
    <xf numFmtId="0" fontId="36" fillId="0" borderId="25" xfId="0" applyFont="1" applyBorder="1" applyAlignment="1">
      <alignment horizontal="center"/>
    </xf>
    <xf numFmtId="0" fontId="36" fillId="0" borderId="26" xfId="0" applyFont="1" applyBorder="1" applyAlignment="1">
      <alignment horizontal="center"/>
    </xf>
  </cellXfs>
  <cellStyles count="149">
    <cellStyle name="Buena" xfId="110" xr:uid="{BDB46A04-FF45-4539-B3FE-F77AC4E9BD69}"/>
    <cellStyle name="Celda de comprobación" xfId="109" xr:uid="{0E0B8D41-426B-4DA4-BD19-8063BBEDE9F9}"/>
    <cellStyle name="Celda vinculada" xfId="113" xr:uid="{1D76971F-F5F5-429E-9EA6-A2DEA2A8354A}"/>
    <cellStyle name="Comma 2" xfId="82" xr:uid="{00000000-0005-0000-0000-000000000000}"/>
    <cellStyle name="Comma 3" xfId="85" xr:uid="{00000000-0005-0000-0000-000001000000}"/>
    <cellStyle name="Encabezado 4" xfId="114" xr:uid="{4681740A-8BD5-4FE8-A85A-CD062ECC940D}"/>
    <cellStyle name="Entrada" xfId="115" xr:uid="{ABEDC450-490D-40BD-BEB1-906808473EA0}"/>
    <cellStyle name="Euro" xfId="1" xr:uid="{00000000-0005-0000-0000-000002000000}"/>
    <cellStyle name="Euro 2" xfId="2" xr:uid="{00000000-0005-0000-0000-000003000000}"/>
    <cellStyle name="Euro 2 2" xfId="90" xr:uid="{00000000-0005-0000-0000-000004000000}"/>
    <cellStyle name="Euro 3" xfId="8" xr:uid="{00000000-0005-0000-0000-000005000000}"/>
    <cellStyle name="Euro 4" xfId="10" xr:uid="{00000000-0005-0000-0000-000006000000}"/>
    <cellStyle name="Euro 5" xfId="14" xr:uid="{00000000-0005-0000-0000-000007000000}"/>
    <cellStyle name="Euro 6" xfId="60" xr:uid="{00000000-0005-0000-0000-000008000000}"/>
    <cellStyle name="Euro 7" xfId="66" xr:uid="{00000000-0005-0000-0000-000009000000}"/>
    <cellStyle name="Euro 8" xfId="74" xr:uid="{00000000-0005-0000-0000-00000A000000}"/>
    <cellStyle name="Euro 9" xfId="83" xr:uid="{00000000-0005-0000-0000-00000B000000}"/>
    <cellStyle name="Euro_FCS" xfId="3" xr:uid="{00000000-0005-0000-0000-00000C000000}"/>
    <cellStyle name="Hyperlink 2" xfId="11" xr:uid="{00000000-0005-0000-0000-00000D000000}"/>
    <cellStyle name="Millares 2" xfId="15" xr:uid="{00000000-0005-0000-0000-00000E000000}"/>
    <cellStyle name="Millares 2 2" xfId="69" xr:uid="{00000000-0005-0000-0000-00000F000000}"/>
    <cellStyle name="Millares 2 3" xfId="91" xr:uid="{00000000-0005-0000-0000-000010000000}"/>
    <cellStyle name="Millares 2 3 2" xfId="143" xr:uid="{D7B43A0C-4C44-4837-BAE6-7B657A45DBD4}"/>
    <cellStyle name="Millares 2 4" xfId="95" xr:uid="{00000000-0005-0000-0000-000011000000}"/>
    <cellStyle name="Neutral 2" xfId="16" xr:uid="{00000000-0005-0000-0000-000012000000}"/>
    <cellStyle name="Neutral 3" xfId="116" xr:uid="{B265AD01-2AF6-4C4E-B9DA-53DBFF564765}"/>
    <cellStyle name="Normal" xfId="0" builtinId="0"/>
    <cellStyle name="Normal 10" xfId="33" xr:uid="{00000000-0005-0000-0000-000014000000}"/>
    <cellStyle name="Normal 10 2" xfId="63" xr:uid="{00000000-0005-0000-0000-000015000000}"/>
    <cellStyle name="Normal 11" xfId="34" xr:uid="{00000000-0005-0000-0000-000016000000}"/>
    <cellStyle name="Normal 11 2" xfId="87" xr:uid="{00000000-0005-0000-0000-000017000000}"/>
    <cellStyle name="Normal 12" xfId="36" xr:uid="{00000000-0005-0000-0000-000018000000}"/>
    <cellStyle name="Normal 12 2" xfId="89" xr:uid="{00000000-0005-0000-0000-000019000000}"/>
    <cellStyle name="Normal 13" xfId="39" xr:uid="{00000000-0005-0000-0000-00001A000000}"/>
    <cellStyle name="Normal 14" xfId="42" xr:uid="{00000000-0005-0000-0000-00001B000000}"/>
    <cellStyle name="Normal 15" xfId="45" xr:uid="{00000000-0005-0000-0000-00001C000000}"/>
    <cellStyle name="Normal 15 2" xfId="144" xr:uid="{327500CE-8E6B-4A0E-B57B-EC4CB82B64F8}"/>
    <cellStyle name="Normal 16" xfId="47" xr:uid="{00000000-0005-0000-0000-00001D000000}"/>
    <cellStyle name="Normal 17" xfId="49" xr:uid="{00000000-0005-0000-0000-00001E000000}"/>
    <cellStyle name="Normal 18" xfId="57" xr:uid="{00000000-0005-0000-0000-00001F000000}"/>
    <cellStyle name="Normal 19" xfId="59" xr:uid="{00000000-0005-0000-0000-000020000000}"/>
    <cellStyle name="Normal 19 2" xfId="148" xr:uid="{E5884352-6D62-4754-B9C5-4D8C37F56709}"/>
    <cellStyle name="Normal 2" xfId="4" xr:uid="{00000000-0005-0000-0000-000021000000}"/>
    <cellStyle name="Normal 2 2" xfId="17" xr:uid="{00000000-0005-0000-0000-000022000000}"/>
    <cellStyle name="Normal 2 2 2" xfId="147" xr:uid="{FB306259-6D2C-4AC5-93DF-04E397C58FE8}"/>
    <cellStyle name="Normal 2 3" xfId="103" xr:uid="{7F9EC0F3-2D41-49F5-BF28-5B352B2ED881}"/>
    <cellStyle name="Normal 20" xfId="62" xr:uid="{00000000-0005-0000-0000-000023000000}"/>
    <cellStyle name="Normal 21" xfId="65" xr:uid="{00000000-0005-0000-0000-000024000000}"/>
    <cellStyle name="Normal 22" xfId="68" xr:uid="{00000000-0005-0000-0000-000025000000}"/>
    <cellStyle name="Normal 23" xfId="71" xr:uid="{00000000-0005-0000-0000-000026000000}"/>
    <cellStyle name="Normal 24" xfId="75" xr:uid="{00000000-0005-0000-0000-000027000000}"/>
    <cellStyle name="Normal 25" xfId="76" xr:uid="{00000000-0005-0000-0000-000028000000}"/>
    <cellStyle name="Normal 26" xfId="78" xr:uid="{00000000-0005-0000-0000-000029000000}"/>
    <cellStyle name="Normal 27" xfId="81" xr:uid="{00000000-0005-0000-0000-00002A000000}"/>
    <cellStyle name="Normal 28" xfId="86" xr:uid="{00000000-0005-0000-0000-00002B000000}"/>
    <cellStyle name="Normal 29" xfId="94" xr:uid="{00000000-0005-0000-0000-00002C000000}"/>
    <cellStyle name="Normal 3" xfId="5" xr:uid="{00000000-0005-0000-0000-00002D000000}"/>
    <cellStyle name="Normal 3 2" xfId="19" xr:uid="{00000000-0005-0000-0000-00002E000000}"/>
    <cellStyle name="Normal 3 3" xfId="18" xr:uid="{00000000-0005-0000-0000-00002F000000}"/>
    <cellStyle name="Normal 3_FCS" xfId="28" xr:uid="{00000000-0005-0000-0000-000030000000}"/>
    <cellStyle name="Normal 30" xfId="97" xr:uid="{00000000-0005-0000-0000-000031000000}"/>
    <cellStyle name="Normal 31" xfId="99" xr:uid="{00000000-0005-0000-0000-000032000000}"/>
    <cellStyle name="Normal 32" xfId="100" xr:uid="{00000000-0005-0000-0000-000033000000}"/>
    <cellStyle name="Normal 33" xfId="101" xr:uid="{311D51EE-AD7A-40D5-8F63-305112174D32}"/>
    <cellStyle name="Normal 34" xfId="104" xr:uid="{8100A652-D258-4A1D-A025-29B6087BB22C}"/>
    <cellStyle name="Normal 35" xfId="105" xr:uid="{0DCB7A1E-3E7D-48D2-AA6A-F02938218A5B}"/>
    <cellStyle name="Normal 36" xfId="106" xr:uid="{7B47C966-5F7E-4364-9E53-69210CC7B441}"/>
    <cellStyle name="Normal 37" xfId="107" xr:uid="{7A26482D-C86E-414C-BCE7-A827DEFC8F5F}"/>
    <cellStyle name="Normal 38" xfId="108" xr:uid="{06DA82BA-617F-4051-8776-BB62AFF1F684}"/>
    <cellStyle name="Normal 39" xfId="111" xr:uid="{FF427F07-FF73-4CEA-8AD5-B20F3B921B63}"/>
    <cellStyle name="Normal 4" xfId="6" xr:uid="{00000000-0005-0000-0000-000034000000}"/>
    <cellStyle name="Normal 4 10" xfId="48" xr:uid="{00000000-0005-0000-0000-000035000000}"/>
    <cellStyle name="Normal 4 11" xfId="50" xr:uid="{00000000-0005-0000-0000-000036000000}"/>
    <cellStyle name="Normal 4 12" xfId="58" xr:uid="{00000000-0005-0000-0000-000037000000}"/>
    <cellStyle name="Normal 4 13" xfId="64" xr:uid="{00000000-0005-0000-0000-000038000000}"/>
    <cellStyle name="Normal 4 14" xfId="70" xr:uid="{00000000-0005-0000-0000-000039000000}"/>
    <cellStyle name="Normal 4 15" xfId="72" xr:uid="{00000000-0005-0000-0000-00003A000000}"/>
    <cellStyle name="Normal 4 16" xfId="77" xr:uid="{00000000-0005-0000-0000-00003B000000}"/>
    <cellStyle name="Normal 4 17" xfId="79" xr:uid="{00000000-0005-0000-0000-00003C000000}"/>
    <cellStyle name="Normal 4 18" xfId="88" xr:uid="{00000000-0005-0000-0000-00003D000000}"/>
    <cellStyle name="Normal 4 19" xfId="92" xr:uid="{00000000-0005-0000-0000-00003E000000}"/>
    <cellStyle name="Normal 4 2" xfId="20" xr:uid="{00000000-0005-0000-0000-00003F000000}"/>
    <cellStyle name="Normal 4 20" xfId="96" xr:uid="{00000000-0005-0000-0000-000040000000}"/>
    <cellStyle name="Normal 4 21" xfId="98" xr:uid="{00000000-0005-0000-0000-000041000000}"/>
    <cellStyle name="Normal 4 22" xfId="102" xr:uid="{07E7C361-959D-4C6F-9EBE-8B7CA8F47593}"/>
    <cellStyle name="Normal 4 23" xfId="112" xr:uid="{CBE4EA4E-C976-4760-B71A-8CECE7DA61AA}"/>
    <cellStyle name="Normal 4 24" xfId="122" xr:uid="{39632048-FD80-4C00-9E43-A4781D8B0A4C}"/>
    <cellStyle name="Normal 4 25" xfId="124" xr:uid="{17B46773-8E87-4F3E-B5A4-8BF831ABAA40}"/>
    <cellStyle name="Normal 4 26" xfId="126" xr:uid="{B3A79CE9-EFBC-431A-8609-BAB71E72B7F7}"/>
    <cellStyle name="Normal 4 27" xfId="130" xr:uid="{D99D4F6C-1A57-4320-BD25-C736087233FD}"/>
    <cellStyle name="Normal 4 28" xfId="132" xr:uid="{C79D15BA-4860-49B6-BBF3-EDEB05552862}"/>
    <cellStyle name="Normal 4 29" xfId="134" xr:uid="{8953C9BC-0F7E-471B-8D62-6D7E09A47FA2}"/>
    <cellStyle name="Normal 4 3" xfId="26" xr:uid="{00000000-0005-0000-0000-000042000000}"/>
    <cellStyle name="Normal 4 30" xfId="136" xr:uid="{84FED70B-9A98-42C3-B772-19F5281D39B6}"/>
    <cellStyle name="Normal 4 31" xfId="138" xr:uid="{888F075B-0CAA-44DE-A6A0-BC8C4E1BF359}"/>
    <cellStyle name="Normal 4 32" xfId="142" xr:uid="{13687662-8A75-4F76-8CDE-FF5F31C3D647}"/>
    <cellStyle name="Normal 4 33" xfId="146" xr:uid="{FAAC0D26-D54B-44CD-935E-D54B9DE5EF1B}"/>
    <cellStyle name="Normal 4 4" xfId="32" xr:uid="{00000000-0005-0000-0000-000043000000}"/>
    <cellStyle name="Normal 4 5" xfId="35" xr:uid="{00000000-0005-0000-0000-000044000000}"/>
    <cellStyle name="Normal 4 6" xfId="37" xr:uid="{00000000-0005-0000-0000-000045000000}"/>
    <cellStyle name="Normal 4 7" xfId="40" xr:uid="{00000000-0005-0000-0000-000046000000}"/>
    <cellStyle name="Normal 4 8" xfId="43" xr:uid="{00000000-0005-0000-0000-000047000000}"/>
    <cellStyle name="Normal 4 9" xfId="46" xr:uid="{00000000-0005-0000-0000-000048000000}"/>
    <cellStyle name="Normal 4_FCS" xfId="29" xr:uid="{00000000-0005-0000-0000-000049000000}"/>
    <cellStyle name="Normal 40" xfId="121" xr:uid="{E7E2A964-9C90-49FE-9A40-5098BE9406BA}"/>
    <cellStyle name="Normal 41" xfId="123" xr:uid="{47D49AD0-4DAD-481C-BA66-63AD097007D1}"/>
    <cellStyle name="Normal 42" xfId="125" xr:uid="{33FF5B79-2AC3-4433-8B56-5A9B273AD985}"/>
    <cellStyle name="Normal 43" xfId="127" xr:uid="{BFB9B838-4402-42C8-8396-9B407EF04A03}"/>
    <cellStyle name="Normal 44" xfId="129" xr:uid="{964C1E13-451E-4324-868D-603D20A9B570}"/>
    <cellStyle name="Normal 45" xfId="131" xr:uid="{F43E3B2B-B4F9-4978-B29C-EAEE7A81B277}"/>
    <cellStyle name="Normal 46" xfId="133" xr:uid="{9E608F17-88FA-4CDE-9EBB-0C70D8773A82}"/>
    <cellStyle name="Normal 47" xfId="135" xr:uid="{847B60DE-3AA8-402C-AF37-6FC6A6DB13CA}"/>
    <cellStyle name="Normal 48" xfId="137" xr:uid="{BFA36F9E-2437-46D2-BE07-BF1FEEF3923D}"/>
    <cellStyle name="Normal 49" xfId="139" xr:uid="{DF6B536E-B522-4F06-8F87-5EE7F32F5CBD}"/>
    <cellStyle name="Normal 5" xfId="7" xr:uid="{00000000-0005-0000-0000-00004A000000}"/>
    <cellStyle name="Normal 5 2" xfId="21" xr:uid="{00000000-0005-0000-0000-00004B000000}"/>
    <cellStyle name="Normal 5_FCS" xfId="30" xr:uid="{00000000-0005-0000-0000-00004C000000}"/>
    <cellStyle name="Normal 50" xfId="140" xr:uid="{D44708CF-688A-471F-B57B-0099C0381DFD}"/>
    <cellStyle name="Normal 51" xfId="141" xr:uid="{67B6E5F0-0EDD-4B1E-B13E-5E5E0B287321}"/>
    <cellStyle name="Normal 52" xfId="145" xr:uid="{ADD31C12-919D-417D-981E-74C1572A8242}"/>
    <cellStyle name="Normal 6" xfId="22" xr:uid="{00000000-0005-0000-0000-00004D000000}"/>
    <cellStyle name="Normal 6 2" xfId="27" xr:uid="{00000000-0005-0000-0000-00004E000000}"/>
    <cellStyle name="Normal 6 2 2" xfId="51" xr:uid="{00000000-0005-0000-0000-00004F000000}"/>
    <cellStyle name="Normal 7" xfId="13" xr:uid="{00000000-0005-0000-0000-000050000000}"/>
    <cellStyle name="Normal 7 2" xfId="38" xr:uid="{00000000-0005-0000-0000-000051000000}"/>
    <cellStyle name="Normal 7 2 2" xfId="52" xr:uid="{00000000-0005-0000-0000-000052000000}"/>
    <cellStyle name="Normal 7 3" xfId="41" xr:uid="{00000000-0005-0000-0000-000053000000}"/>
    <cellStyle name="Normal 7 4" xfId="44" xr:uid="{00000000-0005-0000-0000-000054000000}"/>
    <cellStyle name="Normal 8" xfId="25" xr:uid="{00000000-0005-0000-0000-000055000000}"/>
    <cellStyle name="Normal 8 2" xfId="54" xr:uid="{00000000-0005-0000-0000-000056000000}"/>
    <cellStyle name="Normal 8 3" xfId="53" xr:uid="{00000000-0005-0000-0000-000057000000}"/>
    <cellStyle name="Normal 9" xfId="31" xr:uid="{00000000-0005-0000-0000-000058000000}"/>
    <cellStyle name="Normal 9 2" xfId="55" xr:uid="{00000000-0005-0000-0000-000059000000}"/>
    <cellStyle name="Notas" xfId="117" xr:uid="{A757411D-694C-439A-8308-8C8CE8FAFE4E}"/>
    <cellStyle name="Percent 2" xfId="9" xr:uid="{00000000-0005-0000-0000-00005B000000}"/>
    <cellStyle name="Percent 2 2" xfId="56" xr:uid="{00000000-0005-0000-0000-00005C000000}"/>
    <cellStyle name="Percent 3" xfId="12" xr:uid="{00000000-0005-0000-0000-00005D000000}"/>
    <cellStyle name="Percent 3 2" xfId="93" xr:uid="{00000000-0005-0000-0000-00005E000000}"/>
    <cellStyle name="Percent 4" xfId="23" xr:uid="{00000000-0005-0000-0000-00005F000000}"/>
    <cellStyle name="Percent 5" xfId="61" xr:uid="{00000000-0005-0000-0000-000060000000}"/>
    <cellStyle name="Percent 6" xfId="67" xr:uid="{00000000-0005-0000-0000-000061000000}"/>
    <cellStyle name="Percent 7" xfId="73" xr:uid="{00000000-0005-0000-0000-000062000000}"/>
    <cellStyle name="Percent 8" xfId="84" xr:uid="{00000000-0005-0000-0000-000063000000}"/>
    <cellStyle name="Porcentaje 2" xfId="80" xr:uid="{00000000-0005-0000-0000-000064000000}"/>
    <cellStyle name="Porcentaje 3" xfId="128" xr:uid="{EDB39D3B-68A8-4296-8A8E-81BE24A5B983}"/>
    <cellStyle name="Texto de advertencia" xfId="118" xr:uid="{CD69BDE1-9781-45C5-BD11-0EA7C2FA7BED}"/>
    <cellStyle name="Título 1" xfId="119" xr:uid="{FAE3013F-6524-4CB0-8644-85C9ACA8D90A}"/>
    <cellStyle name="Total 2" xfId="24" xr:uid="{00000000-0005-0000-0000-000065000000}"/>
    <cellStyle name="Total 3" xfId="120" xr:uid="{9312A316-1FD1-46F8-A0DF-62D05B19D1F9}"/>
  </cellStyles>
  <dxfs count="186">
    <dxf>
      <font>
        <b/>
        <i val="0"/>
        <color rgb="FFFF0000"/>
      </font>
    </dxf>
    <dxf>
      <font>
        <b/>
        <i val="0"/>
        <color rgb="FF0000FF"/>
      </font>
    </dxf>
    <dxf>
      <font>
        <b/>
        <i val="0"/>
        <color rgb="FF0000FF"/>
      </font>
    </dxf>
    <dxf>
      <font>
        <b/>
        <i val="0"/>
        <color rgb="FFFF0000"/>
      </font>
    </dxf>
    <dxf>
      <font>
        <b/>
        <i val="0"/>
        <color rgb="FFFF0000"/>
      </font>
    </dxf>
    <dxf>
      <font>
        <b/>
        <i val="0"/>
        <color rgb="FF0000FF"/>
      </font>
    </dxf>
    <dxf>
      <font>
        <b/>
        <i val="0"/>
        <color rgb="FF0000FF"/>
      </font>
    </dxf>
    <dxf>
      <font>
        <b/>
        <i val="0"/>
        <color rgb="FFFF0000"/>
      </font>
    </dxf>
    <dxf>
      <font>
        <b/>
        <i val="0"/>
        <color rgb="FF0000FF"/>
      </font>
    </dxf>
    <dxf>
      <font>
        <b/>
        <i val="0"/>
        <color rgb="FFFF0000"/>
      </font>
    </dxf>
    <dxf>
      <font>
        <b/>
        <i val="0"/>
        <color rgb="FF0000FF"/>
      </font>
    </dxf>
    <dxf>
      <font>
        <b/>
        <i val="0"/>
        <color rgb="FFFF0000"/>
      </font>
    </dxf>
    <dxf>
      <font>
        <b/>
        <i val="0"/>
        <color rgb="FF0000FF"/>
      </font>
    </dxf>
    <dxf>
      <font>
        <b/>
        <i val="0"/>
        <color rgb="FFFF0000"/>
      </font>
    </dxf>
    <dxf>
      <font>
        <b/>
        <i val="0"/>
        <color rgb="FF0000FF"/>
      </font>
    </dxf>
    <dxf>
      <font>
        <b/>
        <i val="0"/>
        <color rgb="FFFF0000"/>
      </font>
    </dxf>
    <dxf>
      <font>
        <b/>
        <i val="0"/>
        <color rgb="FF0000FF"/>
      </font>
    </dxf>
    <dxf>
      <font>
        <b/>
        <i val="0"/>
        <color rgb="FFFF0000"/>
      </font>
    </dxf>
    <dxf>
      <font>
        <b/>
        <i val="0"/>
        <color rgb="FF0000FF"/>
      </font>
    </dxf>
    <dxf>
      <font>
        <b/>
        <i val="0"/>
        <color rgb="FFFF0000"/>
      </font>
    </dxf>
    <dxf>
      <font>
        <b/>
        <i val="0"/>
        <color rgb="FFFF0000"/>
      </font>
    </dxf>
    <dxf>
      <font>
        <b/>
        <i val="0"/>
        <color rgb="FF0000FF"/>
      </font>
    </dxf>
    <dxf>
      <font>
        <b/>
        <i val="0"/>
        <color rgb="FF0000FF"/>
      </font>
    </dxf>
    <dxf>
      <font>
        <b/>
        <i val="0"/>
        <color rgb="FFFF0000"/>
      </font>
    </dxf>
    <dxf>
      <font>
        <b/>
        <i val="0"/>
        <color rgb="FFFF0000"/>
      </font>
    </dxf>
    <dxf>
      <font>
        <b/>
        <i val="0"/>
        <color rgb="FF0000FF"/>
      </font>
    </dxf>
    <dxf>
      <font>
        <b/>
        <i val="0"/>
        <color rgb="FF0000FF"/>
      </font>
    </dxf>
    <dxf>
      <font>
        <b/>
        <i val="0"/>
        <color rgb="FFFF0000"/>
      </font>
    </dxf>
    <dxf>
      <font>
        <b/>
        <i val="0"/>
        <color rgb="FF0000FF"/>
      </font>
    </dxf>
    <dxf>
      <font>
        <b/>
        <i val="0"/>
        <color rgb="FFFF0000"/>
      </font>
    </dxf>
    <dxf>
      <font>
        <b/>
        <i val="0"/>
        <color rgb="FFFF0000"/>
      </font>
    </dxf>
    <dxf>
      <font>
        <b/>
        <i val="0"/>
        <color rgb="FF0000FF"/>
      </font>
    </dxf>
    <dxf>
      <font>
        <b/>
        <i val="0"/>
        <color rgb="FF0000FF"/>
      </font>
    </dxf>
    <dxf>
      <font>
        <b/>
        <i val="0"/>
        <color rgb="FFFF0000"/>
      </font>
    </dxf>
    <dxf>
      <font>
        <b/>
        <i val="0"/>
        <color rgb="FF0000FF"/>
      </font>
    </dxf>
    <dxf>
      <font>
        <b/>
        <i val="0"/>
        <color rgb="FFFF0000"/>
      </font>
    </dxf>
    <dxf>
      <font>
        <b/>
        <i val="0"/>
        <color rgb="FF0000FF"/>
      </font>
    </dxf>
    <dxf>
      <font>
        <b/>
        <i val="0"/>
        <color rgb="FFFF0000"/>
      </font>
    </dxf>
    <dxf>
      <font>
        <b/>
        <i val="0"/>
        <color rgb="FF0000FF"/>
      </font>
    </dxf>
    <dxf>
      <font>
        <b/>
        <i val="0"/>
        <color rgb="FFFF0000"/>
      </font>
    </dxf>
    <dxf>
      <font>
        <b/>
        <i val="0"/>
        <color rgb="FF0000FF"/>
      </font>
    </dxf>
    <dxf>
      <font>
        <b/>
        <i val="0"/>
        <color rgb="FFFF0000"/>
      </font>
    </dxf>
    <dxf>
      <font>
        <b/>
        <i val="0"/>
        <color rgb="FF0000FF"/>
      </font>
    </dxf>
    <dxf>
      <font>
        <b/>
        <i val="0"/>
        <color rgb="FFFF0000"/>
      </font>
    </dxf>
    <dxf>
      <font>
        <b/>
        <i val="0"/>
        <color rgb="FF0000FF"/>
      </font>
    </dxf>
    <dxf>
      <font>
        <b/>
        <i val="0"/>
        <color rgb="FFFF0000"/>
      </font>
    </dxf>
    <dxf>
      <font>
        <b/>
        <i val="0"/>
        <color rgb="FF0000FF"/>
      </font>
    </dxf>
    <dxf>
      <font>
        <b/>
        <i val="0"/>
        <color rgb="FFFF0000"/>
      </font>
    </dxf>
    <dxf>
      <font>
        <b/>
        <i val="0"/>
        <color rgb="FFFF0000"/>
      </font>
    </dxf>
    <dxf>
      <font>
        <b/>
        <i val="0"/>
        <color rgb="FF0000FF"/>
      </font>
    </dxf>
    <dxf>
      <font>
        <b/>
        <i val="0"/>
        <color rgb="FFFF0000"/>
      </font>
    </dxf>
    <dxf>
      <font>
        <b/>
        <i val="0"/>
        <color rgb="FF0000FF"/>
      </font>
    </dxf>
    <dxf>
      <font>
        <color rgb="FF9C0006"/>
      </font>
      <fill>
        <patternFill>
          <bgColor rgb="FFFFC7CE"/>
        </patternFill>
      </fill>
    </dxf>
    <dxf>
      <fill>
        <patternFill>
          <bgColor theme="0"/>
        </patternFill>
      </fill>
      <border>
        <top style="thin">
          <color rgb="FFFF0000"/>
        </top>
        <bottom style="thin">
          <color rgb="FFFF0000"/>
        </bottom>
        <vertical/>
        <horizontal/>
      </border>
    </dxf>
    <dxf>
      <font>
        <color rgb="FF9C0006"/>
      </font>
    </dxf>
    <dxf>
      <font>
        <b val="0"/>
        <i val="0"/>
        <color rgb="FFC00000"/>
      </font>
      <fill>
        <patternFill>
          <bgColor rgb="FFFFC7CE"/>
        </patternFill>
      </fill>
    </dxf>
    <dxf>
      <font>
        <b/>
        <i val="0"/>
        <color rgb="FF9C0006"/>
      </font>
    </dxf>
    <dxf>
      <font>
        <b/>
        <i val="0"/>
        <color rgb="FFC00000"/>
      </font>
    </dxf>
    <dxf>
      <font>
        <color theme="1"/>
      </font>
    </dxf>
    <dxf>
      <font>
        <b/>
        <i val="0"/>
        <color rgb="FFFF0000"/>
      </font>
    </dxf>
    <dxf>
      <font>
        <b/>
        <i val="0"/>
        <color rgb="FF0000FF"/>
      </font>
    </dxf>
    <dxf>
      <font>
        <b/>
        <i val="0"/>
        <color theme="9" tint="-0.24994659260841701"/>
      </font>
      <fill>
        <patternFill>
          <bgColor theme="9" tint="0.59996337778862885"/>
        </patternFill>
      </fill>
    </dxf>
    <dxf>
      <font>
        <color rgb="FF9C0006"/>
      </font>
      <fill>
        <patternFill>
          <bgColor rgb="FFFFC7CE"/>
        </patternFill>
      </fill>
    </dxf>
    <dxf>
      <font>
        <color rgb="FF9C0006"/>
      </font>
      <fill>
        <patternFill>
          <bgColor rgb="FFFFC7CE"/>
        </patternFill>
      </fill>
    </dxf>
    <dxf>
      <font>
        <b/>
        <i val="0"/>
        <color theme="9" tint="-0.24994659260841701"/>
      </font>
      <fill>
        <patternFill>
          <bgColor theme="9" tint="0.59996337778862885"/>
        </patternFill>
      </fill>
    </dxf>
    <dxf>
      <font>
        <color rgb="FF9C0006"/>
      </font>
      <fill>
        <patternFill>
          <bgColor rgb="FFFFC7CE"/>
        </patternFill>
      </fill>
    </dxf>
    <dxf>
      <font>
        <b/>
        <i val="0"/>
        <color theme="9" tint="-0.24994659260841701"/>
      </font>
      <fill>
        <patternFill>
          <bgColor theme="9" tint="0.59996337778862885"/>
        </patternFill>
      </fill>
    </dxf>
    <dxf>
      <font>
        <color rgb="FF9C0006"/>
      </font>
      <fill>
        <patternFill>
          <bgColor rgb="FFFFC7CE"/>
        </patternFill>
      </fill>
    </dxf>
    <dxf>
      <font>
        <b/>
        <i val="0"/>
        <color theme="9" tint="-0.24994659260841701"/>
      </font>
      <fill>
        <patternFill>
          <bgColor theme="9" tint="0.59996337778862885"/>
        </patternFill>
      </fill>
    </dxf>
    <dxf>
      <font>
        <color rgb="FF9C0006"/>
      </font>
      <fill>
        <patternFill>
          <bgColor rgb="FFFFC7CE"/>
        </patternFill>
      </fill>
    </dxf>
    <dxf>
      <font>
        <b/>
        <i val="0"/>
        <color theme="9" tint="-0.24994659260841701"/>
      </font>
      <fill>
        <patternFill>
          <bgColor theme="9" tint="0.59996337778862885"/>
        </patternFill>
      </fill>
    </dxf>
    <dxf>
      <font>
        <b/>
        <i val="0"/>
        <color theme="9" tint="-0.24994659260841701"/>
      </font>
      <fill>
        <patternFill>
          <bgColor theme="9" tint="0.59996337778862885"/>
        </patternFill>
      </fill>
    </dxf>
    <dxf>
      <font>
        <color rgb="FF9C0006"/>
      </font>
      <fill>
        <patternFill>
          <bgColor rgb="FFFFC7CE"/>
        </patternFill>
      </fill>
    </dxf>
    <dxf>
      <font>
        <b/>
        <i val="0"/>
        <color theme="9" tint="-0.24994659260841701"/>
      </font>
      <fill>
        <patternFill>
          <bgColor theme="9" tint="0.59996337778862885"/>
        </patternFill>
      </fill>
    </dxf>
    <dxf>
      <font>
        <color rgb="FF9C0006"/>
      </font>
      <fill>
        <patternFill>
          <bgColor rgb="FFFFC7CE"/>
        </patternFill>
      </fill>
    </dxf>
    <dxf>
      <font>
        <b/>
        <i val="0"/>
        <color theme="9" tint="-0.24994659260841701"/>
      </font>
      <fill>
        <patternFill>
          <bgColor theme="9" tint="0.59996337778862885"/>
        </patternFill>
      </fill>
    </dxf>
    <dxf>
      <font>
        <color rgb="FF9C0006"/>
      </font>
      <fill>
        <patternFill>
          <bgColor rgb="FFFFC7CE"/>
        </patternFill>
      </fill>
    </dxf>
    <dxf>
      <font>
        <color rgb="FF9C0006"/>
      </font>
      <fill>
        <patternFill>
          <bgColor rgb="FFFFC7CE"/>
        </patternFill>
      </fill>
    </dxf>
    <dxf>
      <font>
        <b/>
        <i val="0"/>
        <color theme="9" tint="-0.24994659260841701"/>
      </font>
      <fill>
        <patternFill>
          <bgColor theme="9" tint="0.59996337778862885"/>
        </patternFill>
      </fill>
    </dxf>
    <dxf>
      <font>
        <color rgb="FF9C0006"/>
      </font>
      <fill>
        <patternFill>
          <bgColor rgb="FFFFC7CE"/>
        </patternFill>
      </fill>
    </dxf>
    <dxf>
      <font>
        <b/>
        <i val="0"/>
        <color theme="9" tint="-0.24994659260841701"/>
      </font>
      <fill>
        <patternFill>
          <bgColor theme="9" tint="0.59996337778862885"/>
        </patternFill>
      </fill>
    </dxf>
    <dxf>
      <font>
        <color rgb="FF9C0006"/>
      </font>
      <fill>
        <patternFill>
          <bgColor rgb="FFFFC7CE"/>
        </patternFill>
      </fill>
    </dxf>
    <dxf>
      <font>
        <b/>
        <i val="0"/>
        <color theme="9" tint="-0.24994659260841701"/>
      </font>
      <fill>
        <patternFill>
          <bgColor theme="9" tint="0.59996337778862885"/>
        </patternFill>
      </fill>
    </dxf>
    <dxf>
      <font>
        <color rgb="FF9C0006"/>
      </font>
      <fill>
        <patternFill>
          <bgColor rgb="FFFFC7CE"/>
        </patternFill>
      </fill>
    </dxf>
    <dxf>
      <font>
        <b/>
        <i val="0"/>
        <color theme="9" tint="-0.24994659260841701"/>
      </font>
      <fill>
        <patternFill>
          <bgColor theme="9" tint="0.59996337778862885"/>
        </patternFill>
      </fill>
    </dxf>
    <dxf>
      <font>
        <color rgb="FF9C0006"/>
      </font>
      <fill>
        <patternFill>
          <bgColor rgb="FFFFC7CE"/>
        </patternFill>
      </fill>
    </dxf>
    <dxf>
      <font>
        <b/>
        <i val="0"/>
        <color theme="9" tint="-0.24994659260841701"/>
      </font>
      <fill>
        <patternFill>
          <bgColor theme="9" tint="0.59996337778862885"/>
        </patternFill>
      </fill>
    </dxf>
    <dxf>
      <font>
        <color rgb="FF9C0006"/>
      </font>
      <fill>
        <patternFill>
          <bgColor rgb="FFFFC7CE"/>
        </patternFill>
      </fill>
    </dxf>
    <dxf>
      <font>
        <b/>
        <i val="0"/>
        <color theme="9" tint="-0.24994659260841701"/>
      </font>
      <fill>
        <patternFill>
          <bgColor theme="9" tint="0.59996337778862885"/>
        </patternFill>
      </fill>
    </dxf>
    <dxf>
      <font>
        <color rgb="FF9C0006"/>
      </font>
      <fill>
        <patternFill>
          <bgColor rgb="FFFFC7CE"/>
        </patternFill>
      </fill>
    </dxf>
    <dxf>
      <font>
        <b/>
        <i val="0"/>
        <color theme="9" tint="-0.24994659260841701"/>
      </font>
      <fill>
        <patternFill>
          <bgColor theme="9" tint="0.59996337778862885"/>
        </patternFill>
      </fill>
    </dxf>
    <dxf>
      <font>
        <color rgb="FF9C0006"/>
      </font>
      <fill>
        <patternFill>
          <bgColor rgb="FFFFC7CE"/>
        </patternFill>
      </fill>
    </dxf>
    <dxf>
      <font>
        <b/>
        <i val="0"/>
        <color theme="9" tint="-0.24994659260841701"/>
      </font>
      <fill>
        <patternFill>
          <bgColor theme="9" tint="0.59996337778862885"/>
        </patternFill>
      </fill>
    </dxf>
    <dxf>
      <font>
        <color auto="1"/>
      </font>
      <numFmt numFmtId="0" formatCode="General"/>
      <fill>
        <patternFill patternType="none">
          <fgColor indexed="64"/>
          <bgColor auto="1"/>
        </patternFill>
      </fill>
      <alignment horizontal="center" vertical="bottom" textRotation="0" wrapText="0" indent="0" justifyLastLine="0" shrinkToFit="0" readingOrder="0"/>
    </dxf>
    <dxf>
      <font>
        <sz val="9"/>
        <color auto="1"/>
      </font>
      <numFmt numFmtId="0" formatCode="General"/>
      <fill>
        <patternFill patternType="none">
          <fgColor indexed="64"/>
          <bgColor auto="1"/>
        </patternFill>
      </fill>
      <alignment horizontal="center" vertical="bottom" textRotation="0" wrapText="0" indent="0" justifyLastLine="0" shrinkToFit="0" readingOrder="0"/>
    </dxf>
    <dxf>
      <font>
        <sz val="9"/>
        <color auto="1"/>
      </font>
      <numFmt numFmtId="1" formatCode="0"/>
      <fill>
        <patternFill patternType="none">
          <fgColor indexed="64"/>
          <bgColor auto="1"/>
        </patternFill>
      </fill>
      <alignment horizontal="center" vertical="bottom" textRotation="0" wrapText="0" indent="0" justifyLastLine="0" shrinkToFit="0" readingOrder="0"/>
    </dxf>
    <dxf>
      <font>
        <sz val="9"/>
        <color auto="1"/>
      </font>
      <numFmt numFmtId="1" formatCode="0"/>
      <fill>
        <patternFill patternType="none">
          <fgColor indexed="64"/>
          <bgColor auto="1"/>
        </patternFill>
      </fill>
      <alignment horizontal="center" vertical="center" textRotation="0" wrapText="0" indent="0" justifyLastLine="0" shrinkToFit="0" readingOrder="0"/>
      <border diagonalUp="0" diagonalDown="0">
        <left style="medium">
          <color auto="1"/>
        </left>
        <right/>
        <top/>
        <bottom/>
        <vertical/>
        <horizontal/>
      </border>
    </dxf>
    <dxf>
      <font>
        <b val="0"/>
        <sz val="9"/>
        <color auto="1"/>
      </font>
      <numFmt numFmtId="1" formatCode="0"/>
      <fill>
        <patternFill patternType="none">
          <fgColor indexed="64"/>
          <bgColor indexed="65"/>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9"/>
        <color auto="1"/>
        <name val="Century Gothic"/>
        <family val="2"/>
        <scheme val="none"/>
      </font>
      <numFmt numFmtId="1" formatCode="0"/>
      <alignment horizontal="center" vertical="center" textRotation="0" wrapText="0" indent="0" justifyLastLine="0" shrinkToFit="0" readingOrder="0"/>
      <border diagonalUp="0" diagonalDown="0" outline="0">
        <left style="thin">
          <color indexed="64"/>
        </left>
        <right/>
        <top style="hair">
          <color indexed="64"/>
        </top>
        <bottom style="hair">
          <color indexed="64"/>
        </bottom>
      </border>
      <protection locked="0" hidden="0"/>
    </dxf>
    <dxf>
      <font>
        <b val="0"/>
        <i val="0"/>
        <strike val="0"/>
        <condense val="0"/>
        <extend val="0"/>
        <outline val="0"/>
        <shadow val="0"/>
        <u val="none"/>
        <vertAlign val="baseline"/>
        <sz val="9"/>
        <color auto="1"/>
        <name val="Century Gothic"/>
        <scheme val="none"/>
      </font>
      <numFmt numFmtId="1" formatCode="0"/>
      <fill>
        <patternFill patternType="none">
          <fgColor indexed="64"/>
          <bgColor indexed="65"/>
        </patternFill>
      </fill>
      <alignment horizontal="center" vertical="center" textRotation="0" wrapText="0" indent="0" justifyLastLine="0" shrinkToFit="0" readingOrder="0"/>
      <border diagonalUp="0" diagonalDown="0">
        <left/>
        <right/>
        <top style="hair">
          <color indexed="64"/>
        </top>
        <bottom style="hair">
          <color indexed="64"/>
        </bottom>
      </border>
      <protection locked="0" hidden="0"/>
    </dxf>
    <dxf>
      <font>
        <b val="0"/>
        <i val="0"/>
        <strike val="0"/>
        <condense val="0"/>
        <extend val="0"/>
        <outline val="0"/>
        <shadow val="0"/>
        <u val="none"/>
        <vertAlign val="baseline"/>
        <sz val="9"/>
        <color auto="1"/>
        <name val="Century Gothic"/>
        <family val="2"/>
        <scheme val="none"/>
      </font>
      <numFmt numFmtId="2" formatCode="0.00"/>
      <alignment horizontal="center" vertical="center" textRotation="0" wrapText="0" indent="0" justifyLastLine="0" shrinkToFit="0" readingOrder="0"/>
      <border diagonalUp="0" diagonalDown="0" outline="0">
        <left style="hair">
          <color indexed="64"/>
        </left>
        <right/>
        <top style="hair">
          <color indexed="64"/>
        </top>
        <bottom style="hair">
          <color indexed="64"/>
        </bottom>
      </border>
      <protection locked="0" hidden="0"/>
    </dxf>
    <dxf>
      <font>
        <b val="0"/>
        <i val="0"/>
        <strike val="0"/>
        <condense val="0"/>
        <extend val="0"/>
        <outline val="0"/>
        <shadow val="0"/>
        <u val="none"/>
        <vertAlign val="baseline"/>
        <sz val="9"/>
        <color auto="1"/>
        <name val="Century Gothic"/>
        <scheme val="none"/>
      </font>
      <numFmt numFmtId="2" formatCode="0.00"/>
      <fill>
        <patternFill patternType="none">
          <fgColor indexed="64"/>
          <bgColor indexed="65"/>
        </patternFill>
      </fill>
      <alignment horizontal="center" vertical="center" textRotation="0" wrapText="0" indent="0" justifyLastLine="0" shrinkToFit="0" readingOrder="0"/>
      <border diagonalUp="0" diagonalDown="0">
        <left/>
        <right/>
        <top style="hair">
          <color indexed="64"/>
        </top>
        <bottom style="hair">
          <color indexed="64"/>
        </bottom>
      </border>
      <protection locked="0" hidden="0"/>
    </dxf>
    <dxf>
      <font>
        <b val="0"/>
        <i val="0"/>
        <strike val="0"/>
        <condense val="0"/>
        <extend val="0"/>
        <outline val="0"/>
        <shadow val="0"/>
        <u val="none"/>
        <vertAlign val="baseline"/>
        <sz val="9"/>
        <color auto="1"/>
        <name val="Century Gothic"/>
        <family val="2"/>
        <scheme val="none"/>
      </font>
      <alignment horizontal="center" vertical="center" textRotation="0" wrapText="0" indent="0" justifyLastLine="0" shrinkToFit="0" readingOrder="0"/>
      <border diagonalUp="0" diagonalDown="0" outline="0">
        <left/>
        <right style="hair">
          <color indexed="64"/>
        </right>
        <top style="hair">
          <color indexed="64"/>
        </top>
        <bottom style="hair">
          <color indexed="64"/>
        </bottom>
      </border>
    </dxf>
    <dxf>
      <font>
        <b val="0"/>
        <i val="0"/>
        <strike val="0"/>
        <condense val="0"/>
        <extend val="0"/>
        <outline val="0"/>
        <shadow val="0"/>
        <u val="none"/>
        <vertAlign val="baseline"/>
        <sz val="9"/>
        <color auto="1"/>
        <name val="Century Gothic"/>
        <scheme val="none"/>
      </font>
      <fill>
        <patternFill patternType="none">
          <fgColor indexed="64"/>
          <bgColor indexed="65"/>
        </patternFill>
      </fill>
      <alignment horizontal="center" vertical="center" textRotation="0" wrapText="0" indent="0" justifyLastLine="0" shrinkToFit="0" readingOrder="0"/>
      <border diagonalUp="0" diagonalDown="0">
        <left/>
        <right/>
        <top style="hair">
          <color indexed="64"/>
        </top>
        <bottom style="hair">
          <color indexed="64"/>
        </bottom>
      </border>
      <protection locked="0" hidden="0"/>
    </dxf>
    <dxf>
      <font>
        <b/>
        <i val="0"/>
        <strike val="0"/>
        <condense val="0"/>
        <extend val="0"/>
        <outline val="0"/>
        <shadow val="0"/>
        <u val="none"/>
        <vertAlign val="baseline"/>
        <sz val="9"/>
        <color rgb="FFFF3300"/>
        <name val="Century Gothic"/>
        <family val="2"/>
        <scheme val="none"/>
      </font>
      <numFmt numFmtId="165" formatCode="0.0"/>
      <alignment horizontal="center" vertical="center" textRotation="0" wrapText="0" indent="0" justifyLastLine="0" shrinkToFit="0" readingOrder="0"/>
      <border diagonalUp="0" diagonalDown="0" outline="0">
        <left style="hair">
          <color indexed="64"/>
        </left>
        <right style="thin">
          <color indexed="64"/>
        </right>
        <top style="hair">
          <color indexed="64"/>
        </top>
        <bottom style="hair">
          <color indexed="64"/>
        </bottom>
      </border>
    </dxf>
    <dxf>
      <font>
        <b val="0"/>
        <strike val="0"/>
        <outline val="0"/>
        <shadow val="0"/>
        <u val="none"/>
        <vertAlign val="baseline"/>
        <sz val="9"/>
        <color rgb="FFFF0000"/>
        <name val="Century Gothic"/>
        <scheme val="none"/>
      </font>
      <numFmt numFmtId="165" formatCode="0.0"/>
      <fill>
        <patternFill patternType="none">
          <fgColor indexed="64"/>
          <bgColor indexed="65"/>
        </patternFill>
      </fill>
      <alignment horizontal="center" vertical="center" textRotation="0" wrapText="0" indent="0" justifyLastLine="0" shrinkToFit="0" readingOrder="0"/>
      <border diagonalUp="0" diagonalDown="0">
        <left/>
        <right/>
        <top style="hair">
          <color indexed="64"/>
        </top>
        <bottom style="hair">
          <color indexed="64"/>
        </bottom>
      </border>
      <protection locked="0" hidden="0"/>
    </dxf>
    <dxf>
      <font>
        <b val="0"/>
        <i val="0"/>
        <strike val="0"/>
        <condense val="0"/>
        <extend val="0"/>
        <outline val="0"/>
        <shadow val="0"/>
        <u val="none"/>
        <vertAlign val="baseline"/>
        <sz val="9"/>
        <color auto="1"/>
        <name val="Century Gothic"/>
        <family val="2"/>
        <scheme val="none"/>
      </font>
      <numFmt numFmtId="165" formatCode="0.0"/>
      <alignment horizontal="center" vertical="center" textRotation="0" wrapText="0" indent="0" justifyLastLine="0" shrinkToFit="0" readingOrder="0"/>
      <border diagonalUp="0" diagonalDown="0" outline="0">
        <left style="hair">
          <color indexed="64"/>
        </left>
        <right style="hair">
          <color indexed="64"/>
        </right>
        <top style="hair">
          <color indexed="64"/>
        </top>
        <bottom style="hair">
          <color indexed="64"/>
        </bottom>
      </border>
    </dxf>
    <dxf>
      <font>
        <b val="0"/>
        <i val="0"/>
        <strike val="0"/>
        <condense val="0"/>
        <extend val="0"/>
        <outline val="0"/>
        <shadow val="0"/>
        <u val="none"/>
        <vertAlign val="baseline"/>
        <sz val="9"/>
        <color auto="1"/>
        <name val="Century Gothic"/>
        <scheme val="none"/>
      </font>
      <numFmt numFmtId="165" formatCode="0.0"/>
      <fill>
        <patternFill patternType="none">
          <fgColor indexed="64"/>
          <bgColor indexed="65"/>
        </patternFill>
      </fill>
      <alignment horizontal="center" vertical="center" textRotation="0" wrapText="0" indent="0" justifyLastLine="0" shrinkToFit="0" readingOrder="0"/>
      <border diagonalUp="0" diagonalDown="0">
        <left/>
        <right/>
        <top style="hair">
          <color indexed="64"/>
        </top>
        <bottom style="hair">
          <color indexed="64"/>
        </bottom>
      </border>
      <protection locked="0" hidden="0"/>
    </dxf>
    <dxf>
      <font>
        <b val="0"/>
        <i val="0"/>
        <strike val="0"/>
        <condense val="0"/>
        <extend val="0"/>
        <outline val="0"/>
        <shadow val="0"/>
        <u val="none"/>
        <vertAlign val="baseline"/>
        <sz val="9"/>
        <color auto="1"/>
        <name val="Century Gothic"/>
        <family val="2"/>
        <scheme val="none"/>
      </font>
      <numFmt numFmtId="2" formatCode="0.00"/>
      <alignment horizontal="center" vertical="center" textRotation="0" wrapText="0" indent="0" justifyLastLine="0" shrinkToFit="0" readingOrder="0"/>
      <border diagonalUp="0" diagonalDown="0" outline="0">
        <left style="hair">
          <color indexed="64"/>
        </left>
        <right style="hair">
          <color indexed="64"/>
        </right>
        <top style="hair">
          <color indexed="64"/>
        </top>
        <bottom style="hair">
          <color indexed="64"/>
        </bottom>
      </border>
    </dxf>
    <dxf>
      <font>
        <b val="0"/>
        <sz val="9"/>
        <color auto="1"/>
      </font>
      <numFmt numFmtId="2" formatCode="0.00"/>
      <fill>
        <patternFill patternType="none">
          <fgColor indexed="64"/>
          <bgColor indexed="65"/>
        </patternFill>
      </fill>
      <alignment horizontal="center" vertical="center" textRotation="0" wrapText="0" indent="0" justifyLastLine="0" shrinkToFit="0" readingOrder="0"/>
      <border diagonalUp="0" diagonalDown="0">
        <left/>
        <right/>
        <top style="hair">
          <color indexed="64"/>
        </top>
        <bottom style="hair">
          <color indexed="64"/>
        </bottom>
      </border>
      <protection locked="0" hidden="0"/>
    </dxf>
    <dxf>
      <font>
        <b val="0"/>
        <i val="0"/>
        <strike val="0"/>
        <condense val="0"/>
        <extend val="0"/>
        <outline val="0"/>
        <shadow val="0"/>
        <u val="none"/>
        <vertAlign val="baseline"/>
        <sz val="9"/>
        <color auto="1"/>
        <name val="Century Gothic"/>
        <family val="2"/>
        <scheme val="none"/>
      </font>
      <numFmt numFmtId="30" formatCode="@"/>
      <alignment horizontal="center" vertical="center" textRotation="0" wrapText="0" indent="0" justifyLastLine="0" shrinkToFit="0" readingOrder="0"/>
      <border diagonalUp="0" diagonalDown="0" outline="0">
        <left/>
        <right style="hair">
          <color indexed="64"/>
        </right>
        <top style="hair">
          <color indexed="64"/>
        </top>
        <bottom style="hair">
          <color indexed="64"/>
        </bottom>
      </border>
    </dxf>
    <dxf>
      <font>
        <b val="0"/>
        <i val="0"/>
        <strike val="0"/>
        <condense val="0"/>
        <extend val="0"/>
        <outline val="0"/>
        <shadow val="0"/>
        <u val="none"/>
        <vertAlign val="baseline"/>
        <sz val="9"/>
        <color auto="1"/>
        <name val="Century Gothic"/>
        <scheme val="none"/>
      </font>
      <numFmt numFmtId="30" formatCode="@"/>
      <fill>
        <patternFill patternType="none">
          <fgColor indexed="64"/>
          <bgColor indexed="65"/>
        </patternFill>
      </fill>
      <alignment horizontal="center" vertical="center" textRotation="0" wrapText="0" indent="0" justifyLastLine="0" shrinkToFit="0" readingOrder="0"/>
      <border diagonalUp="0" diagonalDown="0">
        <left/>
        <right/>
        <top style="hair">
          <color indexed="64"/>
        </top>
        <bottom style="hair">
          <color indexed="64"/>
        </bottom>
      </border>
      <protection locked="0" hidden="0"/>
    </dxf>
    <dxf>
      <font>
        <b val="0"/>
        <i val="0"/>
        <strike val="0"/>
        <condense val="0"/>
        <extend val="0"/>
        <outline val="0"/>
        <shadow val="0"/>
        <u val="none"/>
        <vertAlign val="baseline"/>
        <sz val="9"/>
        <color auto="1"/>
        <name val="Century Gothic"/>
        <family val="2"/>
        <scheme val="none"/>
      </font>
      <numFmt numFmtId="2" formatCode="0.00"/>
      <alignment horizontal="center" vertical="center" textRotation="0" wrapText="0" indent="0" justifyLastLine="0" shrinkToFit="0" readingOrder="0"/>
      <border diagonalUp="0" diagonalDown="0" outline="0">
        <left style="hair">
          <color indexed="64"/>
        </left>
        <right style="thin">
          <color indexed="64"/>
        </right>
        <top style="hair">
          <color indexed="64"/>
        </top>
        <bottom style="hair">
          <color indexed="64"/>
        </bottom>
      </border>
    </dxf>
    <dxf>
      <font>
        <b val="0"/>
        <i val="0"/>
        <strike val="0"/>
        <condense val="0"/>
        <extend val="0"/>
        <outline val="0"/>
        <shadow val="0"/>
        <u val="none"/>
        <vertAlign val="baseline"/>
        <sz val="9"/>
        <color auto="1"/>
        <name val="Century Gothic"/>
        <scheme val="none"/>
      </font>
      <numFmt numFmtId="2" formatCode="0.00"/>
      <fill>
        <patternFill patternType="none">
          <fgColor indexed="64"/>
          <bgColor indexed="65"/>
        </patternFill>
      </fill>
      <alignment horizontal="center" vertical="center" textRotation="0" wrapText="0" indent="0" justifyLastLine="0" shrinkToFit="0" readingOrder="0"/>
      <border diagonalUp="0" diagonalDown="0">
        <left/>
        <right/>
        <top style="hair">
          <color indexed="64"/>
        </top>
        <bottom style="hair">
          <color indexed="64"/>
        </bottom>
      </border>
      <protection locked="0" hidden="0"/>
    </dxf>
    <dxf>
      <font>
        <b val="0"/>
        <i val="0"/>
        <strike val="0"/>
        <condense val="0"/>
        <extend val="0"/>
        <outline val="0"/>
        <shadow val="0"/>
        <u val="none"/>
        <vertAlign val="baseline"/>
        <sz val="9"/>
        <color auto="1"/>
        <name val="Century Gothic"/>
        <family val="2"/>
        <scheme val="none"/>
      </font>
      <numFmt numFmtId="167" formatCode="#,##0.000"/>
      <alignment horizontal="center" vertical="center" textRotation="0" wrapText="0" indent="0" justifyLastLine="0" shrinkToFit="0" readingOrder="0"/>
      <border diagonalUp="0" diagonalDown="0" outline="0">
        <left style="hair">
          <color indexed="64"/>
        </left>
        <right style="hair">
          <color indexed="64"/>
        </right>
        <top style="hair">
          <color indexed="64"/>
        </top>
        <bottom style="hair">
          <color indexed="64"/>
        </bottom>
      </border>
    </dxf>
    <dxf>
      <font>
        <b val="0"/>
        <i val="0"/>
        <strike val="0"/>
        <condense val="0"/>
        <extend val="0"/>
        <outline val="0"/>
        <shadow val="0"/>
        <u val="none"/>
        <vertAlign val="baseline"/>
        <sz val="9"/>
        <color auto="1"/>
        <name val="Century Gothic"/>
        <scheme val="none"/>
      </font>
      <numFmt numFmtId="167" formatCode="#,##0.000"/>
      <fill>
        <patternFill patternType="none">
          <fgColor indexed="64"/>
          <bgColor indexed="65"/>
        </patternFill>
      </fill>
      <alignment horizontal="center" vertical="center" textRotation="0" wrapText="0" indent="0" justifyLastLine="0" shrinkToFit="0" readingOrder="0"/>
      <border diagonalUp="0" diagonalDown="0">
        <left/>
        <right/>
        <top style="hair">
          <color indexed="64"/>
        </top>
        <bottom style="hair">
          <color indexed="64"/>
        </bottom>
      </border>
      <protection locked="0" hidden="0"/>
    </dxf>
    <dxf>
      <font>
        <b val="0"/>
        <i val="0"/>
        <strike val="0"/>
        <condense val="0"/>
        <extend val="0"/>
        <outline val="0"/>
        <shadow val="0"/>
        <u val="none"/>
        <vertAlign val="baseline"/>
        <sz val="9"/>
        <color auto="1"/>
        <name val="Century Gothic"/>
        <family val="2"/>
        <scheme val="none"/>
      </font>
      <numFmt numFmtId="167" formatCode="#,##0.000"/>
      <alignment horizontal="center" vertical="center" textRotation="0" wrapText="0" indent="0" justifyLastLine="0" shrinkToFit="0" readingOrder="0"/>
      <border diagonalUp="0" diagonalDown="0" outline="0">
        <left/>
        <right style="hair">
          <color indexed="64"/>
        </right>
        <top style="hair">
          <color indexed="64"/>
        </top>
        <bottom style="hair">
          <color indexed="64"/>
        </bottom>
      </border>
    </dxf>
    <dxf>
      <font>
        <b val="0"/>
        <i val="0"/>
        <strike val="0"/>
        <condense val="0"/>
        <extend val="0"/>
        <outline val="0"/>
        <shadow val="0"/>
        <u val="none"/>
        <vertAlign val="baseline"/>
        <sz val="9"/>
        <color auto="1"/>
        <name val="Century Gothic"/>
        <scheme val="none"/>
      </font>
      <numFmt numFmtId="167" formatCode="#,##0.000"/>
      <fill>
        <patternFill patternType="none">
          <fgColor indexed="64"/>
          <bgColor indexed="65"/>
        </patternFill>
      </fill>
      <alignment horizontal="center" vertical="center" textRotation="0" wrapText="0" indent="0" justifyLastLine="0" shrinkToFit="0" readingOrder="0"/>
      <border diagonalUp="0" diagonalDown="0">
        <left/>
        <right/>
        <top style="hair">
          <color indexed="64"/>
        </top>
        <bottom style="hair">
          <color indexed="64"/>
        </bottom>
      </border>
      <protection locked="0" hidden="0"/>
    </dxf>
    <dxf>
      <font>
        <b val="0"/>
        <i val="0"/>
        <strike val="0"/>
        <condense val="0"/>
        <extend val="0"/>
        <outline val="0"/>
        <shadow val="0"/>
        <u val="none"/>
        <vertAlign val="baseline"/>
        <sz val="9"/>
        <color auto="1"/>
        <name val="Century Gothic"/>
        <family val="2"/>
        <scheme val="none"/>
      </font>
      <numFmt numFmtId="30" formatCode="@"/>
      <alignment horizontal="center" vertical="center" textRotation="0" wrapText="0" indent="0" justifyLastLine="0" shrinkToFit="0" readingOrder="0"/>
      <border diagonalUp="0" diagonalDown="0" outline="0">
        <left style="hair">
          <color indexed="64"/>
        </left>
        <right style="thin">
          <color indexed="64"/>
        </right>
        <top style="hair">
          <color indexed="64"/>
        </top>
        <bottom style="hair">
          <color indexed="64"/>
        </bottom>
      </border>
    </dxf>
    <dxf>
      <font>
        <b val="0"/>
        <i val="0"/>
        <strike val="0"/>
        <condense val="0"/>
        <extend val="0"/>
        <outline val="0"/>
        <shadow val="0"/>
        <u val="none"/>
        <vertAlign val="baseline"/>
        <sz val="9"/>
        <color auto="1"/>
        <name val="Century Gothic"/>
        <scheme val="none"/>
      </font>
      <numFmt numFmtId="0" formatCode="General"/>
      <fill>
        <patternFill patternType="none">
          <fgColor indexed="64"/>
          <bgColor indexed="65"/>
        </patternFill>
      </fill>
      <alignment horizontal="center" vertical="center" textRotation="0" wrapText="0" indent="0" justifyLastLine="0" shrinkToFit="0" readingOrder="0"/>
      <border diagonalUp="0" diagonalDown="0">
        <left/>
        <right/>
        <top style="hair">
          <color indexed="64"/>
        </top>
        <bottom style="hair">
          <color indexed="64"/>
        </bottom>
      </border>
      <protection locked="0" hidden="0"/>
    </dxf>
    <dxf>
      <font>
        <b val="0"/>
        <i val="0"/>
        <strike val="0"/>
        <condense val="0"/>
        <extend val="0"/>
        <outline val="0"/>
        <shadow val="0"/>
        <u val="none"/>
        <vertAlign val="baseline"/>
        <sz val="9"/>
        <color auto="1"/>
        <name val="Century Gothic"/>
        <family val="2"/>
        <scheme val="none"/>
      </font>
      <numFmt numFmtId="165" formatCode="0.0"/>
      <alignment horizontal="center" vertical="center" textRotation="0" wrapText="0" indent="0" justifyLastLine="0" shrinkToFit="0" readingOrder="0"/>
      <border diagonalUp="0" diagonalDown="0" outline="0">
        <left style="hair">
          <color indexed="64"/>
        </left>
        <right style="hair">
          <color indexed="64"/>
        </right>
        <top style="hair">
          <color indexed="64"/>
        </top>
        <bottom style="hair">
          <color indexed="64"/>
        </bottom>
      </border>
    </dxf>
    <dxf>
      <font>
        <b val="0"/>
        <sz val="9"/>
        <color auto="1"/>
      </font>
      <numFmt numFmtId="165" formatCode="0.0"/>
      <fill>
        <patternFill patternType="none">
          <fgColor indexed="64"/>
          <bgColor indexed="65"/>
        </patternFill>
      </fill>
      <alignment horizontal="center" vertical="center" textRotation="0" wrapText="0" indent="0" justifyLastLine="0" shrinkToFit="0" readingOrder="0"/>
      <border diagonalUp="0" diagonalDown="0">
        <left/>
        <right/>
        <top style="hair">
          <color indexed="64"/>
        </top>
        <bottom style="hair">
          <color indexed="64"/>
        </bottom>
      </border>
      <protection locked="0" hidden="0"/>
    </dxf>
    <dxf>
      <font>
        <b val="0"/>
        <i val="0"/>
        <strike val="0"/>
        <condense val="0"/>
        <extend val="0"/>
        <outline val="0"/>
        <shadow val="0"/>
        <u val="none"/>
        <vertAlign val="baseline"/>
        <sz val="9"/>
        <color auto="1"/>
        <name val="Century Gothic"/>
        <family val="2"/>
        <scheme val="none"/>
      </font>
      <numFmt numFmtId="166" formatCode="0.000"/>
      <alignment horizontal="center" vertical="center" textRotation="0" wrapText="0" indent="0" justifyLastLine="0" shrinkToFit="0" readingOrder="0"/>
      <border diagonalUp="0" diagonalDown="0" outline="0">
        <left/>
        <right style="hair">
          <color indexed="64"/>
        </right>
        <top style="hair">
          <color indexed="64"/>
        </top>
        <bottom style="hair">
          <color indexed="64"/>
        </bottom>
      </border>
    </dxf>
    <dxf>
      <font>
        <b val="0"/>
        <sz val="9"/>
        <color auto="1"/>
      </font>
      <numFmt numFmtId="166" formatCode="0.000"/>
      <fill>
        <patternFill patternType="none">
          <fgColor indexed="64"/>
          <bgColor indexed="65"/>
        </patternFill>
      </fill>
      <alignment horizontal="center" vertical="center" textRotation="0" wrapText="0" indent="0" justifyLastLine="0" shrinkToFit="0" readingOrder="0"/>
      <border diagonalUp="0" diagonalDown="0">
        <left/>
        <right/>
        <top style="hair">
          <color indexed="64"/>
        </top>
        <bottom style="hair">
          <color indexed="64"/>
        </bottom>
      </border>
      <protection locked="0" hidden="0"/>
    </dxf>
    <dxf>
      <font>
        <b val="0"/>
        <i val="0"/>
        <strike val="0"/>
        <condense val="0"/>
        <extend val="0"/>
        <outline val="0"/>
        <shadow val="0"/>
        <u val="none"/>
        <vertAlign val="baseline"/>
        <sz val="9"/>
        <color auto="1"/>
        <name val="Century Gothic"/>
        <family val="2"/>
        <scheme val="none"/>
      </font>
      <numFmt numFmtId="2" formatCode="0.00"/>
      <alignment horizontal="center" vertical="center" textRotation="0" wrapText="0" indent="0" justifyLastLine="0" shrinkToFit="0" readingOrder="0"/>
      <border diagonalUp="0" diagonalDown="0" outline="0">
        <left style="hair">
          <color indexed="64"/>
        </left>
        <right style="thin">
          <color indexed="64"/>
        </right>
        <top style="hair">
          <color indexed="64"/>
        </top>
        <bottom style="hair">
          <color indexed="64"/>
        </bottom>
      </border>
    </dxf>
    <dxf>
      <font>
        <b val="0"/>
        <i val="0"/>
        <strike val="0"/>
        <condense val="0"/>
        <extend val="0"/>
        <outline val="0"/>
        <shadow val="0"/>
        <u val="none"/>
        <vertAlign val="baseline"/>
        <sz val="9"/>
        <color auto="1"/>
        <name val="Century Gothic"/>
        <scheme val="none"/>
      </font>
      <numFmt numFmtId="2" formatCode="0.00"/>
      <fill>
        <patternFill patternType="none">
          <fgColor indexed="64"/>
          <bgColor indexed="65"/>
        </patternFill>
      </fill>
      <alignment horizontal="center" vertical="center" textRotation="0" wrapText="0" indent="0" justifyLastLine="0" shrinkToFit="0" readingOrder="0"/>
      <border diagonalUp="0" diagonalDown="0">
        <left style="hair">
          <color indexed="64"/>
        </left>
        <right/>
        <top style="hair">
          <color indexed="64"/>
        </top>
        <bottom style="hair">
          <color indexed="64"/>
        </bottom>
      </border>
      <protection locked="0" hidden="0"/>
    </dxf>
    <dxf>
      <font>
        <b val="0"/>
        <i val="0"/>
        <strike val="0"/>
        <condense val="0"/>
        <extend val="0"/>
        <outline val="0"/>
        <shadow val="0"/>
        <u val="none"/>
        <vertAlign val="baseline"/>
        <sz val="9"/>
        <color auto="1"/>
        <name val="Century Gothic"/>
        <family val="2"/>
        <scheme val="none"/>
      </font>
      <numFmt numFmtId="2" formatCode="0.00"/>
      <alignment horizontal="center" vertical="center" textRotation="0" wrapText="0" indent="0" justifyLastLine="0" shrinkToFit="0" readingOrder="0"/>
      <border diagonalUp="0" diagonalDown="0" outline="0">
        <left style="hair">
          <color indexed="64"/>
        </left>
        <right style="hair">
          <color indexed="64"/>
        </right>
        <top style="hair">
          <color indexed="64"/>
        </top>
        <bottom style="hair">
          <color indexed="64"/>
        </bottom>
      </border>
    </dxf>
    <dxf>
      <font>
        <b val="0"/>
        <i val="0"/>
        <strike val="0"/>
        <condense val="0"/>
        <extend val="0"/>
        <outline val="0"/>
        <shadow val="0"/>
        <u val="none"/>
        <vertAlign val="baseline"/>
        <sz val="9"/>
        <color auto="1"/>
        <name val="Century Gothic"/>
        <scheme val="none"/>
      </font>
      <numFmt numFmtId="2" formatCode="0.00"/>
      <fill>
        <patternFill patternType="none">
          <fgColor indexed="64"/>
          <bgColor indexed="65"/>
        </patternFill>
      </fill>
      <alignment horizontal="center" vertical="center" textRotation="0" wrapText="0" indent="0" justifyLastLine="0" shrinkToFit="0" readingOrder="0"/>
      <border diagonalUp="0" diagonalDown="0">
        <left style="hair">
          <color indexed="64"/>
        </left>
        <right style="hair">
          <color indexed="64"/>
        </right>
        <top style="hair">
          <color indexed="64"/>
        </top>
        <bottom style="hair">
          <color indexed="64"/>
        </bottom>
        <vertical/>
        <horizontal/>
      </border>
      <protection locked="0" hidden="0"/>
    </dxf>
    <dxf>
      <font>
        <b val="0"/>
        <i val="0"/>
        <strike val="0"/>
        <condense val="0"/>
        <extend val="0"/>
        <outline val="0"/>
        <shadow val="0"/>
        <u val="none"/>
        <vertAlign val="baseline"/>
        <sz val="9"/>
        <color auto="1"/>
        <name val="Century Gothic"/>
        <family val="2"/>
        <scheme val="none"/>
      </font>
      <numFmt numFmtId="2" formatCode="0.00"/>
      <alignment horizontal="center" vertical="center" textRotation="0" wrapText="0" indent="0" justifyLastLine="0" shrinkToFit="0" readingOrder="0"/>
      <border diagonalUp="0" diagonalDown="0" outline="0">
        <left style="hair">
          <color indexed="64"/>
        </left>
        <right style="hair">
          <color indexed="64"/>
        </right>
        <top style="hair">
          <color indexed="64"/>
        </top>
        <bottom style="hair">
          <color indexed="64"/>
        </bottom>
      </border>
    </dxf>
    <dxf>
      <font>
        <b val="0"/>
        <i val="0"/>
        <strike val="0"/>
        <condense val="0"/>
        <extend val="0"/>
        <outline val="0"/>
        <shadow val="0"/>
        <u val="none"/>
        <vertAlign val="baseline"/>
        <sz val="9"/>
        <color auto="1"/>
        <name val="Century Gothic"/>
        <scheme val="none"/>
      </font>
      <numFmt numFmtId="2" formatCode="0.00"/>
      <fill>
        <patternFill patternType="none">
          <fgColor indexed="64"/>
          <bgColor indexed="65"/>
        </patternFill>
      </fill>
      <alignment horizontal="center" vertical="center" textRotation="0" wrapText="0" indent="0" justifyLastLine="0" shrinkToFit="0" readingOrder="0"/>
      <border diagonalUp="0" diagonalDown="0">
        <left style="hair">
          <color indexed="64"/>
        </left>
        <right style="hair">
          <color indexed="64"/>
        </right>
        <top style="hair">
          <color indexed="64"/>
        </top>
        <bottom style="hair">
          <color indexed="64"/>
        </bottom>
        <vertical/>
        <horizontal/>
      </border>
      <protection locked="0" hidden="0"/>
    </dxf>
    <dxf>
      <font>
        <b val="0"/>
        <i val="0"/>
        <strike val="0"/>
        <condense val="0"/>
        <extend val="0"/>
        <outline val="0"/>
        <shadow val="0"/>
        <u val="none"/>
        <vertAlign val="baseline"/>
        <sz val="9"/>
        <color auto="1"/>
        <name val="Century Gothic"/>
        <family val="2"/>
        <scheme val="none"/>
      </font>
      <numFmt numFmtId="2" formatCode="0.00"/>
      <alignment horizontal="center" vertical="center" textRotation="0" wrapText="0" indent="0" justifyLastLine="0" shrinkToFit="0" readingOrder="0"/>
      <border diagonalUp="0" diagonalDown="0" outline="0">
        <left style="hair">
          <color indexed="64"/>
        </left>
        <right style="hair">
          <color indexed="64"/>
        </right>
        <top style="hair">
          <color indexed="64"/>
        </top>
        <bottom style="hair">
          <color indexed="64"/>
        </bottom>
      </border>
    </dxf>
    <dxf>
      <font>
        <b val="0"/>
        <i val="0"/>
        <strike val="0"/>
        <condense val="0"/>
        <extend val="0"/>
        <outline val="0"/>
        <shadow val="0"/>
        <u val="none"/>
        <vertAlign val="baseline"/>
        <sz val="9"/>
        <color auto="1"/>
        <name val="Century Gothic"/>
        <scheme val="none"/>
      </font>
      <numFmt numFmtId="2" formatCode="0.00"/>
      <fill>
        <patternFill patternType="none">
          <fgColor indexed="64"/>
          <bgColor indexed="65"/>
        </patternFill>
      </fill>
      <alignment horizontal="center" vertical="center" textRotation="0" wrapText="0" indent="0" justifyLastLine="0" shrinkToFit="0" readingOrder="0"/>
      <border diagonalUp="0" diagonalDown="0">
        <left style="hair">
          <color indexed="64"/>
        </left>
        <right style="hair">
          <color indexed="64"/>
        </right>
        <top style="hair">
          <color indexed="64"/>
        </top>
        <bottom style="hair">
          <color indexed="64"/>
        </bottom>
        <vertical/>
        <horizontal/>
      </border>
      <protection locked="0" hidden="0"/>
    </dxf>
    <dxf>
      <font>
        <b val="0"/>
        <i val="0"/>
        <strike val="0"/>
        <condense val="0"/>
        <extend val="0"/>
        <outline val="0"/>
        <shadow val="0"/>
        <u val="none"/>
        <vertAlign val="baseline"/>
        <sz val="9"/>
        <color auto="1"/>
        <name val="Century Gothic"/>
        <family val="2"/>
        <scheme val="none"/>
      </font>
      <alignment horizontal="center" vertical="center" textRotation="0" wrapText="0" indent="0" justifyLastLine="0" shrinkToFit="0" readingOrder="0"/>
      <border diagonalUp="0" diagonalDown="0" outline="0">
        <left style="hair">
          <color indexed="64"/>
        </left>
        <right style="hair">
          <color indexed="64"/>
        </right>
        <top style="hair">
          <color indexed="64"/>
        </top>
        <bottom style="hair">
          <color indexed="64"/>
        </bottom>
      </border>
    </dxf>
    <dxf>
      <font>
        <b val="0"/>
        <i val="0"/>
        <strike val="0"/>
        <condense val="0"/>
        <extend val="0"/>
        <outline val="0"/>
        <shadow val="0"/>
        <u val="none"/>
        <vertAlign val="baseline"/>
        <sz val="9"/>
        <color auto="1"/>
        <name val="Century Gothic"/>
        <scheme val="none"/>
      </font>
      <numFmt numFmtId="0" formatCode="General"/>
      <fill>
        <patternFill patternType="none">
          <fgColor indexed="64"/>
          <bgColor indexed="65"/>
        </patternFill>
      </fill>
      <alignment horizontal="center" vertical="center" textRotation="0" wrapText="0" indent="0" justifyLastLine="0" shrinkToFit="0" readingOrder="0"/>
      <border diagonalUp="0" diagonalDown="0">
        <left style="hair">
          <color indexed="64"/>
        </left>
        <right style="hair">
          <color indexed="64"/>
        </right>
        <top style="hair">
          <color indexed="64"/>
        </top>
        <bottom style="hair">
          <color indexed="64"/>
        </bottom>
        <vertical/>
        <horizontal/>
      </border>
      <protection locked="0" hidden="0"/>
    </dxf>
    <dxf>
      <font>
        <b val="0"/>
        <i val="0"/>
        <strike val="0"/>
        <condense val="0"/>
        <extend val="0"/>
        <outline val="0"/>
        <shadow val="0"/>
        <u val="none"/>
        <vertAlign val="baseline"/>
        <sz val="9"/>
        <color auto="1"/>
        <name val="Century Gothic"/>
        <family val="2"/>
        <scheme val="none"/>
      </font>
      <alignment horizontal="center" vertical="center" textRotation="0" wrapText="1" indent="0" justifyLastLine="0" shrinkToFit="0" readingOrder="0"/>
      <border diagonalUp="0" diagonalDown="0" outline="0">
        <left/>
        <right style="hair">
          <color indexed="64"/>
        </right>
        <top style="hair">
          <color indexed="64"/>
        </top>
        <bottom style="hair">
          <color indexed="64"/>
        </bottom>
      </border>
      <protection locked="0" hidden="0"/>
    </dxf>
    <dxf>
      <font>
        <b val="0"/>
        <i val="0"/>
        <strike val="0"/>
        <condense val="0"/>
        <extend val="0"/>
        <outline val="0"/>
        <shadow val="0"/>
        <u val="none"/>
        <vertAlign val="baseline"/>
        <sz val="9"/>
        <color auto="1"/>
        <name val="Century Gothic"/>
        <scheme val="none"/>
      </font>
      <numFmt numFmtId="166" formatCode="0.000"/>
      <fill>
        <patternFill patternType="none">
          <fgColor indexed="64"/>
          <bgColor indexed="65"/>
        </patternFill>
      </fill>
      <alignment horizontal="center" vertical="center" textRotation="0" wrapText="1" indent="0" justifyLastLine="0" shrinkToFit="0" readingOrder="0"/>
      <border diagonalUp="0" diagonalDown="0">
        <left/>
        <right style="hair">
          <color indexed="64"/>
        </right>
        <top style="hair">
          <color indexed="64"/>
        </top>
        <bottom style="hair">
          <color indexed="64"/>
        </bottom>
        <vertical/>
        <horizontal/>
      </border>
      <protection locked="0" hidden="0"/>
    </dxf>
    <dxf>
      <font>
        <b val="0"/>
        <i val="0"/>
        <strike val="0"/>
        <condense val="0"/>
        <extend val="0"/>
        <outline val="0"/>
        <shadow val="0"/>
        <u val="none"/>
        <vertAlign val="baseline"/>
        <sz val="9"/>
        <color auto="1"/>
        <name val="Century Gothic"/>
        <family val="2"/>
        <scheme val="none"/>
      </font>
      <numFmt numFmtId="1" formatCode="0"/>
      <alignment horizontal="center" vertical="center" textRotation="0" wrapText="0" indent="0" justifyLastLine="0" shrinkToFit="0" readingOrder="0"/>
      <border diagonalUp="0" diagonalDown="0" outline="0">
        <left style="hair">
          <color indexed="64"/>
        </left>
        <right style="thin">
          <color indexed="64"/>
        </right>
        <top style="hair">
          <color indexed="64"/>
        </top>
        <bottom style="hair">
          <color indexed="64"/>
        </bottom>
      </border>
    </dxf>
    <dxf>
      <font>
        <b val="0"/>
        <i val="0"/>
        <strike val="0"/>
        <condense val="0"/>
        <extend val="0"/>
        <outline val="0"/>
        <shadow val="0"/>
        <u val="none"/>
        <vertAlign val="baseline"/>
        <sz val="9"/>
        <color auto="1"/>
        <name val="Century Gothic"/>
        <scheme val="none"/>
      </font>
      <numFmt numFmtId="1" formatCode="0"/>
      <fill>
        <patternFill patternType="none">
          <fgColor indexed="64"/>
          <bgColor indexed="65"/>
        </patternFill>
      </fill>
      <alignment horizontal="center" vertical="center" textRotation="0" wrapText="0" indent="0" justifyLastLine="0" shrinkToFit="0" readingOrder="0"/>
      <border diagonalUp="0" diagonalDown="0">
        <left style="hair">
          <color indexed="64"/>
        </left>
        <right style="thin">
          <color indexed="64"/>
        </right>
        <top style="hair">
          <color indexed="64"/>
        </top>
        <bottom style="hair">
          <color indexed="64"/>
        </bottom>
        <vertical/>
        <horizontal/>
      </border>
      <protection locked="0" hidden="0"/>
    </dxf>
    <dxf>
      <font>
        <b val="0"/>
        <i val="0"/>
        <strike val="0"/>
        <condense val="0"/>
        <extend val="0"/>
        <outline val="0"/>
        <shadow val="0"/>
        <u val="none"/>
        <vertAlign val="baseline"/>
        <sz val="9"/>
        <color auto="1"/>
        <name val="Century Gothic"/>
        <family val="2"/>
        <scheme val="none"/>
      </font>
      <numFmt numFmtId="1" formatCode="0"/>
      <alignment horizontal="center" vertical="center" textRotation="0" wrapText="0" indent="0" justifyLastLine="0" shrinkToFit="0" readingOrder="0"/>
      <border diagonalUp="0" diagonalDown="0" outline="0">
        <left style="hair">
          <color indexed="64"/>
        </left>
        <right style="hair">
          <color indexed="64"/>
        </right>
        <top style="hair">
          <color indexed="64"/>
        </top>
        <bottom style="hair">
          <color indexed="64"/>
        </bottom>
      </border>
    </dxf>
    <dxf>
      <font>
        <b val="0"/>
        <i val="0"/>
        <strike val="0"/>
        <condense val="0"/>
        <extend val="0"/>
        <outline val="0"/>
        <shadow val="0"/>
        <u val="none"/>
        <vertAlign val="baseline"/>
        <sz val="9"/>
        <color auto="1"/>
        <name val="Century Gothic"/>
        <scheme val="none"/>
      </font>
      <numFmt numFmtId="30" formatCode="@"/>
      <fill>
        <patternFill patternType="none">
          <fgColor indexed="64"/>
          <bgColor indexed="65"/>
        </patternFill>
      </fill>
      <alignment horizontal="center" vertical="center" textRotation="0" wrapText="0" indent="0" justifyLastLine="0" shrinkToFit="0" readingOrder="0"/>
      <border diagonalUp="0" diagonalDown="0">
        <left style="hair">
          <color indexed="64"/>
        </left>
        <right style="hair">
          <color indexed="64"/>
        </right>
        <top style="hair">
          <color indexed="64"/>
        </top>
        <bottom style="hair">
          <color indexed="64"/>
        </bottom>
        <vertical/>
        <horizontal/>
      </border>
      <protection locked="0" hidden="0"/>
    </dxf>
    <dxf>
      <font>
        <b val="0"/>
        <i val="0"/>
        <strike val="0"/>
        <condense val="0"/>
        <extend val="0"/>
        <outline val="0"/>
        <shadow val="0"/>
        <u val="none"/>
        <vertAlign val="baseline"/>
        <sz val="9"/>
        <color auto="1"/>
        <name val="Century Gothic"/>
        <family val="2"/>
        <scheme val="none"/>
      </font>
      <alignment horizontal="center" vertical="center" textRotation="0" wrapText="0" indent="0" justifyLastLine="0" shrinkToFit="0" readingOrder="0"/>
      <border diagonalUp="0" diagonalDown="0" outline="0">
        <left style="hair">
          <color indexed="64"/>
        </left>
        <right style="hair">
          <color indexed="64"/>
        </right>
        <top style="hair">
          <color indexed="64"/>
        </top>
        <bottom style="hair">
          <color indexed="64"/>
        </bottom>
      </border>
    </dxf>
    <dxf>
      <font>
        <b val="0"/>
        <i val="0"/>
        <strike val="0"/>
        <condense val="0"/>
        <extend val="0"/>
        <outline val="0"/>
        <shadow val="0"/>
        <u val="none"/>
        <vertAlign val="baseline"/>
        <sz val="9"/>
        <color auto="1"/>
        <name val="Century Gothic"/>
        <scheme val="none"/>
      </font>
      <fill>
        <patternFill patternType="none">
          <fgColor indexed="64"/>
          <bgColor indexed="65"/>
        </patternFill>
      </fill>
      <alignment horizontal="center" vertical="center" textRotation="0" wrapText="0" indent="0" justifyLastLine="0" shrinkToFit="0" readingOrder="0"/>
      <border diagonalUp="0" diagonalDown="0">
        <left style="hair">
          <color indexed="64"/>
        </left>
        <right style="hair">
          <color indexed="64"/>
        </right>
        <top style="hair">
          <color indexed="64"/>
        </top>
        <bottom style="hair">
          <color indexed="64"/>
        </bottom>
        <vertical/>
        <horizontal/>
      </border>
      <protection locked="0" hidden="0"/>
    </dxf>
    <dxf>
      <font>
        <b val="0"/>
        <i val="0"/>
        <strike val="0"/>
        <condense val="0"/>
        <extend val="0"/>
        <outline val="0"/>
        <shadow val="0"/>
        <u val="none"/>
        <vertAlign val="baseline"/>
        <sz val="9"/>
        <color auto="1"/>
        <name val="Century Gothic"/>
        <family val="2"/>
        <scheme val="none"/>
      </font>
      <numFmt numFmtId="166" formatCode="0.000"/>
      <alignment horizontal="center" vertical="center" textRotation="0" wrapText="0" indent="0" justifyLastLine="0" shrinkToFit="0" readingOrder="0"/>
      <border diagonalUp="0" diagonalDown="0" outline="0">
        <left style="hair">
          <color indexed="64"/>
        </left>
        <right style="hair">
          <color indexed="64"/>
        </right>
        <top style="hair">
          <color indexed="64"/>
        </top>
        <bottom style="hair">
          <color indexed="64"/>
        </bottom>
      </border>
    </dxf>
    <dxf>
      <font>
        <b val="0"/>
        <i val="0"/>
        <strike val="0"/>
        <condense val="0"/>
        <extend val="0"/>
        <outline val="0"/>
        <shadow val="0"/>
        <u val="none"/>
        <vertAlign val="baseline"/>
        <sz val="9"/>
        <color auto="1"/>
        <name val="Century Gothic"/>
        <scheme val="none"/>
      </font>
      <numFmt numFmtId="166" formatCode="0.000"/>
      <fill>
        <patternFill patternType="none">
          <fgColor indexed="64"/>
          <bgColor indexed="65"/>
        </patternFill>
      </fill>
      <alignment horizontal="center" vertical="center" textRotation="0" wrapText="0" indent="0" justifyLastLine="0" shrinkToFit="0" readingOrder="0"/>
      <border diagonalUp="0" diagonalDown="0">
        <left style="hair">
          <color indexed="64"/>
        </left>
        <right style="hair">
          <color indexed="64"/>
        </right>
        <top style="hair">
          <color indexed="64"/>
        </top>
        <bottom style="hair">
          <color indexed="64"/>
        </bottom>
        <vertical/>
        <horizontal/>
      </border>
      <protection locked="0" hidden="0"/>
    </dxf>
    <dxf>
      <font>
        <b val="0"/>
        <i val="0"/>
        <strike val="0"/>
        <condense val="0"/>
        <extend val="0"/>
        <outline val="0"/>
        <shadow val="0"/>
        <u val="none"/>
        <vertAlign val="baseline"/>
        <sz val="9"/>
        <color auto="1"/>
        <name val="Century Gothic"/>
        <family val="2"/>
        <scheme val="none"/>
      </font>
      <numFmt numFmtId="166" formatCode="0.000"/>
      <alignment horizontal="center" vertical="center" textRotation="0" wrapText="0" indent="0" justifyLastLine="0" shrinkToFit="0" readingOrder="0"/>
      <border diagonalUp="0" diagonalDown="0" outline="0">
        <left style="hair">
          <color indexed="64"/>
        </left>
        <right style="hair">
          <color indexed="64"/>
        </right>
        <top style="hair">
          <color indexed="64"/>
        </top>
        <bottom style="hair">
          <color indexed="64"/>
        </bottom>
      </border>
    </dxf>
    <dxf>
      <font>
        <b val="0"/>
        <i val="0"/>
        <strike val="0"/>
        <condense val="0"/>
        <extend val="0"/>
        <outline val="0"/>
        <shadow val="0"/>
        <u val="none"/>
        <vertAlign val="baseline"/>
        <sz val="9"/>
        <color auto="1"/>
        <name val="Century Gothic"/>
        <scheme val="none"/>
      </font>
      <numFmt numFmtId="166" formatCode="0.000"/>
      <fill>
        <patternFill patternType="none">
          <fgColor indexed="64"/>
          <bgColor indexed="65"/>
        </patternFill>
      </fill>
      <alignment horizontal="center" vertical="center" textRotation="0" wrapText="0" indent="0" justifyLastLine="0" shrinkToFit="0" readingOrder="0"/>
      <border diagonalUp="0" diagonalDown="0">
        <left style="hair">
          <color indexed="64"/>
        </left>
        <right style="hair">
          <color indexed="64"/>
        </right>
        <top style="hair">
          <color indexed="64"/>
        </top>
        <bottom style="hair">
          <color indexed="64"/>
        </bottom>
        <vertical/>
        <horizontal/>
      </border>
      <protection locked="0" hidden="0"/>
    </dxf>
    <dxf>
      <font>
        <b val="0"/>
        <i val="0"/>
        <strike val="0"/>
        <condense val="0"/>
        <extend val="0"/>
        <outline val="0"/>
        <shadow val="0"/>
        <u val="none"/>
        <vertAlign val="baseline"/>
        <sz val="9"/>
        <color auto="1"/>
        <name val="Century Gothic"/>
        <family val="2"/>
        <scheme val="none"/>
      </font>
      <numFmt numFmtId="166" formatCode="0.000"/>
      <alignment horizontal="center" vertical="center" textRotation="0" wrapText="0" indent="0" justifyLastLine="0" shrinkToFit="0" readingOrder="0"/>
      <border diagonalUp="0" diagonalDown="0" outline="0">
        <left style="hair">
          <color indexed="64"/>
        </left>
        <right style="hair">
          <color indexed="64"/>
        </right>
        <top style="hair">
          <color indexed="64"/>
        </top>
        <bottom style="hair">
          <color indexed="64"/>
        </bottom>
      </border>
    </dxf>
    <dxf>
      <font>
        <b val="0"/>
        <i val="0"/>
        <strike val="0"/>
        <condense val="0"/>
        <extend val="0"/>
        <outline val="0"/>
        <shadow val="0"/>
        <u val="none"/>
        <vertAlign val="baseline"/>
        <sz val="9"/>
        <color auto="1"/>
        <name val="Century Gothic"/>
        <scheme val="none"/>
      </font>
      <numFmt numFmtId="166" formatCode="0.000"/>
      <fill>
        <patternFill patternType="none">
          <fgColor indexed="64"/>
          <bgColor indexed="65"/>
        </patternFill>
      </fill>
      <alignment horizontal="center" vertical="center" textRotation="0" wrapText="0" indent="0" justifyLastLine="0" shrinkToFit="0" readingOrder="0"/>
      <border diagonalUp="0" diagonalDown="0">
        <left style="hair">
          <color indexed="64"/>
        </left>
        <right style="hair">
          <color indexed="64"/>
        </right>
        <top style="hair">
          <color indexed="64"/>
        </top>
        <bottom style="hair">
          <color indexed="64"/>
        </bottom>
        <vertical/>
        <horizontal/>
      </border>
      <protection locked="0" hidden="0"/>
    </dxf>
    <dxf>
      <font>
        <b val="0"/>
        <i val="0"/>
        <strike val="0"/>
        <condense val="0"/>
        <extend val="0"/>
        <outline val="0"/>
        <shadow val="0"/>
        <u val="none"/>
        <vertAlign val="baseline"/>
        <sz val="9"/>
        <color auto="1"/>
        <name val="Century Gothic"/>
        <family val="2"/>
        <scheme val="none"/>
      </font>
      <numFmt numFmtId="166" formatCode="0.000"/>
      <alignment horizontal="center" vertical="center" textRotation="0" wrapText="0" indent="0" justifyLastLine="0" shrinkToFit="0" readingOrder="0"/>
      <border diagonalUp="0" diagonalDown="0" outline="0">
        <left style="hair">
          <color indexed="64"/>
        </left>
        <right style="hair">
          <color indexed="64"/>
        </right>
        <top style="hair">
          <color indexed="64"/>
        </top>
        <bottom style="hair">
          <color indexed="64"/>
        </bottom>
      </border>
    </dxf>
    <dxf>
      <font>
        <b val="0"/>
        <i val="0"/>
        <strike val="0"/>
        <condense val="0"/>
        <extend val="0"/>
        <outline val="0"/>
        <shadow val="0"/>
        <u val="none"/>
        <vertAlign val="baseline"/>
        <sz val="9"/>
        <color auto="1"/>
        <name val="Century Gothic"/>
        <scheme val="none"/>
      </font>
      <numFmt numFmtId="166" formatCode="0.000"/>
      <fill>
        <patternFill patternType="none">
          <fgColor indexed="64"/>
          <bgColor indexed="65"/>
        </patternFill>
      </fill>
      <alignment horizontal="center" vertical="center" textRotation="0" wrapText="0" indent="0" justifyLastLine="0" shrinkToFit="0" readingOrder="0"/>
      <border diagonalUp="0" diagonalDown="0">
        <left style="hair">
          <color indexed="64"/>
        </left>
        <right style="hair">
          <color indexed="64"/>
        </right>
        <top style="hair">
          <color indexed="64"/>
        </top>
        <bottom style="hair">
          <color indexed="64"/>
        </bottom>
        <vertical/>
        <horizontal/>
      </border>
      <protection locked="0" hidden="0"/>
    </dxf>
    <dxf>
      <font>
        <b val="0"/>
        <i val="0"/>
        <strike val="0"/>
        <condense val="0"/>
        <extend val="0"/>
        <outline val="0"/>
        <shadow val="0"/>
        <u val="none"/>
        <vertAlign val="baseline"/>
        <sz val="9"/>
        <color auto="1"/>
        <name val="Century Gothic"/>
        <family val="2"/>
        <scheme val="none"/>
      </font>
      <numFmt numFmtId="165" formatCode="0.0"/>
      <alignment horizontal="center" vertical="center" textRotation="0" wrapText="0" indent="0" justifyLastLine="0" shrinkToFit="0" readingOrder="0"/>
      <border diagonalUp="0" diagonalDown="0" outline="0">
        <left style="hair">
          <color indexed="64"/>
        </left>
        <right style="hair">
          <color indexed="64"/>
        </right>
        <top style="hair">
          <color indexed="64"/>
        </top>
        <bottom style="hair">
          <color indexed="64"/>
        </bottom>
      </border>
    </dxf>
    <dxf>
      <font>
        <b val="0"/>
        <i val="0"/>
        <strike val="0"/>
        <condense val="0"/>
        <extend val="0"/>
        <outline val="0"/>
        <shadow val="0"/>
        <u val="none"/>
        <vertAlign val="baseline"/>
        <sz val="9"/>
        <color auto="1"/>
        <name val="Century Gothic"/>
        <scheme val="none"/>
      </font>
      <numFmt numFmtId="165" formatCode="0.0"/>
      <fill>
        <patternFill patternType="none">
          <fgColor indexed="64"/>
          <bgColor indexed="65"/>
        </patternFill>
      </fill>
      <alignment horizontal="center" vertical="center" textRotation="0" wrapText="0" indent="0" justifyLastLine="0" shrinkToFit="0" readingOrder="0"/>
      <border diagonalUp="0" diagonalDown="0">
        <left style="hair">
          <color indexed="64"/>
        </left>
        <right style="hair">
          <color indexed="64"/>
        </right>
        <top style="hair">
          <color indexed="64"/>
        </top>
        <bottom style="hair">
          <color indexed="64"/>
        </bottom>
        <vertical/>
        <horizontal/>
      </border>
      <protection locked="0" hidden="0"/>
    </dxf>
    <dxf>
      <font>
        <b val="0"/>
        <i val="0"/>
        <strike val="0"/>
        <condense val="0"/>
        <extend val="0"/>
        <outline val="0"/>
        <shadow val="0"/>
        <u val="none"/>
        <vertAlign val="baseline"/>
        <sz val="9"/>
        <color auto="1"/>
        <name val="Century Gothic"/>
        <family val="2"/>
        <scheme val="none"/>
      </font>
      <numFmt numFmtId="2" formatCode="0.00"/>
      <alignment horizontal="center" vertical="center" textRotation="0" wrapText="0" indent="0" justifyLastLine="0" shrinkToFit="0" readingOrder="0"/>
      <border diagonalUp="0" diagonalDown="0" outline="0">
        <left style="hair">
          <color indexed="64"/>
        </left>
        <right style="hair">
          <color indexed="64"/>
        </right>
        <top style="hair">
          <color indexed="64"/>
        </top>
        <bottom style="hair">
          <color indexed="64"/>
        </bottom>
      </border>
    </dxf>
    <dxf>
      <font>
        <b val="0"/>
        <i val="0"/>
        <strike val="0"/>
        <condense val="0"/>
        <extend val="0"/>
        <outline val="0"/>
        <shadow val="0"/>
        <u val="none"/>
        <vertAlign val="baseline"/>
        <sz val="9"/>
        <color auto="1"/>
        <name val="Century Gothic"/>
        <scheme val="none"/>
      </font>
      <numFmt numFmtId="2" formatCode="0.00"/>
      <fill>
        <patternFill patternType="none">
          <fgColor indexed="64"/>
          <bgColor indexed="65"/>
        </patternFill>
      </fill>
      <alignment horizontal="center" vertical="center" textRotation="0" wrapText="0" indent="0" justifyLastLine="0" shrinkToFit="0" readingOrder="0"/>
      <border diagonalUp="0" diagonalDown="0">
        <left style="hair">
          <color indexed="64"/>
        </left>
        <right style="hair">
          <color indexed="64"/>
        </right>
        <top style="hair">
          <color indexed="64"/>
        </top>
        <bottom style="hair">
          <color indexed="64"/>
        </bottom>
        <vertical/>
        <horizontal/>
      </border>
      <protection locked="0" hidden="0"/>
    </dxf>
    <dxf>
      <font>
        <b val="0"/>
        <i val="0"/>
        <strike val="0"/>
        <condense val="0"/>
        <extend val="0"/>
        <outline val="0"/>
        <shadow val="0"/>
        <u val="none"/>
        <vertAlign val="baseline"/>
        <sz val="9"/>
        <color auto="1"/>
        <name val="Century Gothic"/>
        <family val="2"/>
        <scheme val="none"/>
      </font>
      <alignment horizontal="center" vertical="center" textRotation="0" wrapText="0" indent="0" justifyLastLine="0" shrinkToFit="0" readingOrder="0"/>
      <border diagonalUp="0" diagonalDown="0" outline="0">
        <left style="hair">
          <color indexed="64"/>
        </left>
        <right style="hair">
          <color indexed="64"/>
        </right>
        <top style="hair">
          <color indexed="64"/>
        </top>
        <bottom style="hair">
          <color indexed="64"/>
        </bottom>
      </border>
    </dxf>
    <dxf>
      <font>
        <b val="0"/>
        <i val="0"/>
        <strike val="0"/>
        <condense val="0"/>
        <extend val="0"/>
        <outline val="0"/>
        <shadow val="0"/>
        <u val="none"/>
        <vertAlign val="baseline"/>
        <sz val="9"/>
        <color auto="1"/>
        <name val="Century Gothic"/>
        <scheme val="none"/>
      </font>
      <fill>
        <patternFill patternType="none">
          <fgColor indexed="64"/>
          <bgColor indexed="65"/>
        </patternFill>
      </fill>
      <alignment horizontal="center" vertical="center" textRotation="0" wrapText="0" indent="0" justifyLastLine="0" shrinkToFit="0" readingOrder="0"/>
      <border diagonalUp="0" diagonalDown="0">
        <left style="hair">
          <color indexed="64"/>
        </left>
        <right style="hair">
          <color indexed="64"/>
        </right>
        <top style="hair">
          <color indexed="64"/>
        </top>
        <bottom style="hair">
          <color indexed="64"/>
        </bottom>
        <vertical/>
        <horizontal/>
      </border>
      <protection locked="0" hidden="0"/>
    </dxf>
    <dxf>
      <font>
        <b val="0"/>
        <i val="0"/>
        <strike val="0"/>
        <condense val="0"/>
        <extend val="0"/>
        <outline val="0"/>
        <shadow val="0"/>
        <u val="none"/>
        <vertAlign val="baseline"/>
        <sz val="9"/>
        <color auto="1"/>
        <name val="Century Gothic"/>
        <family val="2"/>
        <scheme val="none"/>
      </font>
      <numFmt numFmtId="30" formatCode="@"/>
      <alignment horizontal="center" vertical="center" textRotation="0" wrapText="0" indent="0" justifyLastLine="0" shrinkToFit="0" readingOrder="0"/>
      <border diagonalUp="0" diagonalDown="0" outline="0">
        <left/>
        <right style="hair">
          <color indexed="64"/>
        </right>
        <top style="hair">
          <color indexed="64"/>
        </top>
        <bottom style="hair">
          <color indexed="64"/>
        </bottom>
      </border>
    </dxf>
    <dxf>
      <font>
        <sz val="9"/>
        <color auto="1"/>
      </font>
      <numFmt numFmtId="30" formatCode="@"/>
      <fill>
        <patternFill patternType="none">
          <fgColor indexed="64"/>
          <bgColor indexed="65"/>
        </patternFill>
      </fill>
      <alignment horizontal="center" vertical="center" textRotation="0" wrapText="0" indent="0" justifyLastLine="0" shrinkToFit="0" readingOrder="0"/>
      <border diagonalUp="0" diagonalDown="0">
        <left/>
        <right style="hair">
          <color indexed="64"/>
        </right>
        <top style="hair">
          <color indexed="64"/>
        </top>
        <bottom style="hair">
          <color indexed="64"/>
        </bottom>
        <vertical/>
        <horizontal/>
      </border>
      <protection locked="0" hidden="0"/>
    </dxf>
    <dxf>
      <font>
        <b val="0"/>
        <i val="0"/>
        <strike val="0"/>
        <condense val="0"/>
        <extend val="0"/>
        <outline val="0"/>
        <shadow val="0"/>
        <u val="none"/>
        <vertAlign val="baseline"/>
        <sz val="9"/>
        <color auto="1"/>
        <name val="Century Gothic"/>
        <family val="2"/>
        <scheme val="none"/>
      </font>
      <numFmt numFmtId="1" formatCode="0"/>
      <alignment horizontal="center" vertical="center" textRotation="0" wrapText="0" indent="0" justifyLastLine="0" shrinkToFit="0" readingOrder="0"/>
      <border diagonalUp="0" diagonalDown="0" outline="0">
        <left style="hair">
          <color indexed="64"/>
        </left>
        <right style="thin">
          <color indexed="64"/>
        </right>
        <top style="hair">
          <color indexed="64"/>
        </top>
        <bottom style="hair">
          <color indexed="64"/>
        </bottom>
      </border>
    </dxf>
    <dxf>
      <font>
        <sz val="9"/>
        <color auto="1"/>
      </font>
      <numFmt numFmtId="172" formatCode="_ * #,##0_ ;_ * \-#,##0_ ;_ * &quot;-&quot;??_ ;_ @_ "/>
      <fill>
        <patternFill patternType="none">
          <fgColor indexed="64"/>
          <bgColor indexed="65"/>
        </patternFill>
      </fill>
      <alignment horizontal="center" vertical="center" textRotation="0" wrapText="0" indent="0" justifyLastLine="0" shrinkToFit="0" readingOrder="0"/>
      <border diagonalUp="0" diagonalDown="0">
        <left style="hair">
          <color indexed="64"/>
        </left>
        <right style="thin">
          <color indexed="64"/>
        </right>
        <top style="hair">
          <color indexed="64"/>
        </top>
        <bottom style="hair">
          <color indexed="64"/>
        </bottom>
        <vertical/>
        <horizontal/>
      </border>
      <protection locked="0" hidden="0"/>
    </dxf>
    <dxf>
      <font>
        <b val="0"/>
        <i val="0"/>
        <strike val="0"/>
        <condense val="0"/>
        <extend val="0"/>
        <outline val="0"/>
        <shadow val="0"/>
        <u val="none"/>
        <vertAlign val="baseline"/>
        <sz val="9"/>
        <color auto="1"/>
        <name val="Century Gothic"/>
        <family val="2"/>
        <scheme val="none"/>
      </font>
      <numFmt numFmtId="1" formatCode="0"/>
      <alignment horizontal="center" vertical="center" textRotation="0" wrapText="0" indent="0" justifyLastLine="0" shrinkToFit="0" readingOrder="0"/>
      <border diagonalUp="0" diagonalDown="0" outline="0">
        <left style="hair">
          <color indexed="64"/>
        </left>
        <right style="hair">
          <color indexed="64"/>
        </right>
        <top style="hair">
          <color indexed="64"/>
        </top>
        <bottom style="hair">
          <color indexed="64"/>
        </bottom>
      </border>
    </dxf>
    <dxf>
      <font>
        <b val="0"/>
        <i val="0"/>
        <strike val="0"/>
        <condense val="0"/>
        <extend val="0"/>
        <outline val="0"/>
        <shadow val="0"/>
        <u val="none"/>
        <vertAlign val="baseline"/>
        <sz val="9"/>
        <color auto="1"/>
        <name val="Century Gothic"/>
        <scheme val="none"/>
      </font>
      <numFmt numFmtId="1" formatCode="0"/>
      <fill>
        <patternFill patternType="none">
          <fgColor indexed="64"/>
          <bgColor indexed="65"/>
        </patternFill>
      </fill>
      <alignment horizontal="center" vertical="center" textRotation="0" wrapText="0" indent="0" justifyLastLine="0" shrinkToFit="0" readingOrder="0"/>
      <border diagonalUp="0" diagonalDown="0">
        <left style="hair">
          <color indexed="64"/>
        </left>
        <right style="hair">
          <color indexed="64"/>
        </right>
        <top style="hair">
          <color indexed="64"/>
        </top>
        <bottom style="hair">
          <color indexed="64"/>
        </bottom>
        <vertical/>
        <horizontal/>
      </border>
      <protection locked="0" hidden="0"/>
    </dxf>
    <dxf>
      <font>
        <b val="0"/>
        <i val="0"/>
        <strike val="0"/>
        <condense val="0"/>
        <extend val="0"/>
        <outline val="0"/>
        <shadow val="0"/>
        <u val="none"/>
        <vertAlign val="baseline"/>
        <sz val="9"/>
        <color auto="1"/>
        <name val="Century Gothic"/>
        <family val="2"/>
        <scheme val="none"/>
      </font>
      <numFmt numFmtId="1" formatCode="0"/>
      <alignment horizontal="center" vertical="center" textRotation="0" wrapText="0" indent="0" justifyLastLine="0" shrinkToFit="0" readingOrder="0"/>
      <border diagonalUp="0" diagonalDown="0" outline="0">
        <left/>
        <right style="hair">
          <color indexed="64"/>
        </right>
        <top style="hair">
          <color indexed="64"/>
        </top>
        <bottom style="hair">
          <color indexed="64"/>
        </bottom>
      </border>
    </dxf>
    <dxf>
      <font>
        <b val="0"/>
        <i val="0"/>
        <strike val="0"/>
        <condense val="0"/>
        <extend val="0"/>
        <outline val="0"/>
        <shadow val="0"/>
        <u val="none"/>
        <vertAlign val="baseline"/>
        <sz val="9"/>
        <color auto="1"/>
        <name val="Century Gothic"/>
        <scheme val="none"/>
      </font>
      <numFmt numFmtId="1" formatCode="0"/>
      <fill>
        <patternFill patternType="none">
          <fgColor indexed="64"/>
          <bgColor indexed="65"/>
        </patternFill>
      </fill>
      <alignment horizontal="center" vertical="center" textRotation="0" wrapText="0" indent="0" justifyLastLine="0" shrinkToFit="0" readingOrder="0"/>
      <border diagonalUp="0" diagonalDown="0">
        <left/>
        <right style="hair">
          <color indexed="64"/>
        </right>
        <top style="hair">
          <color indexed="64"/>
        </top>
        <bottom style="hair">
          <color indexed="64"/>
        </bottom>
        <vertical/>
        <horizontal/>
      </border>
      <protection locked="0" hidden="0"/>
    </dxf>
    <dxf>
      <font>
        <b val="0"/>
        <i val="0"/>
        <strike val="0"/>
        <condense val="0"/>
        <extend val="0"/>
        <outline val="0"/>
        <shadow val="0"/>
        <u val="none"/>
        <vertAlign val="baseline"/>
        <sz val="9"/>
        <color auto="1"/>
        <name val="Century Gothic"/>
        <family val="2"/>
        <scheme val="none"/>
      </font>
      <numFmt numFmtId="2" formatCode="0.00"/>
      <alignment horizontal="center" vertical="center" textRotation="0" wrapText="0" indent="0" justifyLastLine="0" shrinkToFit="0" readingOrder="0"/>
      <border diagonalUp="0" diagonalDown="0" outline="0">
        <left style="hair">
          <color indexed="64"/>
        </left>
        <right style="thin">
          <color indexed="64"/>
        </right>
        <top style="hair">
          <color indexed="64"/>
        </top>
        <bottom style="hair">
          <color indexed="64"/>
        </bottom>
      </border>
    </dxf>
    <dxf>
      <font>
        <b val="0"/>
        <i val="0"/>
        <strike val="0"/>
        <condense val="0"/>
        <extend val="0"/>
        <outline val="0"/>
        <shadow val="0"/>
        <u val="none"/>
        <vertAlign val="baseline"/>
        <sz val="9"/>
        <color auto="1"/>
        <name val="Century Gothic"/>
        <scheme val="none"/>
      </font>
      <numFmt numFmtId="2" formatCode="0.00"/>
      <fill>
        <patternFill patternType="none">
          <fgColor indexed="64"/>
          <bgColor indexed="65"/>
        </patternFill>
      </fill>
      <alignment horizontal="center" vertical="center" textRotation="0" wrapText="0" indent="0" justifyLastLine="0" shrinkToFit="0" readingOrder="0"/>
      <border diagonalUp="0" diagonalDown="0">
        <left style="hair">
          <color indexed="64"/>
        </left>
        <right style="thin">
          <color indexed="64"/>
        </right>
        <top style="hair">
          <color indexed="64"/>
        </top>
        <bottom style="hair">
          <color indexed="64"/>
        </bottom>
        <vertical/>
        <horizontal/>
      </border>
      <protection locked="0" hidden="0"/>
    </dxf>
    <dxf>
      <font>
        <b val="0"/>
        <i val="0"/>
        <strike val="0"/>
        <condense val="0"/>
        <extend val="0"/>
        <outline val="0"/>
        <shadow val="0"/>
        <u val="none"/>
        <vertAlign val="baseline"/>
        <sz val="9"/>
        <color auto="1"/>
        <name val="Century Gothic"/>
        <family val="2"/>
        <scheme val="none"/>
      </font>
      <numFmt numFmtId="169" formatCode="0\+000.00"/>
      <alignment horizontal="center" vertical="center" textRotation="0" wrapText="0" indent="0" justifyLastLine="0" shrinkToFit="0" readingOrder="0"/>
      <border diagonalUp="0" diagonalDown="0" outline="0">
        <left style="hair">
          <color indexed="64"/>
        </left>
        <right style="hair">
          <color indexed="64"/>
        </right>
        <top style="hair">
          <color indexed="64"/>
        </top>
        <bottom style="hair">
          <color indexed="64"/>
        </bottom>
      </border>
    </dxf>
    <dxf>
      <font>
        <b val="0"/>
        <i val="0"/>
        <strike val="0"/>
        <condense val="0"/>
        <extend val="0"/>
        <outline val="0"/>
        <shadow val="0"/>
        <u val="none"/>
        <vertAlign val="baseline"/>
        <sz val="9"/>
        <color auto="1"/>
        <name val="Century Gothic"/>
        <scheme val="none"/>
      </font>
      <numFmt numFmtId="169" formatCode="0\+000.00"/>
      <fill>
        <patternFill patternType="none">
          <fgColor indexed="64"/>
          <bgColor indexed="65"/>
        </patternFill>
      </fill>
      <alignment horizontal="center" vertical="center" textRotation="0" wrapText="0" indent="0" justifyLastLine="0" shrinkToFit="0" readingOrder="0"/>
      <border diagonalUp="0" diagonalDown="0">
        <left style="hair">
          <color indexed="64"/>
        </left>
        <right style="hair">
          <color indexed="64"/>
        </right>
        <top style="hair">
          <color indexed="64"/>
        </top>
        <bottom style="hair">
          <color indexed="64"/>
        </bottom>
        <vertical/>
        <horizontal/>
      </border>
      <protection locked="0" hidden="0"/>
    </dxf>
    <dxf>
      <font>
        <b val="0"/>
        <i val="0"/>
        <strike val="0"/>
        <condense val="0"/>
        <extend val="0"/>
        <outline val="0"/>
        <shadow val="0"/>
        <u val="none"/>
        <vertAlign val="baseline"/>
        <sz val="9"/>
        <color auto="1"/>
        <name val="Century Gothic"/>
        <family val="2"/>
        <scheme val="none"/>
      </font>
      <numFmt numFmtId="169" formatCode="0\+000.00"/>
      <alignment horizontal="center" vertical="center" textRotation="0" wrapText="0" indent="0" justifyLastLine="0" shrinkToFit="0" readingOrder="0"/>
      <border diagonalUp="0" diagonalDown="0" outline="0">
        <left/>
        <right style="hair">
          <color indexed="64"/>
        </right>
        <top style="hair">
          <color indexed="64"/>
        </top>
        <bottom style="hair">
          <color indexed="64"/>
        </bottom>
      </border>
    </dxf>
    <dxf>
      <font>
        <b val="0"/>
        <i val="0"/>
        <strike val="0"/>
        <condense val="0"/>
        <extend val="0"/>
        <outline val="0"/>
        <shadow val="0"/>
        <u val="none"/>
        <vertAlign val="baseline"/>
        <sz val="9"/>
        <color auto="1"/>
        <name val="Century Gothic"/>
        <scheme val="none"/>
      </font>
      <numFmt numFmtId="169" formatCode="0\+000.00"/>
      <fill>
        <patternFill patternType="none">
          <fgColor indexed="64"/>
          <bgColor indexed="65"/>
        </patternFill>
      </fill>
      <alignment horizontal="center" vertical="center" textRotation="0" wrapText="0" indent="0" justifyLastLine="0" shrinkToFit="0" readingOrder="0"/>
      <border diagonalUp="0" diagonalDown="0">
        <left/>
        <right style="hair">
          <color indexed="64"/>
        </right>
        <top style="hair">
          <color indexed="64"/>
        </top>
        <bottom style="hair">
          <color indexed="64"/>
        </bottom>
        <vertical/>
        <horizontal/>
      </border>
      <protection locked="0" hidden="0"/>
    </dxf>
    <dxf>
      <font>
        <b val="0"/>
        <i val="0"/>
        <strike val="0"/>
        <condense val="0"/>
        <extend val="0"/>
        <outline val="0"/>
        <shadow val="0"/>
        <u val="none"/>
        <vertAlign val="baseline"/>
        <sz val="9"/>
        <color auto="1"/>
        <name val="Century Gothic"/>
        <family val="2"/>
        <scheme val="none"/>
      </font>
      <numFmt numFmtId="170" formatCode="dd/mm/yyyy;@"/>
      <alignment horizontal="center" vertical="center" textRotation="0" wrapText="0" indent="0" justifyLastLine="0" shrinkToFit="0" readingOrder="0"/>
      <border diagonalUp="0" diagonalDown="0" outline="0">
        <left style="hair">
          <color indexed="64"/>
        </left>
        <right style="thin">
          <color indexed="64"/>
        </right>
        <top style="hair">
          <color indexed="64"/>
        </top>
        <bottom style="hair">
          <color indexed="64"/>
        </bottom>
      </border>
    </dxf>
    <dxf>
      <font>
        <b val="0"/>
        <i val="0"/>
        <strike val="0"/>
        <condense val="0"/>
        <extend val="0"/>
        <outline val="0"/>
        <shadow val="0"/>
        <u val="none"/>
        <vertAlign val="baseline"/>
        <sz val="9"/>
        <color auto="1"/>
        <name val="Century Gothic"/>
        <scheme val="none"/>
      </font>
      <numFmt numFmtId="170" formatCode="dd/mm/yyyy;@"/>
      <fill>
        <patternFill patternType="none">
          <fgColor indexed="64"/>
          <bgColor indexed="65"/>
        </patternFill>
      </fill>
      <alignment horizontal="center" vertical="center" textRotation="0" wrapText="0" indent="0" justifyLastLine="0" shrinkToFit="0" readingOrder="0"/>
      <border diagonalUp="0" diagonalDown="0">
        <left style="hair">
          <color indexed="64"/>
        </left>
        <right style="thin">
          <color indexed="64"/>
        </right>
        <top style="hair">
          <color indexed="64"/>
        </top>
        <bottom style="hair">
          <color indexed="64"/>
        </bottom>
        <vertical/>
        <horizontal/>
      </border>
      <protection locked="0" hidden="0"/>
    </dxf>
    <dxf>
      <font>
        <b val="0"/>
        <i val="0"/>
        <strike val="0"/>
        <condense val="0"/>
        <extend val="0"/>
        <outline val="0"/>
        <shadow val="0"/>
        <u val="none"/>
        <vertAlign val="baseline"/>
        <sz val="9"/>
        <color auto="1"/>
        <name val="Century Gothic"/>
        <family val="2"/>
        <scheme val="none"/>
      </font>
      <alignment horizontal="center" vertical="center" textRotation="0" wrapText="0" indent="0" justifyLastLine="0" shrinkToFit="0" readingOrder="0"/>
      <border diagonalUp="0" diagonalDown="0" outline="0">
        <left style="hair">
          <color indexed="64"/>
        </left>
        <right style="hair">
          <color indexed="64"/>
        </right>
        <top style="hair">
          <color indexed="64"/>
        </top>
        <bottom style="hair">
          <color indexed="64"/>
        </bottom>
      </border>
    </dxf>
    <dxf>
      <font>
        <b val="0"/>
        <i val="0"/>
        <strike val="0"/>
        <condense val="0"/>
        <extend val="0"/>
        <outline val="0"/>
        <shadow val="0"/>
        <u val="none"/>
        <vertAlign val="baseline"/>
        <sz val="9"/>
        <color auto="1"/>
        <name val="Century Gothic"/>
        <scheme val="none"/>
      </font>
      <numFmt numFmtId="0" formatCode="General"/>
      <fill>
        <patternFill patternType="none">
          <fgColor indexed="64"/>
          <bgColor indexed="65"/>
        </patternFill>
      </fill>
      <alignment horizontal="center" vertical="center" textRotation="0" wrapText="0" indent="0" justifyLastLine="0" shrinkToFit="0" readingOrder="0"/>
      <border diagonalUp="0" diagonalDown="0">
        <left style="hair">
          <color indexed="64"/>
        </left>
        <right style="hair">
          <color indexed="64"/>
        </right>
        <top style="hair">
          <color indexed="64"/>
        </top>
        <bottom style="hair">
          <color indexed="64"/>
        </bottom>
        <vertical/>
        <horizontal/>
      </border>
      <protection locked="0" hidden="0"/>
    </dxf>
    <dxf>
      <font>
        <b val="0"/>
        <i val="0"/>
        <strike val="0"/>
        <condense val="0"/>
        <extend val="0"/>
        <outline val="0"/>
        <shadow val="0"/>
        <u val="none"/>
        <vertAlign val="baseline"/>
        <sz val="9"/>
        <color auto="1"/>
        <name val="Century Gothic"/>
        <family val="2"/>
        <scheme val="none"/>
      </font>
      <alignment horizontal="center" vertical="center" textRotation="0" wrapText="0" indent="0" justifyLastLine="0" shrinkToFit="0" readingOrder="0"/>
      <border diagonalUp="0" diagonalDown="0" outline="0">
        <left style="hair">
          <color indexed="64"/>
        </left>
        <right style="hair">
          <color indexed="64"/>
        </right>
        <top style="hair">
          <color indexed="64"/>
        </top>
        <bottom style="hair">
          <color indexed="64"/>
        </bottom>
      </border>
    </dxf>
    <dxf>
      <font>
        <b val="0"/>
        <i val="0"/>
        <strike val="0"/>
        <condense val="0"/>
        <extend val="0"/>
        <outline val="0"/>
        <shadow val="0"/>
        <u val="none"/>
        <vertAlign val="baseline"/>
        <sz val="9"/>
        <color auto="1"/>
        <name val="Century Gothic"/>
        <scheme val="none"/>
      </font>
      <fill>
        <patternFill patternType="none">
          <fgColor indexed="64"/>
          <bgColor indexed="65"/>
        </patternFill>
      </fill>
      <alignment horizontal="center" vertical="center" textRotation="0" wrapText="0" indent="0" justifyLastLine="0" shrinkToFit="0" readingOrder="0"/>
      <border diagonalUp="0" diagonalDown="0">
        <left style="hair">
          <color indexed="64"/>
        </left>
        <right style="hair">
          <color indexed="64"/>
        </right>
        <top style="hair">
          <color indexed="64"/>
        </top>
        <bottom style="hair">
          <color indexed="64"/>
        </bottom>
        <vertical/>
        <horizontal/>
      </border>
      <protection locked="0" hidden="0"/>
    </dxf>
    <dxf>
      <font>
        <b/>
        <i val="0"/>
        <strike val="0"/>
        <condense val="0"/>
        <extend val="0"/>
        <outline val="0"/>
        <shadow val="0"/>
        <u val="none"/>
        <vertAlign val="baseline"/>
        <sz val="9"/>
        <color auto="1"/>
        <name val="Century Gothic"/>
        <family val="2"/>
        <scheme val="none"/>
      </font>
      <alignment horizontal="center" vertical="center" textRotation="0" wrapText="0" indent="0" justifyLastLine="0" shrinkToFit="0" readingOrder="0"/>
      <border diagonalUp="0" diagonalDown="0" outline="0">
        <left style="hair">
          <color indexed="64"/>
        </left>
        <right style="hair">
          <color indexed="64"/>
        </right>
        <top style="hair">
          <color indexed="64"/>
        </top>
        <bottom style="hair">
          <color indexed="64"/>
        </bottom>
      </border>
    </dxf>
    <dxf>
      <font>
        <b val="0"/>
        <i val="0"/>
        <strike val="0"/>
        <condense val="0"/>
        <extend val="0"/>
        <outline val="0"/>
        <shadow val="0"/>
        <u val="none"/>
        <vertAlign val="baseline"/>
        <sz val="9"/>
        <color auto="1"/>
        <name val="Century Gothic"/>
        <scheme val="none"/>
      </font>
      <fill>
        <patternFill patternType="none">
          <fgColor indexed="64"/>
          <bgColor indexed="65"/>
        </patternFill>
      </fill>
      <alignment horizontal="center" vertical="center" textRotation="0" wrapText="0" indent="0" justifyLastLine="0" shrinkToFit="0" readingOrder="0"/>
      <border diagonalUp="0" diagonalDown="0">
        <left style="hair">
          <color indexed="64"/>
        </left>
        <right style="hair">
          <color indexed="64"/>
        </right>
        <top style="hair">
          <color indexed="64"/>
        </top>
        <bottom style="hair">
          <color indexed="64"/>
        </bottom>
        <vertical/>
        <horizontal/>
      </border>
      <protection locked="0" hidden="0"/>
    </dxf>
    <dxf>
      <font>
        <b val="0"/>
        <i val="0"/>
        <strike val="0"/>
        <condense val="0"/>
        <extend val="0"/>
        <outline val="0"/>
        <shadow val="0"/>
        <u val="none"/>
        <vertAlign val="baseline"/>
        <sz val="9"/>
        <color auto="1"/>
        <name val="Century Gothic"/>
        <family val="2"/>
        <scheme val="none"/>
      </font>
      <alignment horizontal="center" vertical="center" textRotation="0" wrapText="0" indent="0" justifyLastLine="0" shrinkToFit="0" readingOrder="0"/>
      <border diagonalUp="0" diagonalDown="0" outline="0">
        <left style="hair">
          <color indexed="64"/>
        </left>
        <right style="hair">
          <color indexed="64"/>
        </right>
        <top style="hair">
          <color indexed="64"/>
        </top>
        <bottom style="hair">
          <color indexed="64"/>
        </bottom>
      </border>
    </dxf>
    <dxf>
      <font>
        <sz val="9"/>
        <color auto="1"/>
      </font>
      <numFmt numFmtId="173" formatCode="d/m/yy;@"/>
      <fill>
        <patternFill patternType="none">
          <fgColor indexed="64"/>
          <bgColor indexed="65"/>
        </patternFill>
      </fill>
      <alignment horizontal="center" vertical="center" textRotation="0" wrapText="0" indent="0" justifyLastLine="0" shrinkToFit="0" readingOrder="0"/>
      <border diagonalUp="0" diagonalDown="0">
        <left style="hair">
          <color indexed="64"/>
        </left>
        <right style="hair">
          <color indexed="64"/>
        </right>
        <top style="hair">
          <color indexed="64"/>
        </top>
        <bottom style="hair">
          <color indexed="64"/>
        </bottom>
        <vertical/>
        <horizontal/>
      </border>
      <protection locked="0" hidden="0"/>
    </dxf>
    <dxf>
      <font>
        <b val="0"/>
        <i val="0"/>
        <strike val="0"/>
        <condense val="0"/>
        <extend val="0"/>
        <outline val="0"/>
        <shadow val="0"/>
        <u val="none"/>
        <vertAlign val="baseline"/>
        <sz val="9"/>
        <color auto="1"/>
        <name val="Century Gothic"/>
        <family val="2"/>
        <scheme val="none"/>
      </font>
      <alignment horizontal="center" vertical="center" textRotation="0" wrapText="0" indent="0" justifyLastLine="0" shrinkToFit="0" readingOrder="0"/>
      <border diagonalUp="0" diagonalDown="0" outline="0">
        <left style="thin">
          <color indexed="64"/>
        </left>
        <right style="hair">
          <color indexed="64"/>
        </right>
        <top style="hair">
          <color indexed="64"/>
        </top>
        <bottom style="hair">
          <color indexed="64"/>
        </bottom>
      </border>
    </dxf>
    <dxf>
      <font>
        <b val="0"/>
        <i val="0"/>
        <strike val="0"/>
        <condense val="0"/>
        <extend val="0"/>
        <outline val="0"/>
        <shadow val="0"/>
        <u val="none"/>
        <vertAlign val="baseline"/>
        <sz val="9"/>
        <color auto="1"/>
        <name val="Century Gothic"/>
        <scheme val="none"/>
      </font>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hair">
          <color indexed="64"/>
        </right>
        <top style="hair">
          <color indexed="64"/>
        </top>
        <bottom style="hair">
          <color indexed="64"/>
        </bottom>
        <vertical/>
        <horizontal/>
      </border>
      <protection locked="0" hidden="0"/>
    </dxf>
    <dxf>
      <fill>
        <patternFill patternType="none">
          <fgColor indexed="64"/>
          <bgColor auto="1"/>
        </patternFill>
      </fill>
    </dxf>
    <dxf>
      <border outline="0">
        <right style="thin">
          <color indexed="64"/>
        </right>
        <top style="thin">
          <color indexed="64"/>
        </top>
        <bottom style="hair">
          <color indexed="64"/>
        </bottom>
      </border>
    </dxf>
    <dxf>
      <fill>
        <patternFill patternType="none">
          <fgColor indexed="64"/>
          <bgColor auto="1"/>
        </patternFill>
      </fill>
    </dxf>
    <dxf>
      <fill>
        <patternFill patternType="none">
          <fgColor indexed="64"/>
          <bgColor auto="1"/>
        </patternFill>
      </fill>
    </dxf>
  </dxfs>
  <tableStyles count="1" defaultTableStyle="TableStyleMedium9" defaultPivotStyle="PivotStyleLight16">
    <tableStyle name="Invisible" pivot="0" table="0" count="0" xr9:uid="{771F9278-E4F7-4BC8-8A73-04007F8F8CD2}"/>
  </tableStyles>
  <colors>
    <mruColors>
      <color rgb="FFA97F4D"/>
      <color rgb="FF113E21"/>
      <color rgb="FF0000FF"/>
      <color rgb="FF60E6BD"/>
      <color rgb="FF987346"/>
      <color rgb="FF9C0006"/>
      <color rgb="FF1F497D"/>
      <color rgb="FFFFC7CE"/>
      <color rgb="FFFF9933"/>
      <color rgb="FF008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externalLink" Target="externalLinks/externalLink1.xml"/><Relationship Id="rId15" Type="http://schemas.openxmlformats.org/officeDocument/2006/relationships/customXml" Target="../customXml/item4.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FCS!$G$875</c:f>
          <c:strCache>
            <c:ptCount val="1"/>
            <c:pt idx="0">
              <c:v>RESUMEN SEMANAL COMPACTACIÓN  01-MAR   AL   31-MAR</c:v>
            </c:pt>
          </c:strCache>
        </c:strRef>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PE"/>
        </a:p>
      </c:txPr>
    </c:title>
    <c:autoTitleDeleted val="0"/>
    <c:plotArea>
      <c:layout>
        <c:manualLayout>
          <c:layoutTarget val="inner"/>
          <c:xMode val="edge"/>
          <c:yMode val="edge"/>
          <c:x val="7.3489006431082679E-2"/>
          <c:y val="9.9675232670702898E-2"/>
          <c:w val="0.88864401686469552"/>
          <c:h val="0.8116972191421401"/>
        </c:manualLayout>
      </c:layout>
      <c:lineChart>
        <c:grouping val="standard"/>
        <c:varyColors val="0"/>
        <c:ser>
          <c:idx val="0"/>
          <c:order val="0"/>
          <c:tx>
            <c:strRef>
              <c:f>FCS!$AM$9</c:f>
              <c:strCache>
                <c:ptCount val="1"/>
                <c:pt idx="0">
                  <c:v>Pass</c:v>
                </c:pt>
              </c:strCache>
            </c:strRef>
          </c:tx>
          <c:spPr>
            <a:ln w="19050" cap="rnd">
              <a:noFill/>
              <a:round/>
            </a:ln>
            <a:effectLst/>
          </c:spPr>
          <c:marker>
            <c:symbol val="circle"/>
            <c:size val="5"/>
            <c:spPr>
              <a:solidFill>
                <a:schemeClr val="accent5">
                  <a:lumMod val="40000"/>
                  <a:lumOff val="60000"/>
                </a:schemeClr>
              </a:solidFill>
              <a:ln w="0">
                <a:solidFill>
                  <a:srgbClr val="0066FF"/>
                </a:solidFill>
              </a:ln>
              <a:effectLst/>
            </c:spPr>
          </c:marker>
          <c:cat>
            <c:numRef>
              <c:f>FCS!$G$11:$G$826</c:f>
              <c:numCache>
                <c:formatCode>dd/mm/yyyy;@</c:formatCode>
                <c:ptCount val="815"/>
                <c:pt idx="0">
                  <c:v>46082</c:v>
                </c:pt>
                <c:pt idx="1">
                  <c:v>46082</c:v>
                </c:pt>
                <c:pt idx="2">
                  <c:v>46082</c:v>
                </c:pt>
                <c:pt idx="3">
                  <c:v>46082</c:v>
                </c:pt>
                <c:pt idx="4">
                  <c:v>46082</c:v>
                </c:pt>
                <c:pt idx="5">
                  <c:v>46082</c:v>
                </c:pt>
                <c:pt idx="6">
                  <c:v>46082</c:v>
                </c:pt>
                <c:pt idx="7">
                  <c:v>46082</c:v>
                </c:pt>
                <c:pt idx="8">
                  <c:v>46082</c:v>
                </c:pt>
                <c:pt idx="9">
                  <c:v>46082</c:v>
                </c:pt>
                <c:pt idx="10">
                  <c:v>46082</c:v>
                </c:pt>
                <c:pt idx="11">
                  <c:v>46082</c:v>
                </c:pt>
                <c:pt idx="12">
                  <c:v>46082</c:v>
                </c:pt>
                <c:pt idx="13">
                  <c:v>46082</c:v>
                </c:pt>
                <c:pt idx="14">
                  <c:v>46082</c:v>
                </c:pt>
                <c:pt idx="15">
                  <c:v>46082</c:v>
                </c:pt>
                <c:pt idx="16">
                  <c:v>46082</c:v>
                </c:pt>
                <c:pt idx="17">
                  <c:v>46082</c:v>
                </c:pt>
                <c:pt idx="18">
                  <c:v>46082</c:v>
                </c:pt>
                <c:pt idx="19">
                  <c:v>46083</c:v>
                </c:pt>
                <c:pt idx="20">
                  <c:v>46083</c:v>
                </c:pt>
                <c:pt idx="21">
                  <c:v>46083</c:v>
                </c:pt>
                <c:pt idx="22">
                  <c:v>46083</c:v>
                </c:pt>
                <c:pt idx="23">
                  <c:v>46083</c:v>
                </c:pt>
                <c:pt idx="24">
                  <c:v>46083</c:v>
                </c:pt>
                <c:pt idx="25">
                  <c:v>46083</c:v>
                </c:pt>
                <c:pt idx="26">
                  <c:v>46083</c:v>
                </c:pt>
                <c:pt idx="27">
                  <c:v>46083</c:v>
                </c:pt>
                <c:pt idx="28">
                  <c:v>46083</c:v>
                </c:pt>
                <c:pt idx="29">
                  <c:v>46083</c:v>
                </c:pt>
                <c:pt idx="30">
                  <c:v>46083</c:v>
                </c:pt>
                <c:pt idx="31">
                  <c:v>46084</c:v>
                </c:pt>
                <c:pt idx="32">
                  <c:v>46084</c:v>
                </c:pt>
                <c:pt idx="33">
                  <c:v>46084</c:v>
                </c:pt>
                <c:pt idx="34">
                  <c:v>46084</c:v>
                </c:pt>
                <c:pt idx="35">
                  <c:v>46084</c:v>
                </c:pt>
                <c:pt idx="36">
                  <c:v>46084</c:v>
                </c:pt>
                <c:pt idx="37">
                  <c:v>46084</c:v>
                </c:pt>
                <c:pt idx="38">
                  <c:v>46084</c:v>
                </c:pt>
                <c:pt idx="39">
                  <c:v>46084</c:v>
                </c:pt>
                <c:pt idx="40">
                  <c:v>46084</c:v>
                </c:pt>
                <c:pt idx="41">
                  <c:v>46084</c:v>
                </c:pt>
                <c:pt idx="42">
                  <c:v>46084</c:v>
                </c:pt>
                <c:pt idx="43">
                  <c:v>46084</c:v>
                </c:pt>
                <c:pt idx="44">
                  <c:v>46084</c:v>
                </c:pt>
                <c:pt idx="45">
                  <c:v>46084</c:v>
                </c:pt>
                <c:pt idx="46">
                  <c:v>46084</c:v>
                </c:pt>
                <c:pt idx="47">
                  <c:v>46084</c:v>
                </c:pt>
                <c:pt idx="48">
                  <c:v>46084</c:v>
                </c:pt>
                <c:pt idx="49">
                  <c:v>46084</c:v>
                </c:pt>
                <c:pt idx="50">
                  <c:v>46084</c:v>
                </c:pt>
                <c:pt idx="51">
                  <c:v>46085</c:v>
                </c:pt>
                <c:pt idx="52">
                  <c:v>46085</c:v>
                </c:pt>
                <c:pt idx="53">
                  <c:v>46085</c:v>
                </c:pt>
                <c:pt idx="54">
                  <c:v>46085</c:v>
                </c:pt>
                <c:pt idx="55">
                  <c:v>46085</c:v>
                </c:pt>
                <c:pt idx="56">
                  <c:v>46085</c:v>
                </c:pt>
                <c:pt idx="57">
                  <c:v>46085</c:v>
                </c:pt>
                <c:pt idx="58">
                  <c:v>46085</c:v>
                </c:pt>
                <c:pt idx="59">
                  <c:v>46085</c:v>
                </c:pt>
                <c:pt idx="60">
                  <c:v>46085</c:v>
                </c:pt>
                <c:pt idx="61">
                  <c:v>46085</c:v>
                </c:pt>
                <c:pt idx="62">
                  <c:v>46085</c:v>
                </c:pt>
                <c:pt idx="63">
                  <c:v>46085</c:v>
                </c:pt>
                <c:pt idx="64">
                  <c:v>46085</c:v>
                </c:pt>
                <c:pt idx="65">
                  <c:v>46085</c:v>
                </c:pt>
                <c:pt idx="66">
                  <c:v>46085</c:v>
                </c:pt>
                <c:pt idx="67">
                  <c:v>46085</c:v>
                </c:pt>
                <c:pt idx="68">
                  <c:v>46085</c:v>
                </c:pt>
                <c:pt idx="69">
                  <c:v>46085</c:v>
                </c:pt>
                <c:pt idx="70">
                  <c:v>46085</c:v>
                </c:pt>
                <c:pt idx="71">
                  <c:v>46085</c:v>
                </c:pt>
                <c:pt idx="72">
                  <c:v>46085</c:v>
                </c:pt>
                <c:pt idx="73">
                  <c:v>46085</c:v>
                </c:pt>
                <c:pt idx="74">
                  <c:v>46085</c:v>
                </c:pt>
                <c:pt idx="75">
                  <c:v>46085</c:v>
                </c:pt>
                <c:pt idx="76">
                  <c:v>46085</c:v>
                </c:pt>
                <c:pt idx="77">
                  <c:v>46085</c:v>
                </c:pt>
                <c:pt idx="78">
                  <c:v>46086</c:v>
                </c:pt>
                <c:pt idx="79">
                  <c:v>46086</c:v>
                </c:pt>
                <c:pt idx="80">
                  <c:v>46086</c:v>
                </c:pt>
                <c:pt idx="81">
                  <c:v>46086</c:v>
                </c:pt>
                <c:pt idx="82">
                  <c:v>46086</c:v>
                </c:pt>
                <c:pt idx="83">
                  <c:v>46086</c:v>
                </c:pt>
                <c:pt idx="84">
                  <c:v>46086</c:v>
                </c:pt>
                <c:pt idx="85">
                  <c:v>46086</c:v>
                </c:pt>
                <c:pt idx="86">
                  <c:v>46086</c:v>
                </c:pt>
                <c:pt idx="87">
                  <c:v>46086</c:v>
                </c:pt>
                <c:pt idx="88">
                  <c:v>46086</c:v>
                </c:pt>
                <c:pt idx="89">
                  <c:v>46086</c:v>
                </c:pt>
                <c:pt idx="90">
                  <c:v>46086</c:v>
                </c:pt>
                <c:pt idx="91">
                  <c:v>46086</c:v>
                </c:pt>
                <c:pt idx="92">
                  <c:v>46086</c:v>
                </c:pt>
                <c:pt idx="93">
                  <c:v>46086</c:v>
                </c:pt>
                <c:pt idx="94">
                  <c:v>46086</c:v>
                </c:pt>
                <c:pt idx="95">
                  <c:v>46086</c:v>
                </c:pt>
                <c:pt idx="96">
                  <c:v>46086</c:v>
                </c:pt>
                <c:pt idx="97">
                  <c:v>46086</c:v>
                </c:pt>
                <c:pt idx="98">
                  <c:v>46086</c:v>
                </c:pt>
                <c:pt idx="99">
                  <c:v>46086</c:v>
                </c:pt>
                <c:pt idx="100">
                  <c:v>46086</c:v>
                </c:pt>
                <c:pt idx="101">
                  <c:v>46086</c:v>
                </c:pt>
                <c:pt idx="102">
                  <c:v>46086</c:v>
                </c:pt>
                <c:pt idx="103">
                  <c:v>46086</c:v>
                </c:pt>
                <c:pt idx="104">
                  <c:v>46086</c:v>
                </c:pt>
                <c:pt idx="105">
                  <c:v>46086</c:v>
                </c:pt>
                <c:pt idx="106">
                  <c:v>46086</c:v>
                </c:pt>
                <c:pt idx="107">
                  <c:v>46086</c:v>
                </c:pt>
                <c:pt idx="108">
                  <c:v>46086</c:v>
                </c:pt>
                <c:pt idx="109">
                  <c:v>46086</c:v>
                </c:pt>
                <c:pt idx="110">
                  <c:v>46086</c:v>
                </c:pt>
                <c:pt idx="111">
                  <c:v>46086</c:v>
                </c:pt>
                <c:pt idx="112">
                  <c:v>46087</c:v>
                </c:pt>
                <c:pt idx="113">
                  <c:v>46086</c:v>
                </c:pt>
                <c:pt idx="114">
                  <c:v>46087</c:v>
                </c:pt>
                <c:pt idx="115">
                  <c:v>46087</c:v>
                </c:pt>
                <c:pt idx="116">
                  <c:v>46087</c:v>
                </c:pt>
                <c:pt idx="117">
                  <c:v>46088</c:v>
                </c:pt>
                <c:pt idx="118">
                  <c:v>46088</c:v>
                </c:pt>
                <c:pt idx="119">
                  <c:v>46088</c:v>
                </c:pt>
                <c:pt idx="120">
                  <c:v>46088</c:v>
                </c:pt>
                <c:pt idx="121">
                  <c:v>46088</c:v>
                </c:pt>
                <c:pt idx="122">
                  <c:v>46088</c:v>
                </c:pt>
                <c:pt idx="123">
                  <c:v>46088</c:v>
                </c:pt>
                <c:pt idx="124">
                  <c:v>46088</c:v>
                </c:pt>
                <c:pt idx="125">
                  <c:v>46088</c:v>
                </c:pt>
                <c:pt idx="126">
                  <c:v>46088</c:v>
                </c:pt>
                <c:pt idx="127">
                  <c:v>46088</c:v>
                </c:pt>
                <c:pt idx="128">
                  <c:v>46089</c:v>
                </c:pt>
                <c:pt idx="129">
                  <c:v>46089</c:v>
                </c:pt>
                <c:pt idx="130">
                  <c:v>46089</c:v>
                </c:pt>
                <c:pt idx="131">
                  <c:v>46089</c:v>
                </c:pt>
                <c:pt idx="132">
                  <c:v>46089</c:v>
                </c:pt>
                <c:pt idx="133">
                  <c:v>46089</c:v>
                </c:pt>
                <c:pt idx="134">
                  <c:v>46089</c:v>
                </c:pt>
                <c:pt idx="135">
                  <c:v>46089</c:v>
                </c:pt>
                <c:pt idx="136">
                  <c:v>46089</c:v>
                </c:pt>
                <c:pt idx="137">
                  <c:v>46089</c:v>
                </c:pt>
                <c:pt idx="138">
                  <c:v>46089</c:v>
                </c:pt>
                <c:pt idx="139">
                  <c:v>46089</c:v>
                </c:pt>
                <c:pt idx="140">
                  <c:v>46089</c:v>
                </c:pt>
                <c:pt idx="141">
                  <c:v>46089</c:v>
                </c:pt>
                <c:pt idx="142">
                  <c:v>46089</c:v>
                </c:pt>
                <c:pt idx="143">
                  <c:v>46089</c:v>
                </c:pt>
                <c:pt idx="144">
                  <c:v>46089</c:v>
                </c:pt>
                <c:pt idx="145">
                  <c:v>46089</c:v>
                </c:pt>
                <c:pt idx="146">
                  <c:v>46089</c:v>
                </c:pt>
                <c:pt idx="147">
                  <c:v>46089</c:v>
                </c:pt>
                <c:pt idx="148">
                  <c:v>46089</c:v>
                </c:pt>
                <c:pt idx="149">
                  <c:v>46089</c:v>
                </c:pt>
                <c:pt idx="150">
                  <c:v>46089</c:v>
                </c:pt>
                <c:pt idx="151">
                  <c:v>46089</c:v>
                </c:pt>
                <c:pt idx="152">
                  <c:v>46089</c:v>
                </c:pt>
                <c:pt idx="153">
                  <c:v>46089</c:v>
                </c:pt>
                <c:pt idx="154">
                  <c:v>46089</c:v>
                </c:pt>
                <c:pt idx="155">
                  <c:v>46089</c:v>
                </c:pt>
                <c:pt idx="156">
                  <c:v>46089</c:v>
                </c:pt>
                <c:pt idx="157">
                  <c:v>46090</c:v>
                </c:pt>
                <c:pt idx="158">
                  <c:v>46090</c:v>
                </c:pt>
                <c:pt idx="159">
                  <c:v>46090</c:v>
                </c:pt>
                <c:pt idx="160">
                  <c:v>46090</c:v>
                </c:pt>
                <c:pt idx="161">
                  <c:v>46090</c:v>
                </c:pt>
                <c:pt idx="162">
                  <c:v>46090</c:v>
                </c:pt>
                <c:pt idx="163">
                  <c:v>46090</c:v>
                </c:pt>
                <c:pt idx="164">
                  <c:v>46090</c:v>
                </c:pt>
                <c:pt idx="165">
                  <c:v>46090</c:v>
                </c:pt>
                <c:pt idx="166">
                  <c:v>46090</c:v>
                </c:pt>
                <c:pt idx="167">
                  <c:v>46090</c:v>
                </c:pt>
                <c:pt idx="168">
                  <c:v>46090</c:v>
                </c:pt>
                <c:pt idx="169">
                  <c:v>46090</c:v>
                </c:pt>
                <c:pt idx="170">
                  <c:v>46090</c:v>
                </c:pt>
                <c:pt idx="171">
                  <c:v>46090</c:v>
                </c:pt>
                <c:pt idx="172">
                  <c:v>46090</c:v>
                </c:pt>
                <c:pt idx="173">
                  <c:v>46090</c:v>
                </c:pt>
                <c:pt idx="174">
                  <c:v>46090</c:v>
                </c:pt>
                <c:pt idx="175">
                  <c:v>46090</c:v>
                </c:pt>
                <c:pt idx="176">
                  <c:v>46091</c:v>
                </c:pt>
                <c:pt idx="177">
                  <c:v>46091</c:v>
                </c:pt>
                <c:pt idx="178">
                  <c:v>46091</c:v>
                </c:pt>
                <c:pt idx="179">
                  <c:v>46091</c:v>
                </c:pt>
                <c:pt idx="180">
                  <c:v>46091</c:v>
                </c:pt>
                <c:pt idx="181">
                  <c:v>46091</c:v>
                </c:pt>
                <c:pt idx="182">
                  <c:v>46091</c:v>
                </c:pt>
                <c:pt idx="183">
                  <c:v>46091</c:v>
                </c:pt>
                <c:pt idx="184">
                  <c:v>46091</c:v>
                </c:pt>
                <c:pt idx="185">
                  <c:v>46091</c:v>
                </c:pt>
                <c:pt idx="186">
                  <c:v>46091</c:v>
                </c:pt>
                <c:pt idx="187">
                  <c:v>46091</c:v>
                </c:pt>
                <c:pt idx="188">
                  <c:v>46091</c:v>
                </c:pt>
                <c:pt idx="189">
                  <c:v>46092</c:v>
                </c:pt>
                <c:pt idx="190">
                  <c:v>46092</c:v>
                </c:pt>
                <c:pt idx="191">
                  <c:v>46092</c:v>
                </c:pt>
                <c:pt idx="192">
                  <c:v>46092</c:v>
                </c:pt>
                <c:pt idx="193">
                  <c:v>46092</c:v>
                </c:pt>
                <c:pt idx="194">
                  <c:v>46092</c:v>
                </c:pt>
                <c:pt idx="195">
                  <c:v>46092</c:v>
                </c:pt>
                <c:pt idx="196">
                  <c:v>46092</c:v>
                </c:pt>
                <c:pt idx="197">
                  <c:v>46092</c:v>
                </c:pt>
                <c:pt idx="198">
                  <c:v>46092</c:v>
                </c:pt>
                <c:pt idx="199">
                  <c:v>46092</c:v>
                </c:pt>
                <c:pt idx="200">
                  <c:v>46092</c:v>
                </c:pt>
                <c:pt idx="201">
                  <c:v>46092</c:v>
                </c:pt>
                <c:pt idx="202">
                  <c:v>46092</c:v>
                </c:pt>
                <c:pt idx="203">
                  <c:v>46092</c:v>
                </c:pt>
                <c:pt idx="204">
                  <c:v>46092</c:v>
                </c:pt>
                <c:pt idx="205">
                  <c:v>46092</c:v>
                </c:pt>
                <c:pt idx="206">
                  <c:v>46092</c:v>
                </c:pt>
                <c:pt idx="207">
                  <c:v>46092</c:v>
                </c:pt>
                <c:pt idx="208">
                  <c:v>46092</c:v>
                </c:pt>
                <c:pt idx="209">
                  <c:v>46092</c:v>
                </c:pt>
                <c:pt idx="210">
                  <c:v>46093</c:v>
                </c:pt>
                <c:pt idx="211">
                  <c:v>46093</c:v>
                </c:pt>
                <c:pt idx="212">
                  <c:v>46093</c:v>
                </c:pt>
                <c:pt idx="213">
                  <c:v>46093</c:v>
                </c:pt>
                <c:pt idx="214">
                  <c:v>46093</c:v>
                </c:pt>
                <c:pt idx="215">
                  <c:v>46093</c:v>
                </c:pt>
                <c:pt idx="216">
                  <c:v>46093</c:v>
                </c:pt>
                <c:pt idx="217">
                  <c:v>46093</c:v>
                </c:pt>
                <c:pt idx="218">
                  <c:v>46093</c:v>
                </c:pt>
                <c:pt idx="219">
                  <c:v>46093</c:v>
                </c:pt>
                <c:pt idx="220">
                  <c:v>46093</c:v>
                </c:pt>
                <c:pt idx="221">
                  <c:v>46093</c:v>
                </c:pt>
                <c:pt idx="222">
                  <c:v>46093</c:v>
                </c:pt>
                <c:pt idx="223">
                  <c:v>46093</c:v>
                </c:pt>
                <c:pt idx="224">
                  <c:v>46093</c:v>
                </c:pt>
                <c:pt idx="225">
                  <c:v>46093</c:v>
                </c:pt>
                <c:pt idx="226">
                  <c:v>46093</c:v>
                </c:pt>
                <c:pt idx="227">
                  <c:v>46093</c:v>
                </c:pt>
                <c:pt idx="228">
                  <c:v>46093</c:v>
                </c:pt>
                <c:pt idx="229">
                  <c:v>46093</c:v>
                </c:pt>
                <c:pt idx="230">
                  <c:v>46093</c:v>
                </c:pt>
                <c:pt idx="231">
                  <c:v>46093</c:v>
                </c:pt>
                <c:pt idx="232">
                  <c:v>46093</c:v>
                </c:pt>
                <c:pt idx="233">
                  <c:v>46093</c:v>
                </c:pt>
                <c:pt idx="234">
                  <c:v>46094</c:v>
                </c:pt>
                <c:pt idx="235">
                  <c:v>46094</c:v>
                </c:pt>
                <c:pt idx="236">
                  <c:v>46094</c:v>
                </c:pt>
                <c:pt idx="237">
                  <c:v>46094</c:v>
                </c:pt>
                <c:pt idx="238">
                  <c:v>46094</c:v>
                </c:pt>
                <c:pt idx="239">
                  <c:v>46094</c:v>
                </c:pt>
                <c:pt idx="240">
                  <c:v>46094</c:v>
                </c:pt>
                <c:pt idx="241">
                  <c:v>46094</c:v>
                </c:pt>
                <c:pt idx="242">
                  <c:v>46094</c:v>
                </c:pt>
                <c:pt idx="243">
                  <c:v>46094</c:v>
                </c:pt>
                <c:pt idx="244">
                  <c:v>46094</c:v>
                </c:pt>
                <c:pt idx="245">
                  <c:v>46094</c:v>
                </c:pt>
                <c:pt idx="246">
                  <c:v>46094</c:v>
                </c:pt>
                <c:pt idx="247">
                  <c:v>46094</c:v>
                </c:pt>
                <c:pt idx="248">
                  <c:v>46094</c:v>
                </c:pt>
                <c:pt idx="249">
                  <c:v>46094</c:v>
                </c:pt>
                <c:pt idx="250">
                  <c:v>46094</c:v>
                </c:pt>
                <c:pt idx="251">
                  <c:v>46094</c:v>
                </c:pt>
                <c:pt idx="252">
                  <c:v>46094</c:v>
                </c:pt>
                <c:pt idx="253">
                  <c:v>46095</c:v>
                </c:pt>
                <c:pt idx="254">
                  <c:v>46095</c:v>
                </c:pt>
                <c:pt idx="255">
                  <c:v>46095</c:v>
                </c:pt>
                <c:pt idx="256">
                  <c:v>46095</c:v>
                </c:pt>
                <c:pt idx="257">
                  <c:v>46095</c:v>
                </c:pt>
                <c:pt idx="258">
                  <c:v>46095</c:v>
                </c:pt>
                <c:pt idx="259">
                  <c:v>46095</c:v>
                </c:pt>
                <c:pt idx="260">
                  <c:v>46095</c:v>
                </c:pt>
                <c:pt idx="261">
                  <c:v>46095</c:v>
                </c:pt>
                <c:pt idx="262">
                  <c:v>46095</c:v>
                </c:pt>
                <c:pt idx="263">
                  <c:v>46095</c:v>
                </c:pt>
                <c:pt idx="264">
                  <c:v>46095</c:v>
                </c:pt>
                <c:pt idx="265">
                  <c:v>46095</c:v>
                </c:pt>
                <c:pt idx="266">
                  <c:v>46095</c:v>
                </c:pt>
                <c:pt idx="267">
                  <c:v>46095</c:v>
                </c:pt>
                <c:pt idx="268">
                  <c:v>46095</c:v>
                </c:pt>
                <c:pt idx="269">
                  <c:v>46095</c:v>
                </c:pt>
                <c:pt idx="270">
                  <c:v>46095</c:v>
                </c:pt>
                <c:pt idx="271">
                  <c:v>46096</c:v>
                </c:pt>
                <c:pt idx="272">
                  <c:v>46096</c:v>
                </c:pt>
                <c:pt idx="273">
                  <c:v>46096</c:v>
                </c:pt>
                <c:pt idx="274">
                  <c:v>46096</c:v>
                </c:pt>
                <c:pt idx="275">
                  <c:v>46096</c:v>
                </c:pt>
                <c:pt idx="276">
                  <c:v>46096</c:v>
                </c:pt>
                <c:pt idx="277">
                  <c:v>46096</c:v>
                </c:pt>
                <c:pt idx="278">
                  <c:v>46096</c:v>
                </c:pt>
                <c:pt idx="279">
                  <c:v>46096</c:v>
                </c:pt>
                <c:pt idx="280">
                  <c:v>46096</c:v>
                </c:pt>
                <c:pt idx="281">
                  <c:v>46096</c:v>
                </c:pt>
                <c:pt idx="282">
                  <c:v>46096</c:v>
                </c:pt>
                <c:pt idx="283">
                  <c:v>46096</c:v>
                </c:pt>
                <c:pt idx="284">
                  <c:v>46096</c:v>
                </c:pt>
                <c:pt idx="285">
                  <c:v>46096</c:v>
                </c:pt>
                <c:pt idx="286">
                  <c:v>46096</c:v>
                </c:pt>
                <c:pt idx="287">
                  <c:v>46096</c:v>
                </c:pt>
                <c:pt idx="288">
                  <c:v>46096</c:v>
                </c:pt>
                <c:pt idx="289">
                  <c:v>46096</c:v>
                </c:pt>
                <c:pt idx="290">
                  <c:v>46096</c:v>
                </c:pt>
                <c:pt idx="291">
                  <c:v>46096</c:v>
                </c:pt>
                <c:pt idx="292">
                  <c:v>46097</c:v>
                </c:pt>
                <c:pt idx="293">
                  <c:v>46097</c:v>
                </c:pt>
                <c:pt idx="294">
                  <c:v>46097</c:v>
                </c:pt>
                <c:pt idx="295">
                  <c:v>46097</c:v>
                </c:pt>
                <c:pt idx="296">
                  <c:v>46097</c:v>
                </c:pt>
                <c:pt idx="297">
                  <c:v>46097</c:v>
                </c:pt>
                <c:pt idx="298">
                  <c:v>46097</c:v>
                </c:pt>
                <c:pt idx="299">
                  <c:v>46097</c:v>
                </c:pt>
                <c:pt idx="300">
                  <c:v>46097</c:v>
                </c:pt>
                <c:pt idx="301">
                  <c:v>46097</c:v>
                </c:pt>
                <c:pt idx="302">
                  <c:v>46097</c:v>
                </c:pt>
                <c:pt idx="303">
                  <c:v>46097</c:v>
                </c:pt>
                <c:pt idx="304">
                  <c:v>46097</c:v>
                </c:pt>
                <c:pt idx="305">
                  <c:v>46097</c:v>
                </c:pt>
                <c:pt idx="306">
                  <c:v>46097</c:v>
                </c:pt>
                <c:pt idx="307">
                  <c:v>46097</c:v>
                </c:pt>
                <c:pt idx="308">
                  <c:v>46097</c:v>
                </c:pt>
                <c:pt idx="309">
                  <c:v>46097</c:v>
                </c:pt>
                <c:pt idx="310">
                  <c:v>46097</c:v>
                </c:pt>
                <c:pt idx="311">
                  <c:v>46097</c:v>
                </c:pt>
                <c:pt idx="312">
                  <c:v>46097</c:v>
                </c:pt>
                <c:pt idx="313">
                  <c:v>46097</c:v>
                </c:pt>
                <c:pt idx="314">
                  <c:v>46097</c:v>
                </c:pt>
                <c:pt idx="315">
                  <c:v>46097</c:v>
                </c:pt>
                <c:pt idx="316">
                  <c:v>46097</c:v>
                </c:pt>
                <c:pt idx="317">
                  <c:v>46097</c:v>
                </c:pt>
                <c:pt idx="318">
                  <c:v>46097</c:v>
                </c:pt>
                <c:pt idx="319">
                  <c:v>46098</c:v>
                </c:pt>
                <c:pt idx="320">
                  <c:v>46098</c:v>
                </c:pt>
                <c:pt idx="321">
                  <c:v>46098</c:v>
                </c:pt>
                <c:pt idx="322">
                  <c:v>46098</c:v>
                </c:pt>
                <c:pt idx="323">
                  <c:v>46098</c:v>
                </c:pt>
                <c:pt idx="324">
                  <c:v>46098</c:v>
                </c:pt>
                <c:pt idx="325">
                  <c:v>46098</c:v>
                </c:pt>
                <c:pt idx="326">
                  <c:v>46098</c:v>
                </c:pt>
                <c:pt idx="327">
                  <c:v>46098</c:v>
                </c:pt>
                <c:pt idx="328">
                  <c:v>46098</c:v>
                </c:pt>
                <c:pt idx="329">
                  <c:v>46098</c:v>
                </c:pt>
                <c:pt idx="330">
                  <c:v>46098</c:v>
                </c:pt>
                <c:pt idx="331">
                  <c:v>46098</c:v>
                </c:pt>
                <c:pt idx="332">
                  <c:v>46098</c:v>
                </c:pt>
                <c:pt idx="333">
                  <c:v>46098</c:v>
                </c:pt>
                <c:pt idx="334">
                  <c:v>46098</c:v>
                </c:pt>
                <c:pt idx="335">
                  <c:v>46098</c:v>
                </c:pt>
                <c:pt idx="336">
                  <c:v>46098</c:v>
                </c:pt>
                <c:pt idx="337">
                  <c:v>46098</c:v>
                </c:pt>
                <c:pt idx="338">
                  <c:v>46098</c:v>
                </c:pt>
                <c:pt idx="339">
                  <c:v>46098</c:v>
                </c:pt>
                <c:pt idx="340">
                  <c:v>46099</c:v>
                </c:pt>
                <c:pt idx="341">
                  <c:v>46099</c:v>
                </c:pt>
                <c:pt idx="342">
                  <c:v>46099</c:v>
                </c:pt>
                <c:pt idx="343">
                  <c:v>46099</c:v>
                </c:pt>
                <c:pt idx="344">
                  <c:v>46099</c:v>
                </c:pt>
                <c:pt idx="345">
                  <c:v>46099</c:v>
                </c:pt>
                <c:pt idx="346">
                  <c:v>46099</c:v>
                </c:pt>
                <c:pt idx="347">
                  <c:v>46099</c:v>
                </c:pt>
                <c:pt idx="348">
                  <c:v>46099</c:v>
                </c:pt>
                <c:pt idx="349">
                  <c:v>46099</c:v>
                </c:pt>
                <c:pt idx="350">
                  <c:v>46099</c:v>
                </c:pt>
                <c:pt idx="351">
                  <c:v>46099</c:v>
                </c:pt>
                <c:pt idx="352">
                  <c:v>46099</c:v>
                </c:pt>
                <c:pt idx="353">
                  <c:v>46099</c:v>
                </c:pt>
                <c:pt idx="354">
                  <c:v>46099</c:v>
                </c:pt>
                <c:pt idx="355">
                  <c:v>46099</c:v>
                </c:pt>
                <c:pt idx="356">
                  <c:v>46099</c:v>
                </c:pt>
                <c:pt idx="357">
                  <c:v>46099</c:v>
                </c:pt>
                <c:pt idx="358">
                  <c:v>46099</c:v>
                </c:pt>
                <c:pt idx="359">
                  <c:v>46099</c:v>
                </c:pt>
                <c:pt idx="360">
                  <c:v>46099</c:v>
                </c:pt>
                <c:pt idx="361">
                  <c:v>46099</c:v>
                </c:pt>
                <c:pt idx="362">
                  <c:v>46099</c:v>
                </c:pt>
                <c:pt idx="363">
                  <c:v>46099</c:v>
                </c:pt>
                <c:pt idx="364">
                  <c:v>46099</c:v>
                </c:pt>
                <c:pt idx="365">
                  <c:v>46099</c:v>
                </c:pt>
                <c:pt idx="366">
                  <c:v>46099</c:v>
                </c:pt>
                <c:pt idx="367">
                  <c:v>46099</c:v>
                </c:pt>
                <c:pt idx="368">
                  <c:v>46100</c:v>
                </c:pt>
                <c:pt idx="369">
                  <c:v>46100</c:v>
                </c:pt>
                <c:pt idx="370">
                  <c:v>46100</c:v>
                </c:pt>
                <c:pt idx="371">
                  <c:v>46100</c:v>
                </c:pt>
                <c:pt idx="372">
                  <c:v>46100</c:v>
                </c:pt>
                <c:pt idx="373">
                  <c:v>46100</c:v>
                </c:pt>
                <c:pt idx="374">
                  <c:v>46100</c:v>
                </c:pt>
                <c:pt idx="375">
                  <c:v>46100</c:v>
                </c:pt>
                <c:pt idx="376">
                  <c:v>46100</c:v>
                </c:pt>
                <c:pt idx="377">
                  <c:v>46100</c:v>
                </c:pt>
                <c:pt idx="378">
                  <c:v>46100</c:v>
                </c:pt>
                <c:pt idx="379">
                  <c:v>46100</c:v>
                </c:pt>
                <c:pt idx="380">
                  <c:v>46100</c:v>
                </c:pt>
                <c:pt idx="381">
                  <c:v>46100</c:v>
                </c:pt>
                <c:pt idx="382">
                  <c:v>46100</c:v>
                </c:pt>
                <c:pt idx="383">
                  <c:v>46100</c:v>
                </c:pt>
                <c:pt idx="384">
                  <c:v>46101</c:v>
                </c:pt>
                <c:pt idx="385">
                  <c:v>46101</c:v>
                </c:pt>
                <c:pt idx="386">
                  <c:v>46101</c:v>
                </c:pt>
                <c:pt idx="387">
                  <c:v>46101</c:v>
                </c:pt>
                <c:pt idx="388">
                  <c:v>46101</c:v>
                </c:pt>
                <c:pt idx="389">
                  <c:v>46101</c:v>
                </c:pt>
                <c:pt idx="390">
                  <c:v>46101</c:v>
                </c:pt>
                <c:pt idx="391">
                  <c:v>46101</c:v>
                </c:pt>
                <c:pt idx="392">
                  <c:v>46101</c:v>
                </c:pt>
                <c:pt idx="393">
                  <c:v>46101</c:v>
                </c:pt>
                <c:pt idx="394">
                  <c:v>46101</c:v>
                </c:pt>
                <c:pt idx="395">
                  <c:v>46101</c:v>
                </c:pt>
                <c:pt idx="396">
                  <c:v>46101</c:v>
                </c:pt>
                <c:pt idx="397">
                  <c:v>46101</c:v>
                </c:pt>
                <c:pt idx="398">
                  <c:v>46101</c:v>
                </c:pt>
                <c:pt idx="399">
                  <c:v>46101</c:v>
                </c:pt>
                <c:pt idx="400">
                  <c:v>46101</c:v>
                </c:pt>
                <c:pt idx="401">
                  <c:v>46101</c:v>
                </c:pt>
                <c:pt idx="402">
                  <c:v>46101</c:v>
                </c:pt>
                <c:pt idx="403">
                  <c:v>46101</c:v>
                </c:pt>
                <c:pt idx="404">
                  <c:v>46101</c:v>
                </c:pt>
                <c:pt idx="405">
                  <c:v>46101</c:v>
                </c:pt>
                <c:pt idx="406">
                  <c:v>46101</c:v>
                </c:pt>
                <c:pt idx="407">
                  <c:v>46101</c:v>
                </c:pt>
                <c:pt idx="408">
                  <c:v>46101</c:v>
                </c:pt>
                <c:pt idx="409">
                  <c:v>46101</c:v>
                </c:pt>
                <c:pt idx="410">
                  <c:v>46101</c:v>
                </c:pt>
                <c:pt idx="411">
                  <c:v>46101</c:v>
                </c:pt>
                <c:pt idx="412">
                  <c:v>46101</c:v>
                </c:pt>
                <c:pt idx="413">
                  <c:v>46101</c:v>
                </c:pt>
                <c:pt idx="414">
                  <c:v>46101</c:v>
                </c:pt>
                <c:pt idx="415">
                  <c:v>46101</c:v>
                </c:pt>
                <c:pt idx="416">
                  <c:v>46102</c:v>
                </c:pt>
                <c:pt idx="417">
                  <c:v>46102</c:v>
                </c:pt>
                <c:pt idx="418">
                  <c:v>46102</c:v>
                </c:pt>
                <c:pt idx="419">
                  <c:v>46102</c:v>
                </c:pt>
                <c:pt idx="420">
                  <c:v>46102</c:v>
                </c:pt>
                <c:pt idx="421">
                  <c:v>46102</c:v>
                </c:pt>
                <c:pt idx="422">
                  <c:v>46102</c:v>
                </c:pt>
                <c:pt idx="423">
                  <c:v>46102</c:v>
                </c:pt>
                <c:pt idx="424">
                  <c:v>46102</c:v>
                </c:pt>
                <c:pt idx="425">
                  <c:v>46102</c:v>
                </c:pt>
                <c:pt idx="426">
                  <c:v>46102</c:v>
                </c:pt>
                <c:pt idx="427">
                  <c:v>46102</c:v>
                </c:pt>
                <c:pt idx="428">
                  <c:v>46102</c:v>
                </c:pt>
                <c:pt idx="429">
                  <c:v>46102</c:v>
                </c:pt>
                <c:pt idx="430">
                  <c:v>46102</c:v>
                </c:pt>
                <c:pt idx="431">
                  <c:v>46102</c:v>
                </c:pt>
                <c:pt idx="432">
                  <c:v>46102</c:v>
                </c:pt>
                <c:pt idx="433">
                  <c:v>46102</c:v>
                </c:pt>
                <c:pt idx="434">
                  <c:v>46102</c:v>
                </c:pt>
                <c:pt idx="435">
                  <c:v>46102</c:v>
                </c:pt>
                <c:pt idx="436">
                  <c:v>46102</c:v>
                </c:pt>
                <c:pt idx="437">
                  <c:v>46102</c:v>
                </c:pt>
                <c:pt idx="438">
                  <c:v>46102</c:v>
                </c:pt>
                <c:pt idx="439">
                  <c:v>46102</c:v>
                </c:pt>
                <c:pt idx="440">
                  <c:v>46102</c:v>
                </c:pt>
                <c:pt idx="441">
                  <c:v>46102</c:v>
                </c:pt>
                <c:pt idx="442">
                  <c:v>46102</c:v>
                </c:pt>
                <c:pt idx="443">
                  <c:v>46103</c:v>
                </c:pt>
                <c:pt idx="444">
                  <c:v>46103</c:v>
                </c:pt>
                <c:pt idx="445">
                  <c:v>46103</c:v>
                </c:pt>
                <c:pt idx="446">
                  <c:v>46103</c:v>
                </c:pt>
                <c:pt idx="447">
                  <c:v>46103</c:v>
                </c:pt>
                <c:pt idx="448">
                  <c:v>46103</c:v>
                </c:pt>
                <c:pt idx="449">
                  <c:v>46103</c:v>
                </c:pt>
                <c:pt idx="450">
                  <c:v>46103</c:v>
                </c:pt>
                <c:pt idx="451">
                  <c:v>46103</c:v>
                </c:pt>
                <c:pt idx="452">
                  <c:v>46103</c:v>
                </c:pt>
                <c:pt idx="453">
                  <c:v>46103</c:v>
                </c:pt>
                <c:pt idx="454">
                  <c:v>46103</c:v>
                </c:pt>
                <c:pt idx="455">
                  <c:v>46103</c:v>
                </c:pt>
                <c:pt idx="456">
                  <c:v>46103</c:v>
                </c:pt>
                <c:pt idx="457">
                  <c:v>46103</c:v>
                </c:pt>
                <c:pt idx="458">
                  <c:v>46103</c:v>
                </c:pt>
                <c:pt idx="459">
                  <c:v>46103</c:v>
                </c:pt>
                <c:pt idx="460">
                  <c:v>46103</c:v>
                </c:pt>
                <c:pt idx="461">
                  <c:v>46103</c:v>
                </c:pt>
                <c:pt idx="462">
                  <c:v>46103</c:v>
                </c:pt>
                <c:pt idx="463">
                  <c:v>46103</c:v>
                </c:pt>
                <c:pt idx="464">
                  <c:v>46103</c:v>
                </c:pt>
                <c:pt idx="465">
                  <c:v>46103</c:v>
                </c:pt>
                <c:pt idx="466">
                  <c:v>46103</c:v>
                </c:pt>
                <c:pt idx="467">
                  <c:v>46103</c:v>
                </c:pt>
                <c:pt idx="468">
                  <c:v>46104</c:v>
                </c:pt>
                <c:pt idx="469">
                  <c:v>46104</c:v>
                </c:pt>
                <c:pt idx="470">
                  <c:v>46104</c:v>
                </c:pt>
                <c:pt idx="471">
                  <c:v>46104</c:v>
                </c:pt>
                <c:pt idx="472">
                  <c:v>46104</c:v>
                </c:pt>
                <c:pt idx="473">
                  <c:v>46104</c:v>
                </c:pt>
                <c:pt idx="474">
                  <c:v>46104</c:v>
                </c:pt>
                <c:pt idx="475">
                  <c:v>46104</c:v>
                </c:pt>
                <c:pt idx="476">
                  <c:v>46104</c:v>
                </c:pt>
                <c:pt idx="477">
                  <c:v>46104</c:v>
                </c:pt>
                <c:pt idx="478">
                  <c:v>46104</c:v>
                </c:pt>
                <c:pt idx="479">
                  <c:v>46104</c:v>
                </c:pt>
                <c:pt idx="480">
                  <c:v>46104</c:v>
                </c:pt>
                <c:pt idx="481">
                  <c:v>46104</c:v>
                </c:pt>
                <c:pt idx="482">
                  <c:v>46104</c:v>
                </c:pt>
                <c:pt idx="483">
                  <c:v>46104</c:v>
                </c:pt>
                <c:pt idx="484">
                  <c:v>46104</c:v>
                </c:pt>
                <c:pt idx="485">
                  <c:v>46104</c:v>
                </c:pt>
                <c:pt idx="486">
                  <c:v>46104</c:v>
                </c:pt>
                <c:pt idx="487">
                  <c:v>46104</c:v>
                </c:pt>
                <c:pt idx="488">
                  <c:v>46104</c:v>
                </c:pt>
                <c:pt idx="489">
                  <c:v>46104</c:v>
                </c:pt>
                <c:pt idx="490">
                  <c:v>46104</c:v>
                </c:pt>
                <c:pt idx="491">
                  <c:v>46104</c:v>
                </c:pt>
                <c:pt idx="492">
                  <c:v>46104</c:v>
                </c:pt>
                <c:pt idx="493">
                  <c:v>46104</c:v>
                </c:pt>
                <c:pt idx="494">
                  <c:v>46104</c:v>
                </c:pt>
                <c:pt idx="495">
                  <c:v>46104</c:v>
                </c:pt>
                <c:pt idx="496">
                  <c:v>46104</c:v>
                </c:pt>
                <c:pt idx="497">
                  <c:v>46104</c:v>
                </c:pt>
                <c:pt idx="498">
                  <c:v>46104</c:v>
                </c:pt>
                <c:pt idx="499">
                  <c:v>46104</c:v>
                </c:pt>
                <c:pt idx="500">
                  <c:v>46104</c:v>
                </c:pt>
                <c:pt idx="501">
                  <c:v>46105</c:v>
                </c:pt>
                <c:pt idx="502">
                  <c:v>46105</c:v>
                </c:pt>
                <c:pt idx="503">
                  <c:v>46105</c:v>
                </c:pt>
                <c:pt idx="504">
                  <c:v>46105</c:v>
                </c:pt>
                <c:pt idx="505">
                  <c:v>46105</c:v>
                </c:pt>
                <c:pt idx="506">
                  <c:v>46105</c:v>
                </c:pt>
                <c:pt idx="507">
                  <c:v>46105</c:v>
                </c:pt>
                <c:pt idx="508">
                  <c:v>46105</c:v>
                </c:pt>
                <c:pt idx="509">
                  <c:v>46105</c:v>
                </c:pt>
                <c:pt idx="510">
                  <c:v>46105</c:v>
                </c:pt>
                <c:pt idx="511">
                  <c:v>46105</c:v>
                </c:pt>
                <c:pt idx="512">
                  <c:v>46105</c:v>
                </c:pt>
                <c:pt idx="513">
                  <c:v>46105</c:v>
                </c:pt>
                <c:pt idx="514">
                  <c:v>46105</c:v>
                </c:pt>
                <c:pt idx="515">
                  <c:v>46105</c:v>
                </c:pt>
                <c:pt idx="516">
                  <c:v>46105</c:v>
                </c:pt>
                <c:pt idx="517">
                  <c:v>46105</c:v>
                </c:pt>
                <c:pt idx="518">
                  <c:v>46105</c:v>
                </c:pt>
                <c:pt idx="519">
                  <c:v>46105</c:v>
                </c:pt>
                <c:pt idx="520">
                  <c:v>46105</c:v>
                </c:pt>
                <c:pt idx="521">
                  <c:v>46105</c:v>
                </c:pt>
                <c:pt idx="522">
                  <c:v>46105</c:v>
                </c:pt>
                <c:pt idx="523">
                  <c:v>46105</c:v>
                </c:pt>
                <c:pt idx="524">
                  <c:v>46105</c:v>
                </c:pt>
                <c:pt idx="525">
                  <c:v>46105</c:v>
                </c:pt>
                <c:pt idx="526">
                  <c:v>46105</c:v>
                </c:pt>
                <c:pt idx="527">
                  <c:v>46105</c:v>
                </c:pt>
                <c:pt idx="528">
                  <c:v>46106</c:v>
                </c:pt>
                <c:pt idx="529">
                  <c:v>46106</c:v>
                </c:pt>
                <c:pt idx="530">
                  <c:v>46106</c:v>
                </c:pt>
                <c:pt idx="531">
                  <c:v>46106</c:v>
                </c:pt>
                <c:pt idx="532">
                  <c:v>46106</c:v>
                </c:pt>
                <c:pt idx="533">
                  <c:v>46106</c:v>
                </c:pt>
                <c:pt idx="534">
                  <c:v>46106</c:v>
                </c:pt>
                <c:pt idx="535">
                  <c:v>46106</c:v>
                </c:pt>
                <c:pt idx="536">
                  <c:v>46106</c:v>
                </c:pt>
                <c:pt idx="537">
                  <c:v>46106</c:v>
                </c:pt>
                <c:pt idx="538">
                  <c:v>46106</c:v>
                </c:pt>
                <c:pt idx="539">
                  <c:v>46106</c:v>
                </c:pt>
                <c:pt idx="540">
                  <c:v>46106</c:v>
                </c:pt>
                <c:pt idx="541">
                  <c:v>46106</c:v>
                </c:pt>
                <c:pt idx="542">
                  <c:v>46106</c:v>
                </c:pt>
                <c:pt idx="543">
                  <c:v>46106</c:v>
                </c:pt>
                <c:pt idx="544">
                  <c:v>46106</c:v>
                </c:pt>
                <c:pt idx="545">
                  <c:v>46106</c:v>
                </c:pt>
                <c:pt idx="546">
                  <c:v>46106</c:v>
                </c:pt>
                <c:pt idx="547">
                  <c:v>46106</c:v>
                </c:pt>
                <c:pt idx="548">
                  <c:v>46107</c:v>
                </c:pt>
                <c:pt idx="549">
                  <c:v>46107</c:v>
                </c:pt>
                <c:pt idx="550">
                  <c:v>46107</c:v>
                </c:pt>
                <c:pt idx="551">
                  <c:v>46107</c:v>
                </c:pt>
                <c:pt idx="552">
                  <c:v>46107</c:v>
                </c:pt>
                <c:pt idx="553">
                  <c:v>46107</c:v>
                </c:pt>
                <c:pt idx="554">
                  <c:v>46107</c:v>
                </c:pt>
                <c:pt idx="555">
                  <c:v>46107</c:v>
                </c:pt>
                <c:pt idx="556">
                  <c:v>46107</c:v>
                </c:pt>
                <c:pt idx="557">
                  <c:v>46107</c:v>
                </c:pt>
                <c:pt idx="558">
                  <c:v>46107</c:v>
                </c:pt>
                <c:pt idx="559">
                  <c:v>46107</c:v>
                </c:pt>
                <c:pt idx="560">
                  <c:v>46107</c:v>
                </c:pt>
                <c:pt idx="561">
                  <c:v>46107</c:v>
                </c:pt>
                <c:pt idx="562">
                  <c:v>46107</c:v>
                </c:pt>
                <c:pt idx="563">
                  <c:v>46107</c:v>
                </c:pt>
                <c:pt idx="564">
                  <c:v>46107</c:v>
                </c:pt>
                <c:pt idx="565">
                  <c:v>46107</c:v>
                </c:pt>
                <c:pt idx="566">
                  <c:v>46107</c:v>
                </c:pt>
                <c:pt idx="567">
                  <c:v>46107</c:v>
                </c:pt>
                <c:pt idx="568">
                  <c:v>46107</c:v>
                </c:pt>
                <c:pt idx="569">
                  <c:v>46107</c:v>
                </c:pt>
                <c:pt idx="570">
                  <c:v>46107</c:v>
                </c:pt>
                <c:pt idx="571">
                  <c:v>46107</c:v>
                </c:pt>
                <c:pt idx="572">
                  <c:v>46107</c:v>
                </c:pt>
                <c:pt idx="573">
                  <c:v>46107</c:v>
                </c:pt>
                <c:pt idx="574">
                  <c:v>46107</c:v>
                </c:pt>
                <c:pt idx="575">
                  <c:v>46108</c:v>
                </c:pt>
                <c:pt idx="576">
                  <c:v>46108</c:v>
                </c:pt>
                <c:pt idx="577">
                  <c:v>46108</c:v>
                </c:pt>
                <c:pt idx="578">
                  <c:v>46108</c:v>
                </c:pt>
                <c:pt idx="579">
                  <c:v>46108</c:v>
                </c:pt>
                <c:pt idx="580">
                  <c:v>46108</c:v>
                </c:pt>
                <c:pt idx="581">
                  <c:v>46108</c:v>
                </c:pt>
                <c:pt idx="582">
                  <c:v>46108</c:v>
                </c:pt>
                <c:pt idx="583">
                  <c:v>46108</c:v>
                </c:pt>
                <c:pt idx="584">
                  <c:v>46108</c:v>
                </c:pt>
                <c:pt idx="585">
                  <c:v>46108</c:v>
                </c:pt>
                <c:pt idx="586">
                  <c:v>46108</c:v>
                </c:pt>
                <c:pt idx="587">
                  <c:v>46108</c:v>
                </c:pt>
                <c:pt idx="588">
                  <c:v>46108</c:v>
                </c:pt>
                <c:pt idx="589">
                  <c:v>46108</c:v>
                </c:pt>
                <c:pt idx="590">
                  <c:v>46108</c:v>
                </c:pt>
                <c:pt idx="591">
                  <c:v>46108</c:v>
                </c:pt>
                <c:pt idx="592">
                  <c:v>46108</c:v>
                </c:pt>
                <c:pt idx="593">
                  <c:v>46108</c:v>
                </c:pt>
                <c:pt idx="594">
                  <c:v>46108</c:v>
                </c:pt>
                <c:pt idx="595">
                  <c:v>46108</c:v>
                </c:pt>
                <c:pt idx="596">
                  <c:v>46108</c:v>
                </c:pt>
                <c:pt idx="597">
                  <c:v>46108</c:v>
                </c:pt>
                <c:pt idx="598">
                  <c:v>46108</c:v>
                </c:pt>
                <c:pt idx="599">
                  <c:v>46108</c:v>
                </c:pt>
                <c:pt idx="600">
                  <c:v>46108</c:v>
                </c:pt>
                <c:pt idx="601">
                  <c:v>46108</c:v>
                </c:pt>
                <c:pt idx="602">
                  <c:v>46108</c:v>
                </c:pt>
                <c:pt idx="603">
                  <c:v>46108</c:v>
                </c:pt>
                <c:pt idx="604">
                  <c:v>46108</c:v>
                </c:pt>
                <c:pt idx="605">
                  <c:v>46108</c:v>
                </c:pt>
                <c:pt idx="606">
                  <c:v>46108</c:v>
                </c:pt>
                <c:pt idx="607">
                  <c:v>46108</c:v>
                </c:pt>
                <c:pt idx="608">
                  <c:v>46109</c:v>
                </c:pt>
                <c:pt idx="609">
                  <c:v>46109</c:v>
                </c:pt>
                <c:pt idx="610">
                  <c:v>46109</c:v>
                </c:pt>
                <c:pt idx="611">
                  <c:v>46109</c:v>
                </c:pt>
                <c:pt idx="612">
                  <c:v>46109</c:v>
                </c:pt>
                <c:pt idx="613">
                  <c:v>46109</c:v>
                </c:pt>
                <c:pt idx="614">
                  <c:v>46109</c:v>
                </c:pt>
                <c:pt idx="615">
                  <c:v>46109</c:v>
                </c:pt>
                <c:pt idx="616">
                  <c:v>46109</c:v>
                </c:pt>
                <c:pt idx="617">
                  <c:v>46109</c:v>
                </c:pt>
                <c:pt idx="618">
                  <c:v>46109</c:v>
                </c:pt>
                <c:pt idx="619">
                  <c:v>46109</c:v>
                </c:pt>
                <c:pt idx="620">
                  <c:v>46109</c:v>
                </c:pt>
                <c:pt idx="621">
                  <c:v>46109</c:v>
                </c:pt>
                <c:pt idx="622">
                  <c:v>46109</c:v>
                </c:pt>
                <c:pt idx="623">
                  <c:v>46109</c:v>
                </c:pt>
                <c:pt idx="624">
                  <c:v>46109</c:v>
                </c:pt>
                <c:pt idx="625">
                  <c:v>46109</c:v>
                </c:pt>
                <c:pt idx="626">
                  <c:v>46109</c:v>
                </c:pt>
                <c:pt idx="627">
                  <c:v>46109</c:v>
                </c:pt>
                <c:pt idx="628">
                  <c:v>46110</c:v>
                </c:pt>
                <c:pt idx="629">
                  <c:v>46110</c:v>
                </c:pt>
                <c:pt idx="630">
                  <c:v>46110</c:v>
                </c:pt>
                <c:pt idx="631">
                  <c:v>46110</c:v>
                </c:pt>
                <c:pt idx="632">
                  <c:v>46110</c:v>
                </c:pt>
                <c:pt idx="633">
                  <c:v>46110</c:v>
                </c:pt>
                <c:pt idx="634">
                  <c:v>46110</c:v>
                </c:pt>
                <c:pt idx="635">
                  <c:v>46110</c:v>
                </c:pt>
                <c:pt idx="636">
                  <c:v>46110</c:v>
                </c:pt>
                <c:pt idx="637">
                  <c:v>46110</c:v>
                </c:pt>
                <c:pt idx="638">
                  <c:v>46110</c:v>
                </c:pt>
                <c:pt idx="639">
                  <c:v>46110</c:v>
                </c:pt>
                <c:pt idx="640">
                  <c:v>46110</c:v>
                </c:pt>
                <c:pt idx="641">
                  <c:v>46110</c:v>
                </c:pt>
                <c:pt idx="642">
                  <c:v>46110</c:v>
                </c:pt>
                <c:pt idx="643">
                  <c:v>46110</c:v>
                </c:pt>
                <c:pt idx="644">
                  <c:v>46110</c:v>
                </c:pt>
                <c:pt idx="645">
                  <c:v>46110</c:v>
                </c:pt>
                <c:pt idx="646">
                  <c:v>46110</c:v>
                </c:pt>
                <c:pt idx="647">
                  <c:v>46110</c:v>
                </c:pt>
                <c:pt idx="648">
                  <c:v>46110</c:v>
                </c:pt>
                <c:pt idx="649">
                  <c:v>46110</c:v>
                </c:pt>
                <c:pt idx="650">
                  <c:v>46110</c:v>
                </c:pt>
                <c:pt idx="651">
                  <c:v>46110</c:v>
                </c:pt>
                <c:pt idx="652">
                  <c:v>46110</c:v>
                </c:pt>
                <c:pt idx="653">
                  <c:v>46110</c:v>
                </c:pt>
                <c:pt idx="654">
                  <c:v>46111</c:v>
                </c:pt>
                <c:pt idx="655">
                  <c:v>46111</c:v>
                </c:pt>
                <c:pt idx="656">
                  <c:v>46111</c:v>
                </c:pt>
                <c:pt idx="657">
                  <c:v>46111</c:v>
                </c:pt>
                <c:pt idx="658">
                  <c:v>46111</c:v>
                </c:pt>
                <c:pt idx="659">
                  <c:v>46111</c:v>
                </c:pt>
                <c:pt idx="660">
                  <c:v>46111</c:v>
                </c:pt>
                <c:pt idx="661">
                  <c:v>46111</c:v>
                </c:pt>
                <c:pt idx="662">
                  <c:v>46111</c:v>
                </c:pt>
                <c:pt idx="663">
                  <c:v>46111</c:v>
                </c:pt>
                <c:pt idx="664">
                  <c:v>46111</c:v>
                </c:pt>
                <c:pt idx="665">
                  <c:v>46111</c:v>
                </c:pt>
                <c:pt idx="666">
                  <c:v>46111</c:v>
                </c:pt>
                <c:pt idx="667">
                  <c:v>46111</c:v>
                </c:pt>
                <c:pt idx="668">
                  <c:v>46111</c:v>
                </c:pt>
                <c:pt idx="669">
                  <c:v>46111</c:v>
                </c:pt>
                <c:pt idx="670">
                  <c:v>46111</c:v>
                </c:pt>
                <c:pt idx="671">
                  <c:v>46111</c:v>
                </c:pt>
                <c:pt idx="672">
                  <c:v>46111</c:v>
                </c:pt>
                <c:pt idx="673">
                  <c:v>46111</c:v>
                </c:pt>
                <c:pt idx="674">
                  <c:v>46111</c:v>
                </c:pt>
                <c:pt idx="675">
                  <c:v>46111</c:v>
                </c:pt>
                <c:pt idx="676">
                  <c:v>46111</c:v>
                </c:pt>
                <c:pt idx="677">
                  <c:v>46111</c:v>
                </c:pt>
                <c:pt idx="678">
                  <c:v>46111</c:v>
                </c:pt>
                <c:pt idx="679">
                  <c:v>46112</c:v>
                </c:pt>
                <c:pt idx="680">
                  <c:v>46112</c:v>
                </c:pt>
                <c:pt idx="681">
                  <c:v>46112</c:v>
                </c:pt>
                <c:pt idx="682">
                  <c:v>46112</c:v>
                </c:pt>
                <c:pt idx="683">
                  <c:v>46112</c:v>
                </c:pt>
                <c:pt idx="684">
                  <c:v>46112</c:v>
                </c:pt>
                <c:pt idx="685">
                  <c:v>46112</c:v>
                </c:pt>
                <c:pt idx="686">
                  <c:v>46112</c:v>
                </c:pt>
                <c:pt idx="687">
                  <c:v>46112</c:v>
                </c:pt>
                <c:pt idx="688">
                  <c:v>46112</c:v>
                </c:pt>
                <c:pt idx="689">
                  <c:v>46112</c:v>
                </c:pt>
                <c:pt idx="690">
                  <c:v>46112</c:v>
                </c:pt>
                <c:pt idx="691">
                  <c:v>46112</c:v>
                </c:pt>
                <c:pt idx="692">
                  <c:v>46112</c:v>
                </c:pt>
                <c:pt idx="693">
                  <c:v>46112</c:v>
                </c:pt>
                <c:pt idx="694">
                  <c:v>46112</c:v>
                </c:pt>
                <c:pt idx="695">
                  <c:v>46112</c:v>
                </c:pt>
                <c:pt idx="696">
                  <c:v>46112</c:v>
                </c:pt>
                <c:pt idx="697">
                  <c:v>46112</c:v>
                </c:pt>
                <c:pt idx="698">
                  <c:v>46112</c:v>
                </c:pt>
                <c:pt idx="699">
                  <c:v>46112</c:v>
                </c:pt>
                <c:pt idx="700">
                  <c:v>46112</c:v>
                </c:pt>
                <c:pt idx="701">
                  <c:v>46112</c:v>
                </c:pt>
                <c:pt idx="702">
                  <c:v>46112</c:v>
                </c:pt>
                <c:pt idx="703">
                  <c:v>46112</c:v>
                </c:pt>
                <c:pt idx="704">
                  <c:v>46112</c:v>
                </c:pt>
                <c:pt idx="705">
                  <c:v>46112</c:v>
                </c:pt>
                <c:pt idx="706">
                  <c:v>46112</c:v>
                </c:pt>
                <c:pt idx="707">
                  <c:v>46112</c:v>
                </c:pt>
              </c:numCache>
            </c:numRef>
          </c:cat>
          <c:val>
            <c:numRef>
              <c:f>FCS!$AM$11:$AM$826</c:f>
              <c:numCache>
                <c:formatCode>0.0</c:formatCode>
                <c:ptCount val="815"/>
                <c:pt idx="0">
                  <c:v>101.23279530479368</c:v>
                </c:pt>
                <c:pt idx="1">
                  <c:v>100.89030650147772</c:v>
                </c:pt>
                <c:pt idx="2">
                  <c:v>100.47663503374558</c:v>
                </c:pt>
                <c:pt idx="3">
                  <c:v>102.93656461733478</c:v>
                </c:pt>
                <c:pt idx="4">
                  <c:v>98.967697281237051</c:v>
                </c:pt>
                <c:pt idx="5">
                  <c:v>102.46215709222548</c:v>
                </c:pt>
                <c:pt idx="6">
                  <c:v>102.27575808707863</c:v>
                </c:pt>
                <c:pt idx="7">
                  <c:v>100.0147838791531</c:v>
                </c:pt>
                <c:pt idx="8">
                  <c:v>99.773281366525609</c:v>
                </c:pt>
                <c:pt idx="9">
                  <c:v>99.451440153571511</c:v>
                </c:pt>
                <c:pt idx="10">
                  <c:v>98.883596245286455</c:v>
                </c:pt>
                <c:pt idx="11">
                  <c:v>104.7123761728265</c:v>
                </c:pt>
                <c:pt idx="12">
                  <c:v>101.49773111364809</c:v>
                </c:pt>
                <c:pt idx="13">
                  <c:v>98.62377202946162</c:v>
                </c:pt>
                <c:pt idx="14">
                  <c:v>101.19460415347513</c:v>
                </c:pt>
                <c:pt idx="15">
                  <c:v>99.118471446605454</c:v>
                </c:pt>
                <c:pt idx="16">
                  <c:v>100.14043235591484</c:v>
                </c:pt>
                <c:pt idx="17">
                  <c:v>100.5835468029844</c:v>
                </c:pt>
                <c:pt idx="18">
                  <c:v>101.64512818835574</c:v>
                </c:pt>
                <c:pt idx="19">
                  <c:v>100.17044485197182</c:v>
                </c:pt>
                <c:pt idx="20">
                  <c:v>101.27655066475978</c:v>
                </c:pt>
                <c:pt idx="21">
                  <c:v>99.793421261719359</c:v>
                </c:pt>
                <c:pt idx="22">
                  <c:v>100.76135490786928</c:v>
                </c:pt>
                <c:pt idx="23">
                  <c:v>99.431406604837264</c:v>
                </c:pt>
                <c:pt idx="24">
                  <c:v>102.19474366328849</c:v>
                </c:pt>
                <c:pt idx="25">
                  <c:v>102.06290451760935</c:v>
                </c:pt>
                <c:pt idx="26">
                  <c:v>102.9914011846885</c:v>
                </c:pt>
                <c:pt idx="27">
                  <c:v>101.52998029367184</c:v>
                </c:pt>
                <c:pt idx="28">
                  <c:v>102.49999611938429</c:v>
                </c:pt>
                <c:pt idx="29">
                  <c:v>100.37916830689315</c:v>
                </c:pt>
                <c:pt idx="30">
                  <c:v>98.288701047126054</c:v>
                </c:pt>
                <c:pt idx="31">
                  <c:v>104.06451053133898</c:v>
                </c:pt>
                <c:pt idx="32">
                  <c:v>102.21717078195869</c:v>
                </c:pt>
                <c:pt idx="33">
                  <c:v>102.79302341071941</c:v>
                </c:pt>
                <c:pt idx="34">
                  <c:v>101.66085379408895</c:v>
                </c:pt>
                <c:pt idx="35">
                  <c:v>102.37177116898208</c:v>
                </c:pt>
                <c:pt idx="36">
                  <c:v>102.15704495539282</c:v>
                </c:pt>
                <c:pt idx="37">
                  <c:v>103.29315960213638</c:v>
                </c:pt>
                <c:pt idx="38">
                  <c:v>103.79373154952577</c:v>
                </c:pt>
                <c:pt idx="39">
                  <c:v>103.72002903743009</c:v>
                </c:pt>
                <c:pt idx="40">
                  <c:v>102.31644864276805</c:v>
                </c:pt>
                <c:pt idx="41">
                  <c:v>104.93510796357558</c:v>
                </c:pt>
                <c:pt idx="42">
                  <c:v>104.7284913860816</c:v>
                </c:pt>
                <c:pt idx="43">
                  <c:v>101.1107650783764</c:v>
                </c:pt>
                <c:pt idx="44">
                  <c:v>100.92576884200734</c:v>
                </c:pt>
                <c:pt idx="45">
                  <c:v>98.137290138907474</c:v>
                </c:pt>
                <c:pt idx="46">
                  <c:v>102.14084363968814</c:v>
                </c:pt>
                <c:pt idx="47">
                  <c:v>103.55029585798816</c:v>
                </c:pt>
                <c:pt idx="48">
                  <c:v>104.63860180900635</c:v>
                </c:pt>
                <c:pt idx="49">
                  <c:v>103.69468085664933</c:v>
                </c:pt>
                <c:pt idx="50">
                  <c:v>102.90566319158856</c:v>
                </c:pt>
                <c:pt idx="51">
                  <c:v>103.50907305315549</c:v>
                </c:pt>
                <c:pt idx="52">
                  <c:v>104.95514392247701</c:v>
                </c:pt>
                <c:pt idx="53">
                  <c:v>101.81640893840893</c:v>
                </c:pt>
                <c:pt idx="54">
                  <c:v>101.89999236382192</c:v>
                </c:pt>
                <c:pt idx="55">
                  <c:v>103.49183192390747</c:v>
                </c:pt>
                <c:pt idx="56">
                  <c:v>101.68084071627699</c:v>
                </c:pt>
                <c:pt idx="57">
                  <c:v>104.55615937169742</c:v>
                </c:pt>
                <c:pt idx="58">
                  <c:v>102.91631445477599</c:v>
                </c:pt>
                <c:pt idx="59">
                  <c:v>102.79677015086379</c:v>
                </c:pt>
                <c:pt idx="60">
                  <c:v>102.99456976214924</c:v>
                </c:pt>
                <c:pt idx="61">
                  <c:v>104.76110257112173</c:v>
                </c:pt>
                <c:pt idx="62">
                  <c:v>101.06066274296974</c:v>
                </c:pt>
                <c:pt idx="63">
                  <c:v>104.92029189764789</c:v>
                </c:pt>
                <c:pt idx="64">
                  <c:v>102.54829973898649</c:v>
                </c:pt>
                <c:pt idx="65">
                  <c:v>104.92302914080823</c:v>
                </c:pt>
                <c:pt idx="66">
                  <c:v>101.87495882872906</c:v>
                </c:pt>
                <c:pt idx="67">
                  <c:v>102.38945827201564</c:v>
                </c:pt>
                <c:pt idx="68">
                  <c:v>99.16850628841695</c:v>
                </c:pt>
                <c:pt idx="69">
                  <c:v>99.957500010315542</c:v>
                </c:pt>
                <c:pt idx="70">
                  <c:v>99.769283531832627</c:v>
                </c:pt>
                <c:pt idx="71">
                  <c:v>99.460681710540385</c:v>
                </c:pt>
                <c:pt idx="72">
                  <c:v>101.33442347696348</c:v>
                </c:pt>
                <c:pt idx="73">
                  <c:v>101.68170877000698</c:v>
                </c:pt>
                <c:pt idx="74">
                  <c:v>102.40303235248041</c:v>
                </c:pt>
                <c:pt idx="75">
                  <c:v>102.18334427580169</c:v>
                </c:pt>
                <c:pt idx="76">
                  <c:v>103.15344323781194</c:v>
                </c:pt>
                <c:pt idx="77">
                  <c:v>0</c:v>
                </c:pt>
                <c:pt idx="78">
                  <c:v>100.13288962684237</c:v>
                </c:pt>
                <c:pt idx="79">
                  <c:v>99.265141281811992</c:v>
                </c:pt>
                <c:pt idx="80">
                  <c:v>103.44505118664975</c:v>
                </c:pt>
                <c:pt idx="81">
                  <c:v>100.20843354176688</c:v>
                </c:pt>
                <c:pt idx="82">
                  <c:v>103.23276615300672</c:v>
                </c:pt>
                <c:pt idx="83">
                  <c:v>101.91458238979905</c:v>
                </c:pt>
                <c:pt idx="84">
                  <c:v>101.92305861157453</c:v>
                </c:pt>
                <c:pt idx="85">
                  <c:v>103.45022338797057</c:v>
                </c:pt>
                <c:pt idx="86">
                  <c:v>102.00827726252675</c:v>
                </c:pt>
                <c:pt idx="87">
                  <c:v>100.57931172996415</c:v>
                </c:pt>
                <c:pt idx="88">
                  <c:v>102.80149917093861</c:v>
                </c:pt>
                <c:pt idx="89">
                  <c:v>99.573745417675767</c:v>
                </c:pt>
                <c:pt idx="90">
                  <c:v>98.371163190349591</c:v>
                </c:pt>
                <c:pt idx="91">
                  <c:v>104.67063161895369</c:v>
                </c:pt>
                <c:pt idx="92">
                  <c:v>104.69717086446173</c:v>
                </c:pt>
                <c:pt idx="93">
                  <c:v>104.621214516002</c:v>
                </c:pt>
                <c:pt idx="94">
                  <c:v>103.7135914243369</c:v>
                </c:pt>
                <c:pt idx="95">
                  <c:v>104.14349232143259</c:v>
                </c:pt>
                <c:pt idx="96">
                  <c:v>100.55187089615882</c:v>
                </c:pt>
                <c:pt idx="97">
                  <c:v>103.97032699624621</c:v>
                </c:pt>
                <c:pt idx="98">
                  <c:v>98.547352362847647</c:v>
                </c:pt>
                <c:pt idx="99">
                  <c:v>103.4151034151034</c:v>
                </c:pt>
                <c:pt idx="100">
                  <c:v>99.867432202791406</c:v>
                </c:pt>
                <c:pt idx="101">
                  <c:v>100.0610494309893</c:v>
                </c:pt>
                <c:pt idx="102">
                  <c:v>102.85417692825098</c:v>
                </c:pt>
                <c:pt idx="103">
                  <c:v>100.43332375565599</c:v>
                </c:pt>
                <c:pt idx="104">
                  <c:v>99.627882424228886</c:v>
                </c:pt>
                <c:pt idx="105">
                  <c:v>100.00453846454245</c:v>
                </c:pt>
                <c:pt idx="106">
                  <c:v>101.75219343684756</c:v>
                </c:pt>
                <c:pt idx="107">
                  <c:v>101.97869101978692</c:v>
                </c:pt>
                <c:pt idx="108">
                  <c:v>101.08389860173305</c:v>
                </c:pt>
                <c:pt idx="109">
                  <c:v>102.31079262238462</c:v>
                </c:pt>
                <c:pt idx="110">
                  <c:v>101.24472378355824</c:v>
                </c:pt>
                <c:pt idx="111">
                  <c:v>100.7608052984987</c:v>
                </c:pt>
                <c:pt idx="112">
                  <c:v>100.57791806286316</c:v>
                </c:pt>
                <c:pt idx="113">
                  <c:v>102.82854057479744</c:v>
                </c:pt>
                <c:pt idx="114">
                  <c:v>104.8725916450784</c:v>
                </c:pt>
                <c:pt idx="115">
                  <c:v>104.70478358579223</c:v>
                </c:pt>
                <c:pt idx="116">
                  <c:v>0</c:v>
                </c:pt>
                <c:pt idx="117">
                  <c:v>101.35351167004154</c:v>
                </c:pt>
                <c:pt idx="118">
                  <c:v>100.36742756213725</c:v>
                </c:pt>
                <c:pt idx="119">
                  <c:v>103.87489700675721</c:v>
                </c:pt>
                <c:pt idx="120">
                  <c:v>100.2543189288931</c:v>
                </c:pt>
                <c:pt idx="121">
                  <c:v>99.003988446391702</c:v>
                </c:pt>
                <c:pt idx="122">
                  <c:v>103.42224863093996</c:v>
                </c:pt>
                <c:pt idx="123">
                  <c:v>104.15670019352163</c:v>
                </c:pt>
                <c:pt idx="124">
                  <c:v>104.79654099318824</c:v>
                </c:pt>
                <c:pt idx="125">
                  <c:v>102.1957746548543</c:v>
                </c:pt>
                <c:pt idx="126">
                  <c:v>100.18482545877929</c:v>
                </c:pt>
                <c:pt idx="127">
                  <c:v>0</c:v>
                </c:pt>
                <c:pt idx="128">
                  <c:v>103.99383297351893</c:v>
                </c:pt>
                <c:pt idx="129">
                  <c:v>105.00814653948242</c:v>
                </c:pt>
                <c:pt idx="130">
                  <c:v>99.707617791419651</c:v>
                </c:pt>
                <c:pt idx="131">
                  <c:v>98.275112929274727</c:v>
                </c:pt>
                <c:pt idx="132">
                  <c:v>99.995526382144575</c:v>
                </c:pt>
                <c:pt idx="133">
                  <c:v>103.71631242395216</c:v>
                </c:pt>
                <c:pt idx="134">
                  <c:v>102.20643483693405</c:v>
                </c:pt>
                <c:pt idx="135">
                  <c:v>101.72911727544047</c:v>
                </c:pt>
                <c:pt idx="136">
                  <c:v>101.30266587149148</c:v>
                </c:pt>
                <c:pt idx="137">
                  <c:v>100.64130314836979</c:v>
                </c:pt>
                <c:pt idx="138">
                  <c:v>101.45659678369958</c:v>
                </c:pt>
                <c:pt idx="139">
                  <c:v>100.99621836840089</c:v>
                </c:pt>
                <c:pt idx="140">
                  <c:v>103.39153737896396</c:v>
                </c:pt>
                <c:pt idx="141">
                  <c:v>100.38614858398316</c:v>
                </c:pt>
                <c:pt idx="142">
                  <c:v>101.21798981072234</c:v>
                </c:pt>
                <c:pt idx="143">
                  <c:v>100.56524965192961</c:v>
                </c:pt>
                <c:pt idx="144">
                  <c:v>101.47621070518267</c:v>
                </c:pt>
                <c:pt idx="145">
                  <c:v>103.10344536467171</c:v>
                </c:pt>
                <c:pt idx="146">
                  <c:v>101.12660958124036</c:v>
                </c:pt>
                <c:pt idx="147">
                  <c:v>102.01204571617065</c:v>
                </c:pt>
                <c:pt idx="148">
                  <c:v>101.96762501379375</c:v>
                </c:pt>
                <c:pt idx="149">
                  <c:v>99.680008126777722</c:v>
                </c:pt>
                <c:pt idx="150">
                  <c:v>102.65391029427091</c:v>
                </c:pt>
                <c:pt idx="151">
                  <c:v>101.88363245389134</c:v>
                </c:pt>
                <c:pt idx="152">
                  <c:v>99.34659678642852</c:v>
                </c:pt>
                <c:pt idx="153">
                  <c:v>101.36673779382122</c:v>
                </c:pt>
                <c:pt idx="154">
                  <c:v>98.807936787974768</c:v>
                </c:pt>
                <c:pt idx="155">
                  <c:v>100.31356501314291</c:v>
                </c:pt>
                <c:pt idx="156">
                  <c:v>102.81506709980771</c:v>
                </c:pt>
                <c:pt idx="157">
                  <c:v>98.587933886040858</c:v>
                </c:pt>
                <c:pt idx="158">
                  <c:v>99.658320684485318</c:v>
                </c:pt>
                <c:pt idx="159">
                  <c:v>102.67016639245551</c:v>
                </c:pt>
                <c:pt idx="160">
                  <c:v>102.9451493891886</c:v>
                </c:pt>
                <c:pt idx="161">
                  <c:v>102.86624478394315</c:v>
                </c:pt>
                <c:pt idx="162">
                  <c:v>102.20633881268444</c:v>
                </c:pt>
                <c:pt idx="163">
                  <c:v>101.50234294474809</c:v>
                </c:pt>
                <c:pt idx="164">
                  <c:v>102.09871978952619</c:v>
                </c:pt>
                <c:pt idx="165">
                  <c:v>104.65799302133927</c:v>
                </c:pt>
                <c:pt idx="166">
                  <c:v>102.74163290130809</c:v>
                </c:pt>
                <c:pt idx="167">
                  <c:v>100.01711087029146</c:v>
                </c:pt>
                <c:pt idx="168">
                  <c:v>102.06042737605969</c:v>
                </c:pt>
                <c:pt idx="169">
                  <c:v>99.757257954110941</c:v>
                </c:pt>
                <c:pt idx="170">
                  <c:v>101.0428434493855</c:v>
                </c:pt>
                <c:pt idx="171">
                  <c:v>102.00408662965133</c:v>
                </c:pt>
                <c:pt idx="172">
                  <c:v>102.68809374919692</c:v>
                </c:pt>
                <c:pt idx="173">
                  <c:v>100.05522427882676</c:v>
                </c:pt>
                <c:pt idx="174">
                  <c:v>100.66321732898645</c:v>
                </c:pt>
                <c:pt idx="175">
                  <c:v>0</c:v>
                </c:pt>
                <c:pt idx="176">
                  <c:v>100.26042487719675</c:v>
                </c:pt>
                <c:pt idx="177">
                  <c:v>102.93347356910473</c:v>
                </c:pt>
                <c:pt idx="178">
                  <c:v>102.41330996047976</c:v>
                </c:pt>
                <c:pt idx="179">
                  <c:v>100.10953407179821</c:v>
                </c:pt>
                <c:pt idx="180">
                  <c:v>103.46048081897139</c:v>
                </c:pt>
                <c:pt idx="181">
                  <c:v>100.95856954386113</c:v>
                </c:pt>
                <c:pt idx="182">
                  <c:v>103.55352081970786</c:v>
                </c:pt>
                <c:pt idx="183">
                  <c:v>100.1505868762506</c:v>
                </c:pt>
                <c:pt idx="184">
                  <c:v>102.59170095235667</c:v>
                </c:pt>
                <c:pt idx="185">
                  <c:v>98.569950096998667</c:v>
                </c:pt>
                <c:pt idx="186">
                  <c:v>100.62433173153738</c:v>
                </c:pt>
                <c:pt idx="187">
                  <c:v>100.6700581864332</c:v>
                </c:pt>
                <c:pt idx="188">
                  <c:v>102.28973251024476</c:v>
                </c:pt>
                <c:pt idx="189">
                  <c:v>102.33899513611246</c:v>
                </c:pt>
                <c:pt idx="190">
                  <c:v>98.701973001038425</c:v>
                </c:pt>
                <c:pt idx="191">
                  <c:v>101.85801459291007</c:v>
                </c:pt>
                <c:pt idx="192">
                  <c:v>103.92209464595763</c:v>
                </c:pt>
                <c:pt idx="193">
                  <c:v>101.12129969017268</c:v>
                </c:pt>
                <c:pt idx="194">
                  <c:v>100.83256050997986</c:v>
                </c:pt>
                <c:pt idx="195">
                  <c:v>100.10407015851661</c:v>
                </c:pt>
                <c:pt idx="196">
                  <c:v>100.38314662068062</c:v>
                </c:pt>
                <c:pt idx="197">
                  <c:v>104.4712862894681</c:v>
                </c:pt>
                <c:pt idx="198">
                  <c:v>100.21181254057967</c:v>
                </c:pt>
                <c:pt idx="199">
                  <c:v>103.14738925594492</c:v>
                </c:pt>
                <c:pt idx="200">
                  <c:v>102.49647602322125</c:v>
                </c:pt>
                <c:pt idx="201">
                  <c:v>104.48952756645065</c:v>
                </c:pt>
                <c:pt idx="202">
                  <c:v>99.140289341199519</c:v>
                </c:pt>
                <c:pt idx="203">
                  <c:v>99.599019101070354</c:v>
                </c:pt>
                <c:pt idx="204">
                  <c:v>100.69548286108795</c:v>
                </c:pt>
                <c:pt idx="205">
                  <c:v>103.2119560729915</c:v>
                </c:pt>
                <c:pt idx="206">
                  <c:v>99.528921184972148</c:v>
                </c:pt>
                <c:pt idx="207">
                  <c:v>103.94121400706537</c:v>
                </c:pt>
                <c:pt idx="208">
                  <c:v>102.37654037525461</c:v>
                </c:pt>
                <c:pt idx="209">
                  <c:v>101.61277853497566</c:v>
                </c:pt>
                <c:pt idx="210">
                  <c:v>0</c:v>
                </c:pt>
                <c:pt idx="211">
                  <c:v>98.546032280972057</c:v>
                </c:pt>
                <c:pt idx="212">
                  <c:v>104.65834565557559</c:v>
                </c:pt>
                <c:pt idx="213">
                  <c:v>99.915333218169451</c:v>
                </c:pt>
                <c:pt idx="214">
                  <c:v>103.04674278708194</c:v>
                </c:pt>
                <c:pt idx="215">
                  <c:v>101.78110501026947</c:v>
                </c:pt>
                <c:pt idx="216">
                  <c:v>100.32094131358838</c:v>
                </c:pt>
                <c:pt idx="217">
                  <c:v>102.5406646978859</c:v>
                </c:pt>
                <c:pt idx="218">
                  <c:v>101.42203926481805</c:v>
                </c:pt>
                <c:pt idx="219">
                  <c:v>101.18669209578299</c:v>
                </c:pt>
                <c:pt idx="220">
                  <c:v>100.75945559816529</c:v>
                </c:pt>
                <c:pt idx="221">
                  <c:v>100.76394373915036</c:v>
                </c:pt>
                <c:pt idx="222">
                  <c:v>102.30037602300375</c:v>
                </c:pt>
                <c:pt idx="223">
                  <c:v>101.24884426560403</c:v>
                </c:pt>
                <c:pt idx="224">
                  <c:v>100.35668170951533</c:v>
                </c:pt>
                <c:pt idx="225">
                  <c:v>104.49473889628207</c:v>
                </c:pt>
                <c:pt idx="226">
                  <c:v>103.26917891637231</c:v>
                </c:pt>
                <c:pt idx="227">
                  <c:v>102.80740817453741</c:v>
                </c:pt>
                <c:pt idx="228">
                  <c:v>101.42375995101038</c:v>
                </c:pt>
                <c:pt idx="229">
                  <c:v>104.47707341092971</c:v>
                </c:pt>
                <c:pt idx="230">
                  <c:v>102.606252105427</c:v>
                </c:pt>
                <c:pt idx="231">
                  <c:v>101.43293815651701</c:v>
                </c:pt>
                <c:pt idx="232">
                  <c:v>101.00422983892349</c:v>
                </c:pt>
                <c:pt idx="233">
                  <c:v>101.3456240728968</c:v>
                </c:pt>
                <c:pt idx="234">
                  <c:v>102.65833739254941</c:v>
                </c:pt>
                <c:pt idx="235">
                  <c:v>102.85533263787863</c:v>
                </c:pt>
                <c:pt idx="236">
                  <c:v>99.838864995345006</c:v>
                </c:pt>
                <c:pt idx="237">
                  <c:v>100.03949102208125</c:v>
                </c:pt>
                <c:pt idx="238">
                  <c:v>101.64885786776334</c:v>
                </c:pt>
                <c:pt idx="239">
                  <c:v>101.50137662183731</c:v>
                </c:pt>
                <c:pt idx="240">
                  <c:v>100.59981618041718</c:v>
                </c:pt>
                <c:pt idx="241">
                  <c:v>99.465592552306219</c:v>
                </c:pt>
                <c:pt idx="242">
                  <c:v>101.83990766515036</c:v>
                </c:pt>
                <c:pt idx="243">
                  <c:v>100.49744452266007</c:v>
                </c:pt>
                <c:pt idx="244">
                  <c:v>0</c:v>
                </c:pt>
                <c:pt idx="245">
                  <c:v>100.16052698567725</c:v>
                </c:pt>
                <c:pt idx="246">
                  <c:v>102.20691414721266</c:v>
                </c:pt>
                <c:pt idx="247">
                  <c:v>101.8206816889643</c:v>
                </c:pt>
                <c:pt idx="248">
                  <c:v>99.723857548583695</c:v>
                </c:pt>
                <c:pt idx="249">
                  <c:v>98.989540029706404</c:v>
                </c:pt>
                <c:pt idx="250">
                  <c:v>101.83676863367417</c:v>
                </c:pt>
                <c:pt idx="251">
                  <c:v>100.50849575681448</c:v>
                </c:pt>
                <c:pt idx="252">
                  <c:v>99.585683622023666</c:v>
                </c:pt>
                <c:pt idx="253">
                  <c:v>99.581516023268762</c:v>
                </c:pt>
                <c:pt idx="254">
                  <c:v>100.47232458421726</c:v>
                </c:pt>
                <c:pt idx="255">
                  <c:v>102.19287131727654</c:v>
                </c:pt>
                <c:pt idx="256">
                  <c:v>100.61580210833941</c:v>
                </c:pt>
                <c:pt idx="257">
                  <c:v>102.90884205493462</c:v>
                </c:pt>
                <c:pt idx="258">
                  <c:v>99.187281004248092</c:v>
                </c:pt>
                <c:pt idx="259">
                  <c:v>98.416466142366275</c:v>
                </c:pt>
                <c:pt idx="260">
                  <c:v>100.92384120291788</c:v>
                </c:pt>
                <c:pt idx="261">
                  <c:v>99.043245311902027</c:v>
                </c:pt>
                <c:pt idx="262">
                  <c:v>0</c:v>
                </c:pt>
                <c:pt idx="263">
                  <c:v>103.7637104923266</c:v>
                </c:pt>
                <c:pt idx="264">
                  <c:v>99.890337207803597</c:v>
                </c:pt>
                <c:pt idx="265">
                  <c:v>103.70662130113051</c:v>
                </c:pt>
                <c:pt idx="266">
                  <c:v>99.481631874165117</c:v>
                </c:pt>
                <c:pt idx="267">
                  <c:v>98.68143057671179</c:v>
                </c:pt>
                <c:pt idx="268">
                  <c:v>99.47485565783964</c:v>
                </c:pt>
                <c:pt idx="269">
                  <c:v>101.49130964863029</c:v>
                </c:pt>
                <c:pt idx="270">
                  <c:v>100.04326195111398</c:v>
                </c:pt>
                <c:pt idx="271">
                  <c:v>102.6088065228866</c:v>
                </c:pt>
                <c:pt idx="272">
                  <c:v>100.341288533851</c:v>
                </c:pt>
                <c:pt idx="273">
                  <c:v>104.23591325352702</c:v>
                </c:pt>
                <c:pt idx="274">
                  <c:v>103.11887238460812</c:v>
                </c:pt>
                <c:pt idx="275">
                  <c:v>101.57741040897923</c:v>
                </c:pt>
                <c:pt idx="276">
                  <c:v>100.09861880818166</c:v>
                </c:pt>
                <c:pt idx="277">
                  <c:v>102.6991960238519</c:v>
                </c:pt>
                <c:pt idx="278">
                  <c:v>101.47915770215346</c:v>
                </c:pt>
                <c:pt idx="279">
                  <c:v>102.238484718037</c:v>
                </c:pt>
                <c:pt idx="280">
                  <c:v>102.79594774802902</c:v>
                </c:pt>
                <c:pt idx="281">
                  <c:v>104.79946001634161</c:v>
                </c:pt>
                <c:pt idx="282">
                  <c:v>100.77647330829313</c:v>
                </c:pt>
                <c:pt idx="283">
                  <c:v>101.5754875209041</c:v>
                </c:pt>
                <c:pt idx="284">
                  <c:v>103.17302296957298</c:v>
                </c:pt>
                <c:pt idx="285">
                  <c:v>100.84531651176715</c:v>
                </c:pt>
                <c:pt idx="286">
                  <c:v>99.798317874428065</c:v>
                </c:pt>
                <c:pt idx="287">
                  <c:v>99.240812912594691</c:v>
                </c:pt>
                <c:pt idx="288">
                  <c:v>102.38092469478646</c:v>
                </c:pt>
                <c:pt idx="289">
                  <c:v>103.03791838576446</c:v>
                </c:pt>
                <c:pt idx="290">
                  <c:v>100.55333272997827</c:v>
                </c:pt>
                <c:pt idx="291">
                  <c:v>101.02304412005904</c:v>
                </c:pt>
                <c:pt idx="292">
                  <c:v>101.09481748577976</c:v>
                </c:pt>
                <c:pt idx="293">
                  <c:v>99.90951189600672</c:v>
                </c:pt>
                <c:pt idx="294">
                  <c:v>98.513233812160635</c:v>
                </c:pt>
                <c:pt idx="295">
                  <c:v>101.97509660798625</c:v>
                </c:pt>
                <c:pt idx="296">
                  <c:v>99.991023770308701</c:v>
                </c:pt>
                <c:pt idx="297">
                  <c:v>102.81817393052735</c:v>
                </c:pt>
                <c:pt idx="298">
                  <c:v>102.06822455009402</c:v>
                </c:pt>
                <c:pt idx="299">
                  <c:v>101.74846136147555</c:v>
                </c:pt>
                <c:pt idx="300">
                  <c:v>102.76895377333074</c:v>
                </c:pt>
                <c:pt idx="301">
                  <c:v>103.20009908896132</c:v>
                </c:pt>
                <c:pt idx="302">
                  <c:v>102.02670711421543</c:v>
                </c:pt>
                <c:pt idx="303">
                  <c:v>101.11083630522602</c:v>
                </c:pt>
                <c:pt idx="304">
                  <c:v>101.46140769632939</c:v>
                </c:pt>
                <c:pt idx="305">
                  <c:v>101.6778910010252</c:v>
                </c:pt>
                <c:pt idx="306">
                  <c:v>101.05447920108772</c:v>
                </c:pt>
                <c:pt idx="307">
                  <c:v>102.12512359307067</c:v>
                </c:pt>
                <c:pt idx="308">
                  <c:v>102.2501868284744</c:v>
                </c:pt>
                <c:pt idx="309">
                  <c:v>101.72286465602967</c:v>
                </c:pt>
                <c:pt idx="310">
                  <c:v>102.74412204962059</c:v>
                </c:pt>
                <c:pt idx="311">
                  <c:v>100.637226352393</c:v>
                </c:pt>
                <c:pt idx="312">
                  <c:v>100.77736454148693</c:v>
                </c:pt>
                <c:pt idx="313">
                  <c:v>98.715541547783971</c:v>
                </c:pt>
                <c:pt idx="314">
                  <c:v>100.06739554873707</c:v>
                </c:pt>
                <c:pt idx="315">
                  <c:v>99.771003339499529</c:v>
                </c:pt>
                <c:pt idx="316">
                  <c:v>99.307368503234358</c:v>
                </c:pt>
                <c:pt idx="317">
                  <c:v>99.994861077803279</c:v>
                </c:pt>
                <c:pt idx="318">
                  <c:v>0</c:v>
                </c:pt>
                <c:pt idx="319">
                  <c:v>104.81097437619175</c:v>
                </c:pt>
                <c:pt idx="320">
                  <c:v>100.52470285768271</c:v>
                </c:pt>
                <c:pt idx="321">
                  <c:v>103.20102711407057</c:v>
                </c:pt>
                <c:pt idx="322">
                  <c:v>103.35825553216857</c:v>
                </c:pt>
                <c:pt idx="323">
                  <c:v>102.82021151586369</c:v>
                </c:pt>
                <c:pt idx="324">
                  <c:v>103.97878662295864</c:v>
                </c:pt>
                <c:pt idx="325">
                  <c:v>99.716631869716991</c:v>
                </c:pt>
                <c:pt idx="326">
                  <c:v>103.26216944146918</c:v>
                </c:pt>
                <c:pt idx="327">
                  <c:v>100.25784708139969</c:v>
                </c:pt>
                <c:pt idx="328">
                  <c:v>99.906013497942851</c:v>
                </c:pt>
                <c:pt idx="329">
                  <c:v>103.84738645608212</c:v>
                </c:pt>
                <c:pt idx="330">
                  <c:v>103.53199397443795</c:v>
                </c:pt>
                <c:pt idx="331">
                  <c:v>99.956729606706048</c:v>
                </c:pt>
                <c:pt idx="332">
                  <c:v>102.17681517166911</c:v>
                </c:pt>
                <c:pt idx="333">
                  <c:v>98.264320301867997</c:v>
                </c:pt>
                <c:pt idx="334">
                  <c:v>100.05279381460855</c:v>
                </c:pt>
                <c:pt idx="335">
                  <c:v>99.446879854144569</c:v>
                </c:pt>
                <c:pt idx="336">
                  <c:v>100.38520268699298</c:v>
                </c:pt>
                <c:pt idx="337">
                  <c:v>101.0783773384774</c:v>
                </c:pt>
                <c:pt idx="338">
                  <c:v>99.437142924535067</c:v>
                </c:pt>
                <c:pt idx="339">
                  <c:v>100.15081869135049</c:v>
                </c:pt>
                <c:pt idx="340">
                  <c:v>101.19113653964011</c:v>
                </c:pt>
                <c:pt idx="341">
                  <c:v>103.37938762305967</c:v>
                </c:pt>
                <c:pt idx="342">
                  <c:v>100.19341779100586</c:v>
                </c:pt>
                <c:pt idx="343">
                  <c:v>99.770628762705712</c:v>
                </c:pt>
                <c:pt idx="344">
                  <c:v>101.31368827021001</c:v>
                </c:pt>
                <c:pt idx="345">
                  <c:v>101.75071886151829</c:v>
                </c:pt>
                <c:pt idx="346">
                  <c:v>100.12999143433925</c:v>
                </c:pt>
                <c:pt idx="347">
                  <c:v>102.37097717453925</c:v>
                </c:pt>
                <c:pt idx="348">
                  <c:v>100.02111319873489</c:v>
                </c:pt>
                <c:pt idx="349">
                  <c:v>100.05750170518462</c:v>
                </c:pt>
                <c:pt idx="350">
                  <c:v>98.776162680326649</c:v>
                </c:pt>
                <c:pt idx="351">
                  <c:v>100.39432630768542</c:v>
                </c:pt>
                <c:pt idx="352">
                  <c:v>100.11195889646309</c:v>
                </c:pt>
                <c:pt idx="353">
                  <c:v>0</c:v>
                </c:pt>
                <c:pt idx="354">
                  <c:v>103.11667870503132</c:v>
                </c:pt>
                <c:pt idx="355">
                  <c:v>99.956729606706048</c:v>
                </c:pt>
                <c:pt idx="356">
                  <c:v>101.85877577181924</c:v>
                </c:pt>
                <c:pt idx="357">
                  <c:v>102.73994593310346</c:v>
                </c:pt>
                <c:pt idx="358">
                  <c:v>102.62153791381064</c:v>
                </c:pt>
                <c:pt idx="359">
                  <c:v>100.29685318623127</c:v>
                </c:pt>
                <c:pt idx="360">
                  <c:v>98.621549799603386</c:v>
                </c:pt>
                <c:pt idx="361">
                  <c:v>98.302601529212652</c:v>
                </c:pt>
                <c:pt idx="362">
                  <c:v>99.681140006922149</c:v>
                </c:pt>
                <c:pt idx="363">
                  <c:v>100.47162751298488</c:v>
                </c:pt>
                <c:pt idx="364">
                  <c:v>104.20096637059777</c:v>
                </c:pt>
                <c:pt idx="365">
                  <c:v>103.29403737538378</c:v>
                </c:pt>
                <c:pt idx="366">
                  <c:v>102.49437740661074</c:v>
                </c:pt>
                <c:pt idx="367">
                  <c:v>0</c:v>
                </c:pt>
                <c:pt idx="368">
                  <c:v>99.742228677760906</c:v>
                </c:pt>
                <c:pt idx="369">
                  <c:v>100.11372498733471</c:v>
                </c:pt>
                <c:pt idx="370">
                  <c:v>101.28332523738595</c:v>
                </c:pt>
                <c:pt idx="371">
                  <c:v>101.1284712898257</c:v>
                </c:pt>
                <c:pt idx="372">
                  <c:v>0</c:v>
                </c:pt>
                <c:pt idx="373">
                  <c:v>103.11375405476173</c:v>
                </c:pt>
                <c:pt idx="374">
                  <c:v>101.12307646908758</c:v>
                </c:pt>
                <c:pt idx="375">
                  <c:v>99.142271762942144</c:v>
                </c:pt>
                <c:pt idx="376">
                  <c:v>101.6028608136408</c:v>
                </c:pt>
                <c:pt idx="377">
                  <c:v>102.7731634178898</c:v>
                </c:pt>
                <c:pt idx="378">
                  <c:v>101.53567463270674</c:v>
                </c:pt>
                <c:pt idx="379">
                  <c:v>99.703575587192077</c:v>
                </c:pt>
                <c:pt idx="380">
                  <c:v>99.995733792835068</c:v>
                </c:pt>
                <c:pt idx="381">
                  <c:v>99.858555238363877</c:v>
                </c:pt>
                <c:pt idx="382">
                  <c:v>104.29345816767675</c:v>
                </c:pt>
                <c:pt idx="383">
                  <c:v>100.1575954525795</c:v>
                </c:pt>
                <c:pt idx="384">
                  <c:v>102.26419065420951</c:v>
                </c:pt>
                <c:pt idx="385">
                  <c:v>100.73635720359806</c:v>
                </c:pt>
                <c:pt idx="386">
                  <c:v>99.054686632260612</c:v>
                </c:pt>
                <c:pt idx="387">
                  <c:v>100.56657074325344</c:v>
                </c:pt>
                <c:pt idx="388">
                  <c:v>99.221867456761046</c:v>
                </c:pt>
                <c:pt idx="389">
                  <c:v>98.503933274292152</c:v>
                </c:pt>
                <c:pt idx="390">
                  <c:v>98.569524664912805</c:v>
                </c:pt>
                <c:pt idx="391">
                  <c:v>102.9722622353372</c:v>
                </c:pt>
                <c:pt idx="392">
                  <c:v>100.08026034287425</c:v>
                </c:pt>
                <c:pt idx="393">
                  <c:v>102.90924112498843</c:v>
                </c:pt>
                <c:pt idx="394">
                  <c:v>100.24452642577867</c:v>
                </c:pt>
                <c:pt idx="395">
                  <c:v>101.73987870451219</c:v>
                </c:pt>
                <c:pt idx="396">
                  <c:v>101.63364337020626</c:v>
                </c:pt>
                <c:pt idx="397">
                  <c:v>100.24645539874686</c:v>
                </c:pt>
                <c:pt idx="398">
                  <c:v>101.52858092942496</c:v>
                </c:pt>
                <c:pt idx="399">
                  <c:v>102.61164904170033</c:v>
                </c:pt>
                <c:pt idx="400">
                  <c:v>99.713471768784174</c:v>
                </c:pt>
                <c:pt idx="401">
                  <c:v>100.69155951458019</c:v>
                </c:pt>
                <c:pt idx="402">
                  <c:v>101.29704723345685</c:v>
                </c:pt>
                <c:pt idx="403">
                  <c:v>102.21419918514924</c:v>
                </c:pt>
                <c:pt idx="404">
                  <c:v>104.81454215858889</c:v>
                </c:pt>
                <c:pt idx="405">
                  <c:v>99.956395217601667</c:v>
                </c:pt>
                <c:pt idx="406">
                  <c:v>98.488969018772494</c:v>
                </c:pt>
                <c:pt idx="407">
                  <c:v>102.10664974941865</c:v>
                </c:pt>
                <c:pt idx="408">
                  <c:v>99.199655907620254</c:v>
                </c:pt>
                <c:pt idx="409">
                  <c:v>100.50310293984927</c:v>
                </c:pt>
                <c:pt idx="410">
                  <c:v>99.971982374366405</c:v>
                </c:pt>
                <c:pt idx="411">
                  <c:v>100.25261963647161</c:v>
                </c:pt>
                <c:pt idx="412">
                  <c:v>104.45487213089541</c:v>
                </c:pt>
                <c:pt idx="413">
                  <c:v>104.80369644327736</c:v>
                </c:pt>
                <c:pt idx="414">
                  <c:v>104.18752270991376</c:v>
                </c:pt>
                <c:pt idx="415">
                  <c:v>0</c:v>
                </c:pt>
                <c:pt idx="416">
                  <c:v>101.10516751445617</c:v>
                </c:pt>
                <c:pt idx="417">
                  <c:v>103.93291098583673</c:v>
                </c:pt>
                <c:pt idx="418">
                  <c:v>101.09910795859318</c:v>
                </c:pt>
                <c:pt idx="419">
                  <c:v>98.745540668924278</c:v>
                </c:pt>
                <c:pt idx="420">
                  <c:v>100.51176111204778</c:v>
                </c:pt>
                <c:pt idx="421">
                  <c:v>102.60025317086216</c:v>
                </c:pt>
                <c:pt idx="422">
                  <c:v>98.239948684004972</c:v>
                </c:pt>
                <c:pt idx="423">
                  <c:v>99.068281807992705</c:v>
                </c:pt>
                <c:pt idx="424">
                  <c:v>101.11898162406322</c:v>
                </c:pt>
                <c:pt idx="425">
                  <c:v>104.07239819004526</c:v>
                </c:pt>
                <c:pt idx="426">
                  <c:v>101.61870503597122</c:v>
                </c:pt>
                <c:pt idx="427">
                  <c:v>101.35906214337587</c:v>
                </c:pt>
                <c:pt idx="428">
                  <c:v>99.356947079907215</c:v>
                </c:pt>
                <c:pt idx="429">
                  <c:v>100.27912746821048</c:v>
                </c:pt>
                <c:pt idx="430">
                  <c:v>102.02282288334132</c:v>
                </c:pt>
                <c:pt idx="431">
                  <c:v>102.26987614397112</c:v>
                </c:pt>
                <c:pt idx="432">
                  <c:v>99.244527402602486</c:v>
                </c:pt>
                <c:pt idx="433">
                  <c:v>99.456946995985561</c:v>
                </c:pt>
                <c:pt idx="434">
                  <c:v>104.66420900785383</c:v>
                </c:pt>
                <c:pt idx="435">
                  <c:v>104.09692332217442</c:v>
                </c:pt>
                <c:pt idx="436">
                  <c:v>101.54687993265286</c:v>
                </c:pt>
                <c:pt idx="437">
                  <c:v>102.36137465738982</c:v>
                </c:pt>
                <c:pt idx="438">
                  <c:v>99.810586130695583</c:v>
                </c:pt>
                <c:pt idx="439">
                  <c:v>100.19043588658485</c:v>
                </c:pt>
                <c:pt idx="440">
                  <c:v>101.37558207996574</c:v>
                </c:pt>
                <c:pt idx="441">
                  <c:v>101.0204887210235</c:v>
                </c:pt>
                <c:pt idx="442">
                  <c:v>101.80144402192272</c:v>
                </c:pt>
                <c:pt idx="443">
                  <c:v>103.35984927778941</c:v>
                </c:pt>
                <c:pt idx="444">
                  <c:v>104.81966509231428</c:v>
                </c:pt>
                <c:pt idx="445">
                  <c:v>99.892862609050553</c:v>
                </c:pt>
                <c:pt idx="446">
                  <c:v>102.00364298724953</c:v>
                </c:pt>
                <c:pt idx="447">
                  <c:v>99.361604434126619</c:v>
                </c:pt>
                <c:pt idx="448">
                  <c:v>102.21529196687815</c:v>
                </c:pt>
                <c:pt idx="449">
                  <c:v>101.04754230459308</c:v>
                </c:pt>
                <c:pt idx="450">
                  <c:v>101.55583972719522</c:v>
                </c:pt>
                <c:pt idx="451">
                  <c:v>100.82936151007173</c:v>
                </c:pt>
                <c:pt idx="452">
                  <c:v>102.72311538791195</c:v>
                </c:pt>
                <c:pt idx="453">
                  <c:v>101.0530583667386</c:v>
                </c:pt>
                <c:pt idx="454">
                  <c:v>104.92275279054067</c:v>
                </c:pt>
                <c:pt idx="455">
                  <c:v>100.26989706251568</c:v>
                </c:pt>
                <c:pt idx="456">
                  <c:v>0</c:v>
                </c:pt>
                <c:pt idx="457">
                  <c:v>99.257577132959</c:v>
                </c:pt>
                <c:pt idx="458">
                  <c:v>99.489841042638375</c:v>
                </c:pt>
                <c:pt idx="459">
                  <c:v>98.163687708606972</c:v>
                </c:pt>
                <c:pt idx="460">
                  <c:v>98.390428285950165</c:v>
                </c:pt>
                <c:pt idx="461">
                  <c:v>100.113642513123</c:v>
                </c:pt>
                <c:pt idx="462">
                  <c:v>103.26086956521738</c:v>
                </c:pt>
                <c:pt idx="463">
                  <c:v>102.41644690813196</c:v>
                </c:pt>
                <c:pt idx="464">
                  <c:v>98.819592964736628</c:v>
                </c:pt>
                <c:pt idx="465">
                  <c:v>98.355136439932309</c:v>
                </c:pt>
                <c:pt idx="466">
                  <c:v>99.475080814604027</c:v>
                </c:pt>
                <c:pt idx="467">
                  <c:v>99.087965619815961</c:v>
                </c:pt>
                <c:pt idx="468">
                  <c:v>102.39119150010238</c:v>
                </c:pt>
                <c:pt idx="469">
                  <c:v>101.62782339175045</c:v>
                </c:pt>
                <c:pt idx="470">
                  <c:v>99.931871670924664</c:v>
                </c:pt>
                <c:pt idx="471">
                  <c:v>100.55304172951232</c:v>
                </c:pt>
                <c:pt idx="472">
                  <c:v>101.08700657172625</c:v>
                </c:pt>
                <c:pt idx="473">
                  <c:v>102.19089641472311</c:v>
                </c:pt>
                <c:pt idx="474">
                  <c:v>103.59565915121469</c:v>
                </c:pt>
                <c:pt idx="475">
                  <c:v>104.36851489246554</c:v>
                </c:pt>
                <c:pt idx="476">
                  <c:v>102.87073736736782</c:v>
                </c:pt>
                <c:pt idx="477">
                  <c:v>101.42825696366545</c:v>
                </c:pt>
                <c:pt idx="478">
                  <c:v>101.0959939531368</c:v>
                </c:pt>
                <c:pt idx="479">
                  <c:v>100.17466896728828</c:v>
                </c:pt>
                <c:pt idx="480">
                  <c:v>103.52640698276316</c:v>
                </c:pt>
                <c:pt idx="481">
                  <c:v>102.87229875574002</c:v>
                </c:pt>
                <c:pt idx="482">
                  <c:v>104.78320436244701</c:v>
                </c:pt>
                <c:pt idx="483">
                  <c:v>102.12722475924825</c:v>
                </c:pt>
                <c:pt idx="484">
                  <c:v>100.10010010010011</c:v>
                </c:pt>
                <c:pt idx="485">
                  <c:v>100.96425101918744</c:v>
                </c:pt>
                <c:pt idx="486">
                  <c:v>100.55096823550321</c:v>
                </c:pt>
                <c:pt idx="487">
                  <c:v>99.717210122353222</c:v>
                </c:pt>
                <c:pt idx="488">
                  <c:v>99.505526655906991</c:v>
                </c:pt>
                <c:pt idx="489">
                  <c:v>99.473504940534212</c:v>
                </c:pt>
                <c:pt idx="490">
                  <c:v>102.74680381946118</c:v>
                </c:pt>
                <c:pt idx="491">
                  <c:v>103.01306597602893</c:v>
                </c:pt>
                <c:pt idx="492">
                  <c:v>100.8040205852421</c:v>
                </c:pt>
                <c:pt idx="493">
                  <c:v>104.95714878997242</c:v>
                </c:pt>
                <c:pt idx="494">
                  <c:v>104.9148314653967</c:v>
                </c:pt>
                <c:pt idx="495">
                  <c:v>101.09551459120205</c:v>
                </c:pt>
                <c:pt idx="496">
                  <c:v>102.50380620750991</c:v>
                </c:pt>
                <c:pt idx="497">
                  <c:v>103.79134258882112</c:v>
                </c:pt>
                <c:pt idx="498">
                  <c:v>100.66917551458646</c:v>
                </c:pt>
                <c:pt idx="499">
                  <c:v>101.26198611264192</c:v>
                </c:pt>
                <c:pt idx="500">
                  <c:v>0</c:v>
                </c:pt>
                <c:pt idx="501">
                  <c:v>101.2824156757605</c:v>
                </c:pt>
                <c:pt idx="502">
                  <c:v>100.32951609950574</c:v>
                </c:pt>
                <c:pt idx="503">
                  <c:v>101.2825309719797</c:v>
                </c:pt>
                <c:pt idx="504">
                  <c:v>103.18675172521101</c:v>
                </c:pt>
                <c:pt idx="505">
                  <c:v>102.4959125809723</c:v>
                </c:pt>
                <c:pt idx="506">
                  <c:v>102.81403310039232</c:v>
                </c:pt>
                <c:pt idx="507">
                  <c:v>101.75942624669716</c:v>
                </c:pt>
                <c:pt idx="508">
                  <c:v>102.8468274559597</c:v>
                </c:pt>
                <c:pt idx="509">
                  <c:v>104.3197905073223</c:v>
                </c:pt>
                <c:pt idx="510">
                  <c:v>101.95246539644474</c:v>
                </c:pt>
                <c:pt idx="511">
                  <c:v>104.84503392546627</c:v>
                </c:pt>
                <c:pt idx="512">
                  <c:v>104.80814020572737</c:v>
                </c:pt>
                <c:pt idx="513">
                  <c:v>102.21468723376017</c:v>
                </c:pt>
                <c:pt idx="514">
                  <c:v>104.18916686784495</c:v>
                </c:pt>
                <c:pt idx="515">
                  <c:v>99.750224157807082</c:v>
                </c:pt>
                <c:pt idx="516">
                  <c:v>103.69967123521626</c:v>
                </c:pt>
                <c:pt idx="517">
                  <c:v>102.68562401263823</c:v>
                </c:pt>
                <c:pt idx="518">
                  <c:v>99.720024961629917</c:v>
                </c:pt>
                <c:pt idx="519">
                  <c:v>102.84490510466939</c:v>
                </c:pt>
                <c:pt idx="520">
                  <c:v>102.40870240870241</c:v>
                </c:pt>
                <c:pt idx="521">
                  <c:v>101.2362963099863</c:v>
                </c:pt>
                <c:pt idx="522">
                  <c:v>101.41834473164641</c:v>
                </c:pt>
                <c:pt idx="523">
                  <c:v>100.24292290282233</c:v>
                </c:pt>
                <c:pt idx="524">
                  <c:v>101.49056164768847</c:v>
                </c:pt>
                <c:pt idx="525">
                  <c:v>102.13514641856025</c:v>
                </c:pt>
                <c:pt idx="526">
                  <c:v>104.13579437148461</c:v>
                </c:pt>
                <c:pt idx="527">
                  <c:v>99.30090414648221</c:v>
                </c:pt>
                <c:pt idx="528">
                  <c:v>100.2473239246419</c:v>
                </c:pt>
                <c:pt idx="529">
                  <c:v>104.50192756596167</c:v>
                </c:pt>
                <c:pt idx="530">
                  <c:v>104.46520261415442</c:v>
                </c:pt>
                <c:pt idx="531">
                  <c:v>101.87177200938775</c:v>
                </c:pt>
                <c:pt idx="532">
                  <c:v>102.8322663155095</c:v>
                </c:pt>
                <c:pt idx="533">
                  <c:v>104.04358959717837</c:v>
                </c:pt>
                <c:pt idx="534">
                  <c:v>103.31370319745533</c:v>
                </c:pt>
                <c:pt idx="535">
                  <c:v>103.24983073798239</c:v>
                </c:pt>
                <c:pt idx="536">
                  <c:v>103.537607111604</c:v>
                </c:pt>
                <c:pt idx="537">
                  <c:v>103.0838568816832</c:v>
                </c:pt>
                <c:pt idx="538">
                  <c:v>104.76544488253437</c:v>
                </c:pt>
                <c:pt idx="539">
                  <c:v>103.4332324207131</c:v>
                </c:pt>
                <c:pt idx="540">
                  <c:v>101.62185462578802</c:v>
                </c:pt>
                <c:pt idx="541">
                  <c:v>100.93805095352812</c:v>
                </c:pt>
                <c:pt idx="542">
                  <c:v>101.13426536533896</c:v>
                </c:pt>
                <c:pt idx="543">
                  <c:v>99.139049395622266</c:v>
                </c:pt>
                <c:pt idx="544">
                  <c:v>101.72154393065891</c:v>
                </c:pt>
                <c:pt idx="545">
                  <c:v>102.40688449643672</c:v>
                </c:pt>
                <c:pt idx="546">
                  <c:v>104.20145966204221</c:v>
                </c:pt>
                <c:pt idx="547">
                  <c:v>104.74413646055436</c:v>
                </c:pt>
                <c:pt idx="548">
                  <c:v>102.47843352047103</c:v>
                </c:pt>
                <c:pt idx="549">
                  <c:v>102.36844579980387</c:v>
                </c:pt>
                <c:pt idx="550">
                  <c:v>101.36871997092985</c:v>
                </c:pt>
                <c:pt idx="551">
                  <c:v>102.53082414016872</c:v>
                </c:pt>
                <c:pt idx="552">
                  <c:v>103.07667438978392</c:v>
                </c:pt>
                <c:pt idx="553">
                  <c:v>100.9630864501821</c:v>
                </c:pt>
                <c:pt idx="554">
                  <c:v>100.08549229646214</c:v>
                </c:pt>
                <c:pt idx="555">
                  <c:v>104.4776119402985</c:v>
                </c:pt>
                <c:pt idx="556">
                  <c:v>103.96480526841381</c:v>
                </c:pt>
                <c:pt idx="557">
                  <c:v>103.0817137334908</c:v>
                </c:pt>
                <c:pt idx="558">
                  <c:v>0</c:v>
                </c:pt>
                <c:pt idx="559">
                  <c:v>103.52791271800588</c:v>
                </c:pt>
                <c:pt idx="560">
                  <c:v>104.34791778712815</c:v>
                </c:pt>
                <c:pt idx="561">
                  <c:v>100.72547444522542</c:v>
                </c:pt>
                <c:pt idx="562">
                  <c:v>104.36223769252496</c:v>
                </c:pt>
                <c:pt idx="563">
                  <c:v>101.47347058216718</c:v>
                </c:pt>
                <c:pt idx="564">
                  <c:v>100.40493377106226</c:v>
                </c:pt>
                <c:pt idx="565">
                  <c:v>100.05767391781558</c:v>
                </c:pt>
                <c:pt idx="566">
                  <c:v>98.696538397506544</c:v>
                </c:pt>
                <c:pt idx="567">
                  <c:v>101.86942717460697</c:v>
                </c:pt>
                <c:pt idx="568">
                  <c:v>101.6509401756087</c:v>
                </c:pt>
                <c:pt idx="569">
                  <c:v>100.79333064407689</c:v>
                </c:pt>
                <c:pt idx="570">
                  <c:v>102.54156997899189</c:v>
                </c:pt>
                <c:pt idx="571">
                  <c:v>102.56410256410253</c:v>
                </c:pt>
                <c:pt idx="572">
                  <c:v>103.02080756438801</c:v>
                </c:pt>
                <c:pt idx="573">
                  <c:v>102.5237449118046</c:v>
                </c:pt>
                <c:pt idx="574">
                  <c:v>104.93478553180044</c:v>
                </c:pt>
                <c:pt idx="575">
                  <c:v>104.71958538143819</c:v>
                </c:pt>
                <c:pt idx="576">
                  <c:v>104.05575506884865</c:v>
                </c:pt>
                <c:pt idx="577">
                  <c:v>102.73796091120234</c:v>
                </c:pt>
                <c:pt idx="578">
                  <c:v>100.63576223293251</c:v>
                </c:pt>
                <c:pt idx="579">
                  <c:v>100.25762666644434</c:v>
                </c:pt>
                <c:pt idx="580">
                  <c:v>101.07880666898667</c:v>
                </c:pt>
                <c:pt idx="581">
                  <c:v>102.30451110734693</c:v>
                </c:pt>
                <c:pt idx="582">
                  <c:v>102.54418455650034</c:v>
                </c:pt>
                <c:pt idx="583">
                  <c:v>103.60037573523695</c:v>
                </c:pt>
                <c:pt idx="584">
                  <c:v>101.0786627355963</c:v>
                </c:pt>
                <c:pt idx="585">
                  <c:v>100.63432016970938</c:v>
                </c:pt>
                <c:pt idx="586">
                  <c:v>103.84264735641968</c:v>
                </c:pt>
                <c:pt idx="587">
                  <c:v>101.44013504633594</c:v>
                </c:pt>
                <c:pt idx="588">
                  <c:v>101.17857685097206</c:v>
                </c:pt>
                <c:pt idx="589">
                  <c:v>100.35939016634869</c:v>
                </c:pt>
                <c:pt idx="590">
                  <c:v>0</c:v>
                </c:pt>
                <c:pt idx="591">
                  <c:v>101.34722833901972</c:v>
                </c:pt>
                <c:pt idx="592">
                  <c:v>101.2012729438769</c:v>
                </c:pt>
                <c:pt idx="593">
                  <c:v>100.04641489097691</c:v>
                </c:pt>
                <c:pt idx="594">
                  <c:v>102.41183556637796</c:v>
                </c:pt>
                <c:pt idx="595">
                  <c:v>102.45243204691003</c:v>
                </c:pt>
                <c:pt idx="596">
                  <c:v>102.9957837738158</c:v>
                </c:pt>
                <c:pt idx="597">
                  <c:v>98.213603675371303</c:v>
                </c:pt>
                <c:pt idx="598">
                  <c:v>99.635838028613733</c:v>
                </c:pt>
                <c:pt idx="599">
                  <c:v>99.263941765113827</c:v>
                </c:pt>
                <c:pt idx="600">
                  <c:v>98.071233350591413</c:v>
                </c:pt>
                <c:pt idx="601">
                  <c:v>99.932104508763558</c:v>
                </c:pt>
                <c:pt idx="602">
                  <c:v>101.14453021027414</c:v>
                </c:pt>
                <c:pt idx="603">
                  <c:v>98.416412859810336</c:v>
                </c:pt>
                <c:pt idx="604">
                  <c:v>98.123016634974107</c:v>
                </c:pt>
                <c:pt idx="605">
                  <c:v>101.4507961152302</c:v>
                </c:pt>
                <c:pt idx="606">
                  <c:v>100.3503750111572</c:v>
                </c:pt>
                <c:pt idx="607">
                  <c:v>101.66361915299476</c:v>
                </c:pt>
                <c:pt idx="608">
                  <c:v>103.73327860594412</c:v>
                </c:pt>
                <c:pt idx="609">
                  <c:v>102.33889076565387</c:v>
                </c:pt>
                <c:pt idx="610">
                  <c:v>103.01588023156177</c:v>
                </c:pt>
                <c:pt idx="611">
                  <c:v>101.50704991765053</c:v>
                </c:pt>
                <c:pt idx="612">
                  <c:v>103.46437241700879</c:v>
                </c:pt>
                <c:pt idx="613">
                  <c:v>102.47472298827101</c:v>
                </c:pt>
                <c:pt idx="614">
                  <c:v>102.71035679384136</c:v>
                </c:pt>
                <c:pt idx="615">
                  <c:v>100.32131795058612</c:v>
                </c:pt>
                <c:pt idx="616">
                  <c:v>104.58752249939076</c:v>
                </c:pt>
                <c:pt idx="617">
                  <c:v>99.121028708925749</c:v>
                </c:pt>
                <c:pt idx="618">
                  <c:v>103.88232858615456</c:v>
                </c:pt>
                <c:pt idx="619">
                  <c:v>100.77167971904812</c:v>
                </c:pt>
                <c:pt idx="620">
                  <c:v>101.364670659881</c:v>
                </c:pt>
                <c:pt idx="621">
                  <c:v>102.31482344068057</c:v>
                </c:pt>
                <c:pt idx="622">
                  <c:v>101.81926024742123</c:v>
                </c:pt>
                <c:pt idx="623">
                  <c:v>103.55009399808328</c:v>
                </c:pt>
                <c:pt idx="624">
                  <c:v>102.11496619825131</c:v>
                </c:pt>
                <c:pt idx="625">
                  <c:v>100.64364131349777</c:v>
                </c:pt>
                <c:pt idx="626">
                  <c:v>102.3429717669855</c:v>
                </c:pt>
                <c:pt idx="627">
                  <c:v>102.3761192882056</c:v>
                </c:pt>
                <c:pt idx="628">
                  <c:v>101.91348839637664</c:v>
                </c:pt>
                <c:pt idx="629">
                  <c:v>102.4099738409306</c:v>
                </c:pt>
                <c:pt idx="630">
                  <c:v>101.75393757387943</c:v>
                </c:pt>
                <c:pt idx="631">
                  <c:v>100.43862099050142</c:v>
                </c:pt>
                <c:pt idx="632">
                  <c:v>102.51294538028479</c:v>
                </c:pt>
                <c:pt idx="633">
                  <c:v>101.59031124845698</c:v>
                </c:pt>
                <c:pt idx="634">
                  <c:v>100.61790568160558</c:v>
                </c:pt>
                <c:pt idx="635">
                  <c:v>103.39087006045737</c:v>
                </c:pt>
                <c:pt idx="636">
                  <c:v>103.48920918813913</c:v>
                </c:pt>
                <c:pt idx="637">
                  <c:v>104.76413193494705</c:v>
                </c:pt>
                <c:pt idx="638">
                  <c:v>101.41332713226365</c:v>
                </c:pt>
                <c:pt idx="639">
                  <c:v>100.69632310718897</c:v>
                </c:pt>
                <c:pt idx="640">
                  <c:v>99.119593856435955</c:v>
                </c:pt>
                <c:pt idx="641">
                  <c:v>100.71332176595334</c:v>
                </c:pt>
                <c:pt idx="642">
                  <c:v>103.42719651578986</c:v>
                </c:pt>
                <c:pt idx="643">
                  <c:v>100.87734695554434</c:v>
                </c:pt>
                <c:pt idx="644">
                  <c:v>99.116521074217772</c:v>
                </c:pt>
                <c:pt idx="645">
                  <c:v>99.711644703155727</c:v>
                </c:pt>
                <c:pt idx="646">
                  <c:v>103.00226089699774</c:v>
                </c:pt>
                <c:pt idx="647">
                  <c:v>102.43219384493621</c:v>
                </c:pt>
                <c:pt idx="648">
                  <c:v>100.1690224747869</c:v>
                </c:pt>
                <c:pt idx="649">
                  <c:v>100.29490687850367</c:v>
                </c:pt>
                <c:pt idx="650">
                  <c:v>102.50152162524716</c:v>
                </c:pt>
                <c:pt idx="651">
                  <c:v>100.33669338180616</c:v>
                </c:pt>
                <c:pt idx="652">
                  <c:v>101.8342559695943</c:v>
                </c:pt>
                <c:pt idx="653">
                  <c:v>99.59951634719026</c:v>
                </c:pt>
                <c:pt idx="654">
                  <c:v>100.69359164290121</c:v>
                </c:pt>
                <c:pt idx="655">
                  <c:v>98.955998963948772</c:v>
                </c:pt>
                <c:pt idx="656">
                  <c:v>100.66543182390717</c:v>
                </c:pt>
                <c:pt idx="657">
                  <c:v>104.31000044387233</c:v>
                </c:pt>
                <c:pt idx="658">
                  <c:v>104.04416038404705</c:v>
                </c:pt>
                <c:pt idx="659">
                  <c:v>102.14992711284123</c:v>
                </c:pt>
                <c:pt idx="660">
                  <c:v>104.62358391269061</c:v>
                </c:pt>
                <c:pt idx="661">
                  <c:v>99.050738359760388</c:v>
                </c:pt>
                <c:pt idx="662">
                  <c:v>102.85121781387276</c:v>
                </c:pt>
                <c:pt idx="663">
                  <c:v>104.41049984213218</c:v>
                </c:pt>
                <c:pt idx="664">
                  <c:v>104.38780094667651</c:v>
                </c:pt>
                <c:pt idx="665">
                  <c:v>100.1728521352814</c:v>
                </c:pt>
                <c:pt idx="666">
                  <c:v>98.651212737080655</c:v>
                </c:pt>
                <c:pt idx="667">
                  <c:v>101.72074511370528</c:v>
                </c:pt>
                <c:pt idx="668">
                  <c:v>102.68911829497162</c:v>
                </c:pt>
                <c:pt idx="669">
                  <c:v>99.919090917567004</c:v>
                </c:pt>
                <c:pt idx="670">
                  <c:v>99.887301293014531</c:v>
                </c:pt>
                <c:pt idx="671">
                  <c:v>101.54131162392601</c:v>
                </c:pt>
                <c:pt idx="672">
                  <c:v>104.33824686565598</c:v>
                </c:pt>
                <c:pt idx="673">
                  <c:v>103.76748980326593</c:v>
                </c:pt>
                <c:pt idx="674">
                  <c:v>103.57940311024936</c:v>
                </c:pt>
                <c:pt idx="675">
                  <c:v>102.06731794373766</c:v>
                </c:pt>
                <c:pt idx="676">
                  <c:v>103.88172654408694</c:v>
                </c:pt>
                <c:pt idx="677">
                  <c:v>98.635265013346114</c:v>
                </c:pt>
                <c:pt idx="678">
                  <c:v>98.258618568627909</c:v>
                </c:pt>
                <c:pt idx="679">
                  <c:v>0</c:v>
                </c:pt>
                <c:pt idx="680">
                  <c:v>101.3879162157</c:v>
                </c:pt>
                <c:pt idx="681">
                  <c:v>103.05609033990713</c:v>
                </c:pt>
                <c:pt idx="682">
                  <c:v>98.586774730448468</c:v>
                </c:pt>
                <c:pt idx="683">
                  <c:v>102.50325472553187</c:v>
                </c:pt>
                <c:pt idx="684">
                  <c:v>103.16205473099038</c:v>
                </c:pt>
                <c:pt idx="685">
                  <c:v>103.19528016548981</c:v>
                </c:pt>
                <c:pt idx="686">
                  <c:v>103.17305718307625</c:v>
                </c:pt>
                <c:pt idx="687">
                  <c:v>103.5449780944616</c:v>
                </c:pt>
                <c:pt idx="688">
                  <c:v>98.682937627541023</c:v>
                </c:pt>
                <c:pt idx="689">
                  <c:v>99.492516646178004</c:v>
                </c:pt>
                <c:pt idx="690">
                  <c:v>98.876357863938637</c:v>
                </c:pt>
                <c:pt idx="691">
                  <c:v>102.1716714385164</c:v>
                </c:pt>
                <c:pt idx="692">
                  <c:v>101.4160766347355</c:v>
                </c:pt>
                <c:pt idx="693">
                  <c:v>101.51237455952446</c:v>
                </c:pt>
                <c:pt idx="694">
                  <c:v>102.80125691807605</c:v>
                </c:pt>
                <c:pt idx="695">
                  <c:v>103.36602173336868</c:v>
                </c:pt>
                <c:pt idx="696">
                  <c:v>100.07021097222622</c:v>
                </c:pt>
                <c:pt idx="697">
                  <c:v>104.72824405101227</c:v>
                </c:pt>
                <c:pt idx="698">
                  <c:v>99.813549782741475</c:v>
                </c:pt>
                <c:pt idx="699">
                  <c:v>99.330951259177809</c:v>
                </c:pt>
                <c:pt idx="700">
                  <c:v>102.01827349406263</c:v>
                </c:pt>
                <c:pt idx="701">
                  <c:v>102.2675440585331</c:v>
                </c:pt>
                <c:pt idx="702">
                  <c:v>98.749177090190898</c:v>
                </c:pt>
                <c:pt idx="703">
                  <c:v>100.37408792918254</c:v>
                </c:pt>
                <c:pt idx="704">
                  <c:v>99.104389957421802</c:v>
                </c:pt>
                <c:pt idx="705">
                  <c:v>100.2371965106108</c:v>
                </c:pt>
                <c:pt idx="706">
                  <c:v>101.09106374625816</c:v>
                </c:pt>
                <c:pt idx="707">
                  <c:v>99.787770792455845</c:v>
                </c:pt>
              </c:numCache>
            </c:numRef>
          </c:val>
          <c:smooth val="0"/>
          <c:extLst>
            <c:ext xmlns:c16="http://schemas.microsoft.com/office/drawing/2014/chart" uri="{C3380CC4-5D6E-409C-BE32-E72D297353CC}">
              <c16:uniqueId val="{00000000-95A4-46EC-8A17-60F6B27A9DBF}"/>
            </c:ext>
          </c:extLst>
        </c:ser>
        <c:ser>
          <c:idx val="1"/>
          <c:order val="1"/>
          <c:tx>
            <c:strRef>
              <c:f>FCS!$AN$9</c:f>
              <c:strCache>
                <c:ptCount val="1"/>
                <c:pt idx="0">
                  <c:v>Failure</c:v>
                </c:pt>
              </c:strCache>
            </c:strRef>
          </c:tx>
          <c:spPr>
            <a:ln w="19050" cap="rnd">
              <a:noFill/>
              <a:round/>
            </a:ln>
            <a:effectLst/>
          </c:spPr>
          <c:marker>
            <c:symbol val="circle"/>
            <c:size val="5"/>
            <c:spPr>
              <a:solidFill>
                <a:schemeClr val="accent2"/>
              </a:solidFill>
              <a:ln w="9525">
                <a:solidFill>
                  <a:srgbClr val="FF000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FF0000"/>
                    </a:solidFill>
                    <a:effectLst>
                      <a:glow rad="63500">
                        <a:srgbClr val="FFFF00"/>
                      </a:glow>
                    </a:effectLst>
                    <a:latin typeface="+mn-lt"/>
                    <a:ea typeface="+mn-ea"/>
                    <a:cs typeface="+mn-cs"/>
                  </a:defRPr>
                </a:pPr>
                <a:endParaRPr lang="es-PE"/>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FCS!$G$11:$G$826</c:f>
              <c:numCache>
                <c:formatCode>dd/mm/yyyy;@</c:formatCode>
                <c:ptCount val="815"/>
                <c:pt idx="0">
                  <c:v>46082</c:v>
                </c:pt>
                <c:pt idx="1">
                  <c:v>46082</c:v>
                </c:pt>
                <c:pt idx="2">
                  <c:v>46082</c:v>
                </c:pt>
                <c:pt idx="3">
                  <c:v>46082</c:v>
                </c:pt>
                <c:pt idx="4">
                  <c:v>46082</c:v>
                </c:pt>
                <c:pt idx="5">
                  <c:v>46082</c:v>
                </c:pt>
                <c:pt idx="6">
                  <c:v>46082</c:v>
                </c:pt>
                <c:pt idx="7">
                  <c:v>46082</c:v>
                </c:pt>
                <c:pt idx="8">
                  <c:v>46082</c:v>
                </c:pt>
                <c:pt idx="9">
                  <c:v>46082</c:v>
                </c:pt>
                <c:pt idx="10">
                  <c:v>46082</c:v>
                </c:pt>
                <c:pt idx="11">
                  <c:v>46082</c:v>
                </c:pt>
                <c:pt idx="12">
                  <c:v>46082</c:v>
                </c:pt>
                <c:pt idx="13">
                  <c:v>46082</c:v>
                </c:pt>
                <c:pt idx="14">
                  <c:v>46082</c:v>
                </c:pt>
                <c:pt idx="15">
                  <c:v>46082</c:v>
                </c:pt>
                <c:pt idx="16">
                  <c:v>46082</c:v>
                </c:pt>
                <c:pt idx="17">
                  <c:v>46082</c:v>
                </c:pt>
                <c:pt idx="18">
                  <c:v>46082</c:v>
                </c:pt>
                <c:pt idx="19">
                  <c:v>46083</c:v>
                </c:pt>
                <c:pt idx="20">
                  <c:v>46083</c:v>
                </c:pt>
                <c:pt idx="21">
                  <c:v>46083</c:v>
                </c:pt>
                <c:pt idx="22">
                  <c:v>46083</c:v>
                </c:pt>
                <c:pt idx="23">
                  <c:v>46083</c:v>
                </c:pt>
                <c:pt idx="24">
                  <c:v>46083</c:v>
                </c:pt>
                <c:pt idx="25">
                  <c:v>46083</c:v>
                </c:pt>
                <c:pt idx="26">
                  <c:v>46083</c:v>
                </c:pt>
                <c:pt idx="27">
                  <c:v>46083</c:v>
                </c:pt>
                <c:pt idx="28">
                  <c:v>46083</c:v>
                </c:pt>
                <c:pt idx="29">
                  <c:v>46083</c:v>
                </c:pt>
                <c:pt idx="30">
                  <c:v>46083</c:v>
                </c:pt>
                <c:pt idx="31">
                  <c:v>46084</c:v>
                </c:pt>
                <c:pt idx="32">
                  <c:v>46084</c:v>
                </c:pt>
                <c:pt idx="33">
                  <c:v>46084</c:v>
                </c:pt>
                <c:pt idx="34">
                  <c:v>46084</c:v>
                </c:pt>
                <c:pt idx="35">
                  <c:v>46084</c:v>
                </c:pt>
                <c:pt idx="36">
                  <c:v>46084</c:v>
                </c:pt>
                <c:pt idx="37">
                  <c:v>46084</c:v>
                </c:pt>
                <c:pt idx="38">
                  <c:v>46084</c:v>
                </c:pt>
                <c:pt idx="39">
                  <c:v>46084</c:v>
                </c:pt>
                <c:pt idx="40">
                  <c:v>46084</c:v>
                </c:pt>
                <c:pt idx="41">
                  <c:v>46084</c:v>
                </c:pt>
                <c:pt idx="42">
                  <c:v>46084</c:v>
                </c:pt>
                <c:pt idx="43">
                  <c:v>46084</c:v>
                </c:pt>
                <c:pt idx="44">
                  <c:v>46084</c:v>
                </c:pt>
                <c:pt idx="45">
                  <c:v>46084</c:v>
                </c:pt>
                <c:pt idx="46">
                  <c:v>46084</c:v>
                </c:pt>
                <c:pt idx="47">
                  <c:v>46084</c:v>
                </c:pt>
                <c:pt idx="48">
                  <c:v>46084</c:v>
                </c:pt>
                <c:pt idx="49">
                  <c:v>46084</c:v>
                </c:pt>
                <c:pt idx="50">
                  <c:v>46084</c:v>
                </c:pt>
                <c:pt idx="51">
                  <c:v>46085</c:v>
                </c:pt>
                <c:pt idx="52">
                  <c:v>46085</c:v>
                </c:pt>
                <c:pt idx="53">
                  <c:v>46085</c:v>
                </c:pt>
                <c:pt idx="54">
                  <c:v>46085</c:v>
                </c:pt>
                <c:pt idx="55">
                  <c:v>46085</c:v>
                </c:pt>
                <c:pt idx="56">
                  <c:v>46085</c:v>
                </c:pt>
                <c:pt idx="57">
                  <c:v>46085</c:v>
                </c:pt>
                <c:pt idx="58">
                  <c:v>46085</c:v>
                </c:pt>
                <c:pt idx="59">
                  <c:v>46085</c:v>
                </c:pt>
                <c:pt idx="60">
                  <c:v>46085</c:v>
                </c:pt>
                <c:pt idx="61">
                  <c:v>46085</c:v>
                </c:pt>
                <c:pt idx="62">
                  <c:v>46085</c:v>
                </c:pt>
                <c:pt idx="63">
                  <c:v>46085</c:v>
                </c:pt>
                <c:pt idx="64">
                  <c:v>46085</c:v>
                </c:pt>
                <c:pt idx="65">
                  <c:v>46085</c:v>
                </c:pt>
                <c:pt idx="66">
                  <c:v>46085</c:v>
                </c:pt>
                <c:pt idx="67">
                  <c:v>46085</c:v>
                </c:pt>
                <c:pt idx="68">
                  <c:v>46085</c:v>
                </c:pt>
                <c:pt idx="69">
                  <c:v>46085</c:v>
                </c:pt>
                <c:pt idx="70">
                  <c:v>46085</c:v>
                </c:pt>
                <c:pt idx="71">
                  <c:v>46085</c:v>
                </c:pt>
                <c:pt idx="72">
                  <c:v>46085</c:v>
                </c:pt>
                <c:pt idx="73">
                  <c:v>46085</c:v>
                </c:pt>
                <c:pt idx="74">
                  <c:v>46085</c:v>
                </c:pt>
                <c:pt idx="75">
                  <c:v>46085</c:v>
                </c:pt>
                <c:pt idx="76">
                  <c:v>46085</c:v>
                </c:pt>
                <c:pt idx="77">
                  <c:v>46085</c:v>
                </c:pt>
                <c:pt idx="78">
                  <c:v>46086</c:v>
                </c:pt>
                <c:pt idx="79">
                  <c:v>46086</c:v>
                </c:pt>
                <c:pt idx="80">
                  <c:v>46086</c:v>
                </c:pt>
                <c:pt idx="81">
                  <c:v>46086</c:v>
                </c:pt>
                <c:pt idx="82">
                  <c:v>46086</c:v>
                </c:pt>
                <c:pt idx="83">
                  <c:v>46086</c:v>
                </c:pt>
                <c:pt idx="84">
                  <c:v>46086</c:v>
                </c:pt>
                <c:pt idx="85">
                  <c:v>46086</c:v>
                </c:pt>
                <c:pt idx="86">
                  <c:v>46086</c:v>
                </c:pt>
                <c:pt idx="87">
                  <c:v>46086</c:v>
                </c:pt>
                <c:pt idx="88">
                  <c:v>46086</c:v>
                </c:pt>
                <c:pt idx="89">
                  <c:v>46086</c:v>
                </c:pt>
                <c:pt idx="90">
                  <c:v>46086</c:v>
                </c:pt>
                <c:pt idx="91">
                  <c:v>46086</c:v>
                </c:pt>
                <c:pt idx="92">
                  <c:v>46086</c:v>
                </c:pt>
                <c:pt idx="93">
                  <c:v>46086</c:v>
                </c:pt>
                <c:pt idx="94">
                  <c:v>46086</c:v>
                </c:pt>
                <c:pt idx="95">
                  <c:v>46086</c:v>
                </c:pt>
                <c:pt idx="96">
                  <c:v>46086</c:v>
                </c:pt>
                <c:pt idx="97">
                  <c:v>46086</c:v>
                </c:pt>
                <c:pt idx="98">
                  <c:v>46086</c:v>
                </c:pt>
                <c:pt idx="99">
                  <c:v>46086</c:v>
                </c:pt>
                <c:pt idx="100">
                  <c:v>46086</c:v>
                </c:pt>
                <c:pt idx="101">
                  <c:v>46086</c:v>
                </c:pt>
                <c:pt idx="102">
                  <c:v>46086</c:v>
                </c:pt>
                <c:pt idx="103">
                  <c:v>46086</c:v>
                </c:pt>
                <c:pt idx="104">
                  <c:v>46086</c:v>
                </c:pt>
                <c:pt idx="105">
                  <c:v>46086</c:v>
                </c:pt>
                <c:pt idx="106">
                  <c:v>46086</c:v>
                </c:pt>
                <c:pt idx="107">
                  <c:v>46086</c:v>
                </c:pt>
                <c:pt idx="108">
                  <c:v>46086</c:v>
                </c:pt>
                <c:pt idx="109">
                  <c:v>46086</c:v>
                </c:pt>
                <c:pt idx="110">
                  <c:v>46086</c:v>
                </c:pt>
                <c:pt idx="111">
                  <c:v>46086</c:v>
                </c:pt>
                <c:pt idx="112">
                  <c:v>46087</c:v>
                </c:pt>
                <c:pt idx="113">
                  <c:v>46086</c:v>
                </c:pt>
                <c:pt idx="114">
                  <c:v>46087</c:v>
                </c:pt>
                <c:pt idx="115">
                  <c:v>46087</c:v>
                </c:pt>
                <c:pt idx="116">
                  <c:v>46087</c:v>
                </c:pt>
                <c:pt idx="117">
                  <c:v>46088</c:v>
                </c:pt>
                <c:pt idx="118">
                  <c:v>46088</c:v>
                </c:pt>
                <c:pt idx="119">
                  <c:v>46088</c:v>
                </c:pt>
                <c:pt idx="120">
                  <c:v>46088</c:v>
                </c:pt>
                <c:pt idx="121">
                  <c:v>46088</c:v>
                </c:pt>
                <c:pt idx="122">
                  <c:v>46088</c:v>
                </c:pt>
                <c:pt idx="123">
                  <c:v>46088</c:v>
                </c:pt>
                <c:pt idx="124">
                  <c:v>46088</c:v>
                </c:pt>
                <c:pt idx="125">
                  <c:v>46088</c:v>
                </c:pt>
                <c:pt idx="126">
                  <c:v>46088</c:v>
                </c:pt>
                <c:pt idx="127">
                  <c:v>46088</c:v>
                </c:pt>
                <c:pt idx="128">
                  <c:v>46089</c:v>
                </c:pt>
                <c:pt idx="129">
                  <c:v>46089</c:v>
                </c:pt>
                <c:pt idx="130">
                  <c:v>46089</c:v>
                </c:pt>
                <c:pt idx="131">
                  <c:v>46089</c:v>
                </c:pt>
                <c:pt idx="132">
                  <c:v>46089</c:v>
                </c:pt>
                <c:pt idx="133">
                  <c:v>46089</c:v>
                </c:pt>
                <c:pt idx="134">
                  <c:v>46089</c:v>
                </c:pt>
                <c:pt idx="135">
                  <c:v>46089</c:v>
                </c:pt>
                <c:pt idx="136">
                  <c:v>46089</c:v>
                </c:pt>
                <c:pt idx="137">
                  <c:v>46089</c:v>
                </c:pt>
                <c:pt idx="138">
                  <c:v>46089</c:v>
                </c:pt>
                <c:pt idx="139">
                  <c:v>46089</c:v>
                </c:pt>
                <c:pt idx="140">
                  <c:v>46089</c:v>
                </c:pt>
                <c:pt idx="141">
                  <c:v>46089</c:v>
                </c:pt>
                <c:pt idx="142">
                  <c:v>46089</c:v>
                </c:pt>
                <c:pt idx="143">
                  <c:v>46089</c:v>
                </c:pt>
                <c:pt idx="144">
                  <c:v>46089</c:v>
                </c:pt>
                <c:pt idx="145">
                  <c:v>46089</c:v>
                </c:pt>
                <c:pt idx="146">
                  <c:v>46089</c:v>
                </c:pt>
                <c:pt idx="147">
                  <c:v>46089</c:v>
                </c:pt>
                <c:pt idx="148">
                  <c:v>46089</c:v>
                </c:pt>
                <c:pt idx="149">
                  <c:v>46089</c:v>
                </c:pt>
                <c:pt idx="150">
                  <c:v>46089</c:v>
                </c:pt>
                <c:pt idx="151">
                  <c:v>46089</c:v>
                </c:pt>
                <c:pt idx="152">
                  <c:v>46089</c:v>
                </c:pt>
                <c:pt idx="153">
                  <c:v>46089</c:v>
                </c:pt>
                <c:pt idx="154">
                  <c:v>46089</c:v>
                </c:pt>
                <c:pt idx="155">
                  <c:v>46089</c:v>
                </c:pt>
                <c:pt idx="156">
                  <c:v>46089</c:v>
                </c:pt>
                <c:pt idx="157">
                  <c:v>46090</c:v>
                </c:pt>
                <c:pt idx="158">
                  <c:v>46090</c:v>
                </c:pt>
                <c:pt idx="159">
                  <c:v>46090</c:v>
                </c:pt>
                <c:pt idx="160">
                  <c:v>46090</c:v>
                </c:pt>
                <c:pt idx="161">
                  <c:v>46090</c:v>
                </c:pt>
                <c:pt idx="162">
                  <c:v>46090</c:v>
                </c:pt>
                <c:pt idx="163">
                  <c:v>46090</c:v>
                </c:pt>
                <c:pt idx="164">
                  <c:v>46090</c:v>
                </c:pt>
                <c:pt idx="165">
                  <c:v>46090</c:v>
                </c:pt>
                <c:pt idx="166">
                  <c:v>46090</c:v>
                </c:pt>
                <c:pt idx="167">
                  <c:v>46090</c:v>
                </c:pt>
                <c:pt idx="168">
                  <c:v>46090</c:v>
                </c:pt>
                <c:pt idx="169">
                  <c:v>46090</c:v>
                </c:pt>
                <c:pt idx="170">
                  <c:v>46090</c:v>
                </c:pt>
                <c:pt idx="171">
                  <c:v>46090</c:v>
                </c:pt>
                <c:pt idx="172">
                  <c:v>46090</c:v>
                </c:pt>
                <c:pt idx="173">
                  <c:v>46090</c:v>
                </c:pt>
                <c:pt idx="174">
                  <c:v>46090</c:v>
                </c:pt>
                <c:pt idx="175">
                  <c:v>46090</c:v>
                </c:pt>
                <c:pt idx="176">
                  <c:v>46091</c:v>
                </c:pt>
                <c:pt idx="177">
                  <c:v>46091</c:v>
                </c:pt>
                <c:pt idx="178">
                  <c:v>46091</c:v>
                </c:pt>
                <c:pt idx="179">
                  <c:v>46091</c:v>
                </c:pt>
                <c:pt idx="180">
                  <c:v>46091</c:v>
                </c:pt>
                <c:pt idx="181">
                  <c:v>46091</c:v>
                </c:pt>
                <c:pt idx="182">
                  <c:v>46091</c:v>
                </c:pt>
                <c:pt idx="183">
                  <c:v>46091</c:v>
                </c:pt>
                <c:pt idx="184">
                  <c:v>46091</c:v>
                </c:pt>
                <c:pt idx="185">
                  <c:v>46091</c:v>
                </c:pt>
                <c:pt idx="186">
                  <c:v>46091</c:v>
                </c:pt>
                <c:pt idx="187">
                  <c:v>46091</c:v>
                </c:pt>
                <c:pt idx="188">
                  <c:v>46091</c:v>
                </c:pt>
                <c:pt idx="189">
                  <c:v>46092</c:v>
                </c:pt>
                <c:pt idx="190">
                  <c:v>46092</c:v>
                </c:pt>
                <c:pt idx="191">
                  <c:v>46092</c:v>
                </c:pt>
                <c:pt idx="192">
                  <c:v>46092</c:v>
                </c:pt>
                <c:pt idx="193">
                  <c:v>46092</c:v>
                </c:pt>
                <c:pt idx="194">
                  <c:v>46092</c:v>
                </c:pt>
                <c:pt idx="195">
                  <c:v>46092</c:v>
                </c:pt>
                <c:pt idx="196">
                  <c:v>46092</c:v>
                </c:pt>
                <c:pt idx="197">
                  <c:v>46092</c:v>
                </c:pt>
                <c:pt idx="198">
                  <c:v>46092</c:v>
                </c:pt>
                <c:pt idx="199">
                  <c:v>46092</c:v>
                </c:pt>
                <c:pt idx="200">
                  <c:v>46092</c:v>
                </c:pt>
                <c:pt idx="201">
                  <c:v>46092</c:v>
                </c:pt>
                <c:pt idx="202">
                  <c:v>46092</c:v>
                </c:pt>
                <c:pt idx="203">
                  <c:v>46092</c:v>
                </c:pt>
                <c:pt idx="204">
                  <c:v>46092</c:v>
                </c:pt>
                <c:pt idx="205">
                  <c:v>46092</c:v>
                </c:pt>
                <c:pt idx="206">
                  <c:v>46092</c:v>
                </c:pt>
                <c:pt idx="207">
                  <c:v>46092</c:v>
                </c:pt>
                <c:pt idx="208">
                  <c:v>46092</c:v>
                </c:pt>
                <c:pt idx="209">
                  <c:v>46092</c:v>
                </c:pt>
                <c:pt idx="210">
                  <c:v>46093</c:v>
                </c:pt>
                <c:pt idx="211">
                  <c:v>46093</c:v>
                </c:pt>
                <c:pt idx="212">
                  <c:v>46093</c:v>
                </c:pt>
                <c:pt idx="213">
                  <c:v>46093</c:v>
                </c:pt>
                <c:pt idx="214">
                  <c:v>46093</c:v>
                </c:pt>
                <c:pt idx="215">
                  <c:v>46093</c:v>
                </c:pt>
                <c:pt idx="216">
                  <c:v>46093</c:v>
                </c:pt>
                <c:pt idx="217">
                  <c:v>46093</c:v>
                </c:pt>
                <c:pt idx="218">
                  <c:v>46093</c:v>
                </c:pt>
                <c:pt idx="219">
                  <c:v>46093</c:v>
                </c:pt>
                <c:pt idx="220">
                  <c:v>46093</c:v>
                </c:pt>
                <c:pt idx="221">
                  <c:v>46093</c:v>
                </c:pt>
                <c:pt idx="222">
                  <c:v>46093</c:v>
                </c:pt>
                <c:pt idx="223">
                  <c:v>46093</c:v>
                </c:pt>
                <c:pt idx="224">
                  <c:v>46093</c:v>
                </c:pt>
                <c:pt idx="225">
                  <c:v>46093</c:v>
                </c:pt>
                <c:pt idx="226">
                  <c:v>46093</c:v>
                </c:pt>
                <c:pt idx="227">
                  <c:v>46093</c:v>
                </c:pt>
                <c:pt idx="228">
                  <c:v>46093</c:v>
                </c:pt>
                <c:pt idx="229">
                  <c:v>46093</c:v>
                </c:pt>
                <c:pt idx="230">
                  <c:v>46093</c:v>
                </c:pt>
                <c:pt idx="231">
                  <c:v>46093</c:v>
                </c:pt>
                <c:pt idx="232">
                  <c:v>46093</c:v>
                </c:pt>
                <c:pt idx="233">
                  <c:v>46093</c:v>
                </c:pt>
                <c:pt idx="234">
                  <c:v>46094</c:v>
                </c:pt>
                <c:pt idx="235">
                  <c:v>46094</c:v>
                </c:pt>
                <c:pt idx="236">
                  <c:v>46094</c:v>
                </c:pt>
                <c:pt idx="237">
                  <c:v>46094</c:v>
                </c:pt>
                <c:pt idx="238">
                  <c:v>46094</c:v>
                </c:pt>
                <c:pt idx="239">
                  <c:v>46094</c:v>
                </c:pt>
                <c:pt idx="240">
                  <c:v>46094</c:v>
                </c:pt>
                <c:pt idx="241">
                  <c:v>46094</c:v>
                </c:pt>
                <c:pt idx="242">
                  <c:v>46094</c:v>
                </c:pt>
                <c:pt idx="243">
                  <c:v>46094</c:v>
                </c:pt>
                <c:pt idx="244">
                  <c:v>46094</c:v>
                </c:pt>
                <c:pt idx="245">
                  <c:v>46094</c:v>
                </c:pt>
                <c:pt idx="246">
                  <c:v>46094</c:v>
                </c:pt>
                <c:pt idx="247">
                  <c:v>46094</c:v>
                </c:pt>
                <c:pt idx="248">
                  <c:v>46094</c:v>
                </c:pt>
                <c:pt idx="249">
                  <c:v>46094</c:v>
                </c:pt>
                <c:pt idx="250">
                  <c:v>46094</c:v>
                </c:pt>
                <c:pt idx="251">
                  <c:v>46094</c:v>
                </c:pt>
                <c:pt idx="252">
                  <c:v>46094</c:v>
                </c:pt>
                <c:pt idx="253">
                  <c:v>46095</c:v>
                </c:pt>
                <c:pt idx="254">
                  <c:v>46095</c:v>
                </c:pt>
                <c:pt idx="255">
                  <c:v>46095</c:v>
                </c:pt>
                <c:pt idx="256">
                  <c:v>46095</c:v>
                </c:pt>
                <c:pt idx="257">
                  <c:v>46095</c:v>
                </c:pt>
                <c:pt idx="258">
                  <c:v>46095</c:v>
                </c:pt>
                <c:pt idx="259">
                  <c:v>46095</c:v>
                </c:pt>
                <c:pt idx="260">
                  <c:v>46095</c:v>
                </c:pt>
                <c:pt idx="261">
                  <c:v>46095</c:v>
                </c:pt>
                <c:pt idx="262">
                  <c:v>46095</c:v>
                </c:pt>
                <c:pt idx="263">
                  <c:v>46095</c:v>
                </c:pt>
                <c:pt idx="264">
                  <c:v>46095</c:v>
                </c:pt>
                <c:pt idx="265">
                  <c:v>46095</c:v>
                </c:pt>
                <c:pt idx="266">
                  <c:v>46095</c:v>
                </c:pt>
                <c:pt idx="267">
                  <c:v>46095</c:v>
                </c:pt>
                <c:pt idx="268">
                  <c:v>46095</c:v>
                </c:pt>
                <c:pt idx="269">
                  <c:v>46095</c:v>
                </c:pt>
                <c:pt idx="270">
                  <c:v>46095</c:v>
                </c:pt>
                <c:pt idx="271">
                  <c:v>46096</c:v>
                </c:pt>
                <c:pt idx="272">
                  <c:v>46096</c:v>
                </c:pt>
                <c:pt idx="273">
                  <c:v>46096</c:v>
                </c:pt>
                <c:pt idx="274">
                  <c:v>46096</c:v>
                </c:pt>
                <c:pt idx="275">
                  <c:v>46096</c:v>
                </c:pt>
                <c:pt idx="276">
                  <c:v>46096</c:v>
                </c:pt>
                <c:pt idx="277">
                  <c:v>46096</c:v>
                </c:pt>
                <c:pt idx="278">
                  <c:v>46096</c:v>
                </c:pt>
                <c:pt idx="279">
                  <c:v>46096</c:v>
                </c:pt>
                <c:pt idx="280">
                  <c:v>46096</c:v>
                </c:pt>
                <c:pt idx="281">
                  <c:v>46096</c:v>
                </c:pt>
                <c:pt idx="282">
                  <c:v>46096</c:v>
                </c:pt>
                <c:pt idx="283">
                  <c:v>46096</c:v>
                </c:pt>
                <c:pt idx="284">
                  <c:v>46096</c:v>
                </c:pt>
                <c:pt idx="285">
                  <c:v>46096</c:v>
                </c:pt>
                <c:pt idx="286">
                  <c:v>46096</c:v>
                </c:pt>
                <c:pt idx="287">
                  <c:v>46096</c:v>
                </c:pt>
                <c:pt idx="288">
                  <c:v>46096</c:v>
                </c:pt>
                <c:pt idx="289">
                  <c:v>46096</c:v>
                </c:pt>
                <c:pt idx="290">
                  <c:v>46096</c:v>
                </c:pt>
                <c:pt idx="291">
                  <c:v>46096</c:v>
                </c:pt>
                <c:pt idx="292">
                  <c:v>46097</c:v>
                </c:pt>
                <c:pt idx="293">
                  <c:v>46097</c:v>
                </c:pt>
                <c:pt idx="294">
                  <c:v>46097</c:v>
                </c:pt>
                <c:pt idx="295">
                  <c:v>46097</c:v>
                </c:pt>
                <c:pt idx="296">
                  <c:v>46097</c:v>
                </c:pt>
                <c:pt idx="297">
                  <c:v>46097</c:v>
                </c:pt>
                <c:pt idx="298">
                  <c:v>46097</c:v>
                </c:pt>
                <c:pt idx="299">
                  <c:v>46097</c:v>
                </c:pt>
                <c:pt idx="300">
                  <c:v>46097</c:v>
                </c:pt>
                <c:pt idx="301">
                  <c:v>46097</c:v>
                </c:pt>
                <c:pt idx="302">
                  <c:v>46097</c:v>
                </c:pt>
                <c:pt idx="303">
                  <c:v>46097</c:v>
                </c:pt>
                <c:pt idx="304">
                  <c:v>46097</c:v>
                </c:pt>
                <c:pt idx="305">
                  <c:v>46097</c:v>
                </c:pt>
                <c:pt idx="306">
                  <c:v>46097</c:v>
                </c:pt>
                <c:pt idx="307">
                  <c:v>46097</c:v>
                </c:pt>
                <c:pt idx="308">
                  <c:v>46097</c:v>
                </c:pt>
                <c:pt idx="309">
                  <c:v>46097</c:v>
                </c:pt>
                <c:pt idx="310">
                  <c:v>46097</c:v>
                </c:pt>
                <c:pt idx="311">
                  <c:v>46097</c:v>
                </c:pt>
                <c:pt idx="312">
                  <c:v>46097</c:v>
                </c:pt>
                <c:pt idx="313">
                  <c:v>46097</c:v>
                </c:pt>
                <c:pt idx="314">
                  <c:v>46097</c:v>
                </c:pt>
                <c:pt idx="315">
                  <c:v>46097</c:v>
                </c:pt>
                <c:pt idx="316">
                  <c:v>46097</c:v>
                </c:pt>
                <c:pt idx="317">
                  <c:v>46097</c:v>
                </c:pt>
                <c:pt idx="318">
                  <c:v>46097</c:v>
                </c:pt>
                <c:pt idx="319">
                  <c:v>46098</c:v>
                </c:pt>
                <c:pt idx="320">
                  <c:v>46098</c:v>
                </c:pt>
                <c:pt idx="321">
                  <c:v>46098</c:v>
                </c:pt>
                <c:pt idx="322">
                  <c:v>46098</c:v>
                </c:pt>
                <c:pt idx="323">
                  <c:v>46098</c:v>
                </c:pt>
                <c:pt idx="324">
                  <c:v>46098</c:v>
                </c:pt>
                <c:pt idx="325">
                  <c:v>46098</c:v>
                </c:pt>
                <c:pt idx="326">
                  <c:v>46098</c:v>
                </c:pt>
                <c:pt idx="327">
                  <c:v>46098</c:v>
                </c:pt>
                <c:pt idx="328">
                  <c:v>46098</c:v>
                </c:pt>
                <c:pt idx="329">
                  <c:v>46098</c:v>
                </c:pt>
                <c:pt idx="330">
                  <c:v>46098</c:v>
                </c:pt>
                <c:pt idx="331">
                  <c:v>46098</c:v>
                </c:pt>
                <c:pt idx="332">
                  <c:v>46098</c:v>
                </c:pt>
                <c:pt idx="333">
                  <c:v>46098</c:v>
                </c:pt>
                <c:pt idx="334">
                  <c:v>46098</c:v>
                </c:pt>
                <c:pt idx="335">
                  <c:v>46098</c:v>
                </c:pt>
                <c:pt idx="336">
                  <c:v>46098</c:v>
                </c:pt>
                <c:pt idx="337">
                  <c:v>46098</c:v>
                </c:pt>
                <c:pt idx="338">
                  <c:v>46098</c:v>
                </c:pt>
                <c:pt idx="339">
                  <c:v>46098</c:v>
                </c:pt>
                <c:pt idx="340">
                  <c:v>46099</c:v>
                </c:pt>
                <c:pt idx="341">
                  <c:v>46099</c:v>
                </c:pt>
                <c:pt idx="342">
                  <c:v>46099</c:v>
                </c:pt>
                <c:pt idx="343">
                  <c:v>46099</c:v>
                </c:pt>
                <c:pt idx="344">
                  <c:v>46099</c:v>
                </c:pt>
                <c:pt idx="345">
                  <c:v>46099</c:v>
                </c:pt>
                <c:pt idx="346">
                  <c:v>46099</c:v>
                </c:pt>
                <c:pt idx="347">
                  <c:v>46099</c:v>
                </c:pt>
                <c:pt idx="348">
                  <c:v>46099</c:v>
                </c:pt>
                <c:pt idx="349">
                  <c:v>46099</c:v>
                </c:pt>
                <c:pt idx="350">
                  <c:v>46099</c:v>
                </c:pt>
                <c:pt idx="351">
                  <c:v>46099</c:v>
                </c:pt>
                <c:pt idx="352">
                  <c:v>46099</c:v>
                </c:pt>
                <c:pt idx="353">
                  <c:v>46099</c:v>
                </c:pt>
                <c:pt idx="354">
                  <c:v>46099</c:v>
                </c:pt>
                <c:pt idx="355">
                  <c:v>46099</c:v>
                </c:pt>
                <c:pt idx="356">
                  <c:v>46099</c:v>
                </c:pt>
                <c:pt idx="357">
                  <c:v>46099</c:v>
                </c:pt>
                <c:pt idx="358">
                  <c:v>46099</c:v>
                </c:pt>
                <c:pt idx="359">
                  <c:v>46099</c:v>
                </c:pt>
                <c:pt idx="360">
                  <c:v>46099</c:v>
                </c:pt>
                <c:pt idx="361">
                  <c:v>46099</c:v>
                </c:pt>
                <c:pt idx="362">
                  <c:v>46099</c:v>
                </c:pt>
                <c:pt idx="363">
                  <c:v>46099</c:v>
                </c:pt>
                <c:pt idx="364">
                  <c:v>46099</c:v>
                </c:pt>
                <c:pt idx="365">
                  <c:v>46099</c:v>
                </c:pt>
                <c:pt idx="366">
                  <c:v>46099</c:v>
                </c:pt>
                <c:pt idx="367">
                  <c:v>46099</c:v>
                </c:pt>
                <c:pt idx="368">
                  <c:v>46100</c:v>
                </c:pt>
                <c:pt idx="369">
                  <c:v>46100</c:v>
                </c:pt>
                <c:pt idx="370">
                  <c:v>46100</c:v>
                </c:pt>
                <c:pt idx="371">
                  <c:v>46100</c:v>
                </c:pt>
                <c:pt idx="372">
                  <c:v>46100</c:v>
                </c:pt>
                <c:pt idx="373">
                  <c:v>46100</c:v>
                </c:pt>
                <c:pt idx="374">
                  <c:v>46100</c:v>
                </c:pt>
                <c:pt idx="375">
                  <c:v>46100</c:v>
                </c:pt>
                <c:pt idx="376">
                  <c:v>46100</c:v>
                </c:pt>
                <c:pt idx="377">
                  <c:v>46100</c:v>
                </c:pt>
                <c:pt idx="378">
                  <c:v>46100</c:v>
                </c:pt>
                <c:pt idx="379">
                  <c:v>46100</c:v>
                </c:pt>
                <c:pt idx="380">
                  <c:v>46100</c:v>
                </c:pt>
                <c:pt idx="381">
                  <c:v>46100</c:v>
                </c:pt>
                <c:pt idx="382">
                  <c:v>46100</c:v>
                </c:pt>
                <c:pt idx="383">
                  <c:v>46100</c:v>
                </c:pt>
                <c:pt idx="384">
                  <c:v>46101</c:v>
                </c:pt>
                <c:pt idx="385">
                  <c:v>46101</c:v>
                </c:pt>
                <c:pt idx="386">
                  <c:v>46101</c:v>
                </c:pt>
                <c:pt idx="387">
                  <c:v>46101</c:v>
                </c:pt>
                <c:pt idx="388">
                  <c:v>46101</c:v>
                </c:pt>
                <c:pt idx="389">
                  <c:v>46101</c:v>
                </c:pt>
                <c:pt idx="390">
                  <c:v>46101</c:v>
                </c:pt>
                <c:pt idx="391">
                  <c:v>46101</c:v>
                </c:pt>
                <c:pt idx="392">
                  <c:v>46101</c:v>
                </c:pt>
                <c:pt idx="393">
                  <c:v>46101</c:v>
                </c:pt>
                <c:pt idx="394">
                  <c:v>46101</c:v>
                </c:pt>
                <c:pt idx="395">
                  <c:v>46101</c:v>
                </c:pt>
                <c:pt idx="396">
                  <c:v>46101</c:v>
                </c:pt>
                <c:pt idx="397">
                  <c:v>46101</c:v>
                </c:pt>
                <c:pt idx="398">
                  <c:v>46101</c:v>
                </c:pt>
                <c:pt idx="399">
                  <c:v>46101</c:v>
                </c:pt>
                <c:pt idx="400">
                  <c:v>46101</c:v>
                </c:pt>
                <c:pt idx="401">
                  <c:v>46101</c:v>
                </c:pt>
                <c:pt idx="402">
                  <c:v>46101</c:v>
                </c:pt>
                <c:pt idx="403">
                  <c:v>46101</c:v>
                </c:pt>
                <c:pt idx="404">
                  <c:v>46101</c:v>
                </c:pt>
                <c:pt idx="405">
                  <c:v>46101</c:v>
                </c:pt>
                <c:pt idx="406">
                  <c:v>46101</c:v>
                </c:pt>
                <c:pt idx="407">
                  <c:v>46101</c:v>
                </c:pt>
                <c:pt idx="408">
                  <c:v>46101</c:v>
                </c:pt>
                <c:pt idx="409">
                  <c:v>46101</c:v>
                </c:pt>
                <c:pt idx="410">
                  <c:v>46101</c:v>
                </c:pt>
                <c:pt idx="411">
                  <c:v>46101</c:v>
                </c:pt>
                <c:pt idx="412">
                  <c:v>46101</c:v>
                </c:pt>
                <c:pt idx="413">
                  <c:v>46101</c:v>
                </c:pt>
                <c:pt idx="414">
                  <c:v>46101</c:v>
                </c:pt>
                <c:pt idx="415">
                  <c:v>46101</c:v>
                </c:pt>
                <c:pt idx="416">
                  <c:v>46102</c:v>
                </c:pt>
                <c:pt idx="417">
                  <c:v>46102</c:v>
                </c:pt>
                <c:pt idx="418">
                  <c:v>46102</c:v>
                </c:pt>
                <c:pt idx="419">
                  <c:v>46102</c:v>
                </c:pt>
                <c:pt idx="420">
                  <c:v>46102</c:v>
                </c:pt>
                <c:pt idx="421">
                  <c:v>46102</c:v>
                </c:pt>
                <c:pt idx="422">
                  <c:v>46102</c:v>
                </c:pt>
                <c:pt idx="423">
                  <c:v>46102</c:v>
                </c:pt>
                <c:pt idx="424">
                  <c:v>46102</c:v>
                </c:pt>
                <c:pt idx="425">
                  <c:v>46102</c:v>
                </c:pt>
                <c:pt idx="426">
                  <c:v>46102</c:v>
                </c:pt>
                <c:pt idx="427">
                  <c:v>46102</c:v>
                </c:pt>
                <c:pt idx="428">
                  <c:v>46102</c:v>
                </c:pt>
                <c:pt idx="429">
                  <c:v>46102</c:v>
                </c:pt>
                <c:pt idx="430">
                  <c:v>46102</c:v>
                </c:pt>
                <c:pt idx="431">
                  <c:v>46102</c:v>
                </c:pt>
                <c:pt idx="432">
                  <c:v>46102</c:v>
                </c:pt>
                <c:pt idx="433">
                  <c:v>46102</c:v>
                </c:pt>
                <c:pt idx="434">
                  <c:v>46102</c:v>
                </c:pt>
                <c:pt idx="435">
                  <c:v>46102</c:v>
                </c:pt>
                <c:pt idx="436">
                  <c:v>46102</c:v>
                </c:pt>
                <c:pt idx="437">
                  <c:v>46102</c:v>
                </c:pt>
                <c:pt idx="438">
                  <c:v>46102</c:v>
                </c:pt>
                <c:pt idx="439">
                  <c:v>46102</c:v>
                </c:pt>
                <c:pt idx="440">
                  <c:v>46102</c:v>
                </c:pt>
                <c:pt idx="441">
                  <c:v>46102</c:v>
                </c:pt>
                <c:pt idx="442">
                  <c:v>46102</c:v>
                </c:pt>
                <c:pt idx="443">
                  <c:v>46103</c:v>
                </c:pt>
                <c:pt idx="444">
                  <c:v>46103</c:v>
                </c:pt>
                <c:pt idx="445">
                  <c:v>46103</c:v>
                </c:pt>
                <c:pt idx="446">
                  <c:v>46103</c:v>
                </c:pt>
                <c:pt idx="447">
                  <c:v>46103</c:v>
                </c:pt>
                <c:pt idx="448">
                  <c:v>46103</c:v>
                </c:pt>
                <c:pt idx="449">
                  <c:v>46103</c:v>
                </c:pt>
                <c:pt idx="450">
                  <c:v>46103</c:v>
                </c:pt>
                <c:pt idx="451">
                  <c:v>46103</c:v>
                </c:pt>
                <c:pt idx="452">
                  <c:v>46103</c:v>
                </c:pt>
                <c:pt idx="453">
                  <c:v>46103</c:v>
                </c:pt>
                <c:pt idx="454">
                  <c:v>46103</c:v>
                </c:pt>
                <c:pt idx="455">
                  <c:v>46103</c:v>
                </c:pt>
                <c:pt idx="456">
                  <c:v>46103</c:v>
                </c:pt>
                <c:pt idx="457">
                  <c:v>46103</c:v>
                </c:pt>
                <c:pt idx="458">
                  <c:v>46103</c:v>
                </c:pt>
                <c:pt idx="459">
                  <c:v>46103</c:v>
                </c:pt>
                <c:pt idx="460">
                  <c:v>46103</c:v>
                </c:pt>
                <c:pt idx="461">
                  <c:v>46103</c:v>
                </c:pt>
                <c:pt idx="462">
                  <c:v>46103</c:v>
                </c:pt>
                <c:pt idx="463">
                  <c:v>46103</c:v>
                </c:pt>
                <c:pt idx="464">
                  <c:v>46103</c:v>
                </c:pt>
                <c:pt idx="465">
                  <c:v>46103</c:v>
                </c:pt>
                <c:pt idx="466">
                  <c:v>46103</c:v>
                </c:pt>
                <c:pt idx="467">
                  <c:v>46103</c:v>
                </c:pt>
                <c:pt idx="468">
                  <c:v>46104</c:v>
                </c:pt>
                <c:pt idx="469">
                  <c:v>46104</c:v>
                </c:pt>
                <c:pt idx="470">
                  <c:v>46104</c:v>
                </c:pt>
                <c:pt idx="471">
                  <c:v>46104</c:v>
                </c:pt>
                <c:pt idx="472">
                  <c:v>46104</c:v>
                </c:pt>
                <c:pt idx="473">
                  <c:v>46104</c:v>
                </c:pt>
                <c:pt idx="474">
                  <c:v>46104</c:v>
                </c:pt>
                <c:pt idx="475">
                  <c:v>46104</c:v>
                </c:pt>
                <c:pt idx="476">
                  <c:v>46104</c:v>
                </c:pt>
                <c:pt idx="477">
                  <c:v>46104</c:v>
                </c:pt>
                <c:pt idx="478">
                  <c:v>46104</c:v>
                </c:pt>
                <c:pt idx="479">
                  <c:v>46104</c:v>
                </c:pt>
                <c:pt idx="480">
                  <c:v>46104</c:v>
                </c:pt>
                <c:pt idx="481">
                  <c:v>46104</c:v>
                </c:pt>
                <c:pt idx="482">
                  <c:v>46104</c:v>
                </c:pt>
                <c:pt idx="483">
                  <c:v>46104</c:v>
                </c:pt>
                <c:pt idx="484">
                  <c:v>46104</c:v>
                </c:pt>
                <c:pt idx="485">
                  <c:v>46104</c:v>
                </c:pt>
                <c:pt idx="486">
                  <c:v>46104</c:v>
                </c:pt>
                <c:pt idx="487">
                  <c:v>46104</c:v>
                </c:pt>
                <c:pt idx="488">
                  <c:v>46104</c:v>
                </c:pt>
                <c:pt idx="489">
                  <c:v>46104</c:v>
                </c:pt>
                <c:pt idx="490">
                  <c:v>46104</c:v>
                </c:pt>
                <c:pt idx="491">
                  <c:v>46104</c:v>
                </c:pt>
                <c:pt idx="492">
                  <c:v>46104</c:v>
                </c:pt>
                <c:pt idx="493">
                  <c:v>46104</c:v>
                </c:pt>
                <c:pt idx="494">
                  <c:v>46104</c:v>
                </c:pt>
                <c:pt idx="495">
                  <c:v>46104</c:v>
                </c:pt>
                <c:pt idx="496">
                  <c:v>46104</c:v>
                </c:pt>
                <c:pt idx="497">
                  <c:v>46104</c:v>
                </c:pt>
                <c:pt idx="498">
                  <c:v>46104</c:v>
                </c:pt>
                <c:pt idx="499">
                  <c:v>46104</c:v>
                </c:pt>
                <c:pt idx="500">
                  <c:v>46104</c:v>
                </c:pt>
                <c:pt idx="501">
                  <c:v>46105</c:v>
                </c:pt>
                <c:pt idx="502">
                  <c:v>46105</c:v>
                </c:pt>
                <c:pt idx="503">
                  <c:v>46105</c:v>
                </c:pt>
                <c:pt idx="504">
                  <c:v>46105</c:v>
                </c:pt>
                <c:pt idx="505">
                  <c:v>46105</c:v>
                </c:pt>
                <c:pt idx="506">
                  <c:v>46105</c:v>
                </c:pt>
                <c:pt idx="507">
                  <c:v>46105</c:v>
                </c:pt>
                <c:pt idx="508">
                  <c:v>46105</c:v>
                </c:pt>
                <c:pt idx="509">
                  <c:v>46105</c:v>
                </c:pt>
                <c:pt idx="510">
                  <c:v>46105</c:v>
                </c:pt>
                <c:pt idx="511">
                  <c:v>46105</c:v>
                </c:pt>
                <c:pt idx="512">
                  <c:v>46105</c:v>
                </c:pt>
                <c:pt idx="513">
                  <c:v>46105</c:v>
                </c:pt>
                <c:pt idx="514">
                  <c:v>46105</c:v>
                </c:pt>
                <c:pt idx="515">
                  <c:v>46105</c:v>
                </c:pt>
                <c:pt idx="516">
                  <c:v>46105</c:v>
                </c:pt>
                <c:pt idx="517">
                  <c:v>46105</c:v>
                </c:pt>
                <c:pt idx="518">
                  <c:v>46105</c:v>
                </c:pt>
                <c:pt idx="519">
                  <c:v>46105</c:v>
                </c:pt>
                <c:pt idx="520">
                  <c:v>46105</c:v>
                </c:pt>
                <c:pt idx="521">
                  <c:v>46105</c:v>
                </c:pt>
                <c:pt idx="522">
                  <c:v>46105</c:v>
                </c:pt>
                <c:pt idx="523">
                  <c:v>46105</c:v>
                </c:pt>
                <c:pt idx="524">
                  <c:v>46105</c:v>
                </c:pt>
                <c:pt idx="525">
                  <c:v>46105</c:v>
                </c:pt>
                <c:pt idx="526">
                  <c:v>46105</c:v>
                </c:pt>
                <c:pt idx="527">
                  <c:v>46105</c:v>
                </c:pt>
                <c:pt idx="528">
                  <c:v>46106</c:v>
                </c:pt>
                <c:pt idx="529">
                  <c:v>46106</c:v>
                </c:pt>
                <c:pt idx="530">
                  <c:v>46106</c:v>
                </c:pt>
                <c:pt idx="531">
                  <c:v>46106</c:v>
                </c:pt>
                <c:pt idx="532">
                  <c:v>46106</c:v>
                </c:pt>
                <c:pt idx="533">
                  <c:v>46106</c:v>
                </c:pt>
                <c:pt idx="534">
                  <c:v>46106</c:v>
                </c:pt>
                <c:pt idx="535">
                  <c:v>46106</c:v>
                </c:pt>
                <c:pt idx="536">
                  <c:v>46106</c:v>
                </c:pt>
                <c:pt idx="537">
                  <c:v>46106</c:v>
                </c:pt>
                <c:pt idx="538">
                  <c:v>46106</c:v>
                </c:pt>
                <c:pt idx="539">
                  <c:v>46106</c:v>
                </c:pt>
                <c:pt idx="540">
                  <c:v>46106</c:v>
                </c:pt>
                <c:pt idx="541">
                  <c:v>46106</c:v>
                </c:pt>
                <c:pt idx="542">
                  <c:v>46106</c:v>
                </c:pt>
                <c:pt idx="543">
                  <c:v>46106</c:v>
                </c:pt>
                <c:pt idx="544">
                  <c:v>46106</c:v>
                </c:pt>
                <c:pt idx="545">
                  <c:v>46106</c:v>
                </c:pt>
                <c:pt idx="546">
                  <c:v>46106</c:v>
                </c:pt>
                <c:pt idx="547">
                  <c:v>46106</c:v>
                </c:pt>
                <c:pt idx="548">
                  <c:v>46107</c:v>
                </c:pt>
                <c:pt idx="549">
                  <c:v>46107</c:v>
                </c:pt>
                <c:pt idx="550">
                  <c:v>46107</c:v>
                </c:pt>
                <c:pt idx="551">
                  <c:v>46107</c:v>
                </c:pt>
                <c:pt idx="552">
                  <c:v>46107</c:v>
                </c:pt>
                <c:pt idx="553">
                  <c:v>46107</c:v>
                </c:pt>
                <c:pt idx="554">
                  <c:v>46107</c:v>
                </c:pt>
                <c:pt idx="555">
                  <c:v>46107</c:v>
                </c:pt>
                <c:pt idx="556">
                  <c:v>46107</c:v>
                </c:pt>
                <c:pt idx="557">
                  <c:v>46107</c:v>
                </c:pt>
                <c:pt idx="558">
                  <c:v>46107</c:v>
                </c:pt>
                <c:pt idx="559">
                  <c:v>46107</c:v>
                </c:pt>
                <c:pt idx="560">
                  <c:v>46107</c:v>
                </c:pt>
                <c:pt idx="561">
                  <c:v>46107</c:v>
                </c:pt>
                <c:pt idx="562">
                  <c:v>46107</c:v>
                </c:pt>
                <c:pt idx="563">
                  <c:v>46107</c:v>
                </c:pt>
                <c:pt idx="564">
                  <c:v>46107</c:v>
                </c:pt>
                <c:pt idx="565">
                  <c:v>46107</c:v>
                </c:pt>
                <c:pt idx="566">
                  <c:v>46107</c:v>
                </c:pt>
                <c:pt idx="567">
                  <c:v>46107</c:v>
                </c:pt>
                <c:pt idx="568">
                  <c:v>46107</c:v>
                </c:pt>
                <c:pt idx="569">
                  <c:v>46107</c:v>
                </c:pt>
                <c:pt idx="570">
                  <c:v>46107</c:v>
                </c:pt>
                <c:pt idx="571">
                  <c:v>46107</c:v>
                </c:pt>
                <c:pt idx="572">
                  <c:v>46107</c:v>
                </c:pt>
                <c:pt idx="573">
                  <c:v>46107</c:v>
                </c:pt>
                <c:pt idx="574">
                  <c:v>46107</c:v>
                </c:pt>
                <c:pt idx="575">
                  <c:v>46108</c:v>
                </c:pt>
                <c:pt idx="576">
                  <c:v>46108</c:v>
                </c:pt>
                <c:pt idx="577">
                  <c:v>46108</c:v>
                </c:pt>
                <c:pt idx="578">
                  <c:v>46108</c:v>
                </c:pt>
                <c:pt idx="579">
                  <c:v>46108</c:v>
                </c:pt>
                <c:pt idx="580">
                  <c:v>46108</c:v>
                </c:pt>
                <c:pt idx="581">
                  <c:v>46108</c:v>
                </c:pt>
                <c:pt idx="582">
                  <c:v>46108</c:v>
                </c:pt>
                <c:pt idx="583">
                  <c:v>46108</c:v>
                </c:pt>
                <c:pt idx="584">
                  <c:v>46108</c:v>
                </c:pt>
                <c:pt idx="585">
                  <c:v>46108</c:v>
                </c:pt>
                <c:pt idx="586">
                  <c:v>46108</c:v>
                </c:pt>
                <c:pt idx="587">
                  <c:v>46108</c:v>
                </c:pt>
                <c:pt idx="588">
                  <c:v>46108</c:v>
                </c:pt>
                <c:pt idx="589">
                  <c:v>46108</c:v>
                </c:pt>
                <c:pt idx="590">
                  <c:v>46108</c:v>
                </c:pt>
                <c:pt idx="591">
                  <c:v>46108</c:v>
                </c:pt>
                <c:pt idx="592">
                  <c:v>46108</c:v>
                </c:pt>
                <c:pt idx="593">
                  <c:v>46108</c:v>
                </c:pt>
                <c:pt idx="594">
                  <c:v>46108</c:v>
                </c:pt>
                <c:pt idx="595">
                  <c:v>46108</c:v>
                </c:pt>
                <c:pt idx="596">
                  <c:v>46108</c:v>
                </c:pt>
                <c:pt idx="597">
                  <c:v>46108</c:v>
                </c:pt>
                <c:pt idx="598">
                  <c:v>46108</c:v>
                </c:pt>
                <c:pt idx="599">
                  <c:v>46108</c:v>
                </c:pt>
                <c:pt idx="600">
                  <c:v>46108</c:v>
                </c:pt>
                <c:pt idx="601">
                  <c:v>46108</c:v>
                </c:pt>
                <c:pt idx="602">
                  <c:v>46108</c:v>
                </c:pt>
                <c:pt idx="603">
                  <c:v>46108</c:v>
                </c:pt>
                <c:pt idx="604">
                  <c:v>46108</c:v>
                </c:pt>
                <c:pt idx="605">
                  <c:v>46108</c:v>
                </c:pt>
                <c:pt idx="606">
                  <c:v>46108</c:v>
                </c:pt>
                <c:pt idx="607">
                  <c:v>46108</c:v>
                </c:pt>
                <c:pt idx="608">
                  <c:v>46109</c:v>
                </c:pt>
                <c:pt idx="609">
                  <c:v>46109</c:v>
                </c:pt>
                <c:pt idx="610">
                  <c:v>46109</c:v>
                </c:pt>
                <c:pt idx="611">
                  <c:v>46109</c:v>
                </c:pt>
                <c:pt idx="612">
                  <c:v>46109</c:v>
                </c:pt>
                <c:pt idx="613">
                  <c:v>46109</c:v>
                </c:pt>
                <c:pt idx="614">
                  <c:v>46109</c:v>
                </c:pt>
                <c:pt idx="615">
                  <c:v>46109</c:v>
                </c:pt>
                <c:pt idx="616">
                  <c:v>46109</c:v>
                </c:pt>
                <c:pt idx="617">
                  <c:v>46109</c:v>
                </c:pt>
                <c:pt idx="618">
                  <c:v>46109</c:v>
                </c:pt>
                <c:pt idx="619">
                  <c:v>46109</c:v>
                </c:pt>
                <c:pt idx="620">
                  <c:v>46109</c:v>
                </c:pt>
                <c:pt idx="621">
                  <c:v>46109</c:v>
                </c:pt>
                <c:pt idx="622">
                  <c:v>46109</c:v>
                </c:pt>
                <c:pt idx="623">
                  <c:v>46109</c:v>
                </c:pt>
                <c:pt idx="624">
                  <c:v>46109</c:v>
                </c:pt>
                <c:pt idx="625">
                  <c:v>46109</c:v>
                </c:pt>
                <c:pt idx="626">
                  <c:v>46109</c:v>
                </c:pt>
                <c:pt idx="627">
                  <c:v>46109</c:v>
                </c:pt>
                <c:pt idx="628">
                  <c:v>46110</c:v>
                </c:pt>
                <c:pt idx="629">
                  <c:v>46110</c:v>
                </c:pt>
                <c:pt idx="630">
                  <c:v>46110</c:v>
                </c:pt>
                <c:pt idx="631">
                  <c:v>46110</c:v>
                </c:pt>
                <c:pt idx="632">
                  <c:v>46110</c:v>
                </c:pt>
                <c:pt idx="633">
                  <c:v>46110</c:v>
                </c:pt>
                <c:pt idx="634">
                  <c:v>46110</c:v>
                </c:pt>
                <c:pt idx="635">
                  <c:v>46110</c:v>
                </c:pt>
                <c:pt idx="636">
                  <c:v>46110</c:v>
                </c:pt>
                <c:pt idx="637">
                  <c:v>46110</c:v>
                </c:pt>
                <c:pt idx="638">
                  <c:v>46110</c:v>
                </c:pt>
                <c:pt idx="639">
                  <c:v>46110</c:v>
                </c:pt>
                <c:pt idx="640">
                  <c:v>46110</c:v>
                </c:pt>
                <c:pt idx="641">
                  <c:v>46110</c:v>
                </c:pt>
                <c:pt idx="642">
                  <c:v>46110</c:v>
                </c:pt>
                <c:pt idx="643">
                  <c:v>46110</c:v>
                </c:pt>
                <c:pt idx="644">
                  <c:v>46110</c:v>
                </c:pt>
                <c:pt idx="645">
                  <c:v>46110</c:v>
                </c:pt>
                <c:pt idx="646">
                  <c:v>46110</c:v>
                </c:pt>
                <c:pt idx="647">
                  <c:v>46110</c:v>
                </c:pt>
                <c:pt idx="648">
                  <c:v>46110</c:v>
                </c:pt>
                <c:pt idx="649">
                  <c:v>46110</c:v>
                </c:pt>
                <c:pt idx="650">
                  <c:v>46110</c:v>
                </c:pt>
                <c:pt idx="651">
                  <c:v>46110</c:v>
                </c:pt>
                <c:pt idx="652">
                  <c:v>46110</c:v>
                </c:pt>
                <c:pt idx="653">
                  <c:v>46110</c:v>
                </c:pt>
                <c:pt idx="654">
                  <c:v>46111</c:v>
                </c:pt>
                <c:pt idx="655">
                  <c:v>46111</c:v>
                </c:pt>
                <c:pt idx="656">
                  <c:v>46111</c:v>
                </c:pt>
                <c:pt idx="657">
                  <c:v>46111</c:v>
                </c:pt>
                <c:pt idx="658">
                  <c:v>46111</c:v>
                </c:pt>
                <c:pt idx="659">
                  <c:v>46111</c:v>
                </c:pt>
                <c:pt idx="660">
                  <c:v>46111</c:v>
                </c:pt>
                <c:pt idx="661">
                  <c:v>46111</c:v>
                </c:pt>
                <c:pt idx="662">
                  <c:v>46111</c:v>
                </c:pt>
                <c:pt idx="663">
                  <c:v>46111</c:v>
                </c:pt>
                <c:pt idx="664">
                  <c:v>46111</c:v>
                </c:pt>
                <c:pt idx="665">
                  <c:v>46111</c:v>
                </c:pt>
                <c:pt idx="666">
                  <c:v>46111</c:v>
                </c:pt>
                <c:pt idx="667">
                  <c:v>46111</c:v>
                </c:pt>
                <c:pt idx="668">
                  <c:v>46111</c:v>
                </c:pt>
                <c:pt idx="669">
                  <c:v>46111</c:v>
                </c:pt>
                <c:pt idx="670">
                  <c:v>46111</c:v>
                </c:pt>
                <c:pt idx="671">
                  <c:v>46111</c:v>
                </c:pt>
                <c:pt idx="672">
                  <c:v>46111</c:v>
                </c:pt>
                <c:pt idx="673">
                  <c:v>46111</c:v>
                </c:pt>
                <c:pt idx="674">
                  <c:v>46111</c:v>
                </c:pt>
                <c:pt idx="675">
                  <c:v>46111</c:v>
                </c:pt>
                <c:pt idx="676">
                  <c:v>46111</c:v>
                </c:pt>
                <c:pt idx="677">
                  <c:v>46111</c:v>
                </c:pt>
                <c:pt idx="678">
                  <c:v>46111</c:v>
                </c:pt>
                <c:pt idx="679">
                  <c:v>46112</c:v>
                </c:pt>
                <c:pt idx="680">
                  <c:v>46112</c:v>
                </c:pt>
                <c:pt idx="681">
                  <c:v>46112</c:v>
                </c:pt>
                <c:pt idx="682">
                  <c:v>46112</c:v>
                </c:pt>
                <c:pt idx="683">
                  <c:v>46112</c:v>
                </c:pt>
                <c:pt idx="684">
                  <c:v>46112</c:v>
                </c:pt>
                <c:pt idx="685">
                  <c:v>46112</c:v>
                </c:pt>
                <c:pt idx="686">
                  <c:v>46112</c:v>
                </c:pt>
                <c:pt idx="687">
                  <c:v>46112</c:v>
                </c:pt>
                <c:pt idx="688">
                  <c:v>46112</c:v>
                </c:pt>
                <c:pt idx="689">
                  <c:v>46112</c:v>
                </c:pt>
                <c:pt idx="690">
                  <c:v>46112</c:v>
                </c:pt>
                <c:pt idx="691">
                  <c:v>46112</c:v>
                </c:pt>
                <c:pt idx="692">
                  <c:v>46112</c:v>
                </c:pt>
                <c:pt idx="693">
                  <c:v>46112</c:v>
                </c:pt>
                <c:pt idx="694">
                  <c:v>46112</c:v>
                </c:pt>
                <c:pt idx="695">
                  <c:v>46112</c:v>
                </c:pt>
                <c:pt idx="696">
                  <c:v>46112</c:v>
                </c:pt>
                <c:pt idx="697">
                  <c:v>46112</c:v>
                </c:pt>
                <c:pt idx="698">
                  <c:v>46112</c:v>
                </c:pt>
                <c:pt idx="699">
                  <c:v>46112</c:v>
                </c:pt>
                <c:pt idx="700">
                  <c:v>46112</c:v>
                </c:pt>
                <c:pt idx="701">
                  <c:v>46112</c:v>
                </c:pt>
                <c:pt idx="702">
                  <c:v>46112</c:v>
                </c:pt>
                <c:pt idx="703">
                  <c:v>46112</c:v>
                </c:pt>
                <c:pt idx="704">
                  <c:v>46112</c:v>
                </c:pt>
                <c:pt idx="705">
                  <c:v>46112</c:v>
                </c:pt>
                <c:pt idx="706">
                  <c:v>46112</c:v>
                </c:pt>
                <c:pt idx="707">
                  <c:v>46112</c:v>
                </c:pt>
              </c:numCache>
            </c:numRef>
          </c:cat>
          <c:val>
            <c:numRef>
              <c:f>FCS!$AN$11:$AN$826</c:f>
              <c:numCache>
                <c:formatCode>0.0</c:formatCode>
                <c:ptCount val="8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numCache>
            </c:numRef>
          </c:val>
          <c:smooth val="0"/>
          <c:extLst>
            <c:ext xmlns:c16="http://schemas.microsoft.com/office/drawing/2014/chart" uri="{C3380CC4-5D6E-409C-BE32-E72D297353CC}">
              <c16:uniqueId val="{00000001-95A4-46EC-8A17-60F6B27A9DBF}"/>
            </c:ext>
          </c:extLst>
        </c:ser>
        <c:dLbls>
          <c:showLegendKey val="0"/>
          <c:showVal val="0"/>
          <c:showCatName val="0"/>
          <c:showSerName val="0"/>
          <c:showPercent val="0"/>
          <c:showBubbleSize val="0"/>
        </c:dLbls>
        <c:marker val="1"/>
        <c:smooth val="0"/>
        <c:axId val="527521167"/>
        <c:axId val="527526159"/>
        <c:extLst/>
      </c:lineChart>
      <c:scatterChart>
        <c:scatterStyle val="lineMarker"/>
        <c:varyColors val="0"/>
        <c:ser>
          <c:idx val="5"/>
          <c:order val="2"/>
          <c:tx>
            <c:strRef>
              <c:f>FCS!$AL$829</c:f>
              <c:strCache>
                <c:ptCount val="1"/>
                <c:pt idx="0">
                  <c:v>Máximo</c:v>
                </c:pt>
              </c:strCache>
            </c:strRef>
          </c:tx>
          <c:spPr>
            <a:ln w="25400" cap="rnd">
              <a:solidFill>
                <a:schemeClr val="accent6"/>
              </a:solidFill>
              <a:round/>
            </a:ln>
            <a:effectLst/>
          </c:spPr>
          <c:marker>
            <c:symbol val="circle"/>
            <c:size val="5"/>
            <c:spPr>
              <a:solidFill>
                <a:schemeClr val="accent6"/>
              </a:solidFill>
              <a:ln w="9525">
                <a:solidFill>
                  <a:schemeClr val="accent6"/>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s-P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errBars>
            <c:errDir val="y"/>
            <c:errBarType val="both"/>
            <c:errValType val="stdDev"/>
            <c:noEndCap val="0"/>
            <c:val val="1"/>
            <c:spPr>
              <a:noFill/>
              <a:ln w="9525" cap="flat" cmpd="sng" algn="ctr">
                <a:solidFill>
                  <a:schemeClr val="tx1">
                    <a:lumMod val="65000"/>
                    <a:lumOff val="35000"/>
                  </a:schemeClr>
                </a:solidFill>
                <a:round/>
              </a:ln>
              <a:effectLst/>
            </c:spPr>
          </c:errBars>
          <c:errBars>
            <c:errDir val="x"/>
            <c:errBarType val="both"/>
            <c:errValType val="fixedVal"/>
            <c:noEndCap val="0"/>
            <c:val val="1"/>
            <c:spPr>
              <a:noFill/>
              <a:ln w="19050" cap="flat" cmpd="sng" algn="ctr">
                <a:solidFill>
                  <a:schemeClr val="accent6"/>
                </a:solidFill>
                <a:prstDash val="sysDash"/>
                <a:round/>
              </a:ln>
              <a:effectLst/>
            </c:spPr>
          </c:errBars>
          <c:yVal>
            <c:numRef>
              <c:f>FCS!$AM$829</c:f>
              <c:numCache>
                <c:formatCode>0.0</c:formatCode>
                <c:ptCount val="1"/>
                <c:pt idx="0">
                  <c:v>105.00814653948242</c:v>
                </c:pt>
              </c:numCache>
            </c:numRef>
          </c:yVal>
          <c:smooth val="0"/>
          <c:extLst>
            <c:ext xmlns:c16="http://schemas.microsoft.com/office/drawing/2014/chart" uri="{C3380CC4-5D6E-409C-BE32-E72D297353CC}">
              <c16:uniqueId val="{00000002-95A4-46EC-8A17-60F6B27A9DBF}"/>
            </c:ext>
          </c:extLst>
        </c:ser>
        <c:ser>
          <c:idx val="3"/>
          <c:order val="3"/>
          <c:tx>
            <c:strRef>
              <c:f>FCS!$AL$830</c:f>
              <c:strCache>
                <c:ptCount val="1"/>
                <c:pt idx="0">
                  <c:v>Promedio</c:v>
                </c:pt>
              </c:strCache>
            </c:strRef>
          </c:tx>
          <c:spPr>
            <a:ln w="25400" cap="rnd">
              <a:solidFill>
                <a:srgbClr val="00B050"/>
              </a:solidFill>
              <a:prstDash val="sysDot"/>
              <a:round/>
            </a:ln>
            <a:effectLst/>
          </c:spPr>
          <c:marker>
            <c:symbol val="circle"/>
            <c:size val="5"/>
            <c:spPr>
              <a:solidFill>
                <a:srgbClr val="00B050"/>
              </a:solidFill>
              <a:ln w="9525">
                <a:solidFill>
                  <a:srgbClr val="00B05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s-P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errBars>
            <c:errDir val="y"/>
            <c:errBarType val="both"/>
            <c:errValType val="stdDev"/>
            <c:noEndCap val="0"/>
            <c:val val="1"/>
            <c:spPr>
              <a:noFill/>
              <a:ln w="9525" cap="flat" cmpd="sng" algn="ctr">
                <a:solidFill>
                  <a:schemeClr val="tx1">
                    <a:lumMod val="65000"/>
                    <a:lumOff val="35000"/>
                  </a:schemeClr>
                </a:solidFill>
                <a:round/>
              </a:ln>
              <a:effectLst/>
            </c:spPr>
          </c:errBars>
          <c:errBars>
            <c:errDir val="x"/>
            <c:errBarType val="both"/>
            <c:errValType val="fixedVal"/>
            <c:noEndCap val="0"/>
            <c:val val="1"/>
            <c:spPr>
              <a:noFill/>
              <a:ln w="19050" cap="flat" cmpd="sng" algn="ctr">
                <a:solidFill>
                  <a:srgbClr val="008000"/>
                </a:solidFill>
                <a:prstDash val="sysDot"/>
                <a:round/>
              </a:ln>
              <a:effectLst/>
            </c:spPr>
          </c:errBars>
          <c:yVal>
            <c:numRef>
              <c:f>FCS!$M$865</c:f>
              <c:numCache>
                <c:formatCode>0.0</c:formatCode>
                <c:ptCount val="1"/>
                <c:pt idx="0">
                  <c:v>101.57143984701682</c:v>
                </c:pt>
              </c:numCache>
            </c:numRef>
          </c:yVal>
          <c:smooth val="0"/>
          <c:extLst>
            <c:ext xmlns:c16="http://schemas.microsoft.com/office/drawing/2014/chart" uri="{C3380CC4-5D6E-409C-BE32-E72D297353CC}">
              <c16:uniqueId val="{00000003-95A4-46EC-8A17-60F6B27A9DBF}"/>
            </c:ext>
          </c:extLst>
        </c:ser>
        <c:ser>
          <c:idx val="2"/>
          <c:order val="4"/>
          <c:tx>
            <c:strRef>
              <c:f>FCS!$AL$828</c:f>
              <c:strCache>
                <c:ptCount val="1"/>
                <c:pt idx="0">
                  <c:v>Mínimo</c:v>
                </c:pt>
              </c:strCache>
            </c:strRef>
          </c:tx>
          <c:spPr>
            <a:ln w="25400" cap="rnd">
              <a:solidFill>
                <a:srgbClr val="FF0000"/>
              </a:solidFill>
              <a:prstDash val="sysDot"/>
              <a:round/>
            </a:ln>
            <a:effectLst/>
          </c:spPr>
          <c:marker>
            <c:symbol val="circle"/>
            <c:size val="5"/>
            <c:spPr>
              <a:solidFill>
                <a:srgbClr val="FF0000"/>
              </a:solidFill>
              <a:ln w="9525">
                <a:solidFill>
                  <a:schemeClr val="accent3"/>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0000"/>
                    </a:solidFill>
                    <a:latin typeface="+mn-lt"/>
                    <a:ea typeface="+mn-ea"/>
                    <a:cs typeface="+mn-cs"/>
                  </a:defRPr>
                </a:pPr>
                <a:endParaRPr lang="es-P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errBars>
            <c:errDir val="y"/>
            <c:errBarType val="both"/>
            <c:errValType val="stdDev"/>
            <c:noEndCap val="0"/>
            <c:val val="1"/>
            <c:spPr>
              <a:noFill/>
              <a:ln w="9525" cap="flat" cmpd="sng" algn="ctr">
                <a:solidFill>
                  <a:schemeClr val="tx1">
                    <a:lumMod val="65000"/>
                    <a:lumOff val="35000"/>
                  </a:schemeClr>
                </a:solidFill>
                <a:round/>
              </a:ln>
              <a:effectLst/>
            </c:spPr>
          </c:errBars>
          <c:errBars>
            <c:errDir val="x"/>
            <c:errBarType val="both"/>
            <c:errValType val="fixedVal"/>
            <c:noEndCap val="0"/>
            <c:val val="1"/>
            <c:spPr>
              <a:noFill/>
              <a:ln w="19050" cap="flat" cmpd="sng" algn="ctr">
                <a:solidFill>
                  <a:srgbClr val="FF0000"/>
                </a:solidFill>
                <a:prstDash val="sysDot"/>
                <a:round/>
              </a:ln>
              <a:effectLst/>
            </c:spPr>
          </c:errBars>
          <c:yVal>
            <c:numRef>
              <c:f>FCS!$AN$828</c:f>
              <c:numCache>
                <c:formatCode>0.0</c:formatCode>
                <c:ptCount val="1"/>
                <c:pt idx="0">
                  <c:v>0</c:v>
                </c:pt>
              </c:numCache>
            </c:numRef>
          </c:yVal>
          <c:smooth val="0"/>
          <c:extLst>
            <c:ext xmlns:c16="http://schemas.microsoft.com/office/drawing/2014/chart" uri="{C3380CC4-5D6E-409C-BE32-E72D297353CC}">
              <c16:uniqueId val="{00000004-95A4-46EC-8A17-60F6B27A9DBF}"/>
            </c:ext>
          </c:extLst>
        </c:ser>
        <c:dLbls>
          <c:showLegendKey val="0"/>
          <c:showVal val="0"/>
          <c:showCatName val="0"/>
          <c:showSerName val="0"/>
          <c:showPercent val="0"/>
          <c:showBubbleSize val="0"/>
        </c:dLbls>
        <c:axId val="494319136"/>
        <c:axId val="494314976"/>
      </c:scatterChart>
      <c:catAx>
        <c:axId val="527521167"/>
        <c:scaling>
          <c:orientation val="minMax"/>
        </c:scaling>
        <c:delete val="0"/>
        <c:axPos val="b"/>
        <c:majorGridlines>
          <c:spPr>
            <a:ln w="9525" cap="flat" cmpd="sng" algn="ctr">
              <a:noFill/>
              <a:round/>
            </a:ln>
            <a:effectLst/>
          </c:spPr>
        </c:majorGridlines>
        <c:numFmt formatCode="dd\-mmm" sourceLinked="0"/>
        <c:majorTickMark val="none"/>
        <c:minorTickMark val="none"/>
        <c:tickLblPos val="nextTo"/>
        <c:spPr>
          <a:noFill/>
          <a:ln w="9525" cap="flat" cmpd="sng" algn="ctr">
            <a:solidFill>
              <a:schemeClr val="tx1">
                <a:lumMod val="25000"/>
                <a:lumOff val="7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crossAx val="527526159"/>
        <c:crosses val="autoZero"/>
        <c:auto val="0"/>
        <c:lblAlgn val="ctr"/>
        <c:lblOffset val="100"/>
        <c:noMultiLvlLbl val="1"/>
      </c:catAx>
      <c:valAx>
        <c:axId val="527526159"/>
        <c:scaling>
          <c:orientation val="minMax"/>
          <c:min val="9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PE"/>
                  <a:t>DENSIDADES</a:t>
                </a:r>
              </a:p>
            </c:rich>
          </c:tx>
          <c:layout>
            <c:manualLayout>
              <c:xMode val="edge"/>
              <c:yMode val="edge"/>
              <c:x val="4.6381056289350161E-3"/>
              <c:y val="0.3995777994805671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PE"/>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crossAx val="527521167"/>
        <c:crosses val="autoZero"/>
        <c:crossBetween val="between"/>
      </c:valAx>
      <c:valAx>
        <c:axId val="494314976"/>
        <c:scaling>
          <c:orientation val="minMax"/>
        </c:scaling>
        <c:delete val="1"/>
        <c:axPos val="r"/>
        <c:numFmt formatCode="0.0" sourceLinked="1"/>
        <c:majorTickMark val="out"/>
        <c:minorTickMark val="none"/>
        <c:tickLblPos val="nextTo"/>
        <c:crossAx val="494319136"/>
        <c:crosses val="max"/>
        <c:crossBetween val="midCat"/>
      </c:valAx>
      <c:valAx>
        <c:axId val="494319136"/>
        <c:scaling>
          <c:orientation val="minMax"/>
          <c:max val="1"/>
        </c:scaling>
        <c:delete val="0"/>
        <c:axPos val="t"/>
        <c:numFmt formatCode="dd/mm/yyyy;@" sourceLinked="1"/>
        <c:majorTickMark val="out"/>
        <c:minorTickMark val="none"/>
        <c:tickLblPos val="none"/>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crossAx val="494314976"/>
        <c:crosses val="max"/>
        <c:crossBetween val="midCat"/>
        <c:majorUnit val="1"/>
      </c:valAx>
      <c:spPr>
        <a:solidFill>
          <a:schemeClr val="bg1"/>
        </a:solidFill>
        <a:ln>
          <a:noFill/>
        </a:ln>
        <a:effectLst/>
      </c:spPr>
    </c:plotArea>
    <c:legend>
      <c:legendPos val="b"/>
      <c:layout>
        <c:manualLayout>
          <c:xMode val="edge"/>
          <c:yMode val="edge"/>
          <c:x val="0.47436887933255223"/>
          <c:y val="0.84255029678049465"/>
          <c:w val="0.48008496968949532"/>
          <c:h val="5.8928257677014512E-2"/>
        </c:manualLayout>
      </c:layout>
      <c:overlay val="1"/>
      <c:spPr>
        <a:solidFill>
          <a:schemeClr val="bg1"/>
        </a:solidFill>
        <a:ln>
          <a:solidFill>
            <a:schemeClr val="tx1"/>
          </a:solidFill>
          <a:prstDash val="dash"/>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2"/>
    </a:solidFill>
    <a:ln w="3175" cap="flat" cmpd="sng" algn="ctr">
      <a:solidFill>
        <a:sysClr val="windowText" lastClr="000000"/>
      </a:solidFill>
      <a:round/>
    </a:ln>
    <a:effectLst/>
  </c:spPr>
  <c:txPr>
    <a:bodyPr/>
    <a:lstStyle/>
    <a:p>
      <a:pPr>
        <a:defRPr/>
      </a:pPr>
      <a:endParaRPr lang="es-PE"/>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6693903050021338E-2"/>
          <c:y val="2.7446733112626843E-2"/>
          <c:w val="0.91850643178636449"/>
          <c:h val="0.90674451439493164"/>
        </c:manualLayout>
      </c:layout>
      <c:scatterChart>
        <c:scatterStyle val="lineMarker"/>
        <c:varyColors val="0"/>
        <c:ser>
          <c:idx val="0"/>
          <c:order val="0"/>
          <c:tx>
            <c:strRef>
              <c:f>'R Semanal'!$AJ$1:$AL$1</c:f>
              <c:strCache>
                <c:ptCount val="1"/>
                <c:pt idx="0">
                  <c:v>CONTORNO - ABRIL 2025</c:v>
                </c:pt>
              </c:strCache>
            </c:strRef>
          </c:tx>
          <c:spPr>
            <a:ln w="12700" cap="rnd">
              <a:solidFill>
                <a:schemeClr val="tx1"/>
              </a:solidFill>
              <a:round/>
            </a:ln>
            <a:effectLst/>
          </c:spPr>
          <c:marker>
            <c:symbol val="none"/>
          </c:marker>
          <c:dLbls>
            <c:dLbl>
              <c:idx val="146"/>
              <c:tx>
                <c:rich>
                  <a:bodyPr/>
                  <a:lstStyle/>
                  <a:p>
                    <a:r>
                      <a:rPr lang="en-US"/>
                      <a:t>Dren C7</a:t>
                    </a:r>
                  </a:p>
                </c:rich>
              </c:tx>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F133-4C85-A697-0DE7DD632797}"/>
                </c:ext>
              </c:extLst>
            </c:dLbl>
            <c:dLbl>
              <c:idx val="194"/>
              <c:tx>
                <c:rich>
                  <a:bodyPr/>
                  <a:lstStyle/>
                  <a:p>
                    <a:r>
                      <a:rPr lang="en-US"/>
                      <a:t>C11</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F133-4C85-A697-0DE7DD632797}"/>
                </c:ext>
              </c:extLst>
            </c:dLbl>
            <c:dLbl>
              <c:idx val="229"/>
              <c:tx>
                <c:rich>
                  <a:bodyPr/>
                  <a:lstStyle/>
                  <a:p>
                    <a:r>
                      <a:rPr lang="en-US"/>
                      <a:t>C10</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F133-4C85-A697-0DE7DD632797}"/>
                </c:ext>
              </c:extLst>
            </c:dLbl>
            <c:dLbl>
              <c:idx val="324"/>
              <c:tx>
                <c:rich>
                  <a:bodyPr/>
                  <a:lstStyle/>
                  <a:p>
                    <a:r>
                      <a:rPr lang="en-US"/>
                      <a:t>C2</a:t>
                    </a:r>
                  </a:p>
                </c:rich>
              </c:tx>
              <c:dLblPos val="l"/>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F133-4C85-A697-0DE7DD632797}"/>
                </c:ext>
              </c:extLst>
            </c:dLbl>
            <c:dLbl>
              <c:idx val="376"/>
              <c:tx>
                <c:rich>
                  <a:bodyPr/>
                  <a:lstStyle/>
                  <a:p>
                    <a:r>
                      <a:rPr lang="en-US"/>
                      <a:t>C6</a:t>
                    </a:r>
                  </a:p>
                </c:rich>
              </c:tx>
              <c:dLblPos val="l"/>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F133-4C85-A697-0DE7DD632797}"/>
                </c:ext>
              </c:extLst>
            </c:dLbl>
            <c:dLbl>
              <c:idx val="390"/>
              <c:tx>
                <c:rich>
                  <a:bodyPr/>
                  <a:lstStyle/>
                  <a:p>
                    <a:r>
                      <a:rPr lang="en-US"/>
                      <a:t>C5</a:t>
                    </a:r>
                  </a:p>
                </c:rich>
              </c:tx>
              <c:dLblPos val="l"/>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F133-4C85-A697-0DE7DD632797}"/>
                </c:ext>
              </c:extLst>
            </c:dLbl>
            <c:dLbl>
              <c:idx val="438"/>
              <c:tx>
                <c:rich>
                  <a:bodyPr/>
                  <a:lstStyle/>
                  <a:p>
                    <a:r>
                      <a:rPr lang="en-US"/>
                      <a:t>C4</a:t>
                    </a:r>
                  </a:p>
                </c:rich>
              </c:tx>
              <c:dLblPos val="l"/>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F133-4C85-A697-0DE7DD632797}"/>
                </c:ext>
              </c:extLst>
            </c:dLbl>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entury Gothic" panose="020B0502020202020204" pitchFamily="34" charset="0"/>
                    <a:ea typeface="+mn-ea"/>
                    <a:cs typeface="+mn-cs"/>
                  </a:defRPr>
                </a:pPr>
                <a:endParaRPr lang="es-PE"/>
              </a:p>
            </c:txPr>
            <c:dLblPos val="l"/>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'R Semanal'!$AJ$2:$AJ$1503</c:f>
              <c:numCache>
                <c:formatCode>0\+000.00</c:formatCode>
                <c:ptCount val="1502"/>
                <c:pt idx="0">
                  <c:v>2158.2199999999998</c:v>
                </c:pt>
                <c:pt idx="1">
                  <c:v>2156.13</c:v>
                </c:pt>
                <c:pt idx="2">
                  <c:v>2153.64</c:v>
                </c:pt>
                <c:pt idx="3">
                  <c:v>2150.86</c:v>
                </c:pt>
                <c:pt idx="4">
                  <c:v>2148.1999999999998</c:v>
                </c:pt>
                <c:pt idx="5">
                  <c:v>2143.61</c:v>
                </c:pt>
                <c:pt idx="6">
                  <c:v>2141.06</c:v>
                </c:pt>
                <c:pt idx="7">
                  <c:v>2138.37</c:v>
                </c:pt>
                <c:pt idx="8">
                  <c:v>2133.36</c:v>
                </c:pt>
                <c:pt idx="9">
                  <c:v>2132.44</c:v>
                </c:pt>
                <c:pt idx="10">
                  <c:v>2129.21</c:v>
                </c:pt>
                <c:pt idx="11">
                  <c:v>2125.04</c:v>
                </c:pt>
                <c:pt idx="12">
                  <c:v>2120.85</c:v>
                </c:pt>
                <c:pt idx="13">
                  <c:v>2118.5</c:v>
                </c:pt>
                <c:pt idx="14">
                  <c:v>2118.17</c:v>
                </c:pt>
                <c:pt idx="15">
                  <c:v>2118.59</c:v>
                </c:pt>
                <c:pt idx="16">
                  <c:v>2121.34</c:v>
                </c:pt>
                <c:pt idx="17">
                  <c:v>2124.8200000000002</c:v>
                </c:pt>
                <c:pt idx="18">
                  <c:v>2127.9899999999998</c:v>
                </c:pt>
                <c:pt idx="19">
                  <c:v>2129.5100000000002</c:v>
                </c:pt>
                <c:pt idx="20">
                  <c:v>2126.6</c:v>
                </c:pt>
                <c:pt idx="21">
                  <c:v>2122.09</c:v>
                </c:pt>
                <c:pt idx="22">
                  <c:v>2117.84</c:v>
                </c:pt>
                <c:pt idx="23">
                  <c:v>2113.5100000000002</c:v>
                </c:pt>
                <c:pt idx="24">
                  <c:v>2109.77</c:v>
                </c:pt>
                <c:pt idx="25">
                  <c:v>2106.46</c:v>
                </c:pt>
                <c:pt idx="26">
                  <c:v>2103.9699999999998</c:v>
                </c:pt>
                <c:pt idx="27">
                  <c:v>2100.09</c:v>
                </c:pt>
                <c:pt idx="28">
                  <c:v>2097.66</c:v>
                </c:pt>
                <c:pt idx="29">
                  <c:v>2095.23</c:v>
                </c:pt>
                <c:pt idx="30">
                  <c:v>2091.08</c:v>
                </c:pt>
                <c:pt idx="31">
                  <c:v>2085.73</c:v>
                </c:pt>
                <c:pt idx="32">
                  <c:v>2079.2800000000002</c:v>
                </c:pt>
                <c:pt idx="33">
                  <c:v>2074.2600000000002</c:v>
                </c:pt>
                <c:pt idx="34">
                  <c:v>2073.7199999999998</c:v>
                </c:pt>
                <c:pt idx="35">
                  <c:v>2074.9299999999998</c:v>
                </c:pt>
                <c:pt idx="36">
                  <c:v>2078.61</c:v>
                </c:pt>
                <c:pt idx="37">
                  <c:v>2081.79</c:v>
                </c:pt>
                <c:pt idx="38">
                  <c:v>2087.2199999999998</c:v>
                </c:pt>
                <c:pt idx="39">
                  <c:v>2091.37</c:v>
                </c:pt>
                <c:pt idx="40">
                  <c:v>2092.0500000000002</c:v>
                </c:pt>
                <c:pt idx="41">
                  <c:v>2092.0500000000002</c:v>
                </c:pt>
                <c:pt idx="42">
                  <c:v>2091.73</c:v>
                </c:pt>
                <c:pt idx="43">
                  <c:v>2087.79</c:v>
                </c:pt>
                <c:pt idx="44">
                  <c:v>2085.13</c:v>
                </c:pt>
                <c:pt idx="45">
                  <c:v>2084.1799999999998</c:v>
                </c:pt>
                <c:pt idx="46">
                  <c:v>2076.92</c:v>
                </c:pt>
                <c:pt idx="47">
                  <c:v>2076.92</c:v>
                </c:pt>
                <c:pt idx="48">
                  <c:v>2072.4699999999998</c:v>
                </c:pt>
                <c:pt idx="49">
                  <c:v>2065.54</c:v>
                </c:pt>
                <c:pt idx="50">
                  <c:v>2061.65</c:v>
                </c:pt>
                <c:pt idx="51">
                  <c:v>2057.98</c:v>
                </c:pt>
                <c:pt idx="52">
                  <c:v>2057.52</c:v>
                </c:pt>
                <c:pt idx="53">
                  <c:v>2055.63</c:v>
                </c:pt>
                <c:pt idx="54">
                  <c:v>2052.35</c:v>
                </c:pt>
                <c:pt idx="55">
                  <c:v>2048.5700000000002</c:v>
                </c:pt>
                <c:pt idx="56">
                  <c:v>2043.72</c:v>
                </c:pt>
                <c:pt idx="57">
                  <c:v>2037.78</c:v>
                </c:pt>
                <c:pt idx="58">
                  <c:v>2035.51</c:v>
                </c:pt>
                <c:pt idx="59">
                  <c:v>2030.01</c:v>
                </c:pt>
                <c:pt idx="60">
                  <c:v>2024.36</c:v>
                </c:pt>
                <c:pt idx="61">
                  <c:v>2018.74</c:v>
                </c:pt>
                <c:pt idx="62">
                  <c:v>2011.26</c:v>
                </c:pt>
                <c:pt idx="63">
                  <c:v>2004.97</c:v>
                </c:pt>
                <c:pt idx="64">
                  <c:v>2000.55</c:v>
                </c:pt>
                <c:pt idx="65">
                  <c:v>1996.14</c:v>
                </c:pt>
                <c:pt idx="66">
                  <c:v>1987.38</c:v>
                </c:pt>
                <c:pt idx="67">
                  <c:v>1982.26</c:v>
                </c:pt>
                <c:pt idx="68">
                  <c:v>1977.15</c:v>
                </c:pt>
                <c:pt idx="69">
                  <c:v>1972.07</c:v>
                </c:pt>
                <c:pt idx="70">
                  <c:v>1967.97</c:v>
                </c:pt>
                <c:pt idx="71">
                  <c:v>1962.68</c:v>
                </c:pt>
                <c:pt idx="72">
                  <c:v>1960.32</c:v>
                </c:pt>
                <c:pt idx="73">
                  <c:v>1957.94</c:v>
                </c:pt>
                <c:pt idx="74">
                  <c:v>1955.26</c:v>
                </c:pt>
                <c:pt idx="75">
                  <c:v>1950.42</c:v>
                </c:pt>
                <c:pt idx="76">
                  <c:v>1947.89</c:v>
                </c:pt>
                <c:pt idx="77">
                  <c:v>1944.39</c:v>
                </c:pt>
                <c:pt idx="78">
                  <c:v>1940.88</c:v>
                </c:pt>
                <c:pt idx="79">
                  <c:v>1936.44</c:v>
                </c:pt>
                <c:pt idx="80">
                  <c:v>1932</c:v>
                </c:pt>
                <c:pt idx="81">
                  <c:v>1917.98</c:v>
                </c:pt>
                <c:pt idx="82">
                  <c:v>1913.37</c:v>
                </c:pt>
                <c:pt idx="83">
                  <c:v>1904.56</c:v>
                </c:pt>
                <c:pt idx="84">
                  <c:v>1894.17</c:v>
                </c:pt>
                <c:pt idx="85">
                  <c:v>1887.16</c:v>
                </c:pt>
                <c:pt idx="86">
                  <c:v>1880.16</c:v>
                </c:pt>
                <c:pt idx="87">
                  <c:v>1866.78</c:v>
                </c:pt>
                <c:pt idx="88">
                  <c:v>1861.98</c:v>
                </c:pt>
                <c:pt idx="89">
                  <c:v>1860.64</c:v>
                </c:pt>
                <c:pt idx="90">
                  <c:v>1860.62</c:v>
                </c:pt>
                <c:pt idx="91">
                  <c:v>1859.23</c:v>
                </c:pt>
                <c:pt idx="92">
                  <c:v>1853.67</c:v>
                </c:pt>
                <c:pt idx="93">
                  <c:v>1848.1</c:v>
                </c:pt>
                <c:pt idx="94">
                  <c:v>1842.39</c:v>
                </c:pt>
                <c:pt idx="95">
                  <c:v>1836.68</c:v>
                </c:pt>
                <c:pt idx="96">
                  <c:v>1827.46</c:v>
                </c:pt>
                <c:pt idx="97">
                  <c:v>1821</c:v>
                </c:pt>
                <c:pt idx="98">
                  <c:v>1814.54</c:v>
                </c:pt>
                <c:pt idx="99">
                  <c:v>1809.47</c:v>
                </c:pt>
                <c:pt idx="100">
                  <c:v>1804.4</c:v>
                </c:pt>
                <c:pt idx="101">
                  <c:v>1796.54</c:v>
                </c:pt>
                <c:pt idx="102">
                  <c:v>1788.18</c:v>
                </c:pt>
                <c:pt idx="103">
                  <c:v>1784.05</c:v>
                </c:pt>
                <c:pt idx="104">
                  <c:v>1779.91</c:v>
                </c:pt>
                <c:pt idx="105">
                  <c:v>1776.48</c:v>
                </c:pt>
                <c:pt idx="106">
                  <c:v>1771.65</c:v>
                </c:pt>
                <c:pt idx="107">
                  <c:v>1767.3</c:v>
                </c:pt>
                <c:pt idx="108">
                  <c:v>1766.01</c:v>
                </c:pt>
                <c:pt idx="109">
                  <c:v>1765.48</c:v>
                </c:pt>
                <c:pt idx="110">
                  <c:v>1764.34</c:v>
                </c:pt>
                <c:pt idx="111">
                  <c:v>1764.43</c:v>
                </c:pt>
                <c:pt idx="112">
                  <c:v>1765.75</c:v>
                </c:pt>
                <c:pt idx="113">
                  <c:v>1765.85</c:v>
                </c:pt>
                <c:pt idx="114">
                  <c:v>1765.8</c:v>
                </c:pt>
                <c:pt idx="115">
                  <c:v>1764.71</c:v>
                </c:pt>
                <c:pt idx="116">
                  <c:v>1763.76</c:v>
                </c:pt>
                <c:pt idx="117">
                  <c:v>1764.2</c:v>
                </c:pt>
                <c:pt idx="118">
                  <c:v>1764.65</c:v>
                </c:pt>
                <c:pt idx="119">
                  <c:v>1767.96</c:v>
                </c:pt>
                <c:pt idx="120">
                  <c:v>1765.53</c:v>
                </c:pt>
                <c:pt idx="121">
                  <c:v>1764.05</c:v>
                </c:pt>
                <c:pt idx="122">
                  <c:v>1764.41</c:v>
                </c:pt>
                <c:pt idx="123">
                  <c:v>1764.6</c:v>
                </c:pt>
                <c:pt idx="124">
                  <c:v>1764.7</c:v>
                </c:pt>
                <c:pt idx="125">
                  <c:v>1768.54</c:v>
                </c:pt>
                <c:pt idx="126">
                  <c:v>1768.83</c:v>
                </c:pt>
                <c:pt idx="127">
                  <c:v>1772.5</c:v>
                </c:pt>
                <c:pt idx="128">
                  <c:v>1782.07</c:v>
                </c:pt>
                <c:pt idx="129">
                  <c:v>1787.99</c:v>
                </c:pt>
                <c:pt idx="130">
                  <c:v>1791.86</c:v>
                </c:pt>
                <c:pt idx="131">
                  <c:v>1800.88</c:v>
                </c:pt>
                <c:pt idx="132">
                  <c:v>1809.1</c:v>
                </c:pt>
                <c:pt idx="133">
                  <c:v>1818.3</c:v>
                </c:pt>
                <c:pt idx="134">
                  <c:v>1820.78</c:v>
                </c:pt>
                <c:pt idx="135">
                  <c:v>1827.58</c:v>
                </c:pt>
                <c:pt idx="136">
                  <c:v>1835.53</c:v>
                </c:pt>
                <c:pt idx="137">
                  <c:v>1838</c:v>
                </c:pt>
                <c:pt idx="138">
                  <c:v>1841.29</c:v>
                </c:pt>
                <c:pt idx="139">
                  <c:v>1844.3</c:v>
                </c:pt>
                <c:pt idx="140">
                  <c:v>1846.36</c:v>
                </c:pt>
                <c:pt idx="141">
                  <c:v>1850.02</c:v>
                </c:pt>
                <c:pt idx="142">
                  <c:v>1857.85</c:v>
                </c:pt>
                <c:pt idx="143">
                  <c:v>1858.63</c:v>
                </c:pt>
                <c:pt idx="144">
                  <c:v>1867.86</c:v>
                </c:pt>
                <c:pt idx="145">
                  <c:v>1870.63</c:v>
                </c:pt>
                <c:pt idx="146">
                  <c:v>1873.01</c:v>
                </c:pt>
                <c:pt idx="147">
                  <c:v>1880.58</c:v>
                </c:pt>
                <c:pt idx="148">
                  <c:v>1883.73</c:v>
                </c:pt>
                <c:pt idx="149">
                  <c:v>1891.64</c:v>
                </c:pt>
                <c:pt idx="150">
                  <c:v>1899.42</c:v>
                </c:pt>
                <c:pt idx="151">
                  <c:v>1900.92</c:v>
                </c:pt>
                <c:pt idx="152">
                  <c:v>1908.88</c:v>
                </c:pt>
                <c:pt idx="153">
                  <c:v>1917.83</c:v>
                </c:pt>
                <c:pt idx="154">
                  <c:v>1925.93</c:v>
                </c:pt>
                <c:pt idx="155">
                  <c:v>1927.44</c:v>
                </c:pt>
                <c:pt idx="156">
                  <c:v>1935.57</c:v>
                </c:pt>
                <c:pt idx="157">
                  <c:v>1944.2</c:v>
                </c:pt>
                <c:pt idx="158">
                  <c:v>1947.24</c:v>
                </c:pt>
                <c:pt idx="159">
                  <c:v>1953.83</c:v>
                </c:pt>
                <c:pt idx="160">
                  <c:v>1960.52</c:v>
                </c:pt>
                <c:pt idx="161">
                  <c:v>1971.37</c:v>
                </c:pt>
                <c:pt idx="162">
                  <c:v>1978.95</c:v>
                </c:pt>
                <c:pt idx="163">
                  <c:v>1979.37</c:v>
                </c:pt>
                <c:pt idx="164">
                  <c:v>1979.91</c:v>
                </c:pt>
                <c:pt idx="165">
                  <c:v>1980.07</c:v>
                </c:pt>
                <c:pt idx="166">
                  <c:v>1980.22</c:v>
                </c:pt>
                <c:pt idx="167">
                  <c:v>1980.33</c:v>
                </c:pt>
                <c:pt idx="168">
                  <c:v>1980.43</c:v>
                </c:pt>
                <c:pt idx="169">
                  <c:v>1979.09</c:v>
                </c:pt>
                <c:pt idx="170">
                  <c:v>1978.1</c:v>
                </c:pt>
                <c:pt idx="171">
                  <c:v>1974.85</c:v>
                </c:pt>
                <c:pt idx="172">
                  <c:v>1965.75</c:v>
                </c:pt>
                <c:pt idx="173">
                  <c:v>1956.09</c:v>
                </c:pt>
                <c:pt idx="174">
                  <c:v>1949.47</c:v>
                </c:pt>
                <c:pt idx="175">
                  <c:v>1941.9</c:v>
                </c:pt>
                <c:pt idx="176">
                  <c:v>1937.87</c:v>
                </c:pt>
                <c:pt idx="177">
                  <c:v>1931.99</c:v>
                </c:pt>
                <c:pt idx="178">
                  <c:v>1924.36</c:v>
                </c:pt>
                <c:pt idx="179">
                  <c:v>1920.96</c:v>
                </c:pt>
                <c:pt idx="180">
                  <c:v>1913.13</c:v>
                </c:pt>
                <c:pt idx="181">
                  <c:v>1908.51</c:v>
                </c:pt>
                <c:pt idx="182">
                  <c:v>1901.89</c:v>
                </c:pt>
                <c:pt idx="183">
                  <c:v>1897.52</c:v>
                </c:pt>
                <c:pt idx="184">
                  <c:v>1894.03</c:v>
                </c:pt>
                <c:pt idx="185">
                  <c:v>1891.09</c:v>
                </c:pt>
                <c:pt idx="186">
                  <c:v>1887.76</c:v>
                </c:pt>
                <c:pt idx="187">
                  <c:v>1885.99</c:v>
                </c:pt>
                <c:pt idx="188">
                  <c:v>1885.85</c:v>
                </c:pt>
                <c:pt idx="189">
                  <c:v>1887.49</c:v>
                </c:pt>
                <c:pt idx="190">
                  <c:v>1891.5</c:v>
                </c:pt>
                <c:pt idx="191">
                  <c:v>1896.63</c:v>
                </c:pt>
                <c:pt idx="192">
                  <c:v>1904.84</c:v>
                </c:pt>
                <c:pt idx="193">
                  <c:v>1915.5</c:v>
                </c:pt>
                <c:pt idx="194">
                  <c:v>1911.2</c:v>
                </c:pt>
                <c:pt idx="195">
                  <c:v>1909.29</c:v>
                </c:pt>
                <c:pt idx="196">
                  <c:v>1907.92</c:v>
                </c:pt>
                <c:pt idx="197">
                  <c:v>1906.12</c:v>
                </c:pt>
                <c:pt idx="198">
                  <c:v>1899.83</c:v>
                </c:pt>
                <c:pt idx="199">
                  <c:v>1898.59</c:v>
                </c:pt>
                <c:pt idx="200">
                  <c:v>1890.27</c:v>
                </c:pt>
                <c:pt idx="201">
                  <c:v>1886.08</c:v>
                </c:pt>
                <c:pt idx="202">
                  <c:v>1880.17</c:v>
                </c:pt>
                <c:pt idx="203">
                  <c:v>1876.04</c:v>
                </c:pt>
                <c:pt idx="204">
                  <c:v>1874.35</c:v>
                </c:pt>
                <c:pt idx="205">
                  <c:v>1873.52</c:v>
                </c:pt>
                <c:pt idx="206">
                  <c:v>1870.81</c:v>
                </c:pt>
                <c:pt idx="207">
                  <c:v>1866.13</c:v>
                </c:pt>
                <c:pt idx="208">
                  <c:v>1864.26</c:v>
                </c:pt>
                <c:pt idx="209">
                  <c:v>1863.37</c:v>
                </c:pt>
                <c:pt idx="210">
                  <c:v>1862.13</c:v>
                </c:pt>
                <c:pt idx="211">
                  <c:v>1862.07</c:v>
                </c:pt>
                <c:pt idx="212">
                  <c:v>1864.73</c:v>
                </c:pt>
                <c:pt idx="213">
                  <c:v>1865.16</c:v>
                </c:pt>
                <c:pt idx="214">
                  <c:v>1867.64</c:v>
                </c:pt>
                <c:pt idx="215">
                  <c:v>1864.79</c:v>
                </c:pt>
                <c:pt idx="216">
                  <c:v>1862.68</c:v>
                </c:pt>
                <c:pt idx="217">
                  <c:v>1859.69</c:v>
                </c:pt>
                <c:pt idx="218">
                  <c:v>1859.21</c:v>
                </c:pt>
                <c:pt idx="219">
                  <c:v>1859.34</c:v>
                </c:pt>
                <c:pt idx="220">
                  <c:v>1865.72</c:v>
                </c:pt>
                <c:pt idx="221">
                  <c:v>1867.19</c:v>
                </c:pt>
                <c:pt idx="222">
                  <c:v>1866.31</c:v>
                </c:pt>
                <c:pt idx="223">
                  <c:v>1864.04</c:v>
                </c:pt>
                <c:pt idx="224">
                  <c:v>1863.66</c:v>
                </c:pt>
                <c:pt idx="225">
                  <c:v>1861.4</c:v>
                </c:pt>
                <c:pt idx="226">
                  <c:v>1859.09</c:v>
                </c:pt>
                <c:pt idx="227">
                  <c:v>1861.49</c:v>
                </c:pt>
                <c:pt idx="228">
                  <c:v>1862.93</c:v>
                </c:pt>
                <c:pt idx="229">
                  <c:v>1862.74</c:v>
                </c:pt>
                <c:pt idx="230">
                  <c:v>1857.34</c:v>
                </c:pt>
                <c:pt idx="231">
                  <c:v>1850.56</c:v>
                </c:pt>
                <c:pt idx="232">
                  <c:v>1836.47</c:v>
                </c:pt>
                <c:pt idx="233">
                  <c:v>1835.12</c:v>
                </c:pt>
                <c:pt idx="234">
                  <c:v>1826.5</c:v>
                </c:pt>
                <c:pt idx="235">
                  <c:v>1816.1</c:v>
                </c:pt>
                <c:pt idx="236">
                  <c:v>1814.73</c:v>
                </c:pt>
                <c:pt idx="237">
                  <c:v>1808.56</c:v>
                </c:pt>
                <c:pt idx="238">
                  <c:v>1799.17</c:v>
                </c:pt>
                <c:pt idx="239">
                  <c:v>1794.69</c:v>
                </c:pt>
                <c:pt idx="240">
                  <c:v>1789.3</c:v>
                </c:pt>
                <c:pt idx="241">
                  <c:v>1783.24</c:v>
                </c:pt>
                <c:pt idx="242">
                  <c:v>1778.1</c:v>
                </c:pt>
                <c:pt idx="243">
                  <c:v>1772.83</c:v>
                </c:pt>
                <c:pt idx="244">
                  <c:v>1767.56</c:v>
                </c:pt>
                <c:pt idx="245">
                  <c:v>1762.65</c:v>
                </c:pt>
                <c:pt idx="246">
                  <c:v>1757.4</c:v>
                </c:pt>
                <c:pt idx="247">
                  <c:v>1754.22</c:v>
                </c:pt>
                <c:pt idx="248">
                  <c:v>1747.8</c:v>
                </c:pt>
                <c:pt idx="249">
                  <c:v>1743.01</c:v>
                </c:pt>
                <c:pt idx="250">
                  <c:v>1735.3</c:v>
                </c:pt>
                <c:pt idx="251">
                  <c:v>1730.74</c:v>
                </c:pt>
                <c:pt idx="252">
                  <c:v>1722.63</c:v>
                </c:pt>
                <c:pt idx="253">
                  <c:v>1716.3</c:v>
                </c:pt>
                <c:pt idx="254">
                  <c:v>1710.99</c:v>
                </c:pt>
                <c:pt idx="255">
                  <c:v>1707.85</c:v>
                </c:pt>
                <c:pt idx="256">
                  <c:v>1707.09</c:v>
                </c:pt>
                <c:pt idx="257">
                  <c:v>1699.76</c:v>
                </c:pt>
                <c:pt idx="258">
                  <c:v>1695.72</c:v>
                </c:pt>
                <c:pt idx="259">
                  <c:v>1688.8</c:v>
                </c:pt>
                <c:pt idx="260">
                  <c:v>1683.76</c:v>
                </c:pt>
                <c:pt idx="261">
                  <c:v>1680.08</c:v>
                </c:pt>
                <c:pt idx="262">
                  <c:v>1672.3</c:v>
                </c:pt>
                <c:pt idx="263">
                  <c:v>1665.45</c:v>
                </c:pt>
                <c:pt idx="264">
                  <c:v>1663.97</c:v>
                </c:pt>
                <c:pt idx="265">
                  <c:v>1662.48</c:v>
                </c:pt>
                <c:pt idx="266">
                  <c:v>1657.61</c:v>
                </c:pt>
                <c:pt idx="267">
                  <c:v>1651.01</c:v>
                </c:pt>
                <c:pt idx="268">
                  <c:v>1644.42</c:v>
                </c:pt>
                <c:pt idx="269">
                  <c:v>1638.31</c:v>
                </c:pt>
                <c:pt idx="270">
                  <c:v>1628.82</c:v>
                </c:pt>
                <c:pt idx="271">
                  <c:v>1620.8</c:v>
                </c:pt>
                <c:pt idx="272">
                  <c:v>1607.41</c:v>
                </c:pt>
                <c:pt idx="273">
                  <c:v>1601.77</c:v>
                </c:pt>
                <c:pt idx="274">
                  <c:v>1589.85</c:v>
                </c:pt>
                <c:pt idx="275">
                  <c:v>1587.76</c:v>
                </c:pt>
                <c:pt idx="276">
                  <c:v>1579.12</c:v>
                </c:pt>
                <c:pt idx="277">
                  <c:v>1571.35</c:v>
                </c:pt>
                <c:pt idx="278">
                  <c:v>1564.55</c:v>
                </c:pt>
                <c:pt idx="279">
                  <c:v>1559.93</c:v>
                </c:pt>
                <c:pt idx="280">
                  <c:v>1551.81</c:v>
                </c:pt>
                <c:pt idx="281">
                  <c:v>1550.05</c:v>
                </c:pt>
                <c:pt idx="282">
                  <c:v>1544.4</c:v>
                </c:pt>
                <c:pt idx="283">
                  <c:v>1538.99</c:v>
                </c:pt>
                <c:pt idx="284">
                  <c:v>1527.94</c:v>
                </c:pt>
                <c:pt idx="285">
                  <c:v>1525.32</c:v>
                </c:pt>
                <c:pt idx="286">
                  <c:v>1513.76</c:v>
                </c:pt>
                <c:pt idx="287">
                  <c:v>1510.62</c:v>
                </c:pt>
                <c:pt idx="288">
                  <c:v>1508.54</c:v>
                </c:pt>
                <c:pt idx="289">
                  <c:v>1508.72</c:v>
                </c:pt>
                <c:pt idx="290">
                  <c:v>1512.87</c:v>
                </c:pt>
                <c:pt idx="291">
                  <c:v>1514.47</c:v>
                </c:pt>
                <c:pt idx="292">
                  <c:v>1511.65</c:v>
                </c:pt>
                <c:pt idx="293">
                  <c:v>1508.16</c:v>
                </c:pt>
                <c:pt idx="294">
                  <c:v>1503.27</c:v>
                </c:pt>
                <c:pt idx="295">
                  <c:v>1498.03</c:v>
                </c:pt>
                <c:pt idx="296">
                  <c:v>1492.19</c:v>
                </c:pt>
                <c:pt idx="297">
                  <c:v>1482.4</c:v>
                </c:pt>
                <c:pt idx="298">
                  <c:v>1472.6</c:v>
                </c:pt>
                <c:pt idx="299">
                  <c:v>1463.28</c:v>
                </c:pt>
                <c:pt idx="300">
                  <c:v>1459.09</c:v>
                </c:pt>
                <c:pt idx="301">
                  <c:v>1448.08</c:v>
                </c:pt>
                <c:pt idx="302">
                  <c:v>1440.4</c:v>
                </c:pt>
                <c:pt idx="303">
                  <c:v>1434.42</c:v>
                </c:pt>
                <c:pt idx="304">
                  <c:v>1427.19</c:v>
                </c:pt>
                <c:pt idx="305">
                  <c:v>1425.56</c:v>
                </c:pt>
                <c:pt idx="306">
                  <c:v>1417.49</c:v>
                </c:pt>
                <c:pt idx="307">
                  <c:v>1411.16</c:v>
                </c:pt>
                <c:pt idx="308">
                  <c:v>1410.34</c:v>
                </c:pt>
                <c:pt idx="309">
                  <c:v>1407.24</c:v>
                </c:pt>
                <c:pt idx="310">
                  <c:v>1404.36</c:v>
                </c:pt>
                <c:pt idx="311">
                  <c:v>1403.3</c:v>
                </c:pt>
                <c:pt idx="312">
                  <c:v>1402.24</c:v>
                </c:pt>
                <c:pt idx="313">
                  <c:v>1396.22</c:v>
                </c:pt>
                <c:pt idx="314">
                  <c:v>1390.18</c:v>
                </c:pt>
                <c:pt idx="315">
                  <c:v>1379.9</c:v>
                </c:pt>
                <c:pt idx="316">
                  <c:v>1374.02</c:v>
                </c:pt>
                <c:pt idx="317">
                  <c:v>1367.34</c:v>
                </c:pt>
                <c:pt idx="318">
                  <c:v>1358.44</c:v>
                </c:pt>
                <c:pt idx="319">
                  <c:v>1348.26</c:v>
                </c:pt>
                <c:pt idx="320">
                  <c:v>1340.63</c:v>
                </c:pt>
                <c:pt idx="321">
                  <c:v>1334.88</c:v>
                </c:pt>
                <c:pt idx="322">
                  <c:v>1328.52</c:v>
                </c:pt>
                <c:pt idx="323">
                  <c:v>1321.06</c:v>
                </c:pt>
                <c:pt idx="324">
                  <c:v>1311.35</c:v>
                </c:pt>
                <c:pt idx="325">
                  <c:v>1305.25</c:v>
                </c:pt>
                <c:pt idx="326">
                  <c:v>1297.56</c:v>
                </c:pt>
                <c:pt idx="327">
                  <c:v>1291.8399999999999</c:v>
                </c:pt>
                <c:pt idx="328">
                  <c:v>1286.1099999999999</c:v>
                </c:pt>
                <c:pt idx="329">
                  <c:v>1276.0899999999999</c:v>
                </c:pt>
                <c:pt idx="330">
                  <c:v>1269.92</c:v>
                </c:pt>
                <c:pt idx="331">
                  <c:v>1264.31</c:v>
                </c:pt>
                <c:pt idx="332">
                  <c:v>1255.53</c:v>
                </c:pt>
                <c:pt idx="333">
                  <c:v>1254.6099999999999</c:v>
                </c:pt>
                <c:pt idx="334">
                  <c:v>1248.9100000000001</c:v>
                </c:pt>
                <c:pt idx="335">
                  <c:v>1249.96</c:v>
                </c:pt>
                <c:pt idx="336">
                  <c:v>1247.67</c:v>
                </c:pt>
                <c:pt idx="337">
                  <c:v>1240.9100000000001</c:v>
                </c:pt>
                <c:pt idx="338">
                  <c:v>1237.8399999999999</c:v>
                </c:pt>
                <c:pt idx="339">
                  <c:v>1227.6300000000001</c:v>
                </c:pt>
                <c:pt idx="340">
                  <c:v>1223.2</c:v>
                </c:pt>
                <c:pt idx="341">
                  <c:v>1220.92</c:v>
                </c:pt>
                <c:pt idx="342">
                  <c:v>1216.6600000000001</c:v>
                </c:pt>
                <c:pt idx="343">
                  <c:v>1213.6300000000001</c:v>
                </c:pt>
                <c:pt idx="344">
                  <c:v>1212.9100000000001</c:v>
                </c:pt>
                <c:pt idx="345">
                  <c:v>1212.18</c:v>
                </c:pt>
                <c:pt idx="346">
                  <c:v>1207.8399999999999</c:v>
                </c:pt>
                <c:pt idx="347">
                  <c:v>1203.45</c:v>
                </c:pt>
                <c:pt idx="348">
                  <c:v>1198.5999999999999</c:v>
                </c:pt>
                <c:pt idx="349">
                  <c:v>1192.73</c:v>
                </c:pt>
                <c:pt idx="350">
                  <c:v>1182.6099999999999</c:v>
                </c:pt>
                <c:pt idx="351">
                  <c:v>1177.0899999999999</c:v>
                </c:pt>
                <c:pt idx="352">
                  <c:v>1169.77</c:v>
                </c:pt>
                <c:pt idx="353">
                  <c:v>1158.3800000000001</c:v>
                </c:pt>
                <c:pt idx="354">
                  <c:v>1154.57</c:v>
                </c:pt>
                <c:pt idx="355">
                  <c:v>1154.18</c:v>
                </c:pt>
                <c:pt idx="356">
                  <c:v>1151.8399999999999</c:v>
                </c:pt>
                <c:pt idx="357">
                  <c:v>1150.1199999999999</c:v>
                </c:pt>
                <c:pt idx="358">
                  <c:v>1143.97</c:v>
                </c:pt>
                <c:pt idx="359">
                  <c:v>1137.47</c:v>
                </c:pt>
                <c:pt idx="360">
                  <c:v>1130.97</c:v>
                </c:pt>
                <c:pt idx="361">
                  <c:v>1124.8399999999999</c:v>
                </c:pt>
                <c:pt idx="362">
                  <c:v>1118.8699999999999</c:v>
                </c:pt>
                <c:pt idx="363">
                  <c:v>1111.54</c:v>
                </c:pt>
                <c:pt idx="364">
                  <c:v>1105.3800000000001</c:v>
                </c:pt>
                <c:pt idx="365">
                  <c:v>1099.42</c:v>
                </c:pt>
                <c:pt idx="366">
                  <c:v>1092.95</c:v>
                </c:pt>
                <c:pt idx="367">
                  <c:v>1084.31</c:v>
                </c:pt>
                <c:pt idx="368">
                  <c:v>1082.1500000000001</c:v>
                </c:pt>
                <c:pt idx="369">
                  <c:v>1077.18</c:v>
                </c:pt>
                <c:pt idx="370">
                  <c:v>1069.04</c:v>
                </c:pt>
                <c:pt idx="371">
                  <c:v>1064.6500000000001</c:v>
                </c:pt>
                <c:pt idx="372">
                  <c:v>1061.3</c:v>
                </c:pt>
                <c:pt idx="373">
                  <c:v>1058.07</c:v>
                </c:pt>
                <c:pt idx="374">
                  <c:v>1050.9000000000001</c:v>
                </c:pt>
                <c:pt idx="375">
                  <c:v>1044.3399999999999</c:v>
                </c:pt>
                <c:pt idx="376">
                  <c:v>1037.6300000000001</c:v>
                </c:pt>
                <c:pt idx="377">
                  <c:v>1036.72</c:v>
                </c:pt>
                <c:pt idx="378">
                  <c:v>1032.93</c:v>
                </c:pt>
                <c:pt idx="379">
                  <c:v>1031.58</c:v>
                </c:pt>
                <c:pt idx="380">
                  <c:v>1032.8800000000001</c:v>
                </c:pt>
                <c:pt idx="381">
                  <c:v>1033.8900000000001</c:v>
                </c:pt>
                <c:pt idx="382">
                  <c:v>1033.8900000000001</c:v>
                </c:pt>
                <c:pt idx="383">
                  <c:v>1037.0999999999999</c:v>
                </c:pt>
                <c:pt idx="384">
                  <c:v>1040.56</c:v>
                </c:pt>
                <c:pt idx="385">
                  <c:v>1050.4000000000001</c:v>
                </c:pt>
                <c:pt idx="386">
                  <c:v>1053.49</c:v>
                </c:pt>
                <c:pt idx="387">
                  <c:v>1052.58</c:v>
                </c:pt>
                <c:pt idx="388">
                  <c:v>1049.44</c:v>
                </c:pt>
                <c:pt idx="389">
                  <c:v>1042.1300000000001</c:v>
                </c:pt>
                <c:pt idx="390">
                  <c:v>1038.1600000000001</c:v>
                </c:pt>
                <c:pt idx="391">
                  <c:v>1030.02</c:v>
                </c:pt>
                <c:pt idx="392">
                  <c:v>1030.03</c:v>
                </c:pt>
                <c:pt idx="393">
                  <c:v>1030.03</c:v>
                </c:pt>
                <c:pt idx="394">
                  <c:v>1027.8699999999999</c:v>
                </c:pt>
                <c:pt idx="395">
                  <c:v>1029.07</c:v>
                </c:pt>
                <c:pt idx="396">
                  <c:v>1030.53</c:v>
                </c:pt>
                <c:pt idx="397">
                  <c:v>1038.52</c:v>
                </c:pt>
                <c:pt idx="398">
                  <c:v>1041.1099999999999</c:v>
                </c:pt>
                <c:pt idx="399">
                  <c:v>1046.74</c:v>
                </c:pt>
                <c:pt idx="400">
                  <c:v>1056.1300000000001</c:v>
                </c:pt>
                <c:pt idx="401">
                  <c:v>1064.22</c:v>
                </c:pt>
                <c:pt idx="402">
                  <c:v>1072.3399999999999</c:v>
                </c:pt>
                <c:pt idx="403">
                  <c:v>1080.67</c:v>
                </c:pt>
                <c:pt idx="404">
                  <c:v>1088.3699999999999</c:v>
                </c:pt>
                <c:pt idx="405">
                  <c:v>1094.8599999999999</c:v>
                </c:pt>
                <c:pt idx="406">
                  <c:v>1095.9000000000001</c:v>
                </c:pt>
                <c:pt idx="407">
                  <c:v>1099.18</c:v>
                </c:pt>
                <c:pt idx="408">
                  <c:v>1098.07</c:v>
                </c:pt>
                <c:pt idx="409">
                  <c:v>1096.23</c:v>
                </c:pt>
                <c:pt idx="410">
                  <c:v>1092.6400000000001</c:v>
                </c:pt>
                <c:pt idx="411">
                  <c:v>1091.69</c:v>
                </c:pt>
                <c:pt idx="412">
                  <c:v>1086.19</c:v>
                </c:pt>
                <c:pt idx="413">
                  <c:v>1082.6199999999999</c:v>
                </c:pt>
                <c:pt idx="414">
                  <c:v>1081.8399999999999</c:v>
                </c:pt>
                <c:pt idx="415">
                  <c:v>1081.1099999999999</c:v>
                </c:pt>
                <c:pt idx="416">
                  <c:v>1074.97</c:v>
                </c:pt>
                <c:pt idx="417">
                  <c:v>1069.06</c:v>
                </c:pt>
                <c:pt idx="418">
                  <c:v>1063.8399999999999</c:v>
                </c:pt>
                <c:pt idx="419">
                  <c:v>1058.01</c:v>
                </c:pt>
                <c:pt idx="420">
                  <c:v>1050.01</c:v>
                </c:pt>
                <c:pt idx="421">
                  <c:v>1042.0999999999999</c:v>
                </c:pt>
                <c:pt idx="422">
                  <c:v>1034.77</c:v>
                </c:pt>
                <c:pt idx="423">
                  <c:v>1026.57</c:v>
                </c:pt>
                <c:pt idx="424">
                  <c:v>1020.54</c:v>
                </c:pt>
                <c:pt idx="425">
                  <c:v>1014.45</c:v>
                </c:pt>
                <c:pt idx="426">
                  <c:v>1006.75</c:v>
                </c:pt>
                <c:pt idx="427">
                  <c:v>1000.87</c:v>
                </c:pt>
                <c:pt idx="428">
                  <c:v>991.58</c:v>
                </c:pt>
                <c:pt idx="429">
                  <c:v>984.69</c:v>
                </c:pt>
                <c:pt idx="430">
                  <c:v>971.69</c:v>
                </c:pt>
                <c:pt idx="431">
                  <c:v>962.63</c:v>
                </c:pt>
                <c:pt idx="432">
                  <c:v>955.22</c:v>
                </c:pt>
                <c:pt idx="433">
                  <c:v>947.42</c:v>
                </c:pt>
                <c:pt idx="434">
                  <c:v>933.34</c:v>
                </c:pt>
                <c:pt idx="435">
                  <c:v>931.22</c:v>
                </c:pt>
                <c:pt idx="436">
                  <c:v>928.2</c:v>
                </c:pt>
                <c:pt idx="437">
                  <c:v>921.77</c:v>
                </c:pt>
                <c:pt idx="438">
                  <c:v>917.13</c:v>
                </c:pt>
                <c:pt idx="439">
                  <c:v>913.55</c:v>
                </c:pt>
                <c:pt idx="440">
                  <c:v>914.51</c:v>
                </c:pt>
                <c:pt idx="441">
                  <c:v>918.28</c:v>
                </c:pt>
                <c:pt idx="442">
                  <c:v>921.45</c:v>
                </c:pt>
                <c:pt idx="443">
                  <c:v>920.63</c:v>
                </c:pt>
                <c:pt idx="444">
                  <c:v>916.09</c:v>
                </c:pt>
                <c:pt idx="445">
                  <c:v>910.98</c:v>
                </c:pt>
                <c:pt idx="446">
                  <c:v>905.24</c:v>
                </c:pt>
                <c:pt idx="447">
                  <c:v>904.72</c:v>
                </c:pt>
                <c:pt idx="448">
                  <c:v>909.57</c:v>
                </c:pt>
                <c:pt idx="449">
                  <c:v>912.07</c:v>
                </c:pt>
                <c:pt idx="450">
                  <c:v>913.04</c:v>
                </c:pt>
                <c:pt idx="451">
                  <c:v>914.01</c:v>
                </c:pt>
                <c:pt idx="452">
                  <c:v>918.31</c:v>
                </c:pt>
                <c:pt idx="453">
                  <c:v>920.09</c:v>
                </c:pt>
                <c:pt idx="454">
                  <c:v>920.06</c:v>
                </c:pt>
                <c:pt idx="455">
                  <c:v>919.79</c:v>
                </c:pt>
                <c:pt idx="456">
                  <c:v>914.56</c:v>
                </c:pt>
                <c:pt idx="457">
                  <c:v>911.16</c:v>
                </c:pt>
                <c:pt idx="458">
                  <c:v>901.82</c:v>
                </c:pt>
                <c:pt idx="459">
                  <c:v>899.46</c:v>
                </c:pt>
                <c:pt idx="460">
                  <c:v>897.86</c:v>
                </c:pt>
                <c:pt idx="461">
                  <c:v>900.21</c:v>
                </c:pt>
                <c:pt idx="462">
                  <c:v>898.36</c:v>
                </c:pt>
                <c:pt idx="463">
                  <c:v>897.61</c:v>
                </c:pt>
                <c:pt idx="464">
                  <c:v>897.09</c:v>
                </c:pt>
                <c:pt idx="465">
                  <c:v>891.73</c:v>
                </c:pt>
                <c:pt idx="466">
                  <c:v>887.96</c:v>
                </c:pt>
                <c:pt idx="467">
                  <c:v>881.47</c:v>
                </c:pt>
                <c:pt idx="468">
                  <c:v>874.56</c:v>
                </c:pt>
                <c:pt idx="469">
                  <c:v>862.5</c:v>
                </c:pt>
                <c:pt idx="470">
                  <c:v>852.91</c:v>
                </c:pt>
                <c:pt idx="471">
                  <c:v>842.76</c:v>
                </c:pt>
                <c:pt idx="472">
                  <c:v>835.93</c:v>
                </c:pt>
                <c:pt idx="473">
                  <c:v>835.22</c:v>
                </c:pt>
                <c:pt idx="474">
                  <c:v>828.75</c:v>
                </c:pt>
                <c:pt idx="475">
                  <c:v>824.71</c:v>
                </c:pt>
                <c:pt idx="476">
                  <c:v>814.96</c:v>
                </c:pt>
                <c:pt idx="477">
                  <c:v>808.05</c:v>
                </c:pt>
                <c:pt idx="478">
                  <c:v>799.41</c:v>
                </c:pt>
                <c:pt idx="479">
                  <c:v>795.83</c:v>
                </c:pt>
                <c:pt idx="480">
                  <c:v>788.98</c:v>
                </c:pt>
                <c:pt idx="481">
                  <c:v>786.25</c:v>
                </c:pt>
                <c:pt idx="482">
                  <c:v>779.1</c:v>
                </c:pt>
                <c:pt idx="483">
                  <c:v>775.24</c:v>
                </c:pt>
                <c:pt idx="484">
                  <c:v>766.73</c:v>
                </c:pt>
                <c:pt idx="485">
                  <c:v>758.04</c:v>
                </c:pt>
                <c:pt idx="486">
                  <c:v>752.73</c:v>
                </c:pt>
                <c:pt idx="487">
                  <c:v>743.17</c:v>
                </c:pt>
                <c:pt idx="488">
                  <c:v>735.39</c:v>
                </c:pt>
                <c:pt idx="489">
                  <c:v>726.9</c:v>
                </c:pt>
                <c:pt idx="490">
                  <c:v>726.07</c:v>
                </c:pt>
                <c:pt idx="491">
                  <c:v>717.73</c:v>
                </c:pt>
                <c:pt idx="492">
                  <c:v>712.32</c:v>
                </c:pt>
                <c:pt idx="493">
                  <c:v>702.27</c:v>
                </c:pt>
                <c:pt idx="494">
                  <c:v>696.67</c:v>
                </c:pt>
                <c:pt idx="495">
                  <c:v>689.19</c:v>
                </c:pt>
                <c:pt idx="496">
                  <c:v>685.57</c:v>
                </c:pt>
                <c:pt idx="497">
                  <c:v>681.21</c:v>
                </c:pt>
                <c:pt idx="498">
                  <c:v>676.97</c:v>
                </c:pt>
                <c:pt idx="499">
                  <c:v>668.47</c:v>
                </c:pt>
                <c:pt idx="500">
                  <c:v>662.68</c:v>
                </c:pt>
                <c:pt idx="501">
                  <c:v>659.92</c:v>
                </c:pt>
                <c:pt idx="502">
                  <c:v>657.44</c:v>
                </c:pt>
                <c:pt idx="503">
                  <c:v>656.74</c:v>
                </c:pt>
                <c:pt idx="504">
                  <c:v>654.58000000000004</c:v>
                </c:pt>
                <c:pt idx="505">
                  <c:v>654.30999999999995</c:v>
                </c:pt>
                <c:pt idx="506">
                  <c:v>648.95000000000005</c:v>
                </c:pt>
                <c:pt idx="507">
                  <c:v>645.13</c:v>
                </c:pt>
                <c:pt idx="508">
                  <c:v>640.85</c:v>
                </c:pt>
                <c:pt idx="509">
                  <c:v>639.82000000000005</c:v>
                </c:pt>
                <c:pt idx="510">
                  <c:v>632.29999999999995</c:v>
                </c:pt>
                <c:pt idx="511">
                  <c:v>626.5</c:v>
                </c:pt>
                <c:pt idx="512">
                  <c:v>617</c:v>
                </c:pt>
                <c:pt idx="513">
                  <c:v>612.76</c:v>
                </c:pt>
                <c:pt idx="514">
                  <c:v>606.01</c:v>
                </c:pt>
                <c:pt idx="515">
                  <c:v>602.58000000000004</c:v>
                </c:pt>
                <c:pt idx="516">
                  <c:v>599.03</c:v>
                </c:pt>
                <c:pt idx="517">
                  <c:v>597.79999999999995</c:v>
                </c:pt>
                <c:pt idx="518">
                  <c:v>594.08000000000004</c:v>
                </c:pt>
                <c:pt idx="519">
                  <c:v>593.16999999999996</c:v>
                </c:pt>
                <c:pt idx="520">
                  <c:v>591.39</c:v>
                </c:pt>
                <c:pt idx="521">
                  <c:v>591.03</c:v>
                </c:pt>
                <c:pt idx="522">
                  <c:v>590.67999999999995</c:v>
                </c:pt>
                <c:pt idx="523">
                  <c:v>586.99</c:v>
                </c:pt>
                <c:pt idx="524">
                  <c:v>580.33000000000004</c:v>
                </c:pt>
                <c:pt idx="525">
                  <c:v>572.41</c:v>
                </c:pt>
                <c:pt idx="526">
                  <c:v>566.57000000000005</c:v>
                </c:pt>
                <c:pt idx="527">
                  <c:v>561.80999999999995</c:v>
                </c:pt>
                <c:pt idx="528">
                  <c:v>553.97</c:v>
                </c:pt>
                <c:pt idx="529">
                  <c:v>549.87</c:v>
                </c:pt>
                <c:pt idx="530">
                  <c:v>544.54</c:v>
                </c:pt>
                <c:pt idx="531">
                  <c:v>536.66</c:v>
                </c:pt>
                <c:pt idx="532">
                  <c:v>531.02</c:v>
                </c:pt>
                <c:pt idx="533">
                  <c:v>526.09</c:v>
                </c:pt>
                <c:pt idx="534">
                  <c:v>523.82000000000005</c:v>
                </c:pt>
                <c:pt idx="535">
                  <c:v>519.73</c:v>
                </c:pt>
                <c:pt idx="536">
                  <c:v>516.22</c:v>
                </c:pt>
                <c:pt idx="537">
                  <c:v>505.59</c:v>
                </c:pt>
                <c:pt idx="538">
                  <c:v>500.62</c:v>
                </c:pt>
                <c:pt idx="539">
                  <c:v>495.06</c:v>
                </c:pt>
                <c:pt idx="540">
                  <c:v>489.7</c:v>
                </c:pt>
                <c:pt idx="541">
                  <c:v>481.28</c:v>
                </c:pt>
                <c:pt idx="542">
                  <c:v>475.7</c:v>
                </c:pt>
                <c:pt idx="543">
                  <c:v>467.76</c:v>
                </c:pt>
                <c:pt idx="544">
                  <c:v>457</c:v>
                </c:pt>
                <c:pt idx="545">
                  <c:v>450.38</c:v>
                </c:pt>
                <c:pt idx="546">
                  <c:v>443.2</c:v>
                </c:pt>
                <c:pt idx="547">
                  <c:v>435.45</c:v>
                </c:pt>
                <c:pt idx="548">
                  <c:v>430.8</c:v>
                </c:pt>
                <c:pt idx="549">
                  <c:v>425.72</c:v>
                </c:pt>
                <c:pt idx="550">
                  <c:v>420.03</c:v>
                </c:pt>
                <c:pt idx="551">
                  <c:v>419.02</c:v>
                </c:pt>
                <c:pt idx="552">
                  <c:v>419.02</c:v>
                </c:pt>
                <c:pt idx="553">
                  <c:v>416.99</c:v>
                </c:pt>
                <c:pt idx="554">
                  <c:v>416.37</c:v>
                </c:pt>
                <c:pt idx="555">
                  <c:v>412.38</c:v>
                </c:pt>
                <c:pt idx="556">
                  <c:v>407.48</c:v>
                </c:pt>
                <c:pt idx="557">
                  <c:v>402.03</c:v>
                </c:pt>
                <c:pt idx="558">
                  <c:v>398.79</c:v>
                </c:pt>
                <c:pt idx="559">
                  <c:v>393.84</c:v>
                </c:pt>
                <c:pt idx="560">
                  <c:v>387.25</c:v>
                </c:pt>
                <c:pt idx="561">
                  <c:v>381.37</c:v>
                </c:pt>
                <c:pt idx="562">
                  <c:v>375.81</c:v>
                </c:pt>
                <c:pt idx="563">
                  <c:v>372.59</c:v>
                </c:pt>
                <c:pt idx="564">
                  <c:v>368.89</c:v>
                </c:pt>
                <c:pt idx="565">
                  <c:v>366.14</c:v>
                </c:pt>
                <c:pt idx="566">
                  <c:v>362.05</c:v>
                </c:pt>
                <c:pt idx="567">
                  <c:v>358.46</c:v>
                </c:pt>
                <c:pt idx="568">
                  <c:v>355.62</c:v>
                </c:pt>
                <c:pt idx="569">
                  <c:v>349.76</c:v>
                </c:pt>
                <c:pt idx="570">
                  <c:v>347.88</c:v>
                </c:pt>
                <c:pt idx="571">
                  <c:v>340.86</c:v>
                </c:pt>
                <c:pt idx="572">
                  <c:v>340.42</c:v>
                </c:pt>
                <c:pt idx="573">
                  <c:v>333.42</c:v>
                </c:pt>
                <c:pt idx="574">
                  <c:v>330.27</c:v>
                </c:pt>
                <c:pt idx="575">
                  <c:v>325.04000000000002</c:v>
                </c:pt>
                <c:pt idx="576">
                  <c:v>323.68</c:v>
                </c:pt>
                <c:pt idx="577">
                  <c:v>322.52</c:v>
                </c:pt>
                <c:pt idx="578">
                  <c:v>319.83</c:v>
                </c:pt>
                <c:pt idx="579">
                  <c:v>319.83</c:v>
                </c:pt>
                <c:pt idx="580">
                  <c:v>318.87</c:v>
                </c:pt>
                <c:pt idx="581">
                  <c:v>318.64999999999998</c:v>
                </c:pt>
                <c:pt idx="582">
                  <c:v>318.25</c:v>
                </c:pt>
                <c:pt idx="583">
                  <c:v>317.86</c:v>
                </c:pt>
                <c:pt idx="584">
                  <c:v>316.27999999999997</c:v>
                </c:pt>
                <c:pt idx="585">
                  <c:v>307.68</c:v>
                </c:pt>
                <c:pt idx="586">
                  <c:v>302.79000000000002</c:v>
                </c:pt>
                <c:pt idx="587">
                  <c:v>292.63</c:v>
                </c:pt>
                <c:pt idx="588">
                  <c:v>292.63</c:v>
                </c:pt>
                <c:pt idx="589">
                  <c:v>287.02</c:v>
                </c:pt>
                <c:pt idx="590">
                  <c:v>285.47000000000003</c:v>
                </c:pt>
                <c:pt idx="591">
                  <c:v>279.37</c:v>
                </c:pt>
                <c:pt idx="592">
                  <c:v>272.58</c:v>
                </c:pt>
                <c:pt idx="593">
                  <c:v>269.49</c:v>
                </c:pt>
                <c:pt idx="594">
                  <c:v>267.56</c:v>
                </c:pt>
                <c:pt idx="595">
                  <c:v>262.51</c:v>
                </c:pt>
                <c:pt idx="596">
                  <c:v>257.51</c:v>
                </c:pt>
                <c:pt idx="597">
                  <c:v>256.77</c:v>
                </c:pt>
                <c:pt idx="598">
                  <c:v>255.48</c:v>
                </c:pt>
                <c:pt idx="599">
                  <c:v>254.58</c:v>
                </c:pt>
                <c:pt idx="600">
                  <c:v>253.04</c:v>
                </c:pt>
                <c:pt idx="601">
                  <c:v>252.27</c:v>
                </c:pt>
                <c:pt idx="602">
                  <c:v>249.06</c:v>
                </c:pt>
                <c:pt idx="603">
                  <c:v>244.56</c:v>
                </c:pt>
                <c:pt idx="604">
                  <c:v>240.87</c:v>
                </c:pt>
                <c:pt idx="605">
                  <c:v>231.32</c:v>
                </c:pt>
                <c:pt idx="606">
                  <c:v>228.68</c:v>
                </c:pt>
                <c:pt idx="607">
                  <c:v>217.92</c:v>
                </c:pt>
                <c:pt idx="608">
                  <c:v>210.14</c:v>
                </c:pt>
                <c:pt idx="609">
                  <c:v>201.8</c:v>
                </c:pt>
                <c:pt idx="610">
                  <c:v>199.19</c:v>
                </c:pt>
                <c:pt idx="611">
                  <c:v>190.75</c:v>
                </c:pt>
                <c:pt idx="612">
                  <c:v>186.54</c:v>
                </c:pt>
                <c:pt idx="613">
                  <c:v>181.89</c:v>
                </c:pt>
                <c:pt idx="614">
                  <c:v>176.04</c:v>
                </c:pt>
                <c:pt idx="615">
                  <c:v>170.15</c:v>
                </c:pt>
                <c:pt idx="616">
                  <c:v>162.86000000000001</c:v>
                </c:pt>
                <c:pt idx="617">
                  <c:v>162.54</c:v>
                </c:pt>
                <c:pt idx="618">
                  <c:v>161.41999999999999</c:v>
                </c:pt>
                <c:pt idx="619">
                  <c:v>158.62</c:v>
                </c:pt>
                <c:pt idx="620">
                  <c:v>152.54</c:v>
                </c:pt>
                <c:pt idx="621">
                  <c:v>144.91</c:v>
                </c:pt>
                <c:pt idx="622">
                  <c:v>144.61000000000001</c:v>
                </c:pt>
                <c:pt idx="623">
                  <c:v>143.34</c:v>
                </c:pt>
                <c:pt idx="624">
                  <c:v>142.55000000000001</c:v>
                </c:pt>
                <c:pt idx="625">
                  <c:v>141.37</c:v>
                </c:pt>
                <c:pt idx="626">
                  <c:v>140.99</c:v>
                </c:pt>
                <c:pt idx="627">
                  <c:v>140.16</c:v>
                </c:pt>
                <c:pt idx="628">
                  <c:v>139.63999999999999</c:v>
                </c:pt>
                <c:pt idx="629">
                  <c:v>139.12</c:v>
                </c:pt>
                <c:pt idx="630">
                  <c:v>134.02000000000001</c:v>
                </c:pt>
                <c:pt idx="631">
                  <c:v>134.08000000000001</c:v>
                </c:pt>
                <c:pt idx="632">
                  <c:v>132.1</c:v>
                </c:pt>
                <c:pt idx="633">
                  <c:v>131.87</c:v>
                </c:pt>
                <c:pt idx="634">
                  <c:v>130.76</c:v>
                </c:pt>
                <c:pt idx="635">
                  <c:v>126.43</c:v>
                </c:pt>
                <c:pt idx="636">
                  <c:v>119.21</c:v>
                </c:pt>
                <c:pt idx="637">
                  <c:v>108.12</c:v>
                </c:pt>
                <c:pt idx="638">
                  <c:v>106.3</c:v>
                </c:pt>
                <c:pt idx="639">
                  <c:v>100.93</c:v>
                </c:pt>
                <c:pt idx="640">
                  <c:v>94.45</c:v>
                </c:pt>
                <c:pt idx="641">
                  <c:v>90.13</c:v>
                </c:pt>
                <c:pt idx="642">
                  <c:v>86.9</c:v>
                </c:pt>
                <c:pt idx="643">
                  <c:v>85.33</c:v>
                </c:pt>
                <c:pt idx="644">
                  <c:v>82.87</c:v>
                </c:pt>
                <c:pt idx="645">
                  <c:v>81.12</c:v>
                </c:pt>
                <c:pt idx="646">
                  <c:v>79.5</c:v>
                </c:pt>
                <c:pt idx="647">
                  <c:v>78.010000000000005</c:v>
                </c:pt>
                <c:pt idx="648">
                  <c:v>74.42</c:v>
                </c:pt>
                <c:pt idx="649">
                  <c:v>74.42</c:v>
                </c:pt>
                <c:pt idx="650">
                  <c:v>72.25</c:v>
                </c:pt>
                <c:pt idx="651">
                  <c:v>73.33</c:v>
                </c:pt>
                <c:pt idx="652">
                  <c:v>73.989999999999995</c:v>
                </c:pt>
                <c:pt idx="653">
                  <c:v>73.92</c:v>
                </c:pt>
                <c:pt idx="654">
                  <c:v>73.77</c:v>
                </c:pt>
                <c:pt idx="655">
                  <c:v>74.03</c:v>
                </c:pt>
                <c:pt idx="656">
                  <c:v>73.569999999999993</c:v>
                </c:pt>
                <c:pt idx="657">
                  <c:v>72.099999999999994</c:v>
                </c:pt>
                <c:pt idx="658">
                  <c:v>72.099999999999994</c:v>
                </c:pt>
                <c:pt idx="659">
                  <c:v>71.900000000000006</c:v>
                </c:pt>
                <c:pt idx="660">
                  <c:v>72.25</c:v>
                </c:pt>
                <c:pt idx="661">
                  <c:v>65.260000000000005</c:v>
                </c:pt>
                <c:pt idx="662">
                  <c:v>64.39</c:v>
                </c:pt>
                <c:pt idx="663">
                  <c:v>60.6</c:v>
                </c:pt>
                <c:pt idx="664">
                  <c:v>58.49</c:v>
                </c:pt>
                <c:pt idx="665">
                  <c:v>57.22</c:v>
                </c:pt>
                <c:pt idx="666">
                  <c:v>50.67</c:v>
                </c:pt>
                <c:pt idx="667">
                  <c:v>44.01</c:v>
                </c:pt>
                <c:pt idx="668">
                  <c:v>38.86</c:v>
                </c:pt>
                <c:pt idx="669">
                  <c:v>38.06</c:v>
                </c:pt>
                <c:pt idx="670">
                  <c:v>37.99</c:v>
                </c:pt>
                <c:pt idx="671">
                  <c:v>37.83</c:v>
                </c:pt>
                <c:pt idx="672">
                  <c:v>37.200000000000003</c:v>
                </c:pt>
                <c:pt idx="673">
                  <c:v>37.17</c:v>
                </c:pt>
                <c:pt idx="674">
                  <c:v>37.03</c:v>
                </c:pt>
                <c:pt idx="675">
                  <c:v>36.99</c:v>
                </c:pt>
                <c:pt idx="676">
                  <c:v>36.229999999999997</c:v>
                </c:pt>
                <c:pt idx="677">
                  <c:v>36.18</c:v>
                </c:pt>
                <c:pt idx="678">
                  <c:v>36.14</c:v>
                </c:pt>
                <c:pt idx="679">
                  <c:v>35.99</c:v>
                </c:pt>
                <c:pt idx="680">
                  <c:v>35.85</c:v>
                </c:pt>
                <c:pt idx="681">
                  <c:v>35.33</c:v>
                </c:pt>
                <c:pt idx="682">
                  <c:v>35</c:v>
                </c:pt>
                <c:pt idx="683">
                  <c:v>34.630000000000003</c:v>
                </c:pt>
                <c:pt idx="684">
                  <c:v>34.57</c:v>
                </c:pt>
                <c:pt idx="685">
                  <c:v>34.56</c:v>
                </c:pt>
                <c:pt idx="686">
                  <c:v>34.520000000000003</c:v>
                </c:pt>
                <c:pt idx="687">
                  <c:v>34.01</c:v>
                </c:pt>
                <c:pt idx="688">
                  <c:v>32.68</c:v>
                </c:pt>
                <c:pt idx="689">
                  <c:v>32.56</c:v>
                </c:pt>
                <c:pt idx="690">
                  <c:v>32.270000000000003</c:v>
                </c:pt>
                <c:pt idx="691">
                  <c:v>32.26</c:v>
                </c:pt>
                <c:pt idx="692">
                  <c:v>32.26</c:v>
                </c:pt>
                <c:pt idx="693">
                  <c:v>31.47</c:v>
                </c:pt>
                <c:pt idx="694">
                  <c:v>31.35</c:v>
                </c:pt>
                <c:pt idx="695">
                  <c:v>31.17</c:v>
                </c:pt>
                <c:pt idx="696">
                  <c:v>31.06</c:v>
                </c:pt>
                <c:pt idx="697">
                  <c:v>30.88</c:v>
                </c:pt>
                <c:pt idx="698">
                  <c:v>30.5</c:v>
                </c:pt>
                <c:pt idx="699">
                  <c:v>30.5</c:v>
                </c:pt>
                <c:pt idx="700">
                  <c:v>30.51</c:v>
                </c:pt>
                <c:pt idx="701">
                  <c:v>30.51</c:v>
                </c:pt>
                <c:pt idx="702">
                  <c:v>30.51</c:v>
                </c:pt>
                <c:pt idx="703">
                  <c:v>31.03</c:v>
                </c:pt>
                <c:pt idx="704">
                  <c:v>33.270000000000003</c:v>
                </c:pt>
                <c:pt idx="705">
                  <c:v>34.159999999999997</c:v>
                </c:pt>
                <c:pt idx="706">
                  <c:v>34.97</c:v>
                </c:pt>
                <c:pt idx="707">
                  <c:v>35.78</c:v>
                </c:pt>
                <c:pt idx="708">
                  <c:v>36.369999999999997</c:v>
                </c:pt>
                <c:pt idx="709">
                  <c:v>37.32</c:v>
                </c:pt>
                <c:pt idx="710">
                  <c:v>38.46</c:v>
                </c:pt>
                <c:pt idx="711">
                  <c:v>39.25</c:v>
                </c:pt>
                <c:pt idx="712">
                  <c:v>40.89</c:v>
                </c:pt>
                <c:pt idx="713">
                  <c:v>40.92</c:v>
                </c:pt>
                <c:pt idx="714">
                  <c:v>40.950000000000003</c:v>
                </c:pt>
                <c:pt idx="715">
                  <c:v>41.81</c:v>
                </c:pt>
                <c:pt idx="716">
                  <c:v>44.13</c:v>
                </c:pt>
                <c:pt idx="717">
                  <c:v>45.2</c:v>
                </c:pt>
                <c:pt idx="718">
                  <c:v>45.68</c:v>
                </c:pt>
                <c:pt idx="719">
                  <c:v>47.87</c:v>
                </c:pt>
                <c:pt idx="720">
                  <c:v>46.96</c:v>
                </c:pt>
                <c:pt idx="721">
                  <c:v>47.32</c:v>
                </c:pt>
                <c:pt idx="722">
                  <c:v>46.49</c:v>
                </c:pt>
                <c:pt idx="723">
                  <c:v>47.02</c:v>
                </c:pt>
                <c:pt idx="724">
                  <c:v>47.56</c:v>
                </c:pt>
                <c:pt idx="725">
                  <c:v>45.49</c:v>
                </c:pt>
                <c:pt idx="726">
                  <c:v>45.59</c:v>
                </c:pt>
                <c:pt idx="727">
                  <c:v>45.66</c:v>
                </c:pt>
                <c:pt idx="728">
                  <c:v>43.6</c:v>
                </c:pt>
                <c:pt idx="729">
                  <c:v>42.82</c:v>
                </c:pt>
                <c:pt idx="730">
                  <c:v>42.53</c:v>
                </c:pt>
                <c:pt idx="731">
                  <c:v>42.23</c:v>
                </c:pt>
                <c:pt idx="732">
                  <c:v>42.13</c:v>
                </c:pt>
                <c:pt idx="733">
                  <c:v>42.03</c:v>
                </c:pt>
                <c:pt idx="734">
                  <c:v>41.96</c:v>
                </c:pt>
                <c:pt idx="735">
                  <c:v>42.32</c:v>
                </c:pt>
                <c:pt idx="736">
                  <c:v>42.9</c:v>
                </c:pt>
                <c:pt idx="737">
                  <c:v>42.92</c:v>
                </c:pt>
                <c:pt idx="738">
                  <c:v>42.95</c:v>
                </c:pt>
                <c:pt idx="739">
                  <c:v>42.35</c:v>
                </c:pt>
                <c:pt idx="740">
                  <c:v>41.16</c:v>
                </c:pt>
                <c:pt idx="741">
                  <c:v>40.549999999999997</c:v>
                </c:pt>
                <c:pt idx="742">
                  <c:v>40.11</c:v>
                </c:pt>
                <c:pt idx="743">
                  <c:v>39.72</c:v>
                </c:pt>
                <c:pt idx="744">
                  <c:v>39.74</c:v>
                </c:pt>
                <c:pt idx="745">
                  <c:v>37.74</c:v>
                </c:pt>
                <c:pt idx="746">
                  <c:v>38.01</c:v>
                </c:pt>
                <c:pt idx="747">
                  <c:v>35.770000000000003</c:v>
                </c:pt>
                <c:pt idx="748">
                  <c:v>31.82</c:v>
                </c:pt>
                <c:pt idx="749">
                  <c:v>30.97</c:v>
                </c:pt>
                <c:pt idx="750">
                  <c:v>31.05</c:v>
                </c:pt>
                <c:pt idx="751">
                  <c:v>31.12</c:v>
                </c:pt>
                <c:pt idx="752">
                  <c:v>32.97</c:v>
                </c:pt>
                <c:pt idx="753">
                  <c:v>33.56</c:v>
                </c:pt>
                <c:pt idx="754">
                  <c:v>33.33</c:v>
                </c:pt>
                <c:pt idx="755">
                  <c:v>33.1</c:v>
                </c:pt>
                <c:pt idx="756">
                  <c:v>33.04</c:v>
                </c:pt>
                <c:pt idx="757">
                  <c:v>38.81</c:v>
                </c:pt>
                <c:pt idx="758">
                  <c:v>43.77</c:v>
                </c:pt>
                <c:pt idx="759">
                  <c:v>52.48</c:v>
                </c:pt>
                <c:pt idx="760">
                  <c:v>53.88</c:v>
                </c:pt>
                <c:pt idx="761">
                  <c:v>58.5</c:v>
                </c:pt>
                <c:pt idx="762">
                  <c:v>60.57</c:v>
                </c:pt>
                <c:pt idx="763">
                  <c:v>65.13</c:v>
                </c:pt>
                <c:pt idx="764">
                  <c:v>65.25</c:v>
                </c:pt>
                <c:pt idx="765">
                  <c:v>76.34</c:v>
                </c:pt>
                <c:pt idx="766">
                  <c:v>82.33</c:v>
                </c:pt>
                <c:pt idx="767">
                  <c:v>89.4</c:v>
                </c:pt>
                <c:pt idx="768">
                  <c:v>96.68</c:v>
                </c:pt>
                <c:pt idx="769">
                  <c:v>101.3</c:v>
                </c:pt>
                <c:pt idx="770">
                  <c:v>109.11</c:v>
                </c:pt>
                <c:pt idx="771">
                  <c:v>117.95</c:v>
                </c:pt>
                <c:pt idx="772">
                  <c:v>124.33</c:v>
                </c:pt>
                <c:pt idx="773">
                  <c:v>133.83000000000001</c:v>
                </c:pt>
                <c:pt idx="774">
                  <c:v>139.94999999999999</c:v>
                </c:pt>
                <c:pt idx="775">
                  <c:v>146.33000000000001</c:v>
                </c:pt>
                <c:pt idx="776">
                  <c:v>156.97999999999999</c:v>
                </c:pt>
                <c:pt idx="777">
                  <c:v>163.46</c:v>
                </c:pt>
                <c:pt idx="778">
                  <c:v>172.74</c:v>
                </c:pt>
                <c:pt idx="779">
                  <c:v>180.19</c:v>
                </c:pt>
                <c:pt idx="780">
                  <c:v>184.56</c:v>
                </c:pt>
                <c:pt idx="781">
                  <c:v>193.01</c:v>
                </c:pt>
                <c:pt idx="782">
                  <c:v>199.42</c:v>
                </c:pt>
                <c:pt idx="783">
                  <c:v>209.82</c:v>
                </c:pt>
                <c:pt idx="784">
                  <c:v>215.85</c:v>
                </c:pt>
                <c:pt idx="785">
                  <c:v>220.85</c:v>
                </c:pt>
                <c:pt idx="786">
                  <c:v>225.85</c:v>
                </c:pt>
                <c:pt idx="787">
                  <c:v>232.1</c:v>
                </c:pt>
                <c:pt idx="788">
                  <c:v>242.79</c:v>
                </c:pt>
                <c:pt idx="789">
                  <c:v>249.28</c:v>
                </c:pt>
                <c:pt idx="790">
                  <c:v>259.51</c:v>
                </c:pt>
                <c:pt idx="791">
                  <c:v>269.01</c:v>
                </c:pt>
                <c:pt idx="792">
                  <c:v>275.7</c:v>
                </c:pt>
                <c:pt idx="793">
                  <c:v>287.13</c:v>
                </c:pt>
                <c:pt idx="794">
                  <c:v>296.07</c:v>
                </c:pt>
                <c:pt idx="795">
                  <c:v>297.48</c:v>
                </c:pt>
                <c:pt idx="796">
                  <c:v>306.55</c:v>
                </c:pt>
                <c:pt idx="797">
                  <c:v>315.5</c:v>
                </c:pt>
                <c:pt idx="798">
                  <c:v>324.32</c:v>
                </c:pt>
                <c:pt idx="799">
                  <c:v>333.15</c:v>
                </c:pt>
                <c:pt idx="800">
                  <c:v>342.42</c:v>
                </c:pt>
                <c:pt idx="801">
                  <c:v>351.7</c:v>
                </c:pt>
                <c:pt idx="802">
                  <c:v>356.81</c:v>
                </c:pt>
                <c:pt idx="803">
                  <c:v>361.92</c:v>
                </c:pt>
                <c:pt idx="804">
                  <c:v>367.27</c:v>
                </c:pt>
                <c:pt idx="805">
                  <c:v>372.62</c:v>
                </c:pt>
                <c:pt idx="806">
                  <c:v>378.67</c:v>
                </c:pt>
                <c:pt idx="807">
                  <c:v>384.73</c:v>
                </c:pt>
                <c:pt idx="808">
                  <c:v>396.35</c:v>
                </c:pt>
                <c:pt idx="809">
                  <c:v>405.46</c:v>
                </c:pt>
                <c:pt idx="810">
                  <c:v>413.76</c:v>
                </c:pt>
                <c:pt idx="811">
                  <c:v>424.63</c:v>
                </c:pt>
                <c:pt idx="812">
                  <c:v>435.42</c:v>
                </c:pt>
                <c:pt idx="813">
                  <c:v>440.78</c:v>
                </c:pt>
                <c:pt idx="814">
                  <c:v>449.11</c:v>
                </c:pt>
                <c:pt idx="815">
                  <c:v>456.92</c:v>
                </c:pt>
                <c:pt idx="816">
                  <c:v>463.98</c:v>
                </c:pt>
                <c:pt idx="817">
                  <c:v>475.47</c:v>
                </c:pt>
                <c:pt idx="818">
                  <c:v>485.27</c:v>
                </c:pt>
                <c:pt idx="819">
                  <c:v>493.81</c:v>
                </c:pt>
                <c:pt idx="820">
                  <c:v>502.1</c:v>
                </c:pt>
                <c:pt idx="821">
                  <c:v>508.11</c:v>
                </c:pt>
                <c:pt idx="822">
                  <c:v>516.35</c:v>
                </c:pt>
                <c:pt idx="823">
                  <c:v>520.83000000000004</c:v>
                </c:pt>
                <c:pt idx="824">
                  <c:v>530.67999999999995</c:v>
                </c:pt>
                <c:pt idx="825">
                  <c:v>536.69000000000005</c:v>
                </c:pt>
                <c:pt idx="826">
                  <c:v>542.9</c:v>
                </c:pt>
                <c:pt idx="827">
                  <c:v>549.4</c:v>
                </c:pt>
                <c:pt idx="828">
                  <c:v>561.42999999999995</c:v>
                </c:pt>
                <c:pt idx="829">
                  <c:v>571.57000000000005</c:v>
                </c:pt>
                <c:pt idx="830">
                  <c:v>575.41</c:v>
                </c:pt>
                <c:pt idx="831">
                  <c:v>587.39</c:v>
                </c:pt>
                <c:pt idx="832">
                  <c:v>591.35</c:v>
                </c:pt>
                <c:pt idx="833">
                  <c:v>600.65</c:v>
                </c:pt>
                <c:pt idx="834">
                  <c:v>610.53</c:v>
                </c:pt>
                <c:pt idx="835">
                  <c:v>619.64</c:v>
                </c:pt>
                <c:pt idx="836">
                  <c:v>622.66999999999996</c:v>
                </c:pt>
                <c:pt idx="837">
                  <c:v>628.36</c:v>
                </c:pt>
                <c:pt idx="838">
                  <c:v>633.53</c:v>
                </c:pt>
                <c:pt idx="839">
                  <c:v>640.35</c:v>
                </c:pt>
                <c:pt idx="840">
                  <c:v>646.25</c:v>
                </c:pt>
                <c:pt idx="841">
                  <c:v>651.27</c:v>
                </c:pt>
                <c:pt idx="842">
                  <c:v>655.46</c:v>
                </c:pt>
                <c:pt idx="843">
                  <c:v>662.13</c:v>
                </c:pt>
                <c:pt idx="844">
                  <c:v>670.47</c:v>
                </c:pt>
                <c:pt idx="845">
                  <c:v>675.25</c:v>
                </c:pt>
                <c:pt idx="846">
                  <c:v>681.56</c:v>
                </c:pt>
                <c:pt idx="847">
                  <c:v>686.76</c:v>
                </c:pt>
                <c:pt idx="848">
                  <c:v>697.25</c:v>
                </c:pt>
                <c:pt idx="849">
                  <c:v>702.99</c:v>
                </c:pt>
                <c:pt idx="850">
                  <c:v>710.72</c:v>
                </c:pt>
                <c:pt idx="851">
                  <c:v>715.4</c:v>
                </c:pt>
                <c:pt idx="852">
                  <c:v>720.07</c:v>
                </c:pt>
                <c:pt idx="853">
                  <c:v>731.82</c:v>
                </c:pt>
                <c:pt idx="854">
                  <c:v>739.22</c:v>
                </c:pt>
                <c:pt idx="855">
                  <c:v>751.73</c:v>
                </c:pt>
                <c:pt idx="856">
                  <c:v>763.39</c:v>
                </c:pt>
                <c:pt idx="857">
                  <c:v>774.65</c:v>
                </c:pt>
                <c:pt idx="858">
                  <c:v>780.39</c:v>
                </c:pt>
                <c:pt idx="859">
                  <c:v>789.18</c:v>
                </c:pt>
                <c:pt idx="860">
                  <c:v>792.24</c:v>
                </c:pt>
                <c:pt idx="861">
                  <c:v>800.04</c:v>
                </c:pt>
                <c:pt idx="862">
                  <c:v>806.08</c:v>
                </c:pt>
                <c:pt idx="863">
                  <c:v>818.25</c:v>
                </c:pt>
                <c:pt idx="864">
                  <c:v>823.21</c:v>
                </c:pt>
                <c:pt idx="865">
                  <c:v>830.1</c:v>
                </c:pt>
                <c:pt idx="866">
                  <c:v>840.49</c:v>
                </c:pt>
                <c:pt idx="867">
                  <c:v>850.48</c:v>
                </c:pt>
                <c:pt idx="868">
                  <c:v>853.74</c:v>
                </c:pt>
                <c:pt idx="869">
                  <c:v>862.42</c:v>
                </c:pt>
                <c:pt idx="870">
                  <c:v>872.69</c:v>
                </c:pt>
                <c:pt idx="871">
                  <c:v>880.7</c:v>
                </c:pt>
                <c:pt idx="872">
                  <c:v>890.1</c:v>
                </c:pt>
                <c:pt idx="873">
                  <c:v>899.12</c:v>
                </c:pt>
                <c:pt idx="874">
                  <c:v>904.12</c:v>
                </c:pt>
                <c:pt idx="875">
                  <c:v>909.12</c:v>
                </c:pt>
                <c:pt idx="876">
                  <c:v>915.58</c:v>
                </c:pt>
                <c:pt idx="877">
                  <c:v>922.04</c:v>
                </c:pt>
                <c:pt idx="878">
                  <c:v>929.02</c:v>
                </c:pt>
                <c:pt idx="879">
                  <c:v>936</c:v>
                </c:pt>
                <c:pt idx="880">
                  <c:v>945.79</c:v>
                </c:pt>
                <c:pt idx="881">
                  <c:v>962.33</c:v>
                </c:pt>
                <c:pt idx="882">
                  <c:v>967.57</c:v>
                </c:pt>
                <c:pt idx="883">
                  <c:v>972.8</c:v>
                </c:pt>
                <c:pt idx="884">
                  <c:v>986.13</c:v>
                </c:pt>
                <c:pt idx="885">
                  <c:v>1001.14</c:v>
                </c:pt>
                <c:pt idx="886">
                  <c:v>1017.41</c:v>
                </c:pt>
                <c:pt idx="887">
                  <c:v>1022.43</c:v>
                </c:pt>
                <c:pt idx="888">
                  <c:v>1027.45</c:v>
                </c:pt>
                <c:pt idx="889">
                  <c:v>1036.78</c:v>
                </c:pt>
                <c:pt idx="890">
                  <c:v>1044.31</c:v>
                </c:pt>
                <c:pt idx="891">
                  <c:v>1051.83</c:v>
                </c:pt>
                <c:pt idx="892">
                  <c:v>1065.74</c:v>
                </c:pt>
                <c:pt idx="893">
                  <c:v>1072.6600000000001</c:v>
                </c:pt>
                <c:pt idx="894">
                  <c:v>1079.58</c:v>
                </c:pt>
                <c:pt idx="895">
                  <c:v>1097.19</c:v>
                </c:pt>
                <c:pt idx="896">
                  <c:v>1103.6199999999999</c:v>
                </c:pt>
                <c:pt idx="897">
                  <c:v>1110.04</c:v>
                </c:pt>
                <c:pt idx="898">
                  <c:v>1118.17</c:v>
                </c:pt>
                <c:pt idx="899">
                  <c:v>1128.5999999999999</c:v>
                </c:pt>
                <c:pt idx="900">
                  <c:v>1129.5899999999999</c:v>
                </c:pt>
                <c:pt idx="901">
                  <c:v>1133.68</c:v>
                </c:pt>
                <c:pt idx="902">
                  <c:v>1145.22</c:v>
                </c:pt>
                <c:pt idx="903">
                  <c:v>1161.47</c:v>
                </c:pt>
                <c:pt idx="904">
                  <c:v>1166.47</c:v>
                </c:pt>
                <c:pt idx="905">
                  <c:v>1174.6300000000001</c:v>
                </c:pt>
                <c:pt idx="906">
                  <c:v>1186.23</c:v>
                </c:pt>
                <c:pt idx="907">
                  <c:v>1187.03</c:v>
                </c:pt>
                <c:pt idx="908">
                  <c:v>1194.26</c:v>
                </c:pt>
                <c:pt idx="909">
                  <c:v>1201.1199999999999</c:v>
                </c:pt>
                <c:pt idx="910">
                  <c:v>1208</c:v>
                </c:pt>
                <c:pt idx="911">
                  <c:v>1214.21</c:v>
                </c:pt>
                <c:pt idx="912">
                  <c:v>1221.49</c:v>
                </c:pt>
                <c:pt idx="913">
                  <c:v>1239.56</c:v>
                </c:pt>
                <c:pt idx="914">
                  <c:v>1249.02</c:v>
                </c:pt>
                <c:pt idx="915">
                  <c:v>1256.1199999999999</c:v>
                </c:pt>
                <c:pt idx="916">
                  <c:v>1272.1600000000001</c:v>
                </c:pt>
                <c:pt idx="917">
                  <c:v>1278.71</c:v>
                </c:pt>
                <c:pt idx="918">
                  <c:v>1283.81</c:v>
                </c:pt>
                <c:pt idx="919">
                  <c:v>1288.9100000000001</c:v>
                </c:pt>
                <c:pt idx="920">
                  <c:v>1296.05</c:v>
                </c:pt>
                <c:pt idx="921">
                  <c:v>1304.8</c:v>
                </c:pt>
                <c:pt idx="922">
                  <c:v>1311.49</c:v>
                </c:pt>
                <c:pt idx="923">
                  <c:v>1318.26</c:v>
                </c:pt>
                <c:pt idx="924">
                  <c:v>1327.87</c:v>
                </c:pt>
                <c:pt idx="925">
                  <c:v>1333.43</c:v>
                </c:pt>
                <c:pt idx="926">
                  <c:v>1339</c:v>
                </c:pt>
                <c:pt idx="927">
                  <c:v>1346.36</c:v>
                </c:pt>
                <c:pt idx="928">
                  <c:v>1353.72</c:v>
                </c:pt>
                <c:pt idx="929">
                  <c:v>1361.87</c:v>
                </c:pt>
                <c:pt idx="930">
                  <c:v>1368.39</c:v>
                </c:pt>
                <c:pt idx="931">
                  <c:v>1376.67</c:v>
                </c:pt>
                <c:pt idx="932">
                  <c:v>1384.62</c:v>
                </c:pt>
                <c:pt idx="933">
                  <c:v>1394.4</c:v>
                </c:pt>
                <c:pt idx="934">
                  <c:v>1401.53</c:v>
                </c:pt>
                <c:pt idx="935">
                  <c:v>1411.44</c:v>
                </c:pt>
                <c:pt idx="936">
                  <c:v>1416.94</c:v>
                </c:pt>
                <c:pt idx="937">
                  <c:v>1425.22</c:v>
                </c:pt>
                <c:pt idx="938">
                  <c:v>1428.45</c:v>
                </c:pt>
                <c:pt idx="939">
                  <c:v>1437.43</c:v>
                </c:pt>
                <c:pt idx="940">
                  <c:v>1444.67</c:v>
                </c:pt>
                <c:pt idx="941">
                  <c:v>1453.66</c:v>
                </c:pt>
                <c:pt idx="942">
                  <c:v>1454.75</c:v>
                </c:pt>
                <c:pt idx="943">
                  <c:v>1461.65</c:v>
                </c:pt>
                <c:pt idx="944">
                  <c:v>1471.59</c:v>
                </c:pt>
                <c:pt idx="945">
                  <c:v>1476.2</c:v>
                </c:pt>
                <c:pt idx="946">
                  <c:v>1481.52</c:v>
                </c:pt>
                <c:pt idx="947">
                  <c:v>1494.33</c:v>
                </c:pt>
                <c:pt idx="948">
                  <c:v>1504.4</c:v>
                </c:pt>
                <c:pt idx="949">
                  <c:v>1507.91</c:v>
                </c:pt>
                <c:pt idx="950">
                  <c:v>1517.03</c:v>
                </c:pt>
                <c:pt idx="951">
                  <c:v>1526.18</c:v>
                </c:pt>
                <c:pt idx="952">
                  <c:v>1532.75</c:v>
                </c:pt>
                <c:pt idx="953">
                  <c:v>1533.35</c:v>
                </c:pt>
                <c:pt idx="954">
                  <c:v>1533.95</c:v>
                </c:pt>
                <c:pt idx="955">
                  <c:v>1543.81</c:v>
                </c:pt>
                <c:pt idx="956">
                  <c:v>1550.83</c:v>
                </c:pt>
                <c:pt idx="957">
                  <c:v>1558.77</c:v>
                </c:pt>
                <c:pt idx="958">
                  <c:v>1563.8</c:v>
                </c:pt>
                <c:pt idx="959">
                  <c:v>1571.29</c:v>
                </c:pt>
                <c:pt idx="960">
                  <c:v>1581.02</c:v>
                </c:pt>
                <c:pt idx="961">
                  <c:v>1581.02</c:v>
                </c:pt>
                <c:pt idx="962">
                  <c:v>1582.17</c:v>
                </c:pt>
                <c:pt idx="963">
                  <c:v>1588.2</c:v>
                </c:pt>
                <c:pt idx="964">
                  <c:v>1588.91</c:v>
                </c:pt>
                <c:pt idx="965">
                  <c:v>1598.36</c:v>
                </c:pt>
                <c:pt idx="966">
                  <c:v>1598.36</c:v>
                </c:pt>
                <c:pt idx="967">
                  <c:v>1598.7</c:v>
                </c:pt>
                <c:pt idx="968">
                  <c:v>1599.13</c:v>
                </c:pt>
                <c:pt idx="969">
                  <c:v>1599.95</c:v>
                </c:pt>
                <c:pt idx="970">
                  <c:v>1602.2</c:v>
                </c:pt>
                <c:pt idx="971">
                  <c:v>1610.73</c:v>
                </c:pt>
                <c:pt idx="972">
                  <c:v>1617.51</c:v>
                </c:pt>
                <c:pt idx="973">
                  <c:v>1623.21</c:v>
                </c:pt>
                <c:pt idx="974">
                  <c:v>1630.69</c:v>
                </c:pt>
                <c:pt idx="975">
                  <c:v>1643.06</c:v>
                </c:pt>
                <c:pt idx="976">
                  <c:v>1653.31</c:v>
                </c:pt>
                <c:pt idx="977">
                  <c:v>1664.28</c:v>
                </c:pt>
                <c:pt idx="978">
                  <c:v>1664.64</c:v>
                </c:pt>
                <c:pt idx="979">
                  <c:v>1667.79</c:v>
                </c:pt>
                <c:pt idx="980">
                  <c:v>1671.39</c:v>
                </c:pt>
                <c:pt idx="981">
                  <c:v>1678.5</c:v>
                </c:pt>
                <c:pt idx="982">
                  <c:v>1684.67</c:v>
                </c:pt>
                <c:pt idx="983">
                  <c:v>1690.84</c:v>
                </c:pt>
                <c:pt idx="984">
                  <c:v>1695.7</c:v>
                </c:pt>
                <c:pt idx="985">
                  <c:v>1701.2</c:v>
                </c:pt>
                <c:pt idx="986">
                  <c:v>1707.08</c:v>
                </c:pt>
                <c:pt idx="987">
                  <c:v>1711.82</c:v>
                </c:pt>
                <c:pt idx="988">
                  <c:v>1716.93</c:v>
                </c:pt>
                <c:pt idx="989">
                  <c:v>1721.72</c:v>
                </c:pt>
                <c:pt idx="990">
                  <c:v>1730.86</c:v>
                </c:pt>
                <c:pt idx="991">
                  <c:v>1733.17</c:v>
                </c:pt>
                <c:pt idx="992">
                  <c:v>1739.99</c:v>
                </c:pt>
                <c:pt idx="993">
                  <c:v>1749.97</c:v>
                </c:pt>
                <c:pt idx="994">
                  <c:v>1756.56</c:v>
                </c:pt>
                <c:pt idx="995">
                  <c:v>1760.61</c:v>
                </c:pt>
                <c:pt idx="996">
                  <c:v>1764.64</c:v>
                </c:pt>
                <c:pt idx="997">
                  <c:v>1770.78</c:v>
                </c:pt>
                <c:pt idx="998">
                  <c:v>1776.6</c:v>
                </c:pt>
                <c:pt idx="999">
                  <c:v>1786.63</c:v>
                </c:pt>
                <c:pt idx="1000">
                  <c:v>1792.83</c:v>
                </c:pt>
                <c:pt idx="1001">
                  <c:v>1796.23</c:v>
                </c:pt>
                <c:pt idx="1002">
                  <c:v>1804.14</c:v>
                </c:pt>
                <c:pt idx="1003">
                  <c:v>1808.15</c:v>
                </c:pt>
                <c:pt idx="1004">
                  <c:v>1812.16</c:v>
                </c:pt>
                <c:pt idx="1005">
                  <c:v>1821.17</c:v>
                </c:pt>
                <c:pt idx="1006">
                  <c:v>1831.95</c:v>
                </c:pt>
                <c:pt idx="1007">
                  <c:v>1832.95</c:v>
                </c:pt>
                <c:pt idx="1008">
                  <c:v>1834.63</c:v>
                </c:pt>
                <c:pt idx="1009">
                  <c:v>1841.39</c:v>
                </c:pt>
                <c:pt idx="1010">
                  <c:v>1846.27</c:v>
                </c:pt>
                <c:pt idx="1011">
                  <c:v>1852.56</c:v>
                </c:pt>
                <c:pt idx="1012">
                  <c:v>1859.45</c:v>
                </c:pt>
                <c:pt idx="1013">
                  <c:v>1868.7</c:v>
                </c:pt>
                <c:pt idx="1014">
                  <c:v>1869.82</c:v>
                </c:pt>
                <c:pt idx="1015">
                  <c:v>1876.04</c:v>
                </c:pt>
                <c:pt idx="1016">
                  <c:v>1876.54</c:v>
                </c:pt>
                <c:pt idx="1017">
                  <c:v>1879.72</c:v>
                </c:pt>
                <c:pt idx="1018">
                  <c:v>1888.79</c:v>
                </c:pt>
                <c:pt idx="1019">
                  <c:v>1891.73</c:v>
                </c:pt>
                <c:pt idx="1020">
                  <c:v>1902.64</c:v>
                </c:pt>
                <c:pt idx="1021">
                  <c:v>1910.5</c:v>
                </c:pt>
                <c:pt idx="1022">
                  <c:v>1920.97</c:v>
                </c:pt>
                <c:pt idx="1023">
                  <c:v>1937.08</c:v>
                </c:pt>
                <c:pt idx="1024">
                  <c:v>1938.49</c:v>
                </c:pt>
                <c:pt idx="1025">
                  <c:v>1940.85</c:v>
                </c:pt>
                <c:pt idx="1026">
                  <c:v>1945.51</c:v>
                </c:pt>
                <c:pt idx="1027">
                  <c:v>1950.6</c:v>
                </c:pt>
                <c:pt idx="1028">
                  <c:v>1959.1</c:v>
                </c:pt>
                <c:pt idx="1029">
                  <c:v>1968.15</c:v>
                </c:pt>
                <c:pt idx="1030">
                  <c:v>1970.56</c:v>
                </c:pt>
                <c:pt idx="1031">
                  <c:v>1981.68</c:v>
                </c:pt>
                <c:pt idx="1032">
                  <c:v>1986.8</c:v>
                </c:pt>
                <c:pt idx="1033">
                  <c:v>1999.55</c:v>
                </c:pt>
                <c:pt idx="1034">
                  <c:v>2005.34</c:v>
                </c:pt>
                <c:pt idx="1035">
                  <c:v>2009.87</c:v>
                </c:pt>
                <c:pt idx="1036">
                  <c:v>2014.8</c:v>
                </c:pt>
                <c:pt idx="1037">
                  <c:v>2023.14</c:v>
                </c:pt>
                <c:pt idx="1038">
                  <c:v>2042.91</c:v>
                </c:pt>
                <c:pt idx="1039">
                  <c:v>2048.92</c:v>
                </c:pt>
                <c:pt idx="1040">
                  <c:v>2053.1</c:v>
                </c:pt>
                <c:pt idx="1041">
                  <c:v>2062.1</c:v>
                </c:pt>
                <c:pt idx="1042">
                  <c:v>2069.85</c:v>
                </c:pt>
                <c:pt idx="1043">
                  <c:v>2071.9899999999998</c:v>
                </c:pt>
                <c:pt idx="1044">
                  <c:v>2072.83</c:v>
                </c:pt>
                <c:pt idx="1045">
                  <c:v>2075.71</c:v>
                </c:pt>
                <c:pt idx="1046">
                  <c:v>2080.89</c:v>
                </c:pt>
                <c:pt idx="1047">
                  <c:v>2086.13</c:v>
                </c:pt>
                <c:pt idx="1048">
                  <c:v>2086.92</c:v>
                </c:pt>
                <c:pt idx="1049">
                  <c:v>2091.37</c:v>
                </c:pt>
                <c:pt idx="1050">
                  <c:v>2092.1</c:v>
                </c:pt>
                <c:pt idx="1051">
                  <c:v>2094.4299999999998</c:v>
                </c:pt>
                <c:pt idx="1052">
                  <c:v>2097.09</c:v>
                </c:pt>
                <c:pt idx="1053">
                  <c:v>2098.54</c:v>
                </c:pt>
                <c:pt idx="1054">
                  <c:v>2101.7199999999998</c:v>
                </c:pt>
                <c:pt idx="1055">
                  <c:v>2116.19</c:v>
                </c:pt>
                <c:pt idx="1056">
                  <c:v>2124.7399999999998</c:v>
                </c:pt>
                <c:pt idx="1057">
                  <c:v>2125.85</c:v>
                </c:pt>
                <c:pt idx="1058">
                  <c:v>2136.1999999999998</c:v>
                </c:pt>
                <c:pt idx="1059">
                  <c:v>2133.5500000000002</c:v>
                </c:pt>
                <c:pt idx="1060">
                  <c:v>2130.9499999999998</c:v>
                </c:pt>
                <c:pt idx="1061">
                  <c:v>2133.5100000000002</c:v>
                </c:pt>
                <c:pt idx="1062">
                  <c:v>2137.02</c:v>
                </c:pt>
                <c:pt idx="1063">
                  <c:v>2137.36</c:v>
                </c:pt>
                <c:pt idx="1064">
                  <c:v>2139.36</c:v>
                </c:pt>
                <c:pt idx="1065">
                  <c:v>2140.7199999999998</c:v>
                </c:pt>
                <c:pt idx="1066">
                  <c:v>2143.83</c:v>
                </c:pt>
                <c:pt idx="1067">
                  <c:v>2150.67</c:v>
                </c:pt>
                <c:pt idx="1068">
                  <c:v>2155.9</c:v>
                </c:pt>
                <c:pt idx="1069">
                  <c:v>2160.21</c:v>
                </c:pt>
                <c:pt idx="1070">
                  <c:v>2160.87</c:v>
                </c:pt>
                <c:pt idx="1071">
                  <c:v>2161.21</c:v>
                </c:pt>
                <c:pt idx="1072">
                  <c:v>2161.21</c:v>
                </c:pt>
                <c:pt idx="1073">
                  <c:v>2161.31</c:v>
                </c:pt>
                <c:pt idx="1074">
                  <c:v>2161.31</c:v>
                </c:pt>
                <c:pt idx="1075">
                  <c:v>2161.3200000000002</c:v>
                </c:pt>
                <c:pt idx="1076">
                  <c:v>2161.3200000000002</c:v>
                </c:pt>
                <c:pt idx="1077">
                  <c:v>2161.5700000000002</c:v>
                </c:pt>
                <c:pt idx="1078">
                  <c:v>2161.5700000000002</c:v>
                </c:pt>
                <c:pt idx="1079">
                  <c:v>2161.4</c:v>
                </c:pt>
                <c:pt idx="1080">
                  <c:v>2161.4</c:v>
                </c:pt>
                <c:pt idx="1081">
                  <c:v>2161.41</c:v>
                </c:pt>
                <c:pt idx="1082">
                  <c:v>2161.48</c:v>
                </c:pt>
                <c:pt idx="1083">
                  <c:v>2161.56</c:v>
                </c:pt>
                <c:pt idx="1084">
                  <c:v>2161.5500000000002</c:v>
                </c:pt>
                <c:pt idx="1085">
                  <c:v>2161.5500000000002</c:v>
                </c:pt>
                <c:pt idx="1086">
                  <c:v>2161.54</c:v>
                </c:pt>
                <c:pt idx="1087">
                  <c:v>2161.52</c:v>
                </c:pt>
                <c:pt idx="1088">
                  <c:v>2161.21</c:v>
                </c:pt>
                <c:pt idx="1089">
                  <c:v>2161.16</c:v>
                </c:pt>
                <c:pt idx="1090">
                  <c:v>2161.09</c:v>
                </c:pt>
                <c:pt idx="1091">
                  <c:v>2161.08</c:v>
                </c:pt>
                <c:pt idx="1092">
                  <c:v>2160.65</c:v>
                </c:pt>
              </c:numCache>
            </c:numRef>
          </c:xVal>
          <c:yVal>
            <c:numRef>
              <c:f>'R Semanal'!$AK$2:$AK$1503</c:f>
              <c:numCache>
                <c:formatCode>0\+000.00</c:formatCode>
                <c:ptCount val="1502"/>
                <c:pt idx="0">
                  <c:v>-148.11000000000001</c:v>
                </c:pt>
                <c:pt idx="1">
                  <c:v>-144.1</c:v>
                </c:pt>
                <c:pt idx="2">
                  <c:v>-137.4</c:v>
                </c:pt>
                <c:pt idx="3">
                  <c:v>-127.17</c:v>
                </c:pt>
                <c:pt idx="4">
                  <c:v>-117.2</c:v>
                </c:pt>
                <c:pt idx="5">
                  <c:v>-108.66</c:v>
                </c:pt>
                <c:pt idx="6">
                  <c:v>-104.58</c:v>
                </c:pt>
                <c:pt idx="7">
                  <c:v>-100.41</c:v>
                </c:pt>
                <c:pt idx="8">
                  <c:v>-92.26</c:v>
                </c:pt>
                <c:pt idx="9">
                  <c:v>-90.25</c:v>
                </c:pt>
                <c:pt idx="10">
                  <c:v>-83.94</c:v>
                </c:pt>
                <c:pt idx="11">
                  <c:v>-75.34</c:v>
                </c:pt>
                <c:pt idx="12">
                  <c:v>-67.16</c:v>
                </c:pt>
                <c:pt idx="13">
                  <c:v>-61.28</c:v>
                </c:pt>
                <c:pt idx="14">
                  <c:v>-51.81</c:v>
                </c:pt>
                <c:pt idx="15">
                  <c:v>-49.53</c:v>
                </c:pt>
                <c:pt idx="16">
                  <c:v>-40.630000000000003</c:v>
                </c:pt>
                <c:pt idx="17">
                  <c:v>-31.94</c:v>
                </c:pt>
                <c:pt idx="18">
                  <c:v>-25.57</c:v>
                </c:pt>
                <c:pt idx="19">
                  <c:v>-16.77</c:v>
                </c:pt>
                <c:pt idx="20">
                  <c:v>-10.98</c:v>
                </c:pt>
                <c:pt idx="21">
                  <c:v>-3.08</c:v>
                </c:pt>
                <c:pt idx="22">
                  <c:v>4.38</c:v>
                </c:pt>
                <c:pt idx="23">
                  <c:v>10.09</c:v>
                </c:pt>
                <c:pt idx="24">
                  <c:v>15.63</c:v>
                </c:pt>
                <c:pt idx="25">
                  <c:v>20.87</c:v>
                </c:pt>
                <c:pt idx="26">
                  <c:v>25.86</c:v>
                </c:pt>
                <c:pt idx="27">
                  <c:v>30.95</c:v>
                </c:pt>
                <c:pt idx="28">
                  <c:v>35.85</c:v>
                </c:pt>
                <c:pt idx="29">
                  <c:v>41.31</c:v>
                </c:pt>
                <c:pt idx="30">
                  <c:v>51.12</c:v>
                </c:pt>
                <c:pt idx="31">
                  <c:v>60.03</c:v>
                </c:pt>
                <c:pt idx="32">
                  <c:v>68.67</c:v>
                </c:pt>
                <c:pt idx="33">
                  <c:v>80.58</c:v>
                </c:pt>
                <c:pt idx="34">
                  <c:v>89.67</c:v>
                </c:pt>
                <c:pt idx="35">
                  <c:v>95.49</c:v>
                </c:pt>
                <c:pt idx="36">
                  <c:v>102.78</c:v>
                </c:pt>
                <c:pt idx="37">
                  <c:v>105.5</c:v>
                </c:pt>
                <c:pt idx="38">
                  <c:v>109.94</c:v>
                </c:pt>
                <c:pt idx="39">
                  <c:v>113.69</c:v>
                </c:pt>
                <c:pt idx="40">
                  <c:v>114.84</c:v>
                </c:pt>
                <c:pt idx="41">
                  <c:v>114.85</c:v>
                </c:pt>
                <c:pt idx="42">
                  <c:v>117.48</c:v>
                </c:pt>
                <c:pt idx="43">
                  <c:v>122.48</c:v>
                </c:pt>
                <c:pt idx="44">
                  <c:v>125.43</c:v>
                </c:pt>
                <c:pt idx="45">
                  <c:v>126.56</c:v>
                </c:pt>
                <c:pt idx="46">
                  <c:v>130.85</c:v>
                </c:pt>
                <c:pt idx="47">
                  <c:v>130.85</c:v>
                </c:pt>
                <c:pt idx="48">
                  <c:v>131.99</c:v>
                </c:pt>
                <c:pt idx="49">
                  <c:v>137.57</c:v>
                </c:pt>
                <c:pt idx="50">
                  <c:v>145.25</c:v>
                </c:pt>
                <c:pt idx="51">
                  <c:v>157.15</c:v>
                </c:pt>
                <c:pt idx="52">
                  <c:v>158.57</c:v>
                </c:pt>
                <c:pt idx="53">
                  <c:v>163.53</c:v>
                </c:pt>
                <c:pt idx="54">
                  <c:v>168.84</c:v>
                </c:pt>
                <c:pt idx="55">
                  <c:v>174</c:v>
                </c:pt>
                <c:pt idx="56">
                  <c:v>179.52</c:v>
                </c:pt>
                <c:pt idx="57">
                  <c:v>189.52</c:v>
                </c:pt>
                <c:pt idx="58">
                  <c:v>192.71</c:v>
                </c:pt>
                <c:pt idx="59">
                  <c:v>197.79</c:v>
                </c:pt>
                <c:pt idx="60">
                  <c:v>202.73</c:v>
                </c:pt>
                <c:pt idx="61">
                  <c:v>207.76</c:v>
                </c:pt>
                <c:pt idx="62">
                  <c:v>214.32</c:v>
                </c:pt>
                <c:pt idx="63">
                  <c:v>220.62</c:v>
                </c:pt>
                <c:pt idx="64">
                  <c:v>224.69</c:v>
                </c:pt>
                <c:pt idx="65">
                  <c:v>228.76</c:v>
                </c:pt>
                <c:pt idx="66">
                  <c:v>235.49</c:v>
                </c:pt>
                <c:pt idx="67">
                  <c:v>239.84</c:v>
                </c:pt>
                <c:pt idx="68">
                  <c:v>244.2</c:v>
                </c:pt>
                <c:pt idx="69">
                  <c:v>251.7</c:v>
                </c:pt>
                <c:pt idx="70">
                  <c:v>262.91000000000003</c:v>
                </c:pt>
                <c:pt idx="71">
                  <c:v>269.81</c:v>
                </c:pt>
                <c:pt idx="72">
                  <c:v>266.3</c:v>
                </c:pt>
                <c:pt idx="73">
                  <c:v>271.51</c:v>
                </c:pt>
                <c:pt idx="74">
                  <c:v>279.24</c:v>
                </c:pt>
                <c:pt idx="75">
                  <c:v>291.01</c:v>
                </c:pt>
                <c:pt idx="76">
                  <c:v>298.27999999999997</c:v>
                </c:pt>
                <c:pt idx="77">
                  <c:v>303.85000000000002</c:v>
                </c:pt>
                <c:pt idx="78">
                  <c:v>309.42</c:v>
                </c:pt>
                <c:pt idx="79">
                  <c:v>312.77</c:v>
                </c:pt>
                <c:pt idx="80">
                  <c:v>316.12</c:v>
                </c:pt>
                <c:pt idx="81">
                  <c:v>320.05</c:v>
                </c:pt>
                <c:pt idx="82">
                  <c:v>320.12</c:v>
                </c:pt>
                <c:pt idx="83">
                  <c:v>319.08</c:v>
                </c:pt>
                <c:pt idx="84">
                  <c:v>320.91000000000003</c:v>
                </c:pt>
                <c:pt idx="85">
                  <c:v>322.70999999999998</c:v>
                </c:pt>
                <c:pt idx="86">
                  <c:v>324.51</c:v>
                </c:pt>
                <c:pt idx="87">
                  <c:v>328.6</c:v>
                </c:pt>
                <c:pt idx="88">
                  <c:v>329.62</c:v>
                </c:pt>
                <c:pt idx="89">
                  <c:v>329.69</c:v>
                </c:pt>
                <c:pt idx="90">
                  <c:v>329.69</c:v>
                </c:pt>
                <c:pt idx="91">
                  <c:v>329.76</c:v>
                </c:pt>
                <c:pt idx="92">
                  <c:v>329.47</c:v>
                </c:pt>
                <c:pt idx="93">
                  <c:v>329.19</c:v>
                </c:pt>
                <c:pt idx="94">
                  <c:v>328.66</c:v>
                </c:pt>
                <c:pt idx="95">
                  <c:v>328.13</c:v>
                </c:pt>
                <c:pt idx="96">
                  <c:v>328.98</c:v>
                </c:pt>
                <c:pt idx="97">
                  <c:v>332.32</c:v>
                </c:pt>
                <c:pt idx="98">
                  <c:v>335.67</c:v>
                </c:pt>
                <c:pt idx="99">
                  <c:v>338.85</c:v>
                </c:pt>
                <c:pt idx="100">
                  <c:v>342.02</c:v>
                </c:pt>
                <c:pt idx="101">
                  <c:v>349.02</c:v>
                </c:pt>
                <c:pt idx="102">
                  <c:v>354.08</c:v>
                </c:pt>
                <c:pt idx="103">
                  <c:v>358.59</c:v>
                </c:pt>
                <c:pt idx="104">
                  <c:v>363.1</c:v>
                </c:pt>
                <c:pt idx="105">
                  <c:v>367.5</c:v>
                </c:pt>
                <c:pt idx="106">
                  <c:v>375.47</c:v>
                </c:pt>
                <c:pt idx="107">
                  <c:v>380.67</c:v>
                </c:pt>
                <c:pt idx="108">
                  <c:v>385.41</c:v>
                </c:pt>
                <c:pt idx="109">
                  <c:v>386.23</c:v>
                </c:pt>
                <c:pt idx="110">
                  <c:v>386.44</c:v>
                </c:pt>
                <c:pt idx="111">
                  <c:v>388.19</c:v>
                </c:pt>
                <c:pt idx="112">
                  <c:v>395.93</c:v>
                </c:pt>
                <c:pt idx="113">
                  <c:v>401.05</c:v>
                </c:pt>
                <c:pt idx="114">
                  <c:v>401.69</c:v>
                </c:pt>
                <c:pt idx="115">
                  <c:v>403.89</c:v>
                </c:pt>
                <c:pt idx="116">
                  <c:v>406.61</c:v>
                </c:pt>
                <c:pt idx="117">
                  <c:v>407.92</c:v>
                </c:pt>
                <c:pt idx="118">
                  <c:v>409.22</c:v>
                </c:pt>
                <c:pt idx="119">
                  <c:v>413.27</c:v>
                </c:pt>
                <c:pt idx="120">
                  <c:v>416.05</c:v>
                </c:pt>
                <c:pt idx="121">
                  <c:v>416.05</c:v>
                </c:pt>
                <c:pt idx="122">
                  <c:v>419.04</c:v>
                </c:pt>
                <c:pt idx="123">
                  <c:v>420.1</c:v>
                </c:pt>
                <c:pt idx="124">
                  <c:v>420.72</c:v>
                </c:pt>
                <c:pt idx="125">
                  <c:v>423.38</c:v>
                </c:pt>
                <c:pt idx="126">
                  <c:v>423.5</c:v>
                </c:pt>
                <c:pt idx="127">
                  <c:v>425.63</c:v>
                </c:pt>
                <c:pt idx="128">
                  <c:v>432.85</c:v>
                </c:pt>
                <c:pt idx="129">
                  <c:v>437.55</c:v>
                </c:pt>
                <c:pt idx="130">
                  <c:v>439.72</c:v>
                </c:pt>
                <c:pt idx="131">
                  <c:v>446.78</c:v>
                </c:pt>
                <c:pt idx="132">
                  <c:v>448.71</c:v>
                </c:pt>
                <c:pt idx="133">
                  <c:v>450.4</c:v>
                </c:pt>
                <c:pt idx="134">
                  <c:v>451.08</c:v>
                </c:pt>
                <c:pt idx="135">
                  <c:v>453.4</c:v>
                </c:pt>
                <c:pt idx="136">
                  <c:v>453.61</c:v>
                </c:pt>
                <c:pt idx="137">
                  <c:v>451.13</c:v>
                </c:pt>
                <c:pt idx="138">
                  <c:v>446.09</c:v>
                </c:pt>
                <c:pt idx="139">
                  <c:v>439.15</c:v>
                </c:pt>
                <c:pt idx="140">
                  <c:v>434.72</c:v>
                </c:pt>
                <c:pt idx="141">
                  <c:v>430.72</c:v>
                </c:pt>
                <c:pt idx="142">
                  <c:v>418.7</c:v>
                </c:pt>
                <c:pt idx="143">
                  <c:v>417.39</c:v>
                </c:pt>
                <c:pt idx="144">
                  <c:v>418.75</c:v>
                </c:pt>
                <c:pt idx="145">
                  <c:v>421.72</c:v>
                </c:pt>
                <c:pt idx="146">
                  <c:v>429.18</c:v>
                </c:pt>
                <c:pt idx="147">
                  <c:v>438.22</c:v>
                </c:pt>
                <c:pt idx="148">
                  <c:v>442.44</c:v>
                </c:pt>
                <c:pt idx="149">
                  <c:v>449.78</c:v>
                </c:pt>
                <c:pt idx="150">
                  <c:v>449.52</c:v>
                </c:pt>
                <c:pt idx="151">
                  <c:v>449.4</c:v>
                </c:pt>
                <c:pt idx="152">
                  <c:v>453.02</c:v>
                </c:pt>
                <c:pt idx="153">
                  <c:v>447.54</c:v>
                </c:pt>
                <c:pt idx="154">
                  <c:v>447.99</c:v>
                </c:pt>
                <c:pt idx="155">
                  <c:v>449.02</c:v>
                </c:pt>
                <c:pt idx="156">
                  <c:v>449.63</c:v>
                </c:pt>
                <c:pt idx="157">
                  <c:v>454.97</c:v>
                </c:pt>
                <c:pt idx="158">
                  <c:v>457.62</c:v>
                </c:pt>
                <c:pt idx="159">
                  <c:v>461.42</c:v>
                </c:pt>
                <c:pt idx="160">
                  <c:v>465.32</c:v>
                </c:pt>
                <c:pt idx="161">
                  <c:v>472.14</c:v>
                </c:pt>
                <c:pt idx="162">
                  <c:v>474.52</c:v>
                </c:pt>
                <c:pt idx="163">
                  <c:v>474.81</c:v>
                </c:pt>
                <c:pt idx="164">
                  <c:v>475.68</c:v>
                </c:pt>
                <c:pt idx="165">
                  <c:v>476.08</c:v>
                </c:pt>
                <c:pt idx="166">
                  <c:v>476.48</c:v>
                </c:pt>
                <c:pt idx="167">
                  <c:v>476.99</c:v>
                </c:pt>
                <c:pt idx="168">
                  <c:v>477.49</c:v>
                </c:pt>
                <c:pt idx="169">
                  <c:v>479.17</c:v>
                </c:pt>
                <c:pt idx="170">
                  <c:v>479.77</c:v>
                </c:pt>
                <c:pt idx="171">
                  <c:v>481.69</c:v>
                </c:pt>
                <c:pt idx="172">
                  <c:v>483.77</c:v>
                </c:pt>
                <c:pt idx="173">
                  <c:v>484.07</c:v>
                </c:pt>
                <c:pt idx="174">
                  <c:v>488.22</c:v>
                </c:pt>
                <c:pt idx="175">
                  <c:v>495.55</c:v>
                </c:pt>
                <c:pt idx="176">
                  <c:v>497.52</c:v>
                </c:pt>
                <c:pt idx="177">
                  <c:v>503.06</c:v>
                </c:pt>
                <c:pt idx="178">
                  <c:v>511.68</c:v>
                </c:pt>
                <c:pt idx="179">
                  <c:v>517.46</c:v>
                </c:pt>
                <c:pt idx="180">
                  <c:v>525.42999999999995</c:v>
                </c:pt>
                <c:pt idx="181">
                  <c:v>530.36</c:v>
                </c:pt>
                <c:pt idx="182">
                  <c:v>536.83000000000004</c:v>
                </c:pt>
                <c:pt idx="183">
                  <c:v>544.79</c:v>
                </c:pt>
                <c:pt idx="184">
                  <c:v>551.97</c:v>
                </c:pt>
                <c:pt idx="185">
                  <c:v>560.37</c:v>
                </c:pt>
                <c:pt idx="186">
                  <c:v>570.64</c:v>
                </c:pt>
                <c:pt idx="187">
                  <c:v>578.97</c:v>
                </c:pt>
                <c:pt idx="188">
                  <c:v>581.04999999999995</c:v>
                </c:pt>
                <c:pt idx="189">
                  <c:v>590.33000000000004</c:v>
                </c:pt>
                <c:pt idx="190">
                  <c:v>596.86</c:v>
                </c:pt>
                <c:pt idx="191">
                  <c:v>599.23</c:v>
                </c:pt>
                <c:pt idx="192">
                  <c:v>599.79999999999995</c:v>
                </c:pt>
                <c:pt idx="193">
                  <c:v>600.55999999999995</c:v>
                </c:pt>
                <c:pt idx="194">
                  <c:v>608.41</c:v>
                </c:pt>
                <c:pt idx="195">
                  <c:v>614.21</c:v>
                </c:pt>
                <c:pt idx="196">
                  <c:v>619.84</c:v>
                </c:pt>
                <c:pt idx="197">
                  <c:v>624.89</c:v>
                </c:pt>
                <c:pt idx="198">
                  <c:v>633.83000000000004</c:v>
                </c:pt>
                <c:pt idx="199">
                  <c:v>635.65</c:v>
                </c:pt>
                <c:pt idx="200">
                  <c:v>642.33000000000004</c:v>
                </c:pt>
                <c:pt idx="201">
                  <c:v>647.07000000000005</c:v>
                </c:pt>
                <c:pt idx="202">
                  <c:v>656.6</c:v>
                </c:pt>
                <c:pt idx="203">
                  <c:v>663.4</c:v>
                </c:pt>
                <c:pt idx="204">
                  <c:v>666</c:v>
                </c:pt>
                <c:pt idx="205">
                  <c:v>667.25</c:v>
                </c:pt>
                <c:pt idx="206">
                  <c:v>671.61</c:v>
                </c:pt>
                <c:pt idx="207">
                  <c:v>680.43</c:v>
                </c:pt>
                <c:pt idx="208">
                  <c:v>684.76</c:v>
                </c:pt>
                <c:pt idx="209">
                  <c:v>687.72</c:v>
                </c:pt>
                <c:pt idx="210">
                  <c:v>695.38</c:v>
                </c:pt>
                <c:pt idx="211">
                  <c:v>696.91</c:v>
                </c:pt>
                <c:pt idx="212">
                  <c:v>704.51</c:v>
                </c:pt>
                <c:pt idx="213">
                  <c:v>705.1</c:v>
                </c:pt>
                <c:pt idx="214">
                  <c:v>709.49</c:v>
                </c:pt>
                <c:pt idx="215">
                  <c:v>727.9</c:v>
                </c:pt>
                <c:pt idx="216">
                  <c:v>729.42</c:v>
                </c:pt>
                <c:pt idx="217">
                  <c:v>737.5</c:v>
                </c:pt>
                <c:pt idx="218">
                  <c:v>746.13</c:v>
                </c:pt>
                <c:pt idx="219">
                  <c:v>749.16</c:v>
                </c:pt>
                <c:pt idx="220">
                  <c:v>754.39</c:v>
                </c:pt>
                <c:pt idx="221">
                  <c:v>760.06</c:v>
                </c:pt>
                <c:pt idx="222">
                  <c:v>765.48</c:v>
                </c:pt>
                <c:pt idx="223">
                  <c:v>774.46</c:v>
                </c:pt>
                <c:pt idx="224">
                  <c:v>777.65</c:v>
                </c:pt>
                <c:pt idx="225">
                  <c:v>787.11</c:v>
                </c:pt>
                <c:pt idx="226">
                  <c:v>792.45</c:v>
                </c:pt>
                <c:pt idx="227">
                  <c:v>800.2</c:v>
                </c:pt>
                <c:pt idx="228">
                  <c:v>805.54</c:v>
                </c:pt>
                <c:pt idx="229">
                  <c:v>808.47</c:v>
                </c:pt>
                <c:pt idx="230">
                  <c:v>809.58</c:v>
                </c:pt>
                <c:pt idx="231">
                  <c:v>809.75</c:v>
                </c:pt>
                <c:pt idx="232">
                  <c:v>809.45</c:v>
                </c:pt>
                <c:pt idx="233">
                  <c:v>805.87</c:v>
                </c:pt>
                <c:pt idx="234">
                  <c:v>808.24</c:v>
                </c:pt>
                <c:pt idx="235">
                  <c:v>813.31</c:v>
                </c:pt>
                <c:pt idx="236">
                  <c:v>814.25</c:v>
                </c:pt>
                <c:pt idx="237">
                  <c:v>816.69</c:v>
                </c:pt>
                <c:pt idx="238">
                  <c:v>820.78</c:v>
                </c:pt>
                <c:pt idx="239">
                  <c:v>822.98</c:v>
                </c:pt>
                <c:pt idx="240">
                  <c:v>825.69</c:v>
                </c:pt>
                <c:pt idx="241">
                  <c:v>829.66</c:v>
                </c:pt>
                <c:pt idx="242">
                  <c:v>833.13</c:v>
                </c:pt>
                <c:pt idx="243">
                  <c:v>837.72</c:v>
                </c:pt>
                <c:pt idx="244">
                  <c:v>842.1</c:v>
                </c:pt>
                <c:pt idx="245">
                  <c:v>846.24</c:v>
                </c:pt>
                <c:pt idx="246">
                  <c:v>850.41</c:v>
                </c:pt>
                <c:pt idx="247">
                  <c:v>854.5</c:v>
                </c:pt>
                <c:pt idx="248">
                  <c:v>859.19</c:v>
                </c:pt>
                <c:pt idx="249">
                  <c:v>861.87</c:v>
                </c:pt>
                <c:pt idx="250">
                  <c:v>869.27</c:v>
                </c:pt>
                <c:pt idx="251">
                  <c:v>873.17</c:v>
                </c:pt>
                <c:pt idx="252">
                  <c:v>879.46</c:v>
                </c:pt>
                <c:pt idx="253">
                  <c:v>884.29</c:v>
                </c:pt>
                <c:pt idx="254">
                  <c:v>887.04</c:v>
                </c:pt>
                <c:pt idx="255">
                  <c:v>890.14</c:v>
                </c:pt>
                <c:pt idx="256">
                  <c:v>891.21</c:v>
                </c:pt>
                <c:pt idx="257">
                  <c:v>900.72</c:v>
                </c:pt>
                <c:pt idx="258">
                  <c:v>902.04</c:v>
                </c:pt>
                <c:pt idx="259">
                  <c:v>904.6</c:v>
                </c:pt>
                <c:pt idx="260">
                  <c:v>907.31</c:v>
                </c:pt>
                <c:pt idx="261">
                  <c:v>911.4</c:v>
                </c:pt>
                <c:pt idx="262">
                  <c:v>920.6</c:v>
                </c:pt>
                <c:pt idx="263">
                  <c:v>929.89</c:v>
                </c:pt>
                <c:pt idx="264">
                  <c:v>934.87</c:v>
                </c:pt>
                <c:pt idx="265">
                  <c:v>939.84</c:v>
                </c:pt>
                <c:pt idx="266">
                  <c:v>947.84</c:v>
                </c:pt>
                <c:pt idx="267">
                  <c:v>953.09</c:v>
                </c:pt>
                <c:pt idx="268">
                  <c:v>958.34</c:v>
                </c:pt>
                <c:pt idx="269">
                  <c:v>959.69</c:v>
                </c:pt>
                <c:pt idx="270">
                  <c:v>958.14</c:v>
                </c:pt>
                <c:pt idx="271">
                  <c:v>960.48</c:v>
                </c:pt>
                <c:pt idx="272">
                  <c:v>963.13</c:v>
                </c:pt>
                <c:pt idx="273">
                  <c:v>963.64</c:v>
                </c:pt>
                <c:pt idx="274">
                  <c:v>967.63</c:v>
                </c:pt>
                <c:pt idx="275">
                  <c:v>968.49</c:v>
                </c:pt>
                <c:pt idx="276">
                  <c:v>972.57</c:v>
                </c:pt>
                <c:pt idx="277">
                  <c:v>977.9</c:v>
                </c:pt>
                <c:pt idx="278">
                  <c:v>982.4</c:v>
                </c:pt>
                <c:pt idx="279">
                  <c:v>985.58</c:v>
                </c:pt>
                <c:pt idx="280">
                  <c:v>994.36</c:v>
                </c:pt>
                <c:pt idx="281">
                  <c:v>995.97</c:v>
                </c:pt>
                <c:pt idx="282">
                  <c:v>998.91</c:v>
                </c:pt>
                <c:pt idx="283">
                  <c:v>1002.34</c:v>
                </c:pt>
                <c:pt idx="284">
                  <c:v>1008.67</c:v>
                </c:pt>
                <c:pt idx="285">
                  <c:v>1009.58</c:v>
                </c:pt>
                <c:pt idx="286">
                  <c:v>1014.29</c:v>
                </c:pt>
                <c:pt idx="287">
                  <c:v>1017.92</c:v>
                </c:pt>
                <c:pt idx="288">
                  <c:v>1019.19</c:v>
                </c:pt>
                <c:pt idx="289">
                  <c:v>1011.7</c:v>
                </c:pt>
                <c:pt idx="290">
                  <c:v>1007.13</c:v>
                </c:pt>
                <c:pt idx="291">
                  <c:v>999.1</c:v>
                </c:pt>
                <c:pt idx="292">
                  <c:v>991.17</c:v>
                </c:pt>
                <c:pt idx="293">
                  <c:v>985.23</c:v>
                </c:pt>
                <c:pt idx="294">
                  <c:v>978.39</c:v>
                </c:pt>
                <c:pt idx="295">
                  <c:v>971.43</c:v>
                </c:pt>
                <c:pt idx="296">
                  <c:v>962.37</c:v>
                </c:pt>
                <c:pt idx="297">
                  <c:v>963.49</c:v>
                </c:pt>
                <c:pt idx="298">
                  <c:v>964.61</c:v>
                </c:pt>
                <c:pt idx="299">
                  <c:v>971.66</c:v>
                </c:pt>
                <c:pt idx="300">
                  <c:v>973.51</c:v>
                </c:pt>
                <c:pt idx="301">
                  <c:v>983.65</c:v>
                </c:pt>
                <c:pt idx="302">
                  <c:v>989.86</c:v>
                </c:pt>
                <c:pt idx="303">
                  <c:v>995.33</c:v>
                </c:pt>
                <c:pt idx="304">
                  <c:v>1002.2</c:v>
                </c:pt>
                <c:pt idx="305">
                  <c:v>1003.78</c:v>
                </c:pt>
                <c:pt idx="306">
                  <c:v>1009.78</c:v>
                </c:pt>
                <c:pt idx="307">
                  <c:v>1013.25</c:v>
                </c:pt>
                <c:pt idx="308">
                  <c:v>1013.72</c:v>
                </c:pt>
                <c:pt idx="309">
                  <c:v>1017.98</c:v>
                </c:pt>
                <c:pt idx="310">
                  <c:v>1022.52</c:v>
                </c:pt>
                <c:pt idx="311">
                  <c:v>1022.25</c:v>
                </c:pt>
                <c:pt idx="312">
                  <c:v>1021.98</c:v>
                </c:pt>
                <c:pt idx="313">
                  <c:v>1018.07</c:v>
                </c:pt>
                <c:pt idx="314">
                  <c:v>1019.52</c:v>
                </c:pt>
                <c:pt idx="315">
                  <c:v>1022.41</c:v>
                </c:pt>
                <c:pt idx="316">
                  <c:v>1023.45</c:v>
                </c:pt>
                <c:pt idx="317">
                  <c:v>1024.74</c:v>
                </c:pt>
                <c:pt idx="318">
                  <c:v>1026.55</c:v>
                </c:pt>
                <c:pt idx="319">
                  <c:v>1027.95</c:v>
                </c:pt>
                <c:pt idx="320">
                  <c:v>1030.08</c:v>
                </c:pt>
                <c:pt idx="321">
                  <c:v>1032.57</c:v>
                </c:pt>
                <c:pt idx="322">
                  <c:v>1034.32</c:v>
                </c:pt>
                <c:pt idx="323">
                  <c:v>1035.8699999999999</c:v>
                </c:pt>
                <c:pt idx="324">
                  <c:v>1037.04</c:v>
                </c:pt>
                <c:pt idx="325">
                  <c:v>1036.93</c:v>
                </c:pt>
                <c:pt idx="326">
                  <c:v>1036.69</c:v>
                </c:pt>
                <c:pt idx="327">
                  <c:v>1036.02</c:v>
                </c:pt>
                <c:pt idx="328">
                  <c:v>1035.3399999999999</c:v>
                </c:pt>
                <c:pt idx="329">
                  <c:v>1034.92</c:v>
                </c:pt>
                <c:pt idx="330">
                  <c:v>1034.76</c:v>
                </c:pt>
                <c:pt idx="331">
                  <c:v>1034.92</c:v>
                </c:pt>
                <c:pt idx="332">
                  <c:v>1036.33</c:v>
                </c:pt>
                <c:pt idx="333">
                  <c:v>1036.4000000000001</c:v>
                </c:pt>
                <c:pt idx="334">
                  <c:v>1030.57</c:v>
                </c:pt>
                <c:pt idx="335">
                  <c:v>1029.6199999999999</c:v>
                </c:pt>
                <c:pt idx="336">
                  <c:v>1024.79</c:v>
                </c:pt>
                <c:pt idx="337">
                  <c:v>1025.31</c:v>
                </c:pt>
                <c:pt idx="338">
                  <c:v>1025.97</c:v>
                </c:pt>
                <c:pt idx="339">
                  <c:v>1027.3599999999999</c:v>
                </c:pt>
                <c:pt idx="340">
                  <c:v>1024.1300000000001</c:v>
                </c:pt>
                <c:pt idx="341">
                  <c:v>1020.31</c:v>
                </c:pt>
                <c:pt idx="342">
                  <c:v>1013.59</c:v>
                </c:pt>
                <c:pt idx="343">
                  <c:v>1009.08</c:v>
                </c:pt>
                <c:pt idx="344">
                  <c:v>1008.66</c:v>
                </c:pt>
                <c:pt idx="345">
                  <c:v>1008.24</c:v>
                </c:pt>
                <c:pt idx="346">
                  <c:v>1006.45</c:v>
                </c:pt>
                <c:pt idx="347">
                  <c:v>1004.63</c:v>
                </c:pt>
                <c:pt idx="348">
                  <c:v>1002.49</c:v>
                </c:pt>
                <c:pt idx="349">
                  <c:v>998.89</c:v>
                </c:pt>
                <c:pt idx="350">
                  <c:v>992.32</c:v>
                </c:pt>
                <c:pt idx="351">
                  <c:v>988.87</c:v>
                </c:pt>
                <c:pt idx="352">
                  <c:v>985.45</c:v>
                </c:pt>
                <c:pt idx="353">
                  <c:v>980.96</c:v>
                </c:pt>
                <c:pt idx="354">
                  <c:v>974.96</c:v>
                </c:pt>
                <c:pt idx="355">
                  <c:v>968.98</c:v>
                </c:pt>
                <c:pt idx="356">
                  <c:v>960.14</c:v>
                </c:pt>
                <c:pt idx="357">
                  <c:v>955.21</c:v>
                </c:pt>
                <c:pt idx="358">
                  <c:v>945.87</c:v>
                </c:pt>
                <c:pt idx="359">
                  <c:v>940.49</c:v>
                </c:pt>
                <c:pt idx="360">
                  <c:v>936.86</c:v>
                </c:pt>
                <c:pt idx="361">
                  <c:v>934.12</c:v>
                </c:pt>
                <c:pt idx="362">
                  <c:v>931.62</c:v>
                </c:pt>
                <c:pt idx="363">
                  <c:v>928.53</c:v>
                </c:pt>
                <c:pt idx="364">
                  <c:v>925.14</c:v>
                </c:pt>
                <c:pt idx="365">
                  <c:v>922.39</c:v>
                </c:pt>
                <c:pt idx="366">
                  <c:v>919.86</c:v>
                </c:pt>
                <c:pt idx="367">
                  <c:v>917.38</c:v>
                </c:pt>
                <c:pt idx="368">
                  <c:v>916.3</c:v>
                </c:pt>
                <c:pt idx="369">
                  <c:v>912.97</c:v>
                </c:pt>
                <c:pt idx="370">
                  <c:v>907.87</c:v>
                </c:pt>
                <c:pt idx="371">
                  <c:v>906.98</c:v>
                </c:pt>
                <c:pt idx="372">
                  <c:v>908.57</c:v>
                </c:pt>
                <c:pt idx="373">
                  <c:v>908.03</c:v>
                </c:pt>
                <c:pt idx="374">
                  <c:v>907.92</c:v>
                </c:pt>
                <c:pt idx="375">
                  <c:v>910.23</c:v>
                </c:pt>
                <c:pt idx="376">
                  <c:v>912.56</c:v>
                </c:pt>
                <c:pt idx="377">
                  <c:v>911.24</c:v>
                </c:pt>
                <c:pt idx="378">
                  <c:v>903.35</c:v>
                </c:pt>
                <c:pt idx="379">
                  <c:v>896.94</c:v>
                </c:pt>
                <c:pt idx="380">
                  <c:v>895.76</c:v>
                </c:pt>
                <c:pt idx="381">
                  <c:v>892.24</c:v>
                </c:pt>
                <c:pt idx="382">
                  <c:v>892.22</c:v>
                </c:pt>
                <c:pt idx="383">
                  <c:v>889.48</c:v>
                </c:pt>
                <c:pt idx="384">
                  <c:v>886.71</c:v>
                </c:pt>
                <c:pt idx="385">
                  <c:v>881.88</c:v>
                </c:pt>
                <c:pt idx="386">
                  <c:v>878.55</c:v>
                </c:pt>
                <c:pt idx="387">
                  <c:v>876.55</c:v>
                </c:pt>
                <c:pt idx="388">
                  <c:v>873.84</c:v>
                </c:pt>
                <c:pt idx="389">
                  <c:v>868.45</c:v>
                </c:pt>
                <c:pt idx="390">
                  <c:v>867.35</c:v>
                </c:pt>
                <c:pt idx="391">
                  <c:v>868.04</c:v>
                </c:pt>
                <c:pt idx="392">
                  <c:v>868.03</c:v>
                </c:pt>
                <c:pt idx="393">
                  <c:v>868.02</c:v>
                </c:pt>
                <c:pt idx="394">
                  <c:v>854.35</c:v>
                </c:pt>
                <c:pt idx="395">
                  <c:v>850.58</c:v>
                </c:pt>
                <c:pt idx="396">
                  <c:v>850.75</c:v>
                </c:pt>
                <c:pt idx="397">
                  <c:v>849.39</c:v>
                </c:pt>
                <c:pt idx="398">
                  <c:v>846.79</c:v>
                </c:pt>
                <c:pt idx="399">
                  <c:v>847.19</c:v>
                </c:pt>
                <c:pt idx="400">
                  <c:v>848.19</c:v>
                </c:pt>
                <c:pt idx="401">
                  <c:v>852.57</c:v>
                </c:pt>
                <c:pt idx="402">
                  <c:v>852.53</c:v>
                </c:pt>
                <c:pt idx="403">
                  <c:v>851.9</c:v>
                </c:pt>
                <c:pt idx="404">
                  <c:v>851.67</c:v>
                </c:pt>
                <c:pt idx="405">
                  <c:v>852.76</c:v>
                </c:pt>
                <c:pt idx="406">
                  <c:v>852.44</c:v>
                </c:pt>
                <c:pt idx="407">
                  <c:v>845.24</c:v>
                </c:pt>
                <c:pt idx="408">
                  <c:v>841.3</c:v>
                </c:pt>
                <c:pt idx="409">
                  <c:v>839.79</c:v>
                </c:pt>
                <c:pt idx="410">
                  <c:v>837.45</c:v>
                </c:pt>
                <c:pt idx="411">
                  <c:v>836.74</c:v>
                </c:pt>
                <c:pt idx="412">
                  <c:v>832.45</c:v>
                </c:pt>
                <c:pt idx="413">
                  <c:v>828.58</c:v>
                </c:pt>
                <c:pt idx="414">
                  <c:v>827.67</c:v>
                </c:pt>
                <c:pt idx="415">
                  <c:v>825.88</c:v>
                </c:pt>
                <c:pt idx="416">
                  <c:v>822.01</c:v>
                </c:pt>
                <c:pt idx="417">
                  <c:v>818.69</c:v>
                </c:pt>
                <c:pt idx="418">
                  <c:v>816.65</c:v>
                </c:pt>
                <c:pt idx="419">
                  <c:v>813.9</c:v>
                </c:pt>
                <c:pt idx="420">
                  <c:v>811.08</c:v>
                </c:pt>
                <c:pt idx="421">
                  <c:v>808.62</c:v>
                </c:pt>
                <c:pt idx="422">
                  <c:v>804.6</c:v>
                </c:pt>
                <c:pt idx="423">
                  <c:v>798.92</c:v>
                </c:pt>
                <c:pt idx="424">
                  <c:v>794.78</c:v>
                </c:pt>
                <c:pt idx="425">
                  <c:v>791.99</c:v>
                </c:pt>
                <c:pt idx="426">
                  <c:v>789</c:v>
                </c:pt>
                <c:pt idx="427">
                  <c:v>787.95</c:v>
                </c:pt>
                <c:pt idx="428">
                  <c:v>784.45</c:v>
                </c:pt>
                <c:pt idx="429">
                  <c:v>781.26</c:v>
                </c:pt>
                <c:pt idx="430">
                  <c:v>780.17</c:v>
                </c:pt>
                <c:pt idx="431">
                  <c:v>781.74</c:v>
                </c:pt>
                <c:pt idx="432">
                  <c:v>782.27</c:v>
                </c:pt>
                <c:pt idx="433">
                  <c:v>782.76</c:v>
                </c:pt>
                <c:pt idx="434">
                  <c:v>784.64</c:v>
                </c:pt>
                <c:pt idx="435">
                  <c:v>784.85</c:v>
                </c:pt>
                <c:pt idx="436">
                  <c:v>790.3</c:v>
                </c:pt>
                <c:pt idx="437">
                  <c:v>794.26</c:v>
                </c:pt>
                <c:pt idx="438">
                  <c:v>797.03</c:v>
                </c:pt>
                <c:pt idx="439">
                  <c:v>792.28</c:v>
                </c:pt>
                <c:pt idx="440">
                  <c:v>790.69</c:v>
                </c:pt>
                <c:pt idx="441">
                  <c:v>783.64</c:v>
                </c:pt>
                <c:pt idx="442">
                  <c:v>775.07</c:v>
                </c:pt>
                <c:pt idx="443">
                  <c:v>767.84</c:v>
                </c:pt>
                <c:pt idx="444">
                  <c:v>761.22</c:v>
                </c:pt>
                <c:pt idx="445">
                  <c:v>755.89</c:v>
                </c:pt>
                <c:pt idx="446">
                  <c:v>746.53</c:v>
                </c:pt>
                <c:pt idx="447">
                  <c:v>740.8</c:v>
                </c:pt>
                <c:pt idx="448">
                  <c:v>733.31</c:v>
                </c:pt>
                <c:pt idx="449">
                  <c:v>730.13</c:v>
                </c:pt>
                <c:pt idx="450">
                  <c:v>728.96</c:v>
                </c:pt>
                <c:pt idx="451">
                  <c:v>727.79</c:v>
                </c:pt>
                <c:pt idx="452">
                  <c:v>720.43</c:v>
                </c:pt>
                <c:pt idx="453">
                  <c:v>715.79</c:v>
                </c:pt>
                <c:pt idx="454">
                  <c:v>706.82</c:v>
                </c:pt>
                <c:pt idx="455">
                  <c:v>705.08</c:v>
                </c:pt>
                <c:pt idx="456">
                  <c:v>694.34</c:v>
                </c:pt>
                <c:pt idx="457">
                  <c:v>690.98</c:v>
                </c:pt>
                <c:pt idx="458">
                  <c:v>682.58</c:v>
                </c:pt>
                <c:pt idx="459">
                  <c:v>675.84</c:v>
                </c:pt>
                <c:pt idx="460">
                  <c:v>667.74</c:v>
                </c:pt>
                <c:pt idx="461">
                  <c:v>660.68</c:v>
                </c:pt>
                <c:pt idx="462">
                  <c:v>653.19000000000005</c:v>
                </c:pt>
                <c:pt idx="463">
                  <c:v>649.59</c:v>
                </c:pt>
                <c:pt idx="464">
                  <c:v>644.48</c:v>
                </c:pt>
                <c:pt idx="465">
                  <c:v>636.99</c:v>
                </c:pt>
                <c:pt idx="466">
                  <c:v>634.86</c:v>
                </c:pt>
                <c:pt idx="467">
                  <c:v>631.5</c:v>
                </c:pt>
                <c:pt idx="468">
                  <c:v>628.80999999999995</c:v>
                </c:pt>
                <c:pt idx="469">
                  <c:v>629.16999999999996</c:v>
                </c:pt>
                <c:pt idx="470">
                  <c:v>629.6</c:v>
                </c:pt>
                <c:pt idx="471">
                  <c:v>630.29999999999995</c:v>
                </c:pt>
                <c:pt idx="472">
                  <c:v>632.91999999999996</c:v>
                </c:pt>
                <c:pt idx="473">
                  <c:v>633.77</c:v>
                </c:pt>
                <c:pt idx="474">
                  <c:v>641.21</c:v>
                </c:pt>
                <c:pt idx="475">
                  <c:v>644.38</c:v>
                </c:pt>
                <c:pt idx="476">
                  <c:v>649.13</c:v>
                </c:pt>
                <c:pt idx="477">
                  <c:v>651.47</c:v>
                </c:pt>
                <c:pt idx="478">
                  <c:v>653.6</c:v>
                </c:pt>
                <c:pt idx="479">
                  <c:v>655.5</c:v>
                </c:pt>
                <c:pt idx="480">
                  <c:v>661.14</c:v>
                </c:pt>
                <c:pt idx="481">
                  <c:v>664.49</c:v>
                </c:pt>
                <c:pt idx="482">
                  <c:v>668.45</c:v>
                </c:pt>
                <c:pt idx="483">
                  <c:v>670.89</c:v>
                </c:pt>
                <c:pt idx="484">
                  <c:v>668.93</c:v>
                </c:pt>
                <c:pt idx="485">
                  <c:v>663.04</c:v>
                </c:pt>
                <c:pt idx="486">
                  <c:v>659.46</c:v>
                </c:pt>
                <c:pt idx="487">
                  <c:v>657.27</c:v>
                </c:pt>
                <c:pt idx="488">
                  <c:v>656.11</c:v>
                </c:pt>
                <c:pt idx="489">
                  <c:v>657.89</c:v>
                </c:pt>
                <c:pt idx="490">
                  <c:v>657.52</c:v>
                </c:pt>
                <c:pt idx="491">
                  <c:v>654.15</c:v>
                </c:pt>
                <c:pt idx="492">
                  <c:v>652.79</c:v>
                </c:pt>
                <c:pt idx="493">
                  <c:v>651.04999999999995</c:v>
                </c:pt>
                <c:pt idx="494">
                  <c:v>649.29999999999995</c:v>
                </c:pt>
                <c:pt idx="495">
                  <c:v>643.45000000000005</c:v>
                </c:pt>
                <c:pt idx="496">
                  <c:v>639.32000000000005</c:v>
                </c:pt>
                <c:pt idx="497">
                  <c:v>635.72</c:v>
                </c:pt>
                <c:pt idx="498">
                  <c:v>632.79999999999995</c:v>
                </c:pt>
                <c:pt idx="499">
                  <c:v>626.29</c:v>
                </c:pt>
                <c:pt idx="500">
                  <c:v>616.41</c:v>
                </c:pt>
                <c:pt idx="501">
                  <c:v>613.02</c:v>
                </c:pt>
                <c:pt idx="502">
                  <c:v>612.09</c:v>
                </c:pt>
                <c:pt idx="503">
                  <c:v>611.78</c:v>
                </c:pt>
                <c:pt idx="504">
                  <c:v>610.16</c:v>
                </c:pt>
                <c:pt idx="505">
                  <c:v>609.84</c:v>
                </c:pt>
                <c:pt idx="506">
                  <c:v>604.53</c:v>
                </c:pt>
                <c:pt idx="507">
                  <c:v>603.6</c:v>
                </c:pt>
                <c:pt idx="508">
                  <c:v>599.84</c:v>
                </c:pt>
                <c:pt idx="509">
                  <c:v>598.83000000000004</c:v>
                </c:pt>
                <c:pt idx="510">
                  <c:v>595.69000000000005</c:v>
                </c:pt>
                <c:pt idx="511">
                  <c:v>594.96</c:v>
                </c:pt>
                <c:pt idx="512">
                  <c:v>591.4</c:v>
                </c:pt>
                <c:pt idx="513">
                  <c:v>589.16999999999996</c:v>
                </c:pt>
                <c:pt idx="514">
                  <c:v>586.47</c:v>
                </c:pt>
                <c:pt idx="515">
                  <c:v>586.38</c:v>
                </c:pt>
                <c:pt idx="516">
                  <c:v>586.76</c:v>
                </c:pt>
                <c:pt idx="517">
                  <c:v>586.38</c:v>
                </c:pt>
                <c:pt idx="518">
                  <c:v>583.39</c:v>
                </c:pt>
                <c:pt idx="519">
                  <c:v>580.25</c:v>
                </c:pt>
                <c:pt idx="520">
                  <c:v>577.46</c:v>
                </c:pt>
                <c:pt idx="521">
                  <c:v>576.99</c:v>
                </c:pt>
                <c:pt idx="522">
                  <c:v>576.52</c:v>
                </c:pt>
                <c:pt idx="523">
                  <c:v>573.66</c:v>
                </c:pt>
                <c:pt idx="524">
                  <c:v>568.63</c:v>
                </c:pt>
                <c:pt idx="525">
                  <c:v>563.37</c:v>
                </c:pt>
                <c:pt idx="526">
                  <c:v>561.03</c:v>
                </c:pt>
                <c:pt idx="527">
                  <c:v>562.70000000000005</c:v>
                </c:pt>
                <c:pt idx="528">
                  <c:v>557.51</c:v>
                </c:pt>
                <c:pt idx="529">
                  <c:v>556.41</c:v>
                </c:pt>
                <c:pt idx="530">
                  <c:v>551.13</c:v>
                </c:pt>
                <c:pt idx="531">
                  <c:v>543.04</c:v>
                </c:pt>
                <c:pt idx="532">
                  <c:v>536.98</c:v>
                </c:pt>
                <c:pt idx="533">
                  <c:v>530.87</c:v>
                </c:pt>
                <c:pt idx="534">
                  <c:v>528.47</c:v>
                </c:pt>
                <c:pt idx="535">
                  <c:v>523.79</c:v>
                </c:pt>
                <c:pt idx="536">
                  <c:v>520.02</c:v>
                </c:pt>
                <c:pt idx="537">
                  <c:v>509.19</c:v>
                </c:pt>
                <c:pt idx="538">
                  <c:v>504.83</c:v>
                </c:pt>
                <c:pt idx="539">
                  <c:v>498.24</c:v>
                </c:pt>
                <c:pt idx="540">
                  <c:v>494.4</c:v>
                </c:pt>
                <c:pt idx="541">
                  <c:v>489.41</c:v>
                </c:pt>
                <c:pt idx="542">
                  <c:v>486.11</c:v>
                </c:pt>
                <c:pt idx="543">
                  <c:v>483.24</c:v>
                </c:pt>
                <c:pt idx="544">
                  <c:v>479.44</c:v>
                </c:pt>
                <c:pt idx="545">
                  <c:v>477.46</c:v>
                </c:pt>
                <c:pt idx="546">
                  <c:v>476.23</c:v>
                </c:pt>
                <c:pt idx="547">
                  <c:v>474.33</c:v>
                </c:pt>
                <c:pt idx="548">
                  <c:v>473.19</c:v>
                </c:pt>
                <c:pt idx="549">
                  <c:v>471.86</c:v>
                </c:pt>
                <c:pt idx="550">
                  <c:v>471.46</c:v>
                </c:pt>
                <c:pt idx="551">
                  <c:v>471.42</c:v>
                </c:pt>
                <c:pt idx="552">
                  <c:v>471.42</c:v>
                </c:pt>
                <c:pt idx="553">
                  <c:v>470.26</c:v>
                </c:pt>
                <c:pt idx="554">
                  <c:v>469.72</c:v>
                </c:pt>
                <c:pt idx="555">
                  <c:v>467.95</c:v>
                </c:pt>
                <c:pt idx="556">
                  <c:v>466.38</c:v>
                </c:pt>
                <c:pt idx="557">
                  <c:v>463.38</c:v>
                </c:pt>
                <c:pt idx="558">
                  <c:v>462.41</c:v>
                </c:pt>
                <c:pt idx="559">
                  <c:v>461.17</c:v>
                </c:pt>
                <c:pt idx="560">
                  <c:v>458.71</c:v>
                </c:pt>
                <c:pt idx="561">
                  <c:v>456.21</c:v>
                </c:pt>
                <c:pt idx="562">
                  <c:v>451.72</c:v>
                </c:pt>
                <c:pt idx="563">
                  <c:v>446.57</c:v>
                </c:pt>
                <c:pt idx="564">
                  <c:v>438.41</c:v>
                </c:pt>
                <c:pt idx="565">
                  <c:v>435.28</c:v>
                </c:pt>
                <c:pt idx="566">
                  <c:v>426.33</c:v>
                </c:pt>
                <c:pt idx="567">
                  <c:v>419.76</c:v>
                </c:pt>
                <c:pt idx="568">
                  <c:v>411.95</c:v>
                </c:pt>
                <c:pt idx="569">
                  <c:v>401.94</c:v>
                </c:pt>
                <c:pt idx="570">
                  <c:v>400.62</c:v>
                </c:pt>
                <c:pt idx="571">
                  <c:v>392.03</c:v>
                </c:pt>
                <c:pt idx="572">
                  <c:v>390.98</c:v>
                </c:pt>
                <c:pt idx="573">
                  <c:v>385.83</c:v>
                </c:pt>
                <c:pt idx="574">
                  <c:v>381.65</c:v>
                </c:pt>
                <c:pt idx="575">
                  <c:v>377.73</c:v>
                </c:pt>
                <c:pt idx="576">
                  <c:v>377.05</c:v>
                </c:pt>
                <c:pt idx="577">
                  <c:v>378.38</c:v>
                </c:pt>
                <c:pt idx="578">
                  <c:v>378.82</c:v>
                </c:pt>
                <c:pt idx="579">
                  <c:v>378.82</c:v>
                </c:pt>
                <c:pt idx="580">
                  <c:v>377.61</c:v>
                </c:pt>
                <c:pt idx="581">
                  <c:v>377.54</c:v>
                </c:pt>
                <c:pt idx="582">
                  <c:v>376.97</c:v>
                </c:pt>
                <c:pt idx="583">
                  <c:v>376.4</c:v>
                </c:pt>
                <c:pt idx="584">
                  <c:v>375.46</c:v>
                </c:pt>
                <c:pt idx="585">
                  <c:v>373.27</c:v>
                </c:pt>
                <c:pt idx="586">
                  <c:v>370.49</c:v>
                </c:pt>
                <c:pt idx="587">
                  <c:v>364.53</c:v>
                </c:pt>
                <c:pt idx="588">
                  <c:v>364.53</c:v>
                </c:pt>
                <c:pt idx="589">
                  <c:v>362.88</c:v>
                </c:pt>
                <c:pt idx="590">
                  <c:v>361.82</c:v>
                </c:pt>
                <c:pt idx="591">
                  <c:v>358.65</c:v>
                </c:pt>
                <c:pt idx="592">
                  <c:v>353.88</c:v>
                </c:pt>
                <c:pt idx="593">
                  <c:v>351.13</c:v>
                </c:pt>
                <c:pt idx="594">
                  <c:v>348.74</c:v>
                </c:pt>
                <c:pt idx="595">
                  <c:v>342.09</c:v>
                </c:pt>
                <c:pt idx="596">
                  <c:v>337.55</c:v>
                </c:pt>
                <c:pt idx="597">
                  <c:v>337.03</c:v>
                </c:pt>
                <c:pt idx="598">
                  <c:v>333.66</c:v>
                </c:pt>
                <c:pt idx="599">
                  <c:v>330.38</c:v>
                </c:pt>
                <c:pt idx="600">
                  <c:v>327.45</c:v>
                </c:pt>
                <c:pt idx="601">
                  <c:v>326.89</c:v>
                </c:pt>
                <c:pt idx="602">
                  <c:v>324.79000000000002</c:v>
                </c:pt>
                <c:pt idx="603">
                  <c:v>320.94</c:v>
                </c:pt>
                <c:pt idx="604">
                  <c:v>316.72000000000003</c:v>
                </c:pt>
                <c:pt idx="605">
                  <c:v>308.41000000000003</c:v>
                </c:pt>
                <c:pt idx="606">
                  <c:v>307.2</c:v>
                </c:pt>
                <c:pt idx="607">
                  <c:v>299.58999999999997</c:v>
                </c:pt>
                <c:pt idx="608">
                  <c:v>293.7</c:v>
                </c:pt>
                <c:pt idx="609">
                  <c:v>289.79000000000002</c:v>
                </c:pt>
                <c:pt idx="610">
                  <c:v>288.64999999999998</c:v>
                </c:pt>
                <c:pt idx="611">
                  <c:v>280.73</c:v>
                </c:pt>
                <c:pt idx="612">
                  <c:v>275.77</c:v>
                </c:pt>
                <c:pt idx="613">
                  <c:v>270.36</c:v>
                </c:pt>
                <c:pt idx="614">
                  <c:v>262.44</c:v>
                </c:pt>
                <c:pt idx="615">
                  <c:v>255.7</c:v>
                </c:pt>
                <c:pt idx="616">
                  <c:v>249.17</c:v>
                </c:pt>
                <c:pt idx="617">
                  <c:v>248.8</c:v>
                </c:pt>
                <c:pt idx="618">
                  <c:v>247.62</c:v>
                </c:pt>
                <c:pt idx="619">
                  <c:v>245.6</c:v>
                </c:pt>
                <c:pt idx="620">
                  <c:v>239.81</c:v>
                </c:pt>
                <c:pt idx="621">
                  <c:v>233.18</c:v>
                </c:pt>
                <c:pt idx="622">
                  <c:v>232.65</c:v>
                </c:pt>
                <c:pt idx="623">
                  <c:v>230.61</c:v>
                </c:pt>
                <c:pt idx="624">
                  <c:v>230.25</c:v>
                </c:pt>
                <c:pt idx="625">
                  <c:v>230.67</c:v>
                </c:pt>
                <c:pt idx="626">
                  <c:v>231.45</c:v>
                </c:pt>
                <c:pt idx="627">
                  <c:v>232.07</c:v>
                </c:pt>
                <c:pt idx="628">
                  <c:v>233.27</c:v>
                </c:pt>
                <c:pt idx="629">
                  <c:v>234.47</c:v>
                </c:pt>
                <c:pt idx="630">
                  <c:v>228.51</c:v>
                </c:pt>
                <c:pt idx="631">
                  <c:v>228.23</c:v>
                </c:pt>
                <c:pt idx="632">
                  <c:v>223.71</c:v>
                </c:pt>
                <c:pt idx="633">
                  <c:v>223.32</c:v>
                </c:pt>
                <c:pt idx="634">
                  <c:v>222.23</c:v>
                </c:pt>
                <c:pt idx="635">
                  <c:v>217.59</c:v>
                </c:pt>
                <c:pt idx="636">
                  <c:v>211.78</c:v>
                </c:pt>
                <c:pt idx="637">
                  <c:v>204.55</c:v>
                </c:pt>
                <c:pt idx="638">
                  <c:v>203.28</c:v>
                </c:pt>
                <c:pt idx="639">
                  <c:v>196.49</c:v>
                </c:pt>
                <c:pt idx="640">
                  <c:v>187.56</c:v>
                </c:pt>
                <c:pt idx="641">
                  <c:v>179.97</c:v>
                </c:pt>
                <c:pt idx="642">
                  <c:v>169.49</c:v>
                </c:pt>
                <c:pt idx="643">
                  <c:v>163.98</c:v>
                </c:pt>
                <c:pt idx="644">
                  <c:v>151.62</c:v>
                </c:pt>
                <c:pt idx="645">
                  <c:v>145.79</c:v>
                </c:pt>
                <c:pt idx="646">
                  <c:v>135.13999999999999</c:v>
                </c:pt>
                <c:pt idx="647">
                  <c:v>129.83000000000001</c:v>
                </c:pt>
                <c:pt idx="648">
                  <c:v>128.52000000000001</c:v>
                </c:pt>
                <c:pt idx="649">
                  <c:v>128.52000000000001</c:v>
                </c:pt>
                <c:pt idx="650">
                  <c:v>125.28</c:v>
                </c:pt>
                <c:pt idx="651">
                  <c:v>117.38</c:v>
                </c:pt>
                <c:pt idx="652">
                  <c:v>113.26</c:v>
                </c:pt>
                <c:pt idx="653">
                  <c:v>110.67</c:v>
                </c:pt>
                <c:pt idx="654">
                  <c:v>106.79</c:v>
                </c:pt>
                <c:pt idx="655">
                  <c:v>97.99</c:v>
                </c:pt>
                <c:pt idx="656">
                  <c:v>96.94</c:v>
                </c:pt>
                <c:pt idx="657">
                  <c:v>93.48</c:v>
                </c:pt>
                <c:pt idx="658">
                  <c:v>93.47</c:v>
                </c:pt>
                <c:pt idx="659">
                  <c:v>89.89</c:v>
                </c:pt>
                <c:pt idx="660">
                  <c:v>86.93</c:v>
                </c:pt>
                <c:pt idx="661">
                  <c:v>88.83</c:v>
                </c:pt>
                <c:pt idx="662">
                  <c:v>89.63</c:v>
                </c:pt>
                <c:pt idx="663">
                  <c:v>91.07</c:v>
                </c:pt>
                <c:pt idx="664">
                  <c:v>91.93</c:v>
                </c:pt>
                <c:pt idx="665">
                  <c:v>92.37</c:v>
                </c:pt>
                <c:pt idx="666">
                  <c:v>103.03</c:v>
                </c:pt>
                <c:pt idx="667">
                  <c:v>115.15</c:v>
                </c:pt>
                <c:pt idx="668">
                  <c:v>119.59</c:v>
                </c:pt>
                <c:pt idx="669">
                  <c:v>116.47</c:v>
                </c:pt>
                <c:pt idx="670">
                  <c:v>116.2</c:v>
                </c:pt>
                <c:pt idx="671">
                  <c:v>115.53</c:v>
                </c:pt>
                <c:pt idx="672">
                  <c:v>112.94</c:v>
                </c:pt>
                <c:pt idx="673">
                  <c:v>112.83</c:v>
                </c:pt>
                <c:pt idx="674">
                  <c:v>112.28</c:v>
                </c:pt>
                <c:pt idx="675">
                  <c:v>112.08</c:v>
                </c:pt>
                <c:pt idx="676">
                  <c:v>109.01</c:v>
                </c:pt>
                <c:pt idx="677">
                  <c:v>108.82</c:v>
                </c:pt>
                <c:pt idx="678">
                  <c:v>108.64</c:v>
                </c:pt>
                <c:pt idx="679">
                  <c:v>108.05</c:v>
                </c:pt>
                <c:pt idx="680">
                  <c:v>107.45</c:v>
                </c:pt>
                <c:pt idx="681">
                  <c:v>105.57</c:v>
                </c:pt>
                <c:pt idx="682">
                  <c:v>104.37</c:v>
                </c:pt>
                <c:pt idx="683">
                  <c:v>103.03</c:v>
                </c:pt>
                <c:pt idx="684">
                  <c:v>102.82</c:v>
                </c:pt>
                <c:pt idx="685">
                  <c:v>102.76</c:v>
                </c:pt>
                <c:pt idx="686">
                  <c:v>102.62</c:v>
                </c:pt>
                <c:pt idx="687">
                  <c:v>101.56</c:v>
                </c:pt>
                <c:pt idx="688">
                  <c:v>98.76</c:v>
                </c:pt>
                <c:pt idx="689">
                  <c:v>98.52</c:v>
                </c:pt>
                <c:pt idx="690">
                  <c:v>97.3</c:v>
                </c:pt>
                <c:pt idx="691">
                  <c:v>97.29</c:v>
                </c:pt>
                <c:pt idx="692">
                  <c:v>97.26</c:v>
                </c:pt>
                <c:pt idx="693">
                  <c:v>94.05</c:v>
                </c:pt>
                <c:pt idx="694">
                  <c:v>93.46</c:v>
                </c:pt>
                <c:pt idx="695">
                  <c:v>92.52</c:v>
                </c:pt>
                <c:pt idx="696">
                  <c:v>91.98</c:v>
                </c:pt>
                <c:pt idx="697">
                  <c:v>91.09</c:v>
                </c:pt>
                <c:pt idx="698">
                  <c:v>87.51</c:v>
                </c:pt>
                <c:pt idx="699">
                  <c:v>87.43</c:v>
                </c:pt>
                <c:pt idx="700">
                  <c:v>85.52</c:v>
                </c:pt>
                <c:pt idx="701">
                  <c:v>85.33</c:v>
                </c:pt>
                <c:pt idx="702">
                  <c:v>84.77</c:v>
                </c:pt>
                <c:pt idx="703">
                  <c:v>83.01</c:v>
                </c:pt>
                <c:pt idx="704">
                  <c:v>78.69</c:v>
                </c:pt>
                <c:pt idx="705">
                  <c:v>77.63</c:v>
                </c:pt>
                <c:pt idx="706">
                  <c:v>77.599999999999994</c:v>
                </c:pt>
                <c:pt idx="707">
                  <c:v>77.569999999999993</c:v>
                </c:pt>
                <c:pt idx="708">
                  <c:v>77.540000000000006</c:v>
                </c:pt>
                <c:pt idx="709">
                  <c:v>77.510000000000005</c:v>
                </c:pt>
                <c:pt idx="710">
                  <c:v>77.37</c:v>
                </c:pt>
                <c:pt idx="711">
                  <c:v>77.25</c:v>
                </c:pt>
                <c:pt idx="712">
                  <c:v>76.989999999999995</c:v>
                </c:pt>
                <c:pt idx="713">
                  <c:v>76.98</c:v>
                </c:pt>
                <c:pt idx="714">
                  <c:v>76.959999999999994</c:v>
                </c:pt>
                <c:pt idx="715">
                  <c:v>76.09</c:v>
                </c:pt>
                <c:pt idx="716">
                  <c:v>73.069999999999993</c:v>
                </c:pt>
                <c:pt idx="717">
                  <c:v>71.8</c:v>
                </c:pt>
                <c:pt idx="718">
                  <c:v>70.290000000000006</c:v>
                </c:pt>
                <c:pt idx="719">
                  <c:v>65.08</c:v>
                </c:pt>
                <c:pt idx="720">
                  <c:v>60.87</c:v>
                </c:pt>
                <c:pt idx="721">
                  <c:v>60.39</c:v>
                </c:pt>
                <c:pt idx="722">
                  <c:v>53.95</c:v>
                </c:pt>
                <c:pt idx="723">
                  <c:v>53.61</c:v>
                </c:pt>
                <c:pt idx="724">
                  <c:v>53.27</c:v>
                </c:pt>
                <c:pt idx="725">
                  <c:v>47.6</c:v>
                </c:pt>
                <c:pt idx="726">
                  <c:v>44.81</c:v>
                </c:pt>
                <c:pt idx="727">
                  <c:v>43.06</c:v>
                </c:pt>
                <c:pt idx="728">
                  <c:v>36.659999999999997</c:v>
                </c:pt>
                <c:pt idx="729">
                  <c:v>34.159999999999997</c:v>
                </c:pt>
                <c:pt idx="730">
                  <c:v>34.03</c:v>
                </c:pt>
                <c:pt idx="731">
                  <c:v>33.89</c:v>
                </c:pt>
                <c:pt idx="732">
                  <c:v>33.619999999999997</c:v>
                </c:pt>
                <c:pt idx="733">
                  <c:v>33.35</c:v>
                </c:pt>
                <c:pt idx="734">
                  <c:v>30.6</c:v>
                </c:pt>
                <c:pt idx="735">
                  <c:v>29.61</c:v>
                </c:pt>
                <c:pt idx="736">
                  <c:v>29.08</c:v>
                </c:pt>
                <c:pt idx="737">
                  <c:v>28.63</c:v>
                </c:pt>
                <c:pt idx="738">
                  <c:v>28.18</c:v>
                </c:pt>
                <c:pt idx="739">
                  <c:v>27.31</c:v>
                </c:pt>
                <c:pt idx="740">
                  <c:v>25.16</c:v>
                </c:pt>
                <c:pt idx="741">
                  <c:v>23.51</c:v>
                </c:pt>
                <c:pt idx="742">
                  <c:v>21.96</c:v>
                </c:pt>
                <c:pt idx="743">
                  <c:v>15.67</c:v>
                </c:pt>
                <c:pt idx="744">
                  <c:v>11</c:v>
                </c:pt>
                <c:pt idx="745">
                  <c:v>0.15</c:v>
                </c:pt>
                <c:pt idx="746">
                  <c:v>-4.95</c:v>
                </c:pt>
                <c:pt idx="747">
                  <c:v>-12.27</c:v>
                </c:pt>
                <c:pt idx="748">
                  <c:v>-17.36</c:v>
                </c:pt>
                <c:pt idx="749">
                  <c:v>-17.600000000000001</c:v>
                </c:pt>
                <c:pt idx="750">
                  <c:v>-18.579999999999998</c:v>
                </c:pt>
                <c:pt idx="751">
                  <c:v>-19.57</c:v>
                </c:pt>
                <c:pt idx="752">
                  <c:v>-22.83</c:v>
                </c:pt>
                <c:pt idx="753">
                  <c:v>-26.85</c:v>
                </c:pt>
                <c:pt idx="754">
                  <c:v>-27.12</c:v>
                </c:pt>
                <c:pt idx="755">
                  <c:v>-27.38</c:v>
                </c:pt>
                <c:pt idx="756">
                  <c:v>-29.27</c:v>
                </c:pt>
                <c:pt idx="757">
                  <c:v>-34.67</c:v>
                </c:pt>
                <c:pt idx="758">
                  <c:v>-38.1</c:v>
                </c:pt>
                <c:pt idx="759">
                  <c:v>-39.119999999999997</c:v>
                </c:pt>
                <c:pt idx="760">
                  <c:v>-39.43</c:v>
                </c:pt>
                <c:pt idx="761">
                  <c:v>-37.299999999999997</c:v>
                </c:pt>
                <c:pt idx="762">
                  <c:v>-33.03</c:v>
                </c:pt>
                <c:pt idx="763">
                  <c:v>-28.51</c:v>
                </c:pt>
                <c:pt idx="764">
                  <c:v>-28.6</c:v>
                </c:pt>
                <c:pt idx="765">
                  <c:v>-31.1</c:v>
                </c:pt>
                <c:pt idx="766">
                  <c:v>-27.54</c:v>
                </c:pt>
                <c:pt idx="767">
                  <c:v>-24.12</c:v>
                </c:pt>
                <c:pt idx="768">
                  <c:v>-20.350000000000001</c:v>
                </c:pt>
                <c:pt idx="769">
                  <c:v>-18.809999999999999</c:v>
                </c:pt>
                <c:pt idx="770">
                  <c:v>-16.440000000000001</c:v>
                </c:pt>
                <c:pt idx="771">
                  <c:v>-14.29</c:v>
                </c:pt>
                <c:pt idx="772">
                  <c:v>-11.65</c:v>
                </c:pt>
                <c:pt idx="773">
                  <c:v>-8.26</c:v>
                </c:pt>
                <c:pt idx="774">
                  <c:v>-6.5</c:v>
                </c:pt>
                <c:pt idx="775">
                  <c:v>-3.97</c:v>
                </c:pt>
                <c:pt idx="776">
                  <c:v>-0.11</c:v>
                </c:pt>
                <c:pt idx="777">
                  <c:v>1.39</c:v>
                </c:pt>
                <c:pt idx="778">
                  <c:v>5.31</c:v>
                </c:pt>
                <c:pt idx="779">
                  <c:v>8.65</c:v>
                </c:pt>
                <c:pt idx="780">
                  <c:v>10.16</c:v>
                </c:pt>
                <c:pt idx="781">
                  <c:v>11.93</c:v>
                </c:pt>
                <c:pt idx="782">
                  <c:v>14.53</c:v>
                </c:pt>
                <c:pt idx="783">
                  <c:v>18.079999999999998</c:v>
                </c:pt>
                <c:pt idx="784">
                  <c:v>19.100000000000001</c:v>
                </c:pt>
                <c:pt idx="785">
                  <c:v>19.8</c:v>
                </c:pt>
                <c:pt idx="786">
                  <c:v>20.5</c:v>
                </c:pt>
                <c:pt idx="787">
                  <c:v>21.84</c:v>
                </c:pt>
                <c:pt idx="788">
                  <c:v>21.97</c:v>
                </c:pt>
                <c:pt idx="789">
                  <c:v>21.91</c:v>
                </c:pt>
                <c:pt idx="790">
                  <c:v>22.42</c:v>
                </c:pt>
                <c:pt idx="791">
                  <c:v>21.61</c:v>
                </c:pt>
                <c:pt idx="792">
                  <c:v>21.99</c:v>
                </c:pt>
                <c:pt idx="793">
                  <c:v>22.37</c:v>
                </c:pt>
                <c:pt idx="794">
                  <c:v>23.66</c:v>
                </c:pt>
                <c:pt idx="795">
                  <c:v>23.6</c:v>
                </c:pt>
                <c:pt idx="796">
                  <c:v>23.81</c:v>
                </c:pt>
                <c:pt idx="797">
                  <c:v>22.75</c:v>
                </c:pt>
                <c:pt idx="798">
                  <c:v>22.91</c:v>
                </c:pt>
                <c:pt idx="799">
                  <c:v>22.63</c:v>
                </c:pt>
                <c:pt idx="800">
                  <c:v>22.82</c:v>
                </c:pt>
                <c:pt idx="801">
                  <c:v>22.95</c:v>
                </c:pt>
                <c:pt idx="802">
                  <c:v>23.31</c:v>
                </c:pt>
                <c:pt idx="803">
                  <c:v>23.67</c:v>
                </c:pt>
                <c:pt idx="804">
                  <c:v>23.89</c:v>
                </c:pt>
                <c:pt idx="805">
                  <c:v>24.11</c:v>
                </c:pt>
                <c:pt idx="806">
                  <c:v>24.36</c:v>
                </c:pt>
                <c:pt idx="807">
                  <c:v>24.6</c:v>
                </c:pt>
                <c:pt idx="808">
                  <c:v>24.68</c:v>
                </c:pt>
                <c:pt idx="809">
                  <c:v>24.51</c:v>
                </c:pt>
                <c:pt idx="810">
                  <c:v>24.94</c:v>
                </c:pt>
                <c:pt idx="811">
                  <c:v>24.56</c:v>
                </c:pt>
                <c:pt idx="812">
                  <c:v>25.45</c:v>
                </c:pt>
                <c:pt idx="813">
                  <c:v>26.12</c:v>
                </c:pt>
                <c:pt idx="814">
                  <c:v>26.17</c:v>
                </c:pt>
                <c:pt idx="815">
                  <c:v>26.27</c:v>
                </c:pt>
                <c:pt idx="816">
                  <c:v>25.78</c:v>
                </c:pt>
                <c:pt idx="817">
                  <c:v>25.64</c:v>
                </c:pt>
                <c:pt idx="818">
                  <c:v>25.41</c:v>
                </c:pt>
                <c:pt idx="819">
                  <c:v>25.15</c:v>
                </c:pt>
                <c:pt idx="820">
                  <c:v>25.85</c:v>
                </c:pt>
                <c:pt idx="821">
                  <c:v>26.19</c:v>
                </c:pt>
                <c:pt idx="822">
                  <c:v>26.53</c:v>
                </c:pt>
                <c:pt idx="823">
                  <c:v>26.84</c:v>
                </c:pt>
                <c:pt idx="824">
                  <c:v>26.64</c:v>
                </c:pt>
                <c:pt idx="825">
                  <c:v>26.51</c:v>
                </c:pt>
                <c:pt idx="826">
                  <c:v>26.74</c:v>
                </c:pt>
                <c:pt idx="827">
                  <c:v>26.64</c:v>
                </c:pt>
                <c:pt idx="828">
                  <c:v>26.53</c:v>
                </c:pt>
                <c:pt idx="829">
                  <c:v>25.95</c:v>
                </c:pt>
                <c:pt idx="830">
                  <c:v>26.27</c:v>
                </c:pt>
                <c:pt idx="831">
                  <c:v>26.72</c:v>
                </c:pt>
                <c:pt idx="832">
                  <c:v>26.77</c:v>
                </c:pt>
                <c:pt idx="833">
                  <c:v>25.4</c:v>
                </c:pt>
                <c:pt idx="834">
                  <c:v>26.05</c:v>
                </c:pt>
                <c:pt idx="835">
                  <c:v>23.69</c:v>
                </c:pt>
                <c:pt idx="836">
                  <c:v>22.55</c:v>
                </c:pt>
                <c:pt idx="837">
                  <c:v>20.56</c:v>
                </c:pt>
                <c:pt idx="838">
                  <c:v>18.59</c:v>
                </c:pt>
                <c:pt idx="839">
                  <c:v>14.46</c:v>
                </c:pt>
                <c:pt idx="840">
                  <c:v>10.69</c:v>
                </c:pt>
                <c:pt idx="841">
                  <c:v>6.33</c:v>
                </c:pt>
                <c:pt idx="842">
                  <c:v>2.23</c:v>
                </c:pt>
                <c:pt idx="843">
                  <c:v>-1.91</c:v>
                </c:pt>
                <c:pt idx="844">
                  <c:v>-7.95</c:v>
                </c:pt>
                <c:pt idx="845">
                  <c:v>-11.25</c:v>
                </c:pt>
                <c:pt idx="846">
                  <c:v>-15.92</c:v>
                </c:pt>
                <c:pt idx="847">
                  <c:v>-20.32</c:v>
                </c:pt>
                <c:pt idx="848">
                  <c:v>-27.69</c:v>
                </c:pt>
                <c:pt idx="849">
                  <c:v>-32.35</c:v>
                </c:pt>
                <c:pt idx="850">
                  <c:v>-36.65</c:v>
                </c:pt>
                <c:pt idx="851">
                  <c:v>-38.659999999999997</c:v>
                </c:pt>
                <c:pt idx="852">
                  <c:v>-40.659999999999997</c:v>
                </c:pt>
                <c:pt idx="853">
                  <c:v>-43.51</c:v>
                </c:pt>
                <c:pt idx="854">
                  <c:v>-45.18</c:v>
                </c:pt>
                <c:pt idx="855">
                  <c:v>-45.69</c:v>
                </c:pt>
                <c:pt idx="856">
                  <c:v>-46.9</c:v>
                </c:pt>
                <c:pt idx="857">
                  <c:v>-46.66</c:v>
                </c:pt>
                <c:pt idx="858">
                  <c:v>-46.62</c:v>
                </c:pt>
                <c:pt idx="859">
                  <c:v>-46.71</c:v>
                </c:pt>
                <c:pt idx="860">
                  <c:v>-46.34</c:v>
                </c:pt>
                <c:pt idx="861">
                  <c:v>-46.33</c:v>
                </c:pt>
                <c:pt idx="862">
                  <c:v>-46.6</c:v>
                </c:pt>
                <c:pt idx="863">
                  <c:v>-45.55</c:v>
                </c:pt>
                <c:pt idx="864">
                  <c:v>-45.57</c:v>
                </c:pt>
                <c:pt idx="865">
                  <c:v>-45.88</c:v>
                </c:pt>
                <c:pt idx="866">
                  <c:v>-46.36</c:v>
                </c:pt>
                <c:pt idx="867">
                  <c:v>-46.35</c:v>
                </c:pt>
                <c:pt idx="868">
                  <c:v>-46.24</c:v>
                </c:pt>
                <c:pt idx="869">
                  <c:v>-46.47</c:v>
                </c:pt>
                <c:pt idx="870">
                  <c:v>-46.47</c:v>
                </c:pt>
                <c:pt idx="871">
                  <c:v>-48.77</c:v>
                </c:pt>
                <c:pt idx="872">
                  <c:v>-46.72</c:v>
                </c:pt>
                <c:pt idx="873">
                  <c:v>-46.41</c:v>
                </c:pt>
                <c:pt idx="874">
                  <c:v>-46.24</c:v>
                </c:pt>
                <c:pt idx="875">
                  <c:v>-46.07</c:v>
                </c:pt>
                <c:pt idx="876">
                  <c:v>-46.08</c:v>
                </c:pt>
                <c:pt idx="877">
                  <c:v>-46.08</c:v>
                </c:pt>
                <c:pt idx="878">
                  <c:v>-46.14</c:v>
                </c:pt>
                <c:pt idx="879">
                  <c:v>-46.21</c:v>
                </c:pt>
                <c:pt idx="880">
                  <c:v>-46.85</c:v>
                </c:pt>
                <c:pt idx="881">
                  <c:v>-46.42</c:v>
                </c:pt>
                <c:pt idx="882">
                  <c:v>-46.18</c:v>
                </c:pt>
                <c:pt idx="883">
                  <c:v>-45.95</c:v>
                </c:pt>
                <c:pt idx="884">
                  <c:v>-45.45</c:v>
                </c:pt>
                <c:pt idx="885">
                  <c:v>-45.04</c:v>
                </c:pt>
                <c:pt idx="886">
                  <c:v>-45.51</c:v>
                </c:pt>
                <c:pt idx="887">
                  <c:v>-45.32</c:v>
                </c:pt>
                <c:pt idx="888">
                  <c:v>-45.13</c:v>
                </c:pt>
                <c:pt idx="889">
                  <c:v>-45.79</c:v>
                </c:pt>
                <c:pt idx="890">
                  <c:v>-45.88</c:v>
                </c:pt>
                <c:pt idx="891">
                  <c:v>-45.96</c:v>
                </c:pt>
                <c:pt idx="892">
                  <c:v>-45.91</c:v>
                </c:pt>
                <c:pt idx="893">
                  <c:v>-45.96</c:v>
                </c:pt>
                <c:pt idx="894">
                  <c:v>-46.02</c:v>
                </c:pt>
                <c:pt idx="895">
                  <c:v>-46.57</c:v>
                </c:pt>
                <c:pt idx="896">
                  <c:v>-46.86</c:v>
                </c:pt>
                <c:pt idx="897">
                  <c:v>-47.14</c:v>
                </c:pt>
                <c:pt idx="898">
                  <c:v>-46.6</c:v>
                </c:pt>
                <c:pt idx="899">
                  <c:v>-46.16</c:v>
                </c:pt>
                <c:pt idx="900">
                  <c:v>-46.2</c:v>
                </c:pt>
                <c:pt idx="901">
                  <c:v>-46.77</c:v>
                </c:pt>
                <c:pt idx="902">
                  <c:v>-46.72</c:v>
                </c:pt>
                <c:pt idx="903">
                  <c:v>-45.67</c:v>
                </c:pt>
                <c:pt idx="904">
                  <c:v>-45.49</c:v>
                </c:pt>
                <c:pt idx="905">
                  <c:v>-45.38</c:v>
                </c:pt>
                <c:pt idx="906">
                  <c:v>-45.03</c:v>
                </c:pt>
                <c:pt idx="907">
                  <c:v>-44.93</c:v>
                </c:pt>
                <c:pt idx="908">
                  <c:v>-46.55</c:v>
                </c:pt>
                <c:pt idx="909">
                  <c:v>-46.05</c:v>
                </c:pt>
                <c:pt idx="910">
                  <c:v>-45.76</c:v>
                </c:pt>
                <c:pt idx="911">
                  <c:v>-45.73</c:v>
                </c:pt>
                <c:pt idx="912">
                  <c:v>-45.26</c:v>
                </c:pt>
                <c:pt idx="913">
                  <c:v>-44.93</c:v>
                </c:pt>
                <c:pt idx="914">
                  <c:v>-44.76</c:v>
                </c:pt>
                <c:pt idx="915">
                  <c:v>-44.68</c:v>
                </c:pt>
                <c:pt idx="916">
                  <c:v>-45.41</c:v>
                </c:pt>
                <c:pt idx="917">
                  <c:v>-45.82</c:v>
                </c:pt>
                <c:pt idx="918">
                  <c:v>-45.55</c:v>
                </c:pt>
                <c:pt idx="919">
                  <c:v>-45.29</c:v>
                </c:pt>
                <c:pt idx="920">
                  <c:v>-45.4</c:v>
                </c:pt>
                <c:pt idx="921">
                  <c:v>-45.34</c:v>
                </c:pt>
                <c:pt idx="922">
                  <c:v>-45.26</c:v>
                </c:pt>
                <c:pt idx="923">
                  <c:v>-45.75</c:v>
                </c:pt>
                <c:pt idx="924">
                  <c:v>-45.64</c:v>
                </c:pt>
                <c:pt idx="925">
                  <c:v>-45.53</c:v>
                </c:pt>
                <c:pt idx="926">
                  <c:v>-45.42</c:v>
                </c:pt>
                <c:pt idx="927">
                  <c:v>-45.65</c:v>
                </c:pt>
                <c:pt idx="928">
                  <c:v>-45.88</c:v>
                </c:pt>
                <c:pt idx="929">
                  <c:v>-45.13</c:v>
                </c:pt>
                <c:pt idx="930">
                  <c:v>-45.38</c:v>
                </c:pt>
                <c:pt idx="931">
                  <c:v>-45.5</c:v>
                </c:pt>
                <c:pt idx="932">
                  <c:v>-46.5</c:v>
                </c:pt>
                <c:pt idx="933">
                  <c:v>-47.18</c:v>
                </c:pt>
                <c:pt idx="934">
                  <c:v>-48.23</c:v>
                </c:pt>
                <c:pt idx="935">
                  <c:v>-47.31</c:v>
                </c:pt>
                <c:pt idx="936">
                  <c:v>-46.76</c:v>
                </c:pt>
                <c:pt idx="937">
                  <c:v>-46.44</c:v>
                </c:pt>
                <c:pt idx="938">
                  <c:v>-46.11</c:v>
                </c:pt>
                <c:pt idx="939">
                  <c:v>-45.76</c:v>
                </c:pt>
                <c:pt idx="940">
                  <c:v>-46</c:v>
                </c:pt>
                <c:pt idx="941">
                  <c:v>-46.62</c:v>
                </c:pt>
                <c:pt idx="942">
                  <c:v>-47.03</c:v>
                </c:pt>
                <c:pt idx="943">
                  <c:v>-46.83</c:v>
                </c:pt>
                <c:pt idx="944">
                  <c:v>-46.65</c:v>
                </c:pt>
                <c:pt idx="945">
                  <c:v>-46.67</c:v>
                </c:pt>
                <c:pt idx="946">
                  <c:v>-46.08</c:v>
                </c:pt>
                <c:pt idx="947">
                  <c:v>-45.22</c:v>
                </c:pt>
                <c:pt idx="948">
                  <c:v>-44.88</c:v>
                </c:pt>
                <c:pt idx="949">
                  <c:v>-44.76</c:v>
                </c:pt>
                <c:pt idx="950">
                  <c:v>-44.66</c:v>
                </c:pt>
                <c:pt idx="951">
                  <c:v>-44.69</c:v>
                </c:pt>
                <c:pt idx="952">
                  <c:v>-44.32</c:v>
                </c:pt>
                <c:pt idx="953">
                  <c:v>-44.28</c:v>
                </c:pt>
                <c:pt idx="954">
                  <c:v>-44.24</c:v>
                </c:pt>
                <c:pt idx="955">
                  <c:v>-44.13</c:v>
                </c:pt>
                <c:pt idx="956">
                  <c:v>-43.88</c:v>
                </c:pt>
                <c:pt idx="957">
                  <c:v>-44.39</c:v>
                </c:pt>
                <c:pt idx="958">
                  <c:v>-44.62</c:v>
                </c:pt>
                <c:pt idx="959">
                  <c:v>-44.58</c:v>
                </c:pt>
                <c:pt idx="960">
                  <c:v>-44.57</c:v>
                </c:pt>
                <c:pt idx="961">
                  <c:v>-44.57</c:v>
                </c:pt>
                <c:pt idx="962">
                  <c:v>-44.3</c:v>
                </c:pt>
                <c:pt idx="963">
                  <c:v>-43.98</c:v>
                </c:pt>
                <c:pt idx="964">
                  <c:v>-43.78</c:v>
                </c:pt>
                <c:pt idx="965">
                  <c:v>-44.38</c:v>
                </c:pt>
                <c:pt idx="966">
                  <c:v>-44.38</c:v>
                </c:pt>
                <c:pt idx="967">
                  <c:v>-44.33</c:v>
                </c:pt>
                <c:pt idx="968">
                  <c:v>-44.26</c:v>
                </c:pt>
                <c:pt idx="969">
                  <c:v>-44.13</c:v>
                </c:pt>
                <c:pt idx="970">
                  <c:v>-45.4</c:v>
                </c:pt>
                <c:pt idx="971">
                  <c:v>-45.62</c:v>
                </c:pt>
                <c:pt idx="972">
                  <c:v>-44.52</c:v>
                </c:pt>
                <c:pt idx="973">
                  <c:v>-45.03</c:v>
                </c:pt>
                <c:pt idx="974">
                  <c:v>-44.55</c:v>
                </c:pt>
                <c:pt idx="975">
                  <c:v>-43.63</c:v>
                </c:pt>
                <c:pt idx="976">
                  <c:v>-43.14</c:v>
                </c:pt>
                <c:pt idx="977">
                  <c:v>-44.62</c:v>
                </c:pt>
                <c:pt idx="978">
                  <c:v>-44.73</c:v>
                </c:pt>
                <c:pt idx="979">
                  <c:v>-49.97</c:v>
                </c:pt>
                <c:pt idx="980">
                  <c:v>-56.09</c:v>
                </c:pt>
                <c:pt idx="981">
                  <c:v>-61.04</c:v>
                </c:pt>
                <c:pt idx="982">
                  <c:v>-63.87</c:v>
                </c:pt>
                <c:pt idx="983">
                  <c:v>-66.7</c:v>
                </c:pt>
                <c:pt idx="984">
                  <c:v>-70.38</c:v>
                </c:pt>
                <c:pt idx="985">
                  <c:v>-74.66</c:v>
                </c:pt>
                <c:pt idx="986">
                  <c:v>-80.09</c:v>
                </c:pt>
                <c:pt idx="987">
                  <c:v>-83.91</c:v>
                </c:pt>
                <c:pt idx="988">
                  <c:v>-89.12</c:v>
                </c:pt>
                <c:pt idx="989">
                  <c:v>-92.64</c:v>
                </c:pt>
                <c:pt idx="990">
                  <c:v>-100.01</c:v>
                </c:pt>
                <c:pt idx="991">
                  <c:v>-102.15</c:v>
                </c:pt>
                <c:pt idx="992">
                  <c:v>-107.08</c:v>
                </c:pt>
                <c:pt idx="993">
                  <c:v>-113.79</c:v>
                </c:pt>
                <c:pt idx="994">
                  <c:v>-118.93</c:v>
                </c:pt>
                <c:pt idx="995">
                  <c:v>-122.16</c:v>
                </c:pt>
                <c:pt idx="996">
                  <c:v>-125.39</c:v>
                </c:pt>
                <c:pt idx="997">
                  <c:v>-129.74</c:v>
                </c:pt>
                <c:pt idx="998">
                  <c:v>-135.12</c:v>
                </c:pt>
                <c:pt idx="999">
                  <c:v>-143.71</c:v>
                </c:pt>
                <c:pt idx="1000">
                  <c:v>-148.88</c:v>
                </c:pt>
                <c:pt idx="1001">
                  <c:v>-151.79</c:v>
                </c:pt>
                <c:pt idx="1002">
                  <c:v>-158.37</c:v>
                </c:pt>
                <c:pt idx="1003">
                  <c:v>-162.16</c:v>
                </c:pt>
                <c:pt idx="1004">
                  <c:v>-165.95</c:v>
                </c:pt>
                <c:pt idx="1005">
                  <c:v>-172.73</c:v>
                </c:pt>
                <c:pt idx="1006">
                  <c:v>-182.3</c:v>
                </c:pt>
                <c:pt idx="1007">
                  <c:v>-183.1</c:v>
                </c:pt>
                <c:pt idx="1008">
                  <c:v>-185.64</c:v>
                </c:pt>
                <c:pt idx="1009">
                  <c:v>-191.75</c:v>
                </c:pt>
                <c:pt idx="1010">
                  <c:v>-195.32</c:v>
                </c:pt>
                <c:pt idx="1011">
                  <c:v>-199.14</c:v>
                </c:pt>
                <c:pt idx="1012">
                  <c:v>-202.93</c:v>
                </c:pt>
                <c:pt idx="1013">
                  <c:v>-206.94</c:v>
                </c:pt>
                <c:pt idx="1014">
                  <c:v>-207.33</c:v>
                </c:pt>
                <c:pt idx="1015">
                  <c:v>-209.48</c:v>
                </c:pt>
                <c:pt idx="1016">
                  <c:v>-209.73</c:v>
                </c:pt>
                <c:pt idx="1017">
                  <c:v>-210.86</c:v>
                </c:pt>
                <c:pt idx="1018">
                  <c:v>-212.4</c:v>
                </c:pt>
                <c:pt idx="1019">
                  <c:v>-213.14</c:v>
                </c:pt>
                <c:pt idx="1020">
                  <c:v>-214.83</c:v>
                </c:pt>
                <c:pt idx="1021">
                  <c:v>-216.13</c:v>
                </c:pt>
                <c:pt idx="1022">
                  <c:v>-217.48</c:v>
                </c:pt>
                <c:pt idx="1023">
                  <c:v>-219.23</c:v>
                </c:pt>
                <c:pt idx="1024">
                  <c:v>-219.26</c:v>
                </c:pt>
                <c:pt idx="1025">
                  <c:v>-219.51</c:v>
                </c:pt>
                <c:pt idx="1026">
                  <c:v>-220.03</c:v>
                </c:pt>
                <c:pt idx="1027">
                  <c:v>-220.83</c:v>
                </c:pt>
                <c:pt idx="1028">
                  <c:v>-222.57</c:v>
                </c:pt>
                <c:pt idx="1029">
                  <c:v>-224.05</c:v>
                </c:pt>
                <c:pt idx="1030">
                  <c:v>-224.37</c:v>
                </c:pt>
                <c:pt idx="1031">
                  <c:v>-226.39</c:v>
                </c:pt>
                <c:pt idx="1032">
                  <c:v>-227.17</c:v>
                </c:pt>
                <c:pt idx="1033">
                  <c:v>-228.92</c:v>
                </c:pt>
                <c:pt idx="1034">
                  <c:v>-231.05</c:v>
                </c:pt>
                <c:pt idx="1035">
                  <c:v>-231.99</c:v>
                </c:pt>
                <c:pt idx="1036">
                  <c:v>-232.87</c:v>
                </c:pt>
                <c:pt idx="1037">
                  <c:v>-234.92</c:v>
                </c:pt>
                <c:pt idx="1038">
                  <c:v>-235.64</c:v>
                </c:pt>
                <c:pt idx="1039">
                  <c:v>-237.55</c:v>
                </c:pt>
                <c:pt idx="1040">
                  <c:v>-238.78</c:v>
                </c:pt>
                <c:pt idx="1041">
                  <c:v>-239.76</c:v>
                </c:pt>
                <c:pt idx="1042">
                  <c:v>-239.85</c:v>
                </c:pt>
                <c:pt idx="1043">
                  <c:v>-240.47</c:v>
                </c:pt>
                <c:pt idx="1044">
                  <c:v>-240.73</c:v>
                </c:pt>
                <c:pt idx="1045">
                  <c:v>-244.49</c:v>
                </c:pt>
                <c:pt idx="1046">
                  <c:v>-247.5</c:v>
                </c:pt>
                <c:pt idx="1047">
                  <c:v>-249.22</c:v>
                </c:pt>
                <c:pt idx="1048">
                  <c:v>-249.54</c:v>
                </c:pt>
                <c:pt idx="1049">
                  <c:v>-250.47</c:v>
                </c:pt>
                <c:pt idx="1050">
                  <c:v>-250.67</c:v>
                </c:pt>
                <c:pt idx="1051">
                  <c:v>-251.87</c:v>
                </c:pt>
                <c:pt idx="1052">
                  <c:v>-252.97</c:v>
                </c:pt>
                <c:pt idx="1053">
                  <c:v>-253.48</c:v>
                </c:pt>
                <c:pt idx="1054">
                  <c:v>-254.53</c:v>
                </c:pt>
                <c:pt idx="1055">
                  <c:v>-245.77</c:v>
                </c:pt>
                <c:pt idx="1056">
                  <c:v>-247.41</c:v>
                </c:pt>
                <c:pt idx="1057">
                  <c:v>-247.33</c:v>
                </c:pt>
                <c:pt idx="1058">
                  <c:v>-249.01</c:v>
                </c:pt>
                <c:pt idx="1059">
                  <c:v>-244.33</c:v>
                </c:pt>
                <c:pt idx="1060">
                  <c:v>-241.15</c:v>
                </c:pt>
                <c:pt idx="1061">
                  <c:v>-239.74</c:v>
                </c:pt>
                <c:pt idx="1062">
                  <c:v>-236.48</c:v>
                </c:pt>
                <c:pt idx="1063">
                  <c:v>-229.87</c:v>
                </c:pt>
                <c:pt idx="1064">
                  <c:v>-223.71</c:v>
                </c:pt>
                <c:pt idx="1065">
                  <c:v>-219.72</c:v>
                </c:pt>
                <c:pt idx="1066">
                  <c:v>-215.15</c:v>
                </c:pt>
                <c:pt idx="1067">
                  <c:v>-205.37</c:v>
                </c:pt>
                <c:pt idx="1068">
                  <c:v>-196.36</c:v>
                </c:pt>
                <c:pt idx="1069">
                  <c:v>-190.27</c:v>
                </c:pt>
                <c:pt idx="1070">
                  <c:v>-184.32</c:v>
                </c:pt>
                <c:pt idx="1071">
                  <c:v>-182.17</c:v>
                </c:pt>
                <c:pt idx="1072">
                  <c:v>-182.12</c:v>
                </c:pt>
                <c:pt idx="1073">
                  <c:v>-178.72</c:v>
                </c:pt>
                <c:pt idx="1074">
                  <c:v>-178.19</c:v>
                </c:pt>
                <c:pt idx="1075">
                  <c:v>-177.65</c:v>
                </c:pt>
                <c:pt idx="1076">
                  <c:v>-177.11</c:v>
                </c:pt>
                <c:pt idx="1077">
                  <c:v>-172.57</c:v>
                </c:pt>
                <c:pt idx="1078">
                  <c:v>-172.52</c:v>
                </c:pt>
                <c:pt idx="1079">
                  <c:v>-168.26</c:v>
                </c:pt>
                <c:pt idx="1080">
                  <c:v>-168.18</c:v>
                </c:pt>
                <c:pt idx="1081">
                  <c:v>-168.1</c:v>
                </c:pt>
                <c:pt idx="1082">
                  <c:v>-167.27</c:v>
                </c:pt>
                <c:pt idx="1083">
                  <c:v>-163.54</c:v>
                </c:pt>
                <c:pt idx="1084">
                  <c:v>-163.29</c:v>
                </c:pt>
                <c:pt idx="1085">
                  <c:v>-163.29</c:v>
                </c:pt>
                <c:pt idx="1086">
                  <c:v>-163.09</c:v>
                </c:pt>
                <c:pt idx="1087">
                  <c:v>-162.93</c:v>
                </c:pt>
                <c:pt idx="1088">
                  <c:v>-159.99</c:v>
                </c:pt>
                <c:pt idx="1089">
                  <c:v>-159.16999999999999</c:v>
                </c:pt>
                <c:pt idx="1090">
                  <c:v>-158.22999999999999</c:v>
                </c:pt>
                <c:pt idx="1091">
                  <c:v>-158.11000000000001</c:v>
                </c:pt>
                <c:pt idx="1092">
                  <c:v>-155.01</c:v>
                </c:pt>
              </c:numCache>
            </c:numRef>
          </c:yVal>
          <c:smooth val="0"/>
          <c:extLst>
            <c:ext xmlns:c16="http://schemas.microsoft.com/office/drawing/2014/chart" uri="{C3380CC4-5D6E-409C-BE32-E72D297353CC}">
              <c16:uniqueId val="{00000007-F133-4C85-A697-0DE7DD632797}"/>
            </c:ext>
          </c:extLst>
        </c:ser>
        <c:ser>
          <c:idx val="7"/>
          <c:order val="1"/>
          <c:tx>
            <c:strRef>
              <c:f>'R Semanal'!$AW$1:$AY$1</c:f>
              <c:strCache>
                <c:ptCount val="1"/>
                <c:pt idx="0">
                  <c:v>CONTORNO CORONA 2025</c:v>
                </c:pt>
              </c:strCache>
            </c:strRef>
          </c:tx>
          <c:spPr>
            <a:ln w="25400" cap="rnd">
              <a:solidFill>
                <a:schemeClr val="bg1">
                  <a:lumMod val="65000"/>
                </a:schemeClr>
              </a:solidFill>
              <a:prstDash val="lgDash"/>
              <a:round/>
            </a:ln>
            <a:effectLst/>
          </c:spPr>
          <c:marker>
            <c:symbol val="none"/>
          </c:marker>
          <c:xVal>
            <c:numRef>
              <c:f>'R Semanal'!$AX$2:$AX$360</c:f>
              <c:numCache>
                <c:formatCode>0\+000</c:formatCode>
                <c:ptCount val="359"/>
                <c:pt idx="0">
                  <c:v>3.68</c:v>
                </c:pt>
                <c:pt idx="1">
                  <c:v>19.07</c:v>
                </c:pt>
                <c:pt idx="2">
                  <c:v>41.82</c:v>
                </c:pt>
                <c:pt idx="3">
                  <c:v>64.569999999999993</c:v>
                </c:pt>
                <c:pt idx="4">
                  <c:v>87.32</c:v>
                </c:pt>
                <c:pt idx="5">
                  <c:v>110.08</c:v>
                </c:pt>
                <c:pt idx="6">
                  <c:v>132.83000000000001</c:v>
                </c:pt>
                <c:pt idx="7">
                  <c:v>155.58000000000001</c:v>
                </c:pt>
                <c:pt idx="8">
                  <c:v>178.33</c:v>
                </c:pt>
                <c:pt idx="9">
                  <c:v>205.09</c:v>
                </c:pt>
                <c:pt idx="10">
                  <c:v>225.08</c:v>
                </c:pt>
                <c:pt idx="11">
                  <c:v>249.35</c:v>
                </c:pt>
                <c:pt idx="12">
                  <c:v>273.63</c:v>
                </c:pt>
                <c:pt idx="13">
                  <c:v>297.89999999999998</c:v>
                </c:pt>
                <c:pt idx="14">
                  <c:v>322.17</c:v>
                </c:pt>
                <c:pt idx="15">
                  <c:v>346.44</c:v>
                </c:pt>
                <c:pt idx="16">
                  <c:v>370.71</c:v>
                </c:pt>
                <c:pt idx="17">
                  <c:v>394.98</c:v>
                </c:pt>
                <c:pt idx="18">
                  <c:v>419.25</c:v>
                </c:pt>
                <c:pt idx="19">
                  <c:v>443.52</c:v>
                </c:pt>
                <c:pt idx="20">
                  <c:v>467.8</c:v>
                </c:pt>
                <c:pt idx="21">
                  <c:v>492.07</c:v>
                </c:pt>
                <c:pt idx="22">
                  <c:v>516.34</c:v>
                </c:pt>
                <c:pt idx="23">
                  <c:v>540.61</c:v>
                </c:pt>
                <c:pt idx="24">
                  <c:v>564.89</c:v>
                </c:pt>
                <c:pt idx="25">
                  <c:v>589.16</c:v>
                </c:pt>
                <c:pt idx="26">
                  <c:v>613.41</c:v>
                </c:pt>
                <c:pt idx="27">
                  <c:v>637.22</c:v>
                </c:pt>
                <c:pt idx="28">
                  <c:v>659.92</c:v>
                </c:pt>
                <c:pt idx="29">
                  <c:v>680.9</c:v>
                </c:pt>
                <c:pt idx="30">
                  <c:v>719.14</c:v>
                </c:pt>
                <c:pt idx="31">
                  <c:v>741.81</c:v>
                </c:pt>
                <c:pt idx="32">
                  <c:v>761.46</c:v>
                </c:pt>
                <c:pt idx="33">
                  <c:v>785.74</c:v>
                </c:pt>
                <c:pt idx="34">
                  <c:v>810.02</c:v>
                </c:pt>
                <c:pt idx="35">
                  <c:v>834.3</c:v>
                </c:pt>
                <c:pt idx="36">
                  <c:v>858.58</c:v>
                </c:pt>
                <c:pt idx="37">
                  <c:v>882.86</c:v>
                </c:pt>
                <c:pt idx="38">
                  <c:v>907.14</c:v>
                </c:pt>
                <c:pt idx="39">
                  <c:v>931.42</c:v>
                </c:pt>
                <c:pt idx="40">
                  <c:v>955.7</c:v>
                </c:pt>
                <c:pt idx="41">
                  <c:v>979.98</c:v>
                </c:pt>
                <c:pt idx="42">
                  <c:v>1004.26</c:v>
                </c:pt>
                <c:pt idx="43">
                  <c:v>1028.54</c:v>
                </c:pt>
                <c:pt idx="44">
                  <c:v>1052.82</c:v>
                </c:pt>
                <c:pt idx="45">
                  <c:v>1077.0999999999999</c:v>
                </c:pt>
                <c:pt idx="46">
                  <c:v>1101.3800000000001</c:v>
                </c:pt>
                <c:pt idx="47">
                  <c:v>1125.6600000000001</c:v>
                </c:pt>
                <c:pt idx="48">
                  <c:v>1149.94</c:v>
                </c:pt>
                <c:pt idx="49">
                  <c:v>1174.22</c:v>
                </c:pt>
                <c:pt idx="50">
                  <c:v>1198.5</c:v>
                </c:pt>
                <c:pt idx="51">
                  <c:v>1222.78</c:v>
                </c:pt>
                <c:pt idx="52">
                  <c:v>1247.06</c:v>
                </c:pt>
                <c:pt idx="53">
                  <c:v>1271.3399999999999</c:v>
                </c:pt>
                <c:pt idx="54">
                  <c:v>1295.6199999999999</c:v>
                </c:pt>
                <c:pt idx="55">
                  <c:v>1319.9</c:v>
                </c:pt>
                <c:pt idx="56">
                  <c:v>1344.18</c:v>
                </c:pt>
                <c:pt idx="57">
                  <c:v>1368.46</c:v>
                </c:pt>
                <c:pt idx="58">
                  <c:v>1392.74</c:v>
                </c:pt>
                <c:pt idx="59">
                  <c:v>1417.02</c:v>
                </c:pt>
                <c:pt idx="60">
                  <c:v>1441.3</c:v>
                </c:pt>
                <c:pt idx="61">
                  <c:v>1465.58</c:v>
                </c:pt>
                <c:pt idx="62">
                  <c:v>1489.86</c:v>
                </c:pt>
                <c:pt idx="63">
                  <c:v>1514.14</c:v>
                </c:pt>
                <c:pt idx="64">
                  <c:v>1538.42</c:v>
                </c:pt>
                <c:pt idx="65">
                  <c:v>1562.7</c:v>
                </c:pt>
                <c:pt idx="66">
                  <c:v>1586.98</c:v>
                </c:pt>
                <c:pt idx="67">
                  <c:v>1611.26</c:v>
                </c:pt>
                <c:pt idx="68">
                  <c:v>1635.54</c:v>
                </c:pt>
                <c:pt idx="69">
                  <c:v>1659.82</c:v>
                </c:pt>
                <c:pt idx="70">
                  <c:v>1689.44</c:v>
                </c:pt>
                <c:pt idx="71">
                  <c:v>1703.99</c:v>
                </c:pt>
                <c:pt idx="72">
                  <c:v>1722.65</c:v>
                </c:pt>
                <c:pt idx="73">
                  <c:v>1741.3</c:v>
                </c:pt>
                <c:pt idx="74">
                  <c:v>1759.95</c:v>
                </c:pt>
                <c:pt idx="75">
                  <c:v>1778.6</c:v>
                </c:pt>
                <c:pt idx="76">
                  <c:v>1797.26</c:v>
                </c:pt>
                <c:pt idx="77">
                  <c:v>1815.91</c:v>
                </c:pt>
                <c:pt idx="78">
                  <c:v>1834.56</c:v>
                </c:pt>
                <c:pt idx="79">
                  <c:v>1853.22</c:v>
                </c:pt>
                <c:pt idx="80">
                  <c:v>1871.87</c:v>
                </c:pt>
                <c:pt idx="81">
                  <c:v>1891.71</c:v>
                </c:pt>
                <c:pt idx="82">
                  <c:v>1914.14</c:v>
                </c:pt>
                <c:pt idx="83">
                  <c:v>1938.09</c:v>
                </c:pt>
                <c:pt idx="84">
                  <c:v>1962.04</c:v>
                </c:pt>
                <c:pt idx="85">
                  <c:v>1986</c:v>
                </c:pt>
                <c:pt idx="86">
                  <c:v>2009.95</c:v>
                </c:pt>
                <c:pt idx="87">
                  <c:v>2033.91</c:v>
                </c:pt>
                <c:pt idx="88">
                  <c:v>2057.86</c:v>
                </c:pt>
                <c:pt idx="89">
                  <c:v>2081.81</c:v>
                </c:pt>
                <c:pt idx="90">
                  <c:v>2105.77</c:v>
                </c:pt>
                <c:pt idx="91">
                  <c:v>2129.7199999999998</c:v>
                </c:pt>
                <c:pt idx="92">
                  <c:v>2153.6799999999998</c:v>
                </c:pt>
                <c:pt idx="93">
                  <c:v>2177.63</c:v>
                </c:pt>
                <c:pt idx="94">
                  <c:v>2201.59</c:v>
                </c:pt>
                <c:pt idx="95">
                  <c:v>2225.54</c:v>
                </c:pt>
                <c:pt idx="96">
                  <c:v>2249.4899999999998</c:v>
                </c:pt>
                <c:pt idx="97">
                  <c:v>2273.4499999999998</c:v>
                </c:pt>
                <c:pt idx="98">
                  <c:v>2297.4</c:v>
                </c:pt>
                <c:pt idx="99">
                  <c:v>2321.36</c:v>
                </c:pt>
                <c:pt idx="101">
                  <c:v>13.78</c:v>
                </c:pt>
                <c:pt idx="102">
                  <c:v>36.29</c:v>
                </c:pt>
                <c:pt idx="103">
                  <c:v>58.8</c:v>
                </c:pt>
                <c:pt idx="104">
                  <c:v>81.31</c:v>
                </c:pt>
                <c:pt idx="105">
                  <c:v>103.82</c:v>
                </c:pt>
                <c:pt idx="106">
                  <c:v>126.33</c:v>
                </c:pt>
                <c:pt idx="107">
                  <c:v>148.84</c:v>
                </c:pt>
                <c:pt idx="108">
                  <c:v>171.35</c:v>
                </c:pt>
                <c:pt idx="109">
                  <c:v>193.86</c:v>
                </c:pt>
                <c:pt idx="110">
                  <c:v>214.75</c:v>
                </c:pt>
                <c:pt idx="111">
                  <c:v>240.49</c:v>
                </c:pt>
                <c:pt idx="112">
                  <c:v>264.51</c:v>
                </c:pt>
                <c:pt idx="113">
                  <c:v>288.52</c:v>
                </c:pt>
                <c:pt idx="114">
                  <c:v>312.54000000000002</c:v>
                </c:pt>
                <c:pt idx="115">
                  <c:v>336.55</c:v>
                </c:pt>
                <c:pt idx="116">
                  <c:v>360.57</c:v>
                </c:pt>
                <c:pt idx="117">
                  <c:v>384.58</c:v>
                </c:pt>
                <c:pt idx="118">
                  <c:v>408.59</c:v>
                </c:pt>
                <c:pt idx="119">
                  <c:v>432.61</c:v>
                </c:pt>
                <c:pt idx="120">
                  <c:v>456.62</c:v>
                </c:pt>
                <c:pt idx="121">
                  <c:v>480.64</c:v>
                </c:pt>
                <c:pt idx="122">
                  <c:v>504.65</c:v>
                </c:pt>
                <c:pt idx="123">
                  <c:v>528.66</c:v>
                </c:pt>
                <c:pt idx="124">
                  <c:v>552.67999999999995</c:v>
                </c:pt>
                <c:pt idx="125">
                  <c:v>576.70000000000005</c:v>
                </c:pt>
                <c:pt idx="126">
                  <c:v>600.72</c:v>
                </c:pt>
                <c:pt idx="127">
                  <c:v>624.38</c:v>
                </c:pt>
                <c:pt idx="128">
                  <c:v>646.36</c:v>
                </c:pt>
                <c:pt idx="129">
                  <c:v>665.7</c:v>
                </c:pt>
                <c:pt idx="130">
                  <c:v>684.54</c:v>
                </c:pt>
                <c:pt idx="131">
                  <c:v>703.38</c:v>
                </c:pt>
                <c:pt idx="132">
                  <c:v>724.34</c:v>
                </c:pt>
                <c:pt idx="133">
                  <c:v>745.65</c:v>
                </c:pt>
                <c:pt idx="134">
                  <c:v>769.68</c:v>
                </c:pt>
                <c:pt idx="135">
                  <c:v>793.7</c:v>
                </c:pt>
                <c:pt idx="136">
                  <c:v>817.72</c:v>
                </c:pt>
                <c:pt idx="137">
                  <c:v>841.74</c:v>
                </c:pt>
                <c:pt idx="138">
                  <c:v>865.77</c:v>
                </c:pt>
                <c:pt idx="139">
                  <c:v>889.79</c:v>
                </c:pt>
                <c:pt idx="140">
                  <c:v>913.81</c:v>
                </c:pt>
                <c:pt idx="141">
                  <c:v>937.84</c:v>
                </c:pt>
                <c:pt idx="142">
                  <c:v>961.86</c:v>
                </c:pt>
                <c:pt idx="143">
                  <c:v>985.88</c:v>
                </c:pt>
                <c:pt idx="144">
                  <c:v>1009.9</c:v>
                </c:pt>
                <c:pt idx="145">
                  <c:v>1033.93</c:v>
                </c:pt>
                <c:pt idx="146">
                  <c:v>1057.95</c:v>
                </c:pt>
                <c:pt idx="147">
                  <c:v>1081.97</c:v>
                </c:pt>
                <c:pt idx="148">
                  <c:v>1105.99</c:v>
                </c:pt>
                <c:pt idx="149">
                  <c:v>1130.02</c:v>
                </c:pt>
                <c:pt idx="150">
                  <c:v>1154.04</c:v>
                </c:pt>
                <c:pt idx="151">
                  <c:v>1178.06</c:v>
                </c:pt>
                <c:pt idx="152">
                  <c:v>1202.08</c:v>
                </c:pt>
                <c:pt idx="153">
                  <c:v>1226.1099999999999</c:v>
                </c:pt>
                <c:pt idx="154">
                  <c:v>1250.1300000000001</c:v>
                </c:pt>
                <c:pt idx="155">
                  <c:v>1274.1500000000001</c:v>
                </c:pt>
                <c:pt idx="156">
                  <c:v>1298.18</c:v>
                </c:pt>
                <c:pt idx="157">
                  <c:v>1322.2</c:v>
                </c:pt>
                <c:pt idx="158">
                  <c:v>1346.22</c:v>
                </c:pt>
                <c:pt idx="159">
                  <c:v>1370.24</c:v>
                </c:pt>
                <c:pt idx="160">
                  <c:v>1394.27</c:v>
                </c:pt>
                <c:pt idx="161">
                  <c:v>1418.29</c:v>
                </c:pt>
                <c:pt idx="162">
                  <c:v>1442.31</c:v>
                </c:pt>
                <c:pt idx="163">
                  <c:v>1466.33</c:v>
                </c:pt>
                <c:pt idx="164">
                  <c:v>1490.36</c:v>
                </c:pt>
                <c:pt idx="165">
                  <c:v>1514.38</c:v>
                </c:pt>
                <c:pt idx="166">
                  <c:v>1538.4</c:v>
                </c:pt>
                <c:pt idx="167">
                  <c:v>1562.43</c:v>
                </c:pt>
                <c:pt idx="168">
                  <c:v>1586.45</c:v>
                </c:pt>
                <c:pt idx="169">
                  <c:v>1610.47</c:v>
                </c:pt>
                <c:pt idx="170">
                  <c:v>1634.49</c:v>
                </c:pt>
                <c:pt idx="171">
                  <c:v>1658.52</c:v>
                </c:pt>
                <c:pt idx="172">
                  <c:v>1671.34</c:v>
                </c:pt>
                <c:pt idx="173">
                  <c:v>1698.4</c:v>
                </c:pt>
                <c:pt idx="174">
                  <c:v>1716.85</c:v>
                </c:pt>
                <c:pt idx="175">
                  <c:v>1735.31</c:v>
                </c:pt>
                <c:pt idx="176">
                  <c:v>1753.76</c:v>
                </c:pt>
                <c:pt idx="177">
                  <c:v>1772.22</c:v>
                </c:pt>
                <c:pt idx="178">
                  <c:v>1790.67</c:v>
                </c:pt>
                <c:pt idx="179">
                  <c:v>1809.13</c:v>
                </c:pt>
                <c:pt idx="180">
                  <c:v>1827.58</c:v>
                </c:pt>
                <c:pt idx="181">
                  <c:v>1846.04</c:v>
                </c:pt>
                <c:pt idx="182">
                  <c:v>1870.14</c:v>
                </c:pt>
                <c:pt idx="183">
                  <c:v>1886.59</c:v>
                </c:pt>
                <c:pt idx="184">
                  <c:v>1910.29</c:v>
                </c:pt>
                <c:pt idx="185">
                  <c:v>1933.99</c:v>
                </c:pt>
                <c:pt idx="186">
                  <c:v>1957.69</c:v>
                </c:pt>
                <c:pt idx="187">
                  <c:v>1981.39</c:v>
                </c:pt>
                <c:pt idx="188">
                  <c:v>2005.09</c:v>
                </c:pt>
                <c:pt idx="189">
                  <c:v>2028.79</c:v>
                </c:pt>
                <c:pt idx="190">
                  <c:v>2052.4899999999998</c:v>
                </c:pt>
                <c:pt idx="191">
                  <c:v>2076.19</c:v>
                </c:pt>
                <c:pt idx="192">
                  <c:v>2099.89</c:v>
                </c:pt>
                <c:pt idx="193">
                  <c:v>2123.59</c:v>
                </c:pt>
                <c:pt idx="194">
                  <c:v>2147.29</c:v>
                </c:pt>
                <c:pt idx="195">
                  <c:v>2170.9899999999998</c:v>
                </c:pt>
                <c:pt idx="196">
                  <c:v>2194.69</c:v>
                </c:pt>
                <c:pt idx="197">
                  <c:v>2218.39</c:v>
                </c:pt>
                <c:pt idx="198">
                  <c:v>2242.09</c:v>
                </c:pt>
                <c:pt idx="199">
                  <c:v>2265.79</c:v>
                </c:pt>
                <c:pt idx="200">
                  <c:v>2289.4899999999998</c:v>
                </c:pt>
                <c:pt idx="201">
                  <c:v>2313.19</c:v>
                </c:pt>
              </c:numCache>
            </c:numRef>
          </c:xVal>
          <c:yVal>
            <c:numRef>
              <c:f>'R Semanal'!$AY$2:$AY$360</c:f>
              <c:numCache>
                <c:formatCode>0\+000</c:formatCode>
                <c:ptCount val="359"/>
                <c:pt idx="0">
                  <c:v>-11.37</c:v>
                </c:pt>
                <c:pt idx="1">
                  <c:v>19.850000000000001</c:v>
                </c:pt>
                <c:pt idx="2">
                  <c:v>28.33</c:v>
                </c:pt>
                <c:pt idx="3">
                  <c:v>36.81</c:v>
                </c:pt>
                <c:pt idx="4">
                  <c:v>45.29</c:v>
                </c:pt>
                <c:pt idx="5">
                  <c:v>53.77</c:v>
                </c:pt>
                <c:pt idx="6">
                  <c:v>62.25</c:v>
                </c:pt>
                <c:pt idx="7">
                  <c:v>70.73</c:v>
                </c:pt>
                <c:pt idx="8">
                  <c:v>79.209999999999994</c:v>
                </c:pt>
                <c:pt idx="9">
                  <c:v>89.19</c:v>
                </c:pt>
                <c:pt idx="10">
                  <c:v>89.72</c:v>
                </c:pt>
                <c:pt idx="11">
                  <c:v>90.37</c:v>
                </c:pt>
                <c:pt idx="12">
                  <c:v>91.03</c:v>
                </c:pt>
                <c:pt idx="13">
                  <c:v>91.68</c:v>
                </c:pt>
                <c:pt idx="14">
                  <c:v>92.33</c:v>
                </c:pt>
                <c:pt idx="15">
                  <c:v>92.98</c:v>
                </c:pt>
                <c:pt idx="16">
                  <c:v>93.63</c:v>
                </c:pt>
                <c:pt idx="17">
                  <c:v>94.28</c:v>
                </c:pt>
                <c:pt idx="18">
                  <c:v>94.93</c:v>
                </c:pt>
                <c:pt idx="19">
                  <c:v>95.58</c:v>
                </c:pt>
                <c:pt idx="20">
                  <c:v>96.24</c:v>
                </c:pt>
                <c:pt idx="21">
                  <c:v>96.89</c:v>
                </c:pt>
                <c:pt idx="22">
                  <c:v>97.54</c:v>
                </c:pt>
                <c:pt idx="23">
                  <c:v>98.08</c:v>
                </c:pt>
                <c:pt idx="24">
                  <c:v>98.55</c:v>
                </c:pt>
                <c:pt idx="25">
                  <c:v>99.02</c:v>
                </c:pt>
                <c:pt idx="26">
                  <c:v>98.3</c:v>
                </c:pt>
                <c:pt idx="27">
                  <c:v>93.67</c:v>
                </c:pt>
                <c:pt idx="28">
                  <c:v>85.15</c:v>
                </c:pt>
                <c:pt idx="29">
                  <c:v>72.989999999999995</c:v>
                </c:pt>
                <c:pt idx="30">
                  <c:v>43.06</c:v>
                </c:pt>
                <c:pt idx="31">
                  <c:v>25.13</c:v>
                </c:pt>
                <c:pt idx="32">
                  <c:v>25.06</c:v>
                </c:pt>
                <c:pt idx="33">
                  <c:v>24.97</c:v>
                </c:pt>
                <c:pt idx="34">
                  <c:v>24.91</c:v>
                </c:pt>
                <c:pt idx="35">
                  <c:v>24.99</c:v>
                </c:pt>
                <c:pt idx="36">
                  <c:v>24.99</c:v>
                </c:pt>
                <c:pt idx="37">
                  <c:v>24.99</c:v>
                </c:pt>
                <c:pt idx="38">
                  <c:v>24.99</c:v>
                </c:pt>
                <c:pt idx="39">
                  <c:v>24.99</c:v>
                </c:pt>
                <c:pt idx="40">
                  <c:v>24.99</c:v>
                </c:pt>
                <c:pt idx="41">
                  <c:v>24.99</c:v>
                </c:pt>
                <c:pt idx="42">
                  <c:v>24.99</c:v>
                </c:pt>
                <c:pt idx="43">
                  <c:v>24.99</c:v>
                </c:pt>
                <c:pt idx="44">
                  <c:v>24.99</c:v>
                </c:pt>
                <c:pt idx="45">
                  <c:v>24.99</c:v>
                </c:pt>
                <c:pt idx="46">
                  <c:v>24.99</c:v>
                </c:pt>
                <c:pt idx="47">
                  <c:v>25</c:v>
                </c:pt>
                <c:pt idx="48">
                  <c:v>25</c:v>
                </c:pt>
                <c:pt idx="49">
                  <c:v>25</c:v>
                </c:pt>
                <c:pt idx="50">
                  <c:v>25</c:v>
                </c:pt>
                <c:pt idx="51">
                  <c:v>25</c:v>
                </c:pt>
                <c:pt idx="52">
                  <c:v>25</c:v>
                </c:pt>
                <c:pt idx="53">
                  <c:v>25</c:v>
                </c:pt>
                <c:pt idx="54">
                  <c:v>25</c:v>
                </c:pt>
                <c:pt idx="55">
                  <c:v>25</c:v>
                </c:pt>
                <c:pt idx="56">
                  <c:v>25</c:v>
                </c:pt>
                <c:pt idx="57">
                  <c:v>25</c:v>
                </c:pt>
                <c:pt idx="58">
                  <c:v>25</c:v>
                </c:pt>
                <c:pt idx="59">
                  <c:v>25</c:v>
                </c:pt>
                <c:pt idx="60">
                  <c:v>25</c:v>
                </c:pt>
                <c:pt idx="61">
                  <c:v>25</c:v>
                </c:pt>
                <c:pt idx="62">
                  <c:v>25</c:v>
                </c:pt>
                <c:pt idx="63">
                  <c:v>25</c:v>
                </c:pt>
                <c:pt idx="64">
                  <c:v>25</c:v>
                </c:pt>
                <c:pt idx="65">
                  <c:v>25</c:v>
                </c:pt>
                <c:pt idx="66">
                  <c:v>25</c:v>
                </c:pt>
                <c:pt idx="67">
                  <c:v>25</c:v>
                </c:pt>
                <c:pt idx="68">
                  <c:v>25</c:v>
                </c:pt>
                <c:pt idx="69">
                  <c:v>25</c:v>
                </c:pt>
                <c:pt idx="70">
                  <c:v>25</c:v>
                </c:pt>
                <c:pt idx="71">
                  <c:v>12.87</c:v>
                </c:pt>
                <c:pt idx="72">
                  <c:v>-2.67</c:v>
                </c:pt>
                <c:pt idx="73">
                  <c:v>-18.22</c:v>
                </c:pt>
                <c:pt idx="74">
                  <c:v>-33.76</c:v>
                </c:pt>
                <c:pt idx="75">
                  <c:v>-49.3</c:v>
                </c:pt>
                <c:pt idx="76">
                  <c:v>-64.849999999999994</c:v>
                </c:pt>
                <c:pt idx="77">
                  <c:v>-80.39</c:v>
                </c:pt>
                <c:pt idx="78">
                  <c:v>-95.93</c:v>
                </c:pt>
                <c:pt idx="79">
                  <c:v>-111.48</c:v>
                </c:pt>
                <c:pt idx="80">
                  <c:v>-127.02</c:v>
                </c:pt>
                <c:pt idx="81">
                  <c:v>-143.56</c:v>
                </c:pt>
                <c:pt idx="82">
                  <c:v>-147.27000000000001</c:v>
                </c:pt>
                <c:pt idx="83">
                  <c:v>-151.22999999999999</c:v>
                </c:pt>
                <c:pt idx="84">
                  <c:v>-155.19999999999999</c:v>
                </c:pt>
                <c:pt idx="85">
                  <c:v>-159.16</c:v>
                </c:pt>
                <c:pt idx="86">
                  <c:v>-163.12</c:v>
                </c:pt>
                <c:pt idx="87">
                  <c:v>-167.09</c:v>
                </c:pt>
                <c:pt idx="88">
                  <c:v>-171.05</c:v>
                </c:pt>
                <c:pt idx="89">
                  <c:v>-175.02</c:v>
                </c:pt>
                <c:pt idx="90">
                  <c:v>-178.98</c:v>
                </c:pt>
                <c:pt idx="91">
                  <c:v>-182.95</c:v>
                </c:pt>
                <c:pt idx="92">
                  <c:v>-186.91</c:v>
                </c:pt>
                <c:pt idx="93">
                  <c:v>-190.87</c:v>
                </c:pt>
                <c:pt idx="94">
                  <c:v>-194.84</c:v>
                </c:pt>
                <c:pt idx="95">
                  <c:v>-198.8</c:v>
                </c:pt>
                <c:pt idx="96">
                  <c:v>-202.77</c:v>
                </c:pt>
                <c:pt idx="97">
                  <c:v>-206.73</c:v>
                </c:pt>
                <c:pt idx="98">
                  <c:v>-210.7</c:v>
                </c:pt>
                <c:pt idx="99">
                  <c:v>-214.66</c:v>
                </c:pt>
                <c:pt idx="101">
                  <c:v>-35.479999999999997</c:v>
                </c:pt>
                <c:pt idx="102">
                  <c:v>-27.09</c:v>
                </c:pt>
                <c:pt idx="103">
                  <c:v>-18.7</c:v>
                </c:pt>
                <c:pt idx="104">
                  <c:v>-10.31</c:v>
                </c:pt>
                <c:pt idx="105">
                  <c:v>-1.92</c:v>
                </c:pt>
                <c:pt idx="106">
                  <c:v>6.47</c:v>
                </c:pt>
                <c:pt idx="107">
                  <c:v>14.86</c:v>
                </c:pt>
                <c:pt idx="108">
                  <c:v>23.25</c:v>
                </c:pt>
                <c:pt idx="109">
                  <c:v>31.64</c:v>
                </c:pt>
                <c:pt idx="110">
                  <c:v>39.43</c:v>
                </c:pt>
                <c:pt idx="111">
                  <c:v>40.119999999999997</c:v>
                </c:pt>
                <c:pt idx="112">
                  <c:v>40.76</c:v>
                </c:pt>
                <c:pt idx="113">
                  <c:v>41.41</c:v>
                </c:pt>
                <c:pt idx="114">
                  <c:v>42.05</c:v>
                </c:pt>
                <c:pt idx="115">
                  <c:v>42.7</c:v>
                </c:pt>
                <c:pt idx="116">
                  <c:v>43.34</c:v>
                </c:pt>
                <c:pt idx="117">
                  <c:v>43.98</c:v>
                </c:pt>
                <c:pt idx="118">
                  <c:v>44.63</c:v>
                </c:pt>
                <c:pt idx="119">
                  <c:v>45.27</c:v>
                </c:pt>
                <c:pt idx="120">
                  <c:v>45.92</c:v>
                </c:pt>
                <c:pt idx="121">
                  <c:v>46.56</c:v>
                </c:pt>
                <c:pt idx="122">
                  <c:v>47.21</c:v>
                </c:pt>
                <c:pt idx="123">
                  <c:v>47.83</c:v>
                </c:pt>
                <c:pt idx="124">
                  <c:v>48.3</c:v>
                </c:pt>
                <c:pt idx="125">
                  <c:v>48.77</c:v>
                </c:pt>
                <c:pt idx="126">
                  <c:v>49.11</c:v>
                </c:pt>
                <c:pt idx="127">
                  <c:v>45.33</c:v>
                </c:pt>
                <c:pt idx="128">
                  <c:v>35.799999999999997</c:v>
                </c:pt>
                <c:pt idx="129">
                  <c:v>21.59</c:v>
                </c:pt>
                <c:pt idx="130">
                  <c:v>6.68</c:v>
                </c:pt>
                <c:pt idx="131">
                  <c:v>-8.2200000000000006</c:v>
                </c:pt>
                <c:pt idx="132">
                  <c:v>-24.81</c:v>
                </c:pt>
                <c:pt idx="133">
                  <c:v>-24.89</c:v>
                </c:pt>
                <c:pt idx="134">
                  <c:v>-24.97</c:v>
                </c:pt>
                <c:pt idx="135">
                  <c:v>-25.06</c:v>
                </c:pt>
                <c:pt idx="136">
                  <c:v>-25.04</c:v>
                </c:pt>
                <c:pt idx="137">
                  <c:v>-25.01</c:v>
                </c:pt>
                <c:pt idx="138">
                  <c:v>-25.01</c:v>
                </c:pt>
                <c:pt idx="139">
                  <c:v>-25.01</c:v>
                </c:pt>
                <c:pt idx="140">
                  <c:v>-25.01</c:v>
                </c:pt>
                <c:pt idx="141">
                  <c:v>-25.01</c:v>
                </c:pt>
                <c:pt idx="142">
                  <c:v>-25.01</c:v>
                </c:pt>
                <c:pt idx="143">
                  <c:v>-25.01</c:v>
                </c:pt>
                <c:pt idx="144">
                  <c:v>-25.01</c:v>
                </c:pt>
                <c:pt idx="145">
                  <c:v>-25.01</c:v>
                </c:pt>
                <c:pt idx="146">
                  <c:v>-25.01</c:v>
                </c:pt>
                <c:pt idx="147">
                  <c:v>-25.01</c:v>
                </c:pt>
                <c:pt idx="148">
                  <c:v>-25.01</c:v>
                </c:pt>
                <c:pt idx="149">
                  <c:v>-25</c:v>
                </c:pt>
                <c:pt idx="150">
                  <c:v>-25</c:v>
                </c:pt>
                <c:pt idx="151">
                  <c:v>-25</c:v>
                </c:pt>
                <c:pt idx="152">
                  <c:v>-25</c:v>
                </c:pt>
                <c:pt idx="153">
                  <c:v>-25</c:v>
                </c:pt>
                <c:pt idx="154">
                  <c:v>-25</c:v>
                </c:pt>
                <c:pt idx="155">
                  <c:v>-25</c:v>
                </c:pt>
                <c:pt idx="156">
                  <c:v>-25</c:v>
                </c:pt>
                <c:pt idx="157">
                  <c:v>-25</c:v>
                </c:pt>
                <c:pt idx="158">
                  <c:v>-25</c:v>
                </c:pt>
                <c:pt idx="159">
                  <c:v>-25</c:v>
                </c:pt>
                <c:pt idx="160">
                  <c:v>-25</c:v>
                </c:pt>
                <c:pt idx="161">
                  <c:v>-25</c:v>
                </c:pt>
                <c:pt idx="162">
                  <c:v>-25</c:v>
                </c:pt>
                <c:pt idx="163">
                  <c:v>-25</c:v>
                </c:pt>
                <c:pt idx="164">
                  <c:v>-25</c:v>
                </c:pt>
                <c:pt idx="165">
                  <c:v>-25</c:v>
                </c:pt>
                <c:pt idx="166">
                  <c:v>-25</c:v>
                </c:pt>
                <c:pt idx="167">
                  <c:v>-25</c:v>
                </c:pt>
                <c:pt idx="168">
                  <c:v>-25</c:v>
                </c:pt>
                <c:pt idx="169">
                  <c:v>-25</c:v>
                </c:pt>
                <c:pt idx="170">
                  <c:v>-25</c:v>
                </c:pt>
                <c:pt idx="171">
                  <c:v>-25</c:v>
                </c:pt>
                <c:pt idx="172">
                  <c:v>-25</c:v>
                </c:pt>
                <c:pt idx="173">
                  <c:v>-47.55</c:v>
                </c:pt>
                <c:pt idx="174">
                  <c:v>-62.93</c:v>
                </c:pt>
                <c:pt idx="175">
                  <c:v>-78.31</c:v>
                </c:pt>
                <c:pt idx="176">
                  <c:v>-93.69</c:v>
                </c:pt>
                <c:pt idx="177">
                  <c:v>-109.07</c:v>
                </c:pt>
                <c:pt idx="178">
                  <c:v>-124.44</c:v>
                </c:pt>
                <c:pt idx="179">
                  <c:v>-139.82</c:v>
                </c:pt>
                <c:pt idx="180">
                  <c:v>-155.19999999999999</c:v>
                </c:pt>
                <c:pt idx="181">
                  <c:v>-170.58</c:v>
                </c:pt>
                <c:pt idx="182">
                  <c:v>-190.67</c:v>
                </c:pt>
                <c:pt idx="183">
                  <c:v>-193.39</c:v>
                </c:pt>
                <c:pt idx="184">
                  <c:v>-197.31</c:v>
                </c:pt>
                <c:pt idx="185">
                  <c:v>-201.23</c:v>
                </c:pt>
                <c:pt idx="186">
                  <c:v>-205.16</c:v>
                </c:pt>
                <c:pt idx="187">
                  <c:v>-209.08</c:v>
                </c:pt>
                <c:pt idx="188">
                  <c:v>-213</c:v>
                </c:pt>
                <c:pt idx="189">
                  <c:v>-216.92</c:v>
                </c:pt>
                <c:pt idx="190">
                  <c:v>-220.84</c:v>
                </c:pt>
                <c:pt idx="191">
                  <c:v>-224.77</c:v>
                </c:pt>
                <c:pt idx="192">
                  <c:v>-228.69</c:v>
                </c:pt>
                <c:pt idx="193">
                  <c:v>-232.61</c:v>
                </c:pt>
                <c:pt idx="194">
                  <c:v>-236.53</c:v>
                </c:pt>
                <c:pt idx="195">
                  <c:v>-240.46</c:v>
                </c:pt>
                <c:pt idx="196">
                  <c:v>-244.38</c:v>
                </c:pt>
                <c:pt idx="197">
                  <c:v>-248.3</c:v>
                </c:pt>
                <c:pt idx="198">
                  <c:v>-252.22</c:v>
                </c:pt>
                <c:pt idx="199">
                  <c:v>-256.14</c:v>
                </c:pt>
                <c:pt idx="200">
                  <c:v>-260.07</c:v>
                </c:pt>
                <c:pt idx="201">
                  <c:v>-263.99</c:v>
                </c:pt>
              </c:numCache>
            </c:numRef>
          </c:yVal>
          <c:smooth val="0"/>
          <c:extLst>
            <c:ext xmlns:c16="http://schemas.microsoft.com/office/drawing/2014/chart" uri="{C3380CC4-5D6E-409C-BE32-E72D297353CC}">
              <c16:uniqueId val="{00000008-F133-4C85-A697-0DE7DD632797}"/>
            </c:ext>
          </c:extLst>
        </c:ser>
        <c:ser>
          <c:idx val="1"/>
          <c:order val="2"/>
          <c:tx>
            <c:v>Aprobados</c:v>
          </c:tx>
          <c:spPr>
            <a:ln w="19050" cap="rnd">
              <a:noFill/>
              <a:round/>
            </a:ln>
            <a:effectLst/>
          </c:spPr>
          <c:marker>
            <c:symbol val="circle"/>
            <c:size val="9"/>
            <c:spPr>
              <a:solidFill>
                <a:srgbClr val="92D050"/>
              </a:solidFill>
              <a:ln w="9525">
                <a:solidFill>
                  <a:srgbClr val="0000FF"/>
                </a:solidFill>
              </a:ln>
              <a:effectLst/>
            </c:spPr>
          </c:marker>
          <c:xVal>
            <c:numRef>
              <c:f>FCS!$AS$11:$AS$825</c:f>
              <c:numCache>
                <c:formatCode>0</c:formatCode>
                <c:ptCount val="815"/>
                <c:pt idx="0">
                  <c:v>1845.17</c:v>
                </c:pt>
                <c:pt idx="1">
                  <c:v>1845.17</c:v>
                </c:pt>
                <c:pt idx="2">
                  <c:v>1769.33</c:v>
                </c:pt>
                <c:pt idx="3">
                  <c:v>1700.27</c:v>
                </c:pt>
                <c:pt idx="4">
                  <c:v>1723.48</c:v>
                </c:pt>
                <c:pt idx="5">
                  <c:v>1801.93</c:v>
                </c:pt>
                <c:pt idx="6">
                  <c:v>1886.67</c:v>
                </c:pt>
                <c:pt idx="7">
                  <c:v>1827.54</c:v>
                </c:pt>
                <c:pt idx="8">
                  <c:v>1761.91</c:v>
                </c:pt>
                <c:pt idx="9">
                  <c:v>1614.85</c:v>
                </c:pt>
                <c:pt idx="10">
                  <c:v>1618.5</c:v>
                </c:pt>
                <c:pt idx="11">
                  <c:v>661.66</c:v>
                </c:pt>
                <c:pt idx="12">
                  <c:v>661.66</c:v>
                </c:pt>
                <c:pt idx="13">
                  <c:v>1548.05</c:v>
                </c:pt>
                <c:pt idx="14">
                  <c:v>1470.97</c:v>
                </c:pt>
                <c:pt idx="15">
                  <c:v>1475.25</c:v>
                </c:pt>
                <c:pt idx="16">
                  <c:v>1541.25</c:v>
                </c:pt>
                <c:pt idx="17">
                  <c:v>1571.96</c:v>
                </c:pt>
                <c:pt idx="18">
                  <c:v>1764.3</c:v>
                </c:pt>
                <c:pt idx="19">
                  <c:v>661.38</c:v>
                </c:pt>
                <c:pt idx="20">
                  <c:v>661</c:v>
                </c:pt>
                <c:pt idx="21">
                  <c:v>660.94</c:v>
                </c:pt>
                <c:pt idx="22">
                  <c:v>818.24</c:v>
                </c:pt>
                <c:pt idx="23">
                  <c:v>818.24</c:v>
                </c:pt>
                <c:pt idx="24">
                  <c:v>810.7</c:v>
                </c:pt>
                <c:pt idx="25">
                  <c:v>998.8</c:v>
                </c:pt>
                <c:pt idx="26">
                  <c:v>1135.97</c:v>
                </c:pt>
                <c:pt idx="27">
                  <c:v>1244.03</c:v>
                </c:pt>
                <c:pt idx="28">
                  <c:v>1245.53</c:v>
                </c:pt>
                <c:pt idx="29">
                  <c:v>1568.63</c:v>
                </c:pt>
                <c:pt idx="30">
                  <c:v>1932.2</c:v>
                </c:pt>
                <c:pt idx="31">
                  <c:v>1310.3900000000001</c:v>
                </c:pt>
                <c:pt idx="32">
                  <c:v>1392.1</c:v>
                </c:pt>
                <c:pt idx="33">
                  <c:v>1478.91</c:v>
                </c:pt>
                <c:pt idx="34">
                  <c:v>1478.91</c:v>
                </c:pt>
                <c:pt idx="35">
                  <c:v>1573.76</c:v>
                </c:pt>
                <c:pt idx="36">
                  <c:v>1419.68</c:v>
                </c:pt>
                <c:pt idx="37">
                  <c:v>1300.73</c:v>
                </c:pt>
                <c:pt idx="38">
                  <c:v>648.45000000000005</c:v>
                </c:pt>
                <c:pt idx="39">
                  <c:v>940.81</c:v>
                </c:pt>
                <c:pt idx="40">
                  <c:v>935.35</c:v>
                </c:pt>
                <c:pt idx="41">
                  <c:v>1007.68</c:v>
                </c:pt>
                <c:pt idx="42">
                  <c:v>1035.22</c:v>
                </c:pt>
                <c:pt idx="43">
                  <c:v>1118.9000000000001</c:v>
                </c:pt>
                <c:pt idx="44">
                  <c:v>1085.92</c:v>
                </c:pt>
                <c:pt idx="45">
                  <c:v>1085.92</c:v>
                </c:pt>
                <c:pt idx="46">
                  <c:v>1190.18</c:v>
                </c:pt>
                <c:pt idx="47">
                  <c:v>1249.4100000000001</c:v>
                </c:pt>
                <c:pt idx="48">
                  <c:v>1152.47</c:v>
                </c:pt>
                <c:pt idx="49">
                  <c:v>1252.08</c:v>
                </c:pt>
                <c:pt idx="50">
                  <c:v>1163.8800000000001</c:v>
                </c:pt>
                <c:pt idx="51">
                  <c:v>1228.6600000000001</c:v>
                </c:pt>
                <c:pt idx="52">
                  <c:v>1303.57</c:v>
                </c:pt>
                <c:pt idx="53">
                  <c:v>1330.53</c:v>
                </c:pt>
                <c:pt idx="54">
                  <c:v>1171</c:v>
                </c:pt>
                <c:pt idx="55">
                  <c:v>1249.73</c:v>
                </c:pt>
                <c:pt idx="56">
                  <c:v>1249.73</c:v>
                </c:pt>
                <c:pt idx="57">
                  <c:v>1256.3499999999999</c:v>
                </c:pt>
                <c:pt idx="58">
                  <c:v>1183.5</c:v>
                </c:pt>
                <c:pt idx="59">
                  <c:v>1114.8</c:v>
                </c:pt>
                <c:pt idx="60">
                  <c:v>1113.07</c:v>
                </c:pt>
                <c:pt idx="61">
                  <c:v>1172.48</c:v>
                </c:pt>
                <c:pt idx="62">
                  <c:v>1237.1300000000001</c:v>
                </c:pt>
                <c:pt idx="63">
                  <c:v>649.46</c:v>
                </c:pt>
                <c:pt idx="64">
                  <c:v>1089.42</c:v>
                </c:pt>
                <c:pt idx="65">
                  <c:v>1023.47</c:v>
                </c:pt>
                <c:pt idx="66">
                  <c:v>972.92</c:v>
                </c:pt>
                <c:pt idx="67">
                  <c:v>972.92</c:v>
                </c:pt>
                <c:pt idx="68">
                  <c:v>983.55</c:v>
                </c:pt>
                <c:pt idx="69">
                  <c:v>1001.28</c:v>
                </c:pt>
                <c:pt idx="70">
                  <c:v>1073.3800000000001</c:v>
                </c:pt>
                <c:pt idx="71">
                  <c:v>1088.78</c:v>
                </c:pt>
                <c:pt idx="72">
                  <c:v>1072.94</c:v>
                </c:pt>
                <c:pt idx="73">
                  <c:v>945.07</c:v>
                </c:pt>
                <c:pt idx="74">
                  <c:v>935.02</c:v>
                </c:pt>
                <c:pt idx="75">
                  <c:v>935.19</c:v>
                </c:pt>
                <c:pt idx="76">
                  <c:v>1575.23</c:v>
                </c:pt>
                <c:pt idx="77">
                  <c:v>0</c:v>
                </c:pt>
                <c:pt idx="78">
                  <c:v>1543.86</c:v>
                </c:pt>
                <c:pt idx="79">
                  <c:v>1543.86</c:v>
                </c:pt>
                <c:pt idx="80">
                  <c:v>1544.2</c:v>
                </c:pt>
                <c:pt idx="81">
                  <c:v>884.28</c:v>
                </c:pt>
                <c:pt idx="82">
                  <c:v>793.6</c:v>
                </c:pt>
                <c:pt idx="83">
                  <c:v>739.73</c:v>
                </c:pt>
                <c:pt idx="84">
                  <c:v>872.28</c:v>
                </c:pt>
                <c:pt idx="85">
                  <c:v>912.23</c:v>
                </c:pt>
                <c:pt idx="86">
                  <c:v>848.96</c:v>
                </c:pt>
                <c:pt idx="87">
                  <c:v>846.95</c:v>
                </c:pt>
                <c:pt idx="88">
                  <c:v>915.6</c:v>
                </c:pt>
                <c:pt idx="89">
                  <c:v>883.1</c:v>
                </c:pt>
                <c:pt idx="90">
                  <c:v>883.1</c:v>
                </c:pt>
                <c:pt idx="91">
                  <c:v>648.70000000000005</c:v>
                </c:pt>
                <c:pt idx="92">
                  <c:v>792.57</c:v>
                </c:pt>
                <c:pt idx="93">
                  <c:v>728.72</c:v>
                </c:pt>
                <c:pt idx="94">
                  <c:v>667.51</c:v>
                </c:pt>
                <c:pt idx="95">
                  <c:v>607.28</c:v>
                </c:pt>
                <c:pt idx="96">
                  <c:v>617.69000000000005</c:v>
                </c:pt>
                <c:pt idx="97">
                  <c:v>666.5</c:v>
                </c:pt>
                <c:pt idx="98">
                  <c:v>727.19</c:v>
                </c:pt>
                <c:pt idx="99">
                  <c:v>789.84</c:v>
                </c:pt>
                <c:pt idx="100">
                  <c:v>565.53</c:v>
                </c:pt>
                <c:pt idx="101">
                  <c:v>565.53</c:v>
                </c:pt>
                <c:pt idx="102">
                  <c:v>424.12</c:v>
                </c:pt>
                <c:pt idx="103">
                  <c:v>483.66</c:v>
                </c:pt>
                <c:pt idx="104">
                  <c:v>582.34</c:v>
                </c:pt>
                <c:pt idx="105">
                  <c:v>514.17999999999995</c:v>
                </c:pt>
                <c:pt idx="106">
                  <c:v>420.79</c:v>
                </c:pt>
                <c:pt idx="107">
                  <c:v>768.88</c:v>
                </c:pt>
                <c:pt idx="108">
                  <c:v>672.16</c:v>
                </c:pt>
                <c:pt idx="109">
                  <c:v>598.14</c:v>
                </c:pt>
                <c:pt idx="110">
                  <c:v>598.17999999999995</c:v>
                </c:pt>
                <c:pt idx="111">
                  <c:v>676.36</c:v>
                </c:pt>
                <c:pt idx="112">
                  <c:v>676.36</c:v>
                </c:pt>
                <c:pt idx="113">
                  <c:v>778.7</c:v>
                </c:pt>
                <c:pt idx="114">
                  <c:v>31.46</c:v>
                </c:pt>
                <c:pt idx="115">
                  <c:v>33.46</c:v>
                </c:pt>
                <c:pt idx="116">
                  <c:v>0</c:v>
                </c:pt>
                <c:pt idx="117">
                  <c:v>33.28</c:v>
                </c:pt>
                <c:pt idx="118">
                  <c:v>80.94</c:v>
                </c:pt>
                <c:pt idx="119">
                  <c:v>173.47</c:v>
                </c:pt>
                <c:pt idx="120">
                  <c:v>295.41000000000003</c:v>
                </c:pt>
                <c:pt idx="121">
                  <c:v>357.12</c:v>
                </c:pt>
                <c:pt idx="122">
                  <c:v>432.55</c:v>
                </c:pt>
                <c:pt idx="123">
                  <c:v>242.4</c:v>
                </c:pt>
                <c:pt idx="124">
                  <c:v>242.4</c:v>
                </c:pt>
                <c:pt idx="125">
                  <c:v>65.36</c:v>
                </c:pt>
                <c:pt idx="126">
                  <c:v>343.08</c:v>
                </c:pt>
                <c:pt idx="127">
                  <c:v>0</c:v>
                </c:pt>
                <c:pt idx="128">
                  <c:v>28.28</c:v>
                </c:pt>
                <c:pt idx="129">
                  <c:v>219.98</c:v>
                </c:pt>
                <c:pt idx="130">
                  <c:v>525.62</c:v>
                </c:pt>
                <c:pt idx="131">
                  <c:v>517.29</c:v>
                </c:pt>
                <c:pt idx="132">
                  <c:v>1874.82</c:v>
                </c:pt>
                <c:pt idx="133">
                  <c:v>1774.99</c:v>
                </c:pt>
                <c:pt idx="134">
                  <c:v>1731.83</c:v>
                </c:pt>
                <c:pt idx="135">
                  <c:v>1814.4</c:v>
                </c:pt>
                <c:pt idx="136">
                  <c:v>1814.4</c:v>
                </c:pt>
                <c:pt idx="137">
                  <c:v>1877.49</c:v>
                </c:pt>
                <c:pt idx="138">
                  <c:v>1623.79</c:v>
                </c:pt>
                <c:pt idx="139">
                  <c:v>1552.29</c:v>
                </c:pt>
                <c:pt idx="140">
                  <c:v>1482.07</c:v>
                </c:pt>
                <c:pt idx="141">
                  <c:v>1474.59</c:v>
                </c:pt>
                <c:pt idx="142">
                  <c:v>1597.64</c:v>
                </c:pt>
                <c:pt idx="143">
                  <c:v>1560.61</c:v>
                </c:pt>
                <c:pt idx="144">
                  <c:v>1413.16</c:v>
                </c:pt>
                <c:pt idx="145">
                  <c:v>1341.47</c:v>
                </c:pt>
                <c:pt idx="146">
                  <c:v>1274.97</c:v>
                </c:pt>
                <c:pt idx="147">
                  <c:v>1274.97</c:v>
                </c:pt>
                <c:pt idx="148">
                  <c:v>1264.22</c:v>
                </c:pt>
                <c:pt idx="149">
                  <c:v>1335.09</c:v>
                </c:pt>
                <c:pt idx="150">
                  <c:v>1410.21</c:v>
                </c:pt>
                <c:pt idx="151">
                  <c:v>1331.2</c:v>
                </c:pt>
                <c:pt idx="152">
                  <c:v>487.09</c:v>
                </c:pt>
                <c:pt idx="153">
                  <c:v>32.369999999999997</c:v>
                </c:pt>
                <c:pt idx="154">
                  <c:v>131.66999999999999</c:v>
                </c:pt>
                <c:pt idx="155">
                  <c:v>374.4</c:v>
                </c:pt>
                <c:pt idx="156">
                  <c:v>476.9</c:v>
                </c:pt>
                <c:pt idx="157">
                  <c:v>1559.26</c:v>
                </c:pt>
                <c:pt idx="158">
                  <c:v>1559.26</c:v>
                </c:pt>
                <c:pt idx="159">
                  <c:v>1629.62</c:v>
                </c:pt>
                <c:pt idx="160">
                  <c:v>1468.65</c:v>
                </c:pt>
                <c:pt idx="161">
                  <c:v>1473.81</c:v>
                </c:pt>
                <c:pt idx="162">
                  <c:v>1526.35</c:v>
                </c:pt>
                <c:pt idx="163">
                  <c:v>1580.83</c:v>
                </c:pt>
                <c:pt idx="164">
                  <c:v>1634.34</c:v>
                </c:pt>
                <c:pt idx="165">
                  <c:v>1425.15</c:v>
                </c:pt>
                <c:pt idx="166">
                  <c:v>1417.34</c:v>
                </c:pt>
                <c:pt idx="167">
                  <c:v>1357.54</c:v>
                </c:pt>
                <c:pt idx="168">
                  <c:v>1283.5999999999999</c:v>
                </c:pt>
                <c:pt idx="169">
                  <c:v>1283.5999999999999</c:v>
                </c:pt>
                <c:pt idx="170">
                  <c:v>1274.98</c:v>
                </c:pt>
                <c:pt idx="171">
                  <c:v>1345.62</c:v>
                </c:pt>
                <c:pt idx="172">
                  <c:v>1364.05</c:v>
                </c:pt>
                <c:pt idx="173">
                  <c:v>1719.41</c:v>
                </c:pt>
                <c:pt idx="174">
                  <c:v>33.119999999999997</c:v>
                </c:pt>
                <c:pt idx="175">
                  <c:v>0</c:v>
                </c:pt>
                <c:pt idx="176">
                  <c:v>1928.22</c:v>
                </c:pt>
                <c:pt idx="177">
                  <c:v>1819.25</c:v>
                </c:pt>
                <c:pt idx="178">
                  <c:v>1948.52</c:v>
                </c:pt>
                <c:pt idx="179">
                  <c:v>2023.03</c:v>
                </c:pt>
                <c:pt idx="180">
                  <c:v>2105.98</c:v>
                </c:pt>
                <c:pt idx="181">
                  <c:v>2105.98</c:v>
                </c:pt>
                <c:pt idx="182">
                  <c:v>2115.42</c:v>
                </c:pt>
                <c:pt idx="183">
                  <c:v>2034.52</c:v>
                </c:pt>
                <c:pt idx="184">
                  <c:v>1973.77</c:v>
                </c:pt>
                <c:pt idx="185">
                  <c:v>2053.88</c:v>
                </c:pt>
                <c:pt idx="186">
                  <c:v>1663.35</c:v>
                </c:pt>
                <c:pt idx="187">
                  <c:v>33.1</c:v>
                </c:pt>
                <c:pt idx="188">
                  <c:v>34.24</c:v>
                </c:pt>
                <c:pt idx="189">
                  <c:v>1869.66</c:v>
                </c:pt>
                <c:pt idx="190">
                  <c:v>2040.06</c:v>
                </c:pt>
                <c:pt idx="191">
                  <c:v>1237.25</c:v>
                </c:pt>
                <c:pt idx="192">
                  <c:v>1237.25</c:v>
                </c:pt>
                <c:pt idx="193">
                  <c:v>1179.44</c:v>
                </c:pt>
                <c:pt idx="194">
                  <c:v>1101.6500000000001</c:v>
                </c:pt>
                <c:pt idx="195">
                  <c:v>1097.0999999999999</c:v>
                </c:pt>
                <c:pt idx="196">
                  <c:v>1174.3800000000001</c:v>
                </c:pt>
                <c:pt idx="197">
                  <c:v>1235.8499999999999</c:v>
                </c:pt>
                <c:pt idx="198">
                  <c:v>1089.8499999999999</c:v>
                </c:pt>
                <c:pt idx="199">
                  <c:v>1079.55</c:v>
                </c:pt>
                <c:pt idx="200">
                  <c:v>1025.69</c:v>
                </c:pt>
                <c:pt idx="201">
                  <c:v>959.99</c:v>
                </c:pt>
                <c:pt idx="202">
                  <c:v>951.17</c:v>
                </c:pt>
                <c:pt idx="203">
                  <c:v>951.17</c:v>
                </c:pt>
                <c:pt idx="204">
                  <c:v>1006.28</c:v>
                </c:pt>
                <c:pt idx="205">
                  <c:v>1054.5899999999999</c:v>
                </c:pt>
                <c:pt idx="206">
                  <c:v>1036.4100000000001</c:v>
                </c:pt>
                <c:pt idx="207">
                  <c:v>1787.07</c:v>
                </c:pt>
                <c:pt idx="208">
                  <c:v>2050.34</c:v>
                </c:pt>
                <c:pt idx="209">
                  <c:v>2125.81</c:v>
                </c:pt>
                <c:pt idx="210">
                  <c:v>0</c:v>
                </c:pt>
                <c:pt idx="211">
                  <c:v>1877.95</c:v>
                </c:pt>
                <c:pt idx="212">
                  <c:v>1242.82</c:v>
                </c:pt>
                <c:pt idx="213">
                  <c:v>1169.46</c:v>
                </c:pt>
                <c:pt idx="214">
                  <c:v>1021.06</c:v>
                </c:pt>
                <c:pt idx="215">
                  <c:v>1021.06</c:v>
                </c:pt>
                <c:pt idx="216">
                  <c:v>1097.83</c:v>
                </c:pt>
                <c:pt idx="217">
                  <c:v>937.04</c:v>
                </c:pt>
                <c:pt idx="218">
                  <c:v>928.36</c:v>
                </c:pt>
                <c:pt idx="219">
                  <c:v>1012.08</c:v>
                </c:pt>
                <c:pt idx="220">
                  <c:v>1093.68</c:v>
                </c:pt>
                <c:pt idx="221">
                  <c:v>1164.51</c:v>
                </c:pt>
                <c:pt idx="222">
                  <c:v>1236.55</c:v>
                </c:pt>
                <c:pt idx="223">
                  <c:v>1185.01</c:v>
                </c:pt>
                <c:pt idx="224">
                  <c:v>1031.48</c:v>
                </c:pt>
                <c:pt idx="225">
                  <c:v>754.68</c:v>
                </c:pt>
                <c:pt idx="226">
                  <c:v>754.68</c:v>
                </c:pt>
                <c:pt idx="227">
                  <c:v>704.69</c:v>
                </c:pt>
                <c:pt idx="228">
                  <c:v>633.47</c:v>
                </c:pt>
                <c:pt idx="229">
                  <c:v>717.71</c:v>
                </c:pt>
                <c:pt idx="230">
                  <c:v>803.52</c:v>
                </c:pt>
                <c:pt idx="231">
                  <c:v>875.63</c:v>
                </c:pt>
                <c:pt idx="232">
                  <c:v>982.19</c:v>
                </c:pt>
                <c:pt idx="233">
                  <c:v>1725.54</c:v>
                </c:pt>
                <c:pt idx="234">
                  <c:v>916.34</c:v>
                </c:pt>
                <c:pt idx="235">
                  <c:v>843.68</c:v>
                </c:pt>
                <c:pt idx="236">
                  <c:v>827.83</c:v>
                </c:pt>
                <c:pt idx="237">
                  <c:v>827.83</c:v>
                </c:pt>
                <c:pt idx="238">
                  <c:v>787.05</c:v>
                </c:pt>
                <c:pt idx="239">
                  <c:v>863.52</c:v>
                </c:pt>
                <c:pt idx="240">
                  <c:v>789.28</c:v>
                </c:pt>
                <c:pt idx="241">
                  <c:v>755.08</c:v>
                </c:pt>
                <c:pt idx="242">
                  <c:v>680.01</c:v>
                </c:pt>
                <c:pt idx="243">
                  <c:v>690.81</c:v>
                </c:pt>
                <c:pt idx="244">
                  <c:v>0</c:v>
                </c:pt>
                <c:pt idx="245">
                  <c:v>615.75</c:v>
                </c:pt>
                <c:pt idx="246">
                  <c:v>909.66</c:v>
                </c:pt>
                <c:pt idx="247">
                  <c:v>838.07</c:v>
                </c:pt>
                <c:pt idx="248">
                  <c:v>773.89</c:v>
                </c:pt>
                <c:pt idx="249">
                  <c:v>773.89</c:v>
                </c:pt>
                <c:pt idx="250">
                  <c:v>843.96</c:v>
                </c:pt>
                <c:pt idx="251">
                  <c:v>921</c:v>
                </c:pt>
                <c:pt idx="252">
                  <c:v>852.96</c:v>
                </c:pt>
                <c:pt idx="253">
                  <c:v>774.13</c:v>
                </c:pt>
                <c:pt idx="254">
                  <c:v>736.54</c:v>
                </c:pt>
                <c:pt idx="255">
                  <c:v>675.99</c:v>
                </c:pt>
                <c:pt idx="256">
                  <c:v>605.45000000000005</c:v>
                </c:pt>
                <c:pt idx="257">
                  <c:v>597.48</c:v>
                </c:pt>
                <c:pt idx="258">
                  <c:v>650.99</c:v>
                </c:pt>
                <c:pt idx="259">
                  <c:v>697.41</c:v>
                </c:pt>
                <c:pt idx="260">
                  <c:v>697.41</c:v>
                </c:pt>
                <c:pt idx="261">
                  <c:v>633.59</c:v>
                </c:pt>
                <c:pt idx="262">
                  <c:v>0</c:v>
                </c:pt>
                <c:pt idx="263">
                  <c:v>1005.01</c:v>
                </c:pt>
                <c:pt idx="264">
                  <c:v>561</c:v>
                </c:pt>
                <c:pt idx="265">
                  <c:v>494.28</c:v>
                </c:pt>
                <c:pt idx="266">
                  <c:v>444.04</c:v>
                </c:pt>
                <c:pt idx="267">
                  <c:v>413.69</c:v>
                </c:pt>
                <c:pt idx="268">
                  <c:v>480.62</c:v>
                </c:pt>
                <c:pt idx="269">
                  <c:v>538.21</c:v>
                </c:pt>
                <c:pt idx="270">
                  <c:v>513.21</c:v>
                </c:pt>
                <c:pt idx="271">
                  <c:v>1091.55</c:v>
                </c:pt>
                <c:pt idx="272">
                  <c:v>1091.55</c:v>
                </c:pt>
                <c:pt idx="273">
                  <c:v>883.84</c:v>
                </c:pt>
                <c:pt idx="274">
                  <c:v>1606.92</c:v>
                </c:pt>
                <c:pt idx="275">
                  <c:v>1463.91</c:v>
                </c:pt>
                <c:pt idx="276">
                  <c:v>1621.33</c:v>
                </c:pt>
                <c:pt idx="277">
                  <c:v>1552.18</c:v>
                </c:pt>
                <c:pt idx="278">
                  <c:v>1477.09</c:v>
                </c:pt>
                <c:pt idx="279">
                  <c:v>1905.47</c:v>
                </c:pt>
                <c:pt idx="280">
                  <c:v>839.49</c:v>
                </c:pt>
                <c:pt idx="281">
                  <c:v>679.04</c:v>
                </c:pt>
                <c:pt idx="282">
                  <c:v>1836.33</c:v>
                </c:pt>
                <c:pt idx="283">
                  <c:v>1836.33</c:v>
                </c:pt>
                <c:pt idx="284">
                  <c:v>1754.05</c:v>
                </c:pt>
                <c:pt idx="285">
                  <c:v>1761.25</c:v>
                </c:pt>
                <c:pt idx="286">
                  <c:v>1865.27</c:v>
                </c:pt>
                <c:pt idx="287">
                  <c:v>1855.67</c:v>
                </c:pt>
                <c:pt idx="288">
                  <c:v>1072.3699999999999</c:v>
                </c:pt>
                <c:pt idx="289">
                  <c:v>892.51</c:v>
                </c:pt>
                <c:pt idx="290">
                  <c:v>897.35</c:v>
                </c:pt>
                <c:pt idx="291">
                  <c:v>855.04</c:v>
                </c:pt>
                <c:pt idx="292">
                  <c:v>1283.67</c:v>
                </c:pt>
                <c:pt idx="293">
                  <c:v>1278.24</c:v>
                </c:pt>
                <c:pt idx="294">
                  <c:v>1278.24</c:v>
                </c:pt>
                <c:pt idx="295">
                  <c:v>1357.43</c:v>
                </c:pt>
                <c:pt idx="296">
                  <c:v>1348.65</c:v>
                </c:pt>
                <c:pt idx="297">
                  <c:v>1323.04</c:v>
                </c:pt>
                <c:pt idx="298">
                  <c:v>1405.51</c:v>
                </c:pt>
                <c:pt idx="299">
                  <c:v>1416.03</c:v>
                </c:pt>
                <c:pt idx="300">
                  <c:v>1451.74</c:v>
                </c:pt>
                <c:pt idx="301">
                  <c:v>1447.72</c:v>
                </c:pt>
                <c:pt idx="302">
                  <c:v>1512.1</c:v>
                </c:pt>
                <c:pt idx="303">
                  <c:v>1496.12</c:v>
                </c:pt>
                <c:pt idx="304">
                  <c:v>1475.88</c:v>
                </c:pt>
                <c:pt idx="305">
                  <c:v>1475.88</c:v>
                </c:pt>
                <c:pt idx="306">
                  <c:v>1549.34</c:v>
                </c:pt>
                <c:pt idx="307">
                  <c:v>1613.53</c:v>
                </c:pt>
                <c:pt idx="308">
                  <c:v>1550.21</c:v>
                </c:pt>
                <c:pt idx="309">
                  <c:v>1277.5</c:v>
                </c:pt>
                <c:pt idx="310">
                  <c:v>1341.22</c:v>
                </c:pt>
                <c:pt idx="311">
                  <c:v>1445.57</c:v>
                </c:pt>
                <c:pt idx="312">
                  <c:v>1444.43</c:v>
                </c:pt>
                <c:pt idx="313">
                  <c:v>1342</c:v>
                </c:pt>
                <c:pt idx="314">
                  <c:v>1271.02</c:v>
                </c:pt>
                <c:pt idx="315">
                  <c:v>1263.49</c:v>
                </c:pt>
                <c:pt idx="316">
                  <c:v>1263.49</c:v>
                </c:pt>
                <c:pt idx="317">
                  <c:v>1342.93</c:v>
                </c:pt>
                <c:pt idx="318">
                  <c:v>0</c:v>
                </c:pt>
                <c:pt idx="319">
                  <c:v>1235.93</c:v>
                </c:pt>
                <c:pt idx="320">
                  <c:v>1183.53</c:v>
                </c:pt>
                <c:pt idx="321">
                  <c:v>1121.6300000000001</c:v>
                </c:pt>
                <c:pt idx="322">
                  <c:v>1122.08</c:v>
                </c:pt>
                <c:pt idx="323">
                  <c:v>1197.5999999999999</c:v>
                </c:pt>
                <c:pt idx="324">
                  <c:v>1217.72</c:v>
                </c:pt>
                <c:pt idx="325">
                  <c:v>1054.25</c:v>
                </c:pt>
                <c:pt idx="326">
                  <c:v>994.8</c:v>
                </c:pt>
                <c:pt idx="327">
                  <c:v>931.78</c:v>
                </c:pt>
                <c:pt idx="328">
                  <c:v>931.78</c:v>
                </c:pt>
                <c:pt idx="329">
                  <c:v>1047.54</c:v>
                </c:pt>
                <c:pt idx="330">
                  <c:v>984.34</c:v>
                </c:pt>
                <c:pt idx="331">
                  <c:v>1014.56</c:v>
                </c:pt>
                <c:pt idx="332">
                  <c:v>1116.2</c:v>
                </c:pt>
                <c:pt idx="333">
                  <c:v>1179.42</c:v>
                </c:pt>
                <c:pt idx="334">
                  <c:v>1258.17</c:v>
                </c:pt>
                <c:pt idx="335">
                  <c:v>1254.54</c:v>
                </c:pt>
                <c:pt idx="336">
                  <c:v>1183.3399999999999</c:v>
                </c:pt>
                <c:pt idx="337">
                  <c:v>1116.26</c:v>
                </c:pt>
                <c:pt idx="338">
                  <c:v>1256.5899999999999</c:v>
                </c:pt>
                <c:pt idx="339">
                  <c:v>1256.5899999999999</c:v>
                </c:pt>
                <c:pt idx="340">
                  <c:v>890.94</c:v>
                </c:pt>
                <c:pt idx="341">
                  <c:v>797.97</c:v>
                </c:pt>
                <c:pt idx="342">
                  <c:v>797.86</c:v>
                </c:pt>
                <c:pt idx="343">
                  <c:v>884.52</c:v>
                </c:pt>
                <c:pt idx="344">
                  <c:v>933.99</c:v>
                </c:pt>
                <c:pt idx="345">
                  <c:v>1025.27</c:v>
                </c:pt>
                <c:pt idx="346">
                  <c:v>1084.55</c:v>
                </c:pt>
                <c:pt idx="347">
                  <c:v>1091.47</c:v>
                </c:pt>
                <c:pt idx="348">
                  <c:v>1017.88</c:v>
                </c:pt>
                <c:pt idx="349">
                  <c:v>926.65</c:v>
                </c:pt>
                <c:pt idx="350">
                  <c:v>926.65</c:v>
                </c:pt>
                <c:pt idx="351">
                  <c:v>981.32</c:v>
                </c:pt>
                <c:pt idx="352">
                  <c:v>1043.97</c:v>
                </c:pt>
                <c:pt idx="353">
                  <c:v>0</c:v>
                </c:pt>
                <c:pt idx="354">
                  <c:v>1920.39</c:v>
                </c:pt>
                <c:pt idx="355">
                  <c:v>1865.86</c:v>
                </c:pt>
                <c:pt idx="356">
                  <c:v>1807.3</c:v>
                </c:pt>
                <c:pt idx="357">
                  <c:v>1756.42</c:v>
                </c:pt>
                <c:pt idx="358">
                  <c:v>1683.81</c:v>
                </c:pt>
                <c:pt idx="359">
                  <c:v>1641.78</c:v>
                </c:pt>
                <c:pt idx="360">
                  <c:v>1706.44</c:v>
                </c:pt>
                <c:pt idx="361">
                  <c:v>1873.25</c:v>
                </c:pt>
                <c:pt idx="362">
                  <c:v>1873.25</c:v>
                </c:pt>
                <c:pt idx="363">
                  <c:v>1800.78</c:v>
                </c:pt>
                <c:pt idx="364">
                  <c:v>1953.85</c:v>
                </c:pt>
                <c:pt idx="365">
                  <c:v>1952.49</c:v>
                </c:pt>
                <c:pt idx="366">
                  <c:v>1884.11</c:v>
                </c:pt>
                <c:pt idx="367">
                  <c:v>0</c:v>
                </c:pt>
                <c:pt idx="368">
                  <c:v>2151.91</c:v>
                </c:pt>
                <c:pt idx="369">
                  <c:v>2075.79</c:v>
                </c:pt>
                <c:pt idx="370">
                  <c:v>1989.7</c:v>
                </c:pt>
                <c:pt idx="371">
                  <c:v>1966.84</c:v>
                </c:pt>
                <c:pt idx="372">
                  <c:v>0</c:v>
                </c:pt>
                <c:pt idx="373">
                  <c:v>1147.5999999999999</c:v>
                </c:pt>
                <c:pt idx="374">
                  <c:v>1347.77</c:v>
                </c:pt>
                <c:pt idx="375">
                  <c:v>1347.77</c:v>
                </c:pt>
                <c:pt idx="376">
                  <c:v>464.14</c:v>
                </c:pt>
                <c:pt idx="377">
                  <c:v>528.17999999999995</c:v>
                </c:pt>
                <c:pt idx="378">
                  <c:v>576.75</c:v>
                </c:pt>
                <c:pt idx="379">
                  <c:v>570.64</c:v>
                </c:pt>
                <c:pt idx="380">
                  <c:v>523.52</c:v>
                </c:pt>
                <c:pt idx="381">
                  <c:v>442.96</c:v>
                </c:pt>
                <c:pt idx="382">
                  <c:v>463.61</c:v>
                </c:pt>
                <c:pt idx="383">
                  <c:v>538.17999999999995</c:v>
                </c:pt>
                <c:pt idx="384">
                  <c:v>1492.62</c:v>
                </c:pt>
                <c:pt idx="385">
                  <c:v>1509.76</c:v>
                </c:pt>
                <c:pt idx="386">
                  <c:v>1509.76</c:v>
                </c:pt>
                <c:pt idx="387">
                  <c:v>1207.47</c:v>
                </c:pt>
                <c:pt idx="388">
                  <c:v>609.86</c:v>
                </c:pt>
                <c:pt idx="389">
                  <c:v>685.29</c:v>
                </c:pt>
                <c:pt idx="390">
                  <c:v>784.85</c:v>
                </c:pt>
                <c:pt idx="391">
                  <c:v>890.38</c:v>
                </c:pt>
                <c:pt idx="392">
                  <c:v>914.51</c:v>
                </c:pt>
                <c:pt idx="393">
                  <c:v>819.49</c:v>
                </c:pt>
                <c:pt idx="394">
                  <c:v>716.45</c:v>
                </c:pt>
                <c:pt idx="395">
                  <c:v>619.78</c:v>
                </c:pt>
                <c:pt idx="396">
                  <c:v>736.67</c:v>
                </c:pt>
                <c:pt idx="397">
                  <c:v>736.67</c:v>
                </c:pt>
                <c:pt idx="398">
                  <c:v>825.02</c:v>
                </c:pt>
                <c:pt idx="399">
                  <c:v>912.34</c:v>
                </c:pt>
                <c:pt idx="400">
                  <c:v>855.61</c:v>
                </c:pt>
                <c:pt idx="401">
                  <c:v>26.73</c:v>
                </c:pt>
                <c:pt idx="402">
                  <c:v>27.76</c:v>
                </c:pt>
                <c:pt idx="403">
                  <c:v>432.58</c:v>
                </c:pt>
                <c:pt idx="404">
                  <c:v>396.33</c:v>
                </c:pt>
                <c:pt idx="405">
                  <c:v>421.06</c:v>
                </c:pt>
                <c:pt idx="406">
                  <c:v>564.6</c:v>
                </c:pt>
                <c:pt idx="407">
                  <c:v>463.91</c:v>
                </c:pt>
                <c:pt idx="408">
                  <c:v>463.91</c:v>
                </c:pt>
                <c:pt idx="409">
                  <c:v>506.4</c:v>
                </c:pt>
                <c:pt idx="410">
                  <c:v>500.33</c:v>
                </c:pt>
                <c:pt idx="411">
                  <c:v>541.9</c:v>
                </c:pt>
                <c:pt idx="412">
                  <c:v>759.55</c:v>
                </c:pt>
                <c:pt idx="413">
                  <c:v>776.75</c:v>
                </c:pt>
                <c:pt idx="414">
                  <c:v>804.67</c:v>
                </c:pt>
                <c:pt idx="415">
                  <c:v>0</c:v>
                </c:pt>
                <c:pt idx="416">
                  <c:v>699.71</c:v>
                </c:pt>
                <c:pt idx="417">
                  <c:v>661.82</c:v>
                </c:pt>
                <c:pt idx="418">
                  <c:v>630.76</c:v>
                </c:pt>
                <c:pt idx="419">
                  <c:v>693.25</c:v>
                </c:pt>
                <c:pt idx="420">
                  <c:v>693.25</c:v>
                </c:pt>
                <c:pt idx="421">
                  <c:v>724.75</c:v>
                </c:pt>
                <c:pt idx="422">
                  <c:v>739.7</c:v>
                </c:pt>
                <c:pt idx="423">
                  <c:v>646.17999999999995</c:v>
                </c:pt>
                <c:pt idx="424">
                  <c:v>1761.33</c:v>
                </c:pt>
                <c:pt idx="425">
                  <c:v>1688.41</c:v>
                </c:pt>
                <c:pt idx="426">
                  <c:v>1616.87</c:v>
                </c:pt>
                <c:pt idx="427">
                  <c:v>1611.72</c:v>
                </c:pt>
                <c:pt idx="428">
                  <c:v>1678.46</c:v>
                </c:pt>
                <c:pt idx="429">
                  <c:v>1745.21</c:v>
                </c:pt>
                <c:pt idx="430">
                  <c:v>1372.06</c:v>
                </c:pt>
                <c:pt idx="431">
                  <c:v>1372.06</c:v>
                </c:pt>
                <c:pt idx="432">
                  <c:v>27.44</c:v>
                </c:pt>
                <c:pt idx="433">
                  <c:v>1291.6199999999999</c:v>
                </c:pt>
                <c:pt idx="434">
                  <c:v>1487.72</c:v>
                </c:pt>
                <c:pt idx="435">
                  <c:v>1569.07</c:v>
                </c:pt>
                <c:pt idx="436">
                  <c:v>1560.3</c:v>
                </c:pt>
                <c:pt idx="437">
                  <c:v>1485.41</c:v>
                </c:pt>
                <c:pt idx="438">
                  <c:v>1369.46</c:v>
                </c:pt>
                <c:pt idx="439">
                  <c:v>1289.69</c:v>
                </c:pt>
                <c:pt idx="440">
                  <c:v>1416.39</c:v>
                </c:pt>
                <c:pt idx="441">
                  <c:v>1565.37</c:v>
                </c:pt>
                <c:pt idx="442">
                  <c:v>1565.37</c:v>
                </c:pt>
                <c:pt idx="443">
                  <c:v>1454.51</c:v>
                </c:pt>
                <c:pt idx="444">
                  <c:v>1520.34</c:v>
                </c:pt>
                <c:pt idx="445">
                  <c:v>1590.54</c:v>
                </c:pt>
                <c:pt idx="446">
                  <c:v>1609.23</c:v>
                </c:pt>
                <c:pt idx="447">
                  <c:v>1531.51</c:v>
                </c:pt>
                <c:pt idx="448">
                  <c:v>1449.86</c:v>
                </c:pt>
                <c:pt idx="449">
                  <c:v>1422.58</c:v>
                </c:pt>
                <c:pt idx="450">
                  <c:v>1427.92</c:v>
                </c:pt>
                <c:pt idx="451">
                  <c:v>1562.75</c:v>
                </c:pt>
                <c:pt idx="452">
                  <c:v>1167.68</c:v>
                </c:pt>
                <c:pt idx="453">
                  <c:v>1167.68</c:v>
                </c:pt>
                <c:pt idx="454">
                  <c:v>50.15</c:v>
                </c:pt>
                <c:pt idx="455">
                  <c:v>22.64</c:v>
                </c:pt>
                <c:pt idx="456">
                  <c:v>0</c:v>
                </c:pt>
                <c:pt idx="457">
                  <c:v>49.52</c:v>
                </c:pt>
                <c:pt idx="458">
                  <c:v>595.30999999999995</c:v>
                </c:pt>
                <c:pt idx="459">
                  <c:v>598.99</c:v>
                </c:pt>
                <c:pt idx="460">
                  <c:v>1334.23</c:v>
                </c:pt>
                <c:pt idx="461">
                  <c:v>1348.47</c:v>
                </c:pt>
                <c:pt idx="462">
                  <c:v>1291.0899999999999</c:v>
                </c:pt>
                <c:pt idx="463">
                  <c:v>1284.6600000000001</c:v>
                </c:pt>
                <c:pt idx="464">
                  <c:v>1348.77</c:v>
                </c:pt>
                <c:pt idx="465">
                  <c:v>1348.77</c:v>
                </c:pt>
                <c:pt idx="466">
                  <c:v>1293.96</c:v>
                </c:pt>
                <c:pt idx="467">
                  <c:v>1685.5</c:v>
                </c:pt>
                <c:pt idx="468">
                  <c:v>558.84</c:v>
                </c:pt>
                <c:pt idx="469">
                  <c:v>503.32</c:v>
                </c:pt>
                <c:pt idx="470">
                  <c:v>445.29</c:v>
                </c:pt>
                <c:pt idx="471">
                  <c:v>492.57</c:v>
                </c:pt>
                <c:pt idx="472">
                  <c:v>551.78</c:v>
                </c:pt>
                <c:pt idx="473">
                  <c:v>565</c:v>
                </c:pt>
                <c:pt idx="474">
                  <c:v>470.16</c:v>
                </c:pt>
                <c:pt idx="475">
                  <c:v>403.04</c:v>
                </c:pt>
                <c:pt idx="476">
                  <c:v>403.04</c:v>
                </c:pt>
                <c:pt idx="477">
                  <c:v>395.72</c:v>
                </c:pt>
                <c:pt idx="478">
                  <c:v>460.38</c:v>
                </c:pt>
                <c:pt idx="479">
                  <c:v>393.96</c:v>
                </c:pt>
                <c:pt idx="480">
                  <c:v>47.64</c:v>
                </c:pt>
                <c:pt idx="481">
                  <c:v>2089.0100000000002</c:v>
                </c:pt>
                <c:pt idx="482">
                  <c:v>2060.04</c:v>
                </c:pt>
                <c:pt idx="483">
                  <c:v>1856.55</c:v>
                </c:pt>
                <c:pt idx="484">
                  <c:v>1701.9</c:v>
                </c:pt>
                <c:pt idx="485">
                  <c:v>1756.11</c:v>
                </c:pt>
                <c:pt idx="486">
                  <c:v>1813.1</c:v>
                </c:pt>
                <c:pt idx="487">
                  <c:v>1813.1</c:v>
                </c:pt>
                <c:pt idx="488">
                  <c:v>133.02000000000001</c:v>
                </c:pt>
                <c:pt idx="489">
                  <c:v>145.44</c:v>
                </c:pt>
                <c:pt idx="490">
                  <c:v>193.05</c:v>
                </c:pt>
                <c:pt idx="491">
                  <c:v>271.13</c:v>
                </c:pt>
                <c:pt idx="492">
                  <c:v>223.27</c:v>
                </c:pt>
                <c:pt idx="493">
                  <c:v>314.75</c:v>
                </c:pt>
                <c:pt idx="494">
                  <c:v>339.34</c:v>
                </c:pt>
                <c:pt idx="495">
                  <c:v>276.70999999999998</c:v>
                </c:pt>
                <c:pt idx="496">
                  <c:v>51.75</c:v>
                </c:pt>
                <c:pt idx="497">
                  <c:v>1104.3699999999999</c:v>
                </c:pt>
                <c:pt idx="498">
                  <c:v>1104.3699999999999</c:v>
                </c:pt>
                <c:pt idx="499">
                  <c:v>1099.2</c:v>
                </c:pt>
                <c:pt idx="500">
                  <c:v>0</c:v>
                </c:pt>
                <c:pt idx="501">
                  <c:v>1984.11</c:v>
                </c:pt>
                <c:pt idx="502">
                  <c:v>1035.3399999999999</c:v>
                </c:pt>
                <c:pt idx="503">
                  <c:v>969.17</c:v>
                </c:pt>
                <c:pt idx="504">
                  <c:v>914.81</c:v>
                </c:pt>
                <c:pt idx="505">
                  <c:v>948.9</c:v>
                </c:pt>
                <c:pt idx="506">
                  <c:v>1024.24</c:v>
                </c:pt>
                <c:pt idx="507">
                  <c:v>984.3</c:v>
                </c:pt>
                <c:pt idx="508">
                  <c:v>49.36</c:v>
                </c:pt>
                <c:pt idx="509">
                  <c:v>1137.74</c:v>
                </c:pt>
                <c:pt idx="510">
                  <c:v>1137.74</c:v>
                </c:pt>
                <c:pt idx="511">
                  <c:v>1189.94</c:v>
                </c:pt>
                <c:pt idx="512">
                  <c:v>1249.98</c:v>
                </c:pt>
                <c:pt idx="513">
                  <c:v>1263.22</c:v>
                </c:pt>
                <c:pt idx="514">
                  <c:v>1208.54</c:v>
                </c:pt>
                <c:pt idx="515">
                  <c:v>1142.08</c:v>
                </c:pt>
                <c:pt idx="516">
                  <c:v>1105.5899999999999</c:v>
                </c:pt>
                <c:pt idx="517">
                  <c:v>994.34</c:v>
                </c:pt>
                <c:pt idx="518">
                  <c:v>915.14</c:v>
                </c:pt>
                <c:pt idx="519">
                  <c:v>1092.26</c:v>
                </c:pt>
                <c:pt idx="520">
                  <c:v>1021.01</c:v>
                </c:pt>
                <c:pt idx="521">
                  <c:v>1021.01</c:v>
                </c:pt>
                <c:pt idx="522">
                  <c:v>950.19</c:v>
                </c:pt>
                <c:pt idx="523">
                  <c:v>969.3</c:v>
                </c:pt>
                <c:pt idx="524">
                  <c:v>54.34</c:v>
                </c:pt>
                <c:pt idx="525">
                  <c:v>112.8</c:v>
                </c:pt>
                <c:pt idx="526">
                  <c:v>155.15</c:v>
                </c:pt>
                <c:pt idx="527">
                  <c:v>107.66</c:v>
                </c:pt>
                <c:pt idx="528">
                  <c:v>74.69</c:v>
                </c:pt>
                <c:pt idx="529">
                  <c:v>1274.21</c:v>
                </c:pt>
                <c:pt idx="530">
                  <c:v>1199.96</c:v>
                </c:pt>
                <c:pt idx="531">
                  <c:v>1194.1099999999999</c:v>
                </c:pt>
                <c:pt idx="532">
                  <c:v>1194.1099999999999</c:v>
                </c:pt>
                <c:pt idx="533">
                  <c:v>1272.07</c:v>
                </c:pt>
                <c:pt idx="534">
                  <c:v>1263.2</c:v>
                </c:pt>
                <c:pt idx="535">
                  <c:v>1187.3900000000001</c:v>
                </c:pt>
                <c:pt idx="536">
                  <c:v>1142.92</c:v>
                </c:pt>
                <c:pt idx="537">
                  <c:v>1130.47</c:v>
                </c:pt>
                <c:pt idx="538">
                  <c:v>1119.04</c:v>
                </c:pt>
                <c:pt idx="539">
                  <c:v>1960.58</c:v>
                </c:pt>
                <c:pt idx="540">
                  <c:v>1988.92</c:v>
                </c:pt>
                <c:pt idx="541">
                  <c:v>2033.56</c:v>
                </c:pt>
                <c:pt idx="542">
                  <c:v>2094.9699999999998</c:v>
                </c:pt>
                <c:pt idx="543">
                  <c:v>2094.9699999999998</c:v>
                </c:pt>
                <c:pt idx="544">
                  <c:v>2073.19</c:v>
                </c:pt>
                <c:pt idx="545">
                  <c:v>2115.66</c:v>
                </c:pt>
                <c:pt idx="546">
                  <c:v>2159.71</c:v>
                </c:pt>
                <c:pt idx="547">
                  <c:v>2124.14</c:v>
                </c:pt>
                <c:pt idx="548">
                  <c:v>1892.68</c:v>
                </c:pt>
                <c:pt idx="549">
                  <c:v>1838.57</c:v>
                </c:pt>
                <c:pt idx="550">
                  <c:v>1776.59</c:v>
                </c:pt>
                <c:pt idx="551">
                  <c:v>1836.89</c:v>
                </c:pt>
                <c:pt idx="552">
                  <c:v>1887.22</c:v>
                </c:pt>
                <c:pt idx="553">
                  <c:v>1992.73</c:v>
                </c:pt>
                <c:pt idx="554">
                  <c:v>1992.73</c:v>
                </c:pt>
                <c:pt idx="555">
                  <c:v>1938.48</c:v>
                </c:pt>
                <c:pt idx="556">
                  <c:v>1928.48</c:v>
                </c:pt>
                <c:pt idx="557">
                  <c:v>1897.27</c:v>
                </c:pt>
                <c:pt idx="558">
                  <c:v>0</c:v>
                </c:pt>
                <c:pt idx="559">
                  <c:v>937.88</c:v>
                </c:pt>
                <c:pt idx="560">
                  <c:v>946.71</c:v>
                </c:pt>
                <c:pt idx="561">
                  <c:v>866.8</c:v>
                </c:pt>
                <c:pt idx="562">
                  <c:v>873.93</c:v>
                </c:pt>
                <c:pt idx="563">
                  <c:v>891.53</c:v>
                </c:pt>
                <c:pt idx="564">
                  <c:v>790.12</c:v>
                </c:pt>
                <c:pt idx="565">
                  <c:v>821.27</c:v>
                </c:pt>
                <c:pt idx="566">
                  <c:v>821.27</c:v>
                </c:pt>
                <c:pt idx="567">
                  <c:v>792.95</c:v>
                </c:pt>
                <c:pt idx="568">
                  <c:v>1760</c:v>
                </c:pt>
                <c:pt idx="569">
                  <c:v>1713.38</c:v>
                </c:pt>
                <c:pt idx="570">
                  <c:v>1636</c:v>
                </c:pt>
                <c:pt idx="571">
                  <c:v>1645.76</c:v>
                </c:pt>
                <c:pt idx="572">
                  <c:v>1704.84</c:v>
                </c:pt>
                <c:pt idx="573">
                  <c:v>1824.89</c:v>
                </c:pt>
                <c:pt idx="574">
                  <c:v>1870.67</c:v>
                </c:pt>
                <c:pt idx="575">
                  <c:v>472.39</c:v>
                </c:pt>
                <c:pt idx="576">
                  <c:v>539.21</c:v>
                </c:pt>
                <c:pt idx="577">
                  <c:v>539.21</c:v>
                </c:pt>
                <c:pt idx="578">
                  <c:v>538.95000000000005</c:v>
                </c:pt>
                <c:pt idx="579">
                  <c:v>473.57</c:v>
                </c:pt>
                <c:pt idx="580">
                  <c:v>495.66</c:v>
                </c:pt>
                <c:pt idx="581">
                  <c:v>588.29</c:v>
                </c:pt>
                <c:pt idx="582">
                  <c:v>667.96</c:v>
                </c:pt>
                <c:pt idx="583">
                  <c:v>729.87</c:v>
                </c:pt>
                <c:pt idx="584">
                  <c:v>756.95</c:v>
                </c:pt>
                <c:pt idx="585">
                  <c:v>695.03</c:v>
                </c:pt>
                <c:pt idx="586">
                  <c:v>606.02</c:v>
                </c:pt>
                <c:pt idx="587">
                  <c:v>653.20000000000005</c:v>
                </c:pt>
                <c:pt idx="588">
                  <c:v>653.20000000000005</c:v>
                </c:pt>
                <c:pt idx="589">
                  <c:v>743.1</c:v>
                </c:pt>
                <c:pt idx="590">
                  <c:v>0</c:v>
                </c:pt>
                <c:pt idx="591">
                  <c:v>1457.21</c:v>
                </c:pt>
                <c:pt idx="592">
                  <c:v>1384.49</c:v>
                </c:pt>
                <c:pt idx="593">
                  <c:v>1294.69</c:v>
                </c:pt>
                <c:pt idx="594">
                  <c:v>1289.51</c:v>
                </c:pt>
                <c:pt idx="595">
                  <c:v>1373.1</c:v>
                </c:pt>
                <c:pt idx="596">
                  <c:v>1451.89</c:v>
                </c:pt>
                <c:pt idx="597">
                  <c:v>1841.54</c:v>
                </c:pt>
                <c:pt idx="598">
                  <c:v>1794.11</c:v>
                </c:pt>
                <c:pt idx="599">
                  <c:v>1827.52</c:v>
                </c:pt>
                <c:pt idx="600">
                  <c:v>1827.52</c:v>
                </c:pt>
                <c:pt idx="601">
                  <c:v>1719.21</c:v>
                </c:pt>
                <c:pt idx="602">
                  <c:v>1659.25</c:v>
                </c:pt>
                <c:pt idx="603">
                  <c:v>1743.27</c:v>
                </c:pt>
                <c:pt idx="604">
                  <c:v>1661.04</c:v>
                </c:pt>
                <c:pt idx="605">
                  <c:v>1696.48</c:v>
                </c:pt>
                <c:pt idx="606">
                  <c:v>1625.96</c:v>
                </c:pt>
                <c:pt idx="607">
                  <c:v>1622.03</c:v>
                </c:pt>
                <c:pt idx="608">
                  <c:v>1553.6</c:v>
                </c:pt>
                <c:pt idx="609">
                  <c:v>1461.5</c:v>
                </c:pt>
                <c:pt idx="610">
                  <c:v>1372.64</c:v>
                </c:pt>
                <c:pt idx="611">
                  <c:v>1372.64</c:v>
                </c:pt>
                <c:pt idx="612">
                  <c:v>1290.52</c:v>
                </c:pt>
                <c:pt idx="613">
                  <c:v>1285.26</c:v>
                </c:pt>
                <c:pt idx="614">
                  <c:v>1370.73</c:v>
                </c:pt>
                <c:pt idx="615">
                  <c:v>1450.59</c:v>
                </c:pt>
                <c:pt idx="616">
                  <c:v>1553.79</c:v>
                </c:pt>
                <c:pt idx="617">
                  <c:v>1564.3</c:v>
                </c:pt>
                <c:pt idx="618">
                  <c:v>1425.66</c:v>
                </c:pt>
                <c:pt idx="619">
                  <c:v>1286.23</c:v>
                </c:pt>
                <c:pt idx="620">
                  <c:v>40.22</c:v>
                </c:pt>
                <c:pt idx="621">
                  <c:v>1616.19</c:v>
                </c:pt>
                <c:pt idx="622">
                  <c:v>1616.19</c:v>
                </c:pt>
                <c:pt idx="623">
                  <c:v>1556.38</c:v>
                </c:pt>
                <c:pt idx="624">
                  <c:v>1477.46</c:v>
                </c:pt>
                <c:pt idx="625">
                  <c:v>1446.01</c:v>
                </c:pt>
                <c:pt idx="626">
                  <c:v>1532.53</c:v>
                </c:pt>
                <c:pt idx="627">
                  <c:v>1617.51</c:v>
                </c:pt>
                <c:pt idx="628">
                  <c:v>469.25</c:v>
                </c:pt>
                <c:pt idx="629">
                  <c:v>432.59</c:v>
                </c:pt>
                <c:pt idx="630">
                  <c:v>353.09</c:v>
                </c:pt>
                <c:pt idx="631">
                  <c:v>253.08</c:v>
                </c:pt>
                <c:pt idx="632">
                  <c:v>137.87</c:v>
                </c:pt>
                <c:pt idx="633">
                  <c:v>137.87</c:v>
                </c:pt>
                <c:pt idx="634">
                  <c:v>42.47</c:v>
                </c:pt>
                <c:pt idx="635">
                  <c:v>122.67</c:v>
                </c:pt>
                <c:pt idx="636">
                  <c:v>1469.85</c:v>
                </c:pt>
                <c:pt idx="637">
                  <c:v>1568.23</c:v>
                </c:pt>
                <c:pt idx="638">
                  <c:v>928.36</c:v>
                </c:pt>
                <c:pt idx="639">
                  <c:v>1000.65</c:v>
                </c:pt>
                <c:pt idx="640">
                  <c:v>1064.06</c:v>
                </c:pt>
                <c:pt idx="641">
                  <c:v>1139.98</c:v>
                </c:pt>
                <c:pt idx="642">
                  <c:v>1214.24</c:v>
                </c:pt>
                <c:pt idx="643">
                  <c:v>1109.72</c:v>
                </c:pt>
                <c:pt idx="644">
                  <c:v>1109.72</c:v>
                </c:pt>
                <c:pt idx="645">
                  <c:v>1258.5999999999999</c:v>
                </c:pt>
                <c:pt idx="646">
                  <c:v>1183.3800000000001</c:v>
                </c:pt>
                <c:pt idx="647">
                  <c:v>1029.27</c:v>
                </c:pt>
                <c:pt idx="648">
                  <c:v>932.16</c:v>
                </c:pt>
                <c:pt idx="649">
                  <c:v>978.95</c:v>
                </c:pt>
                <c:pt idx="650">
                  <c:v>1049.6199999999999</c:v>
                </c:pt>
                <c:pt idx="651">
                  <c:v>1132.74</c:v>
                </c:pt>
                <c:pt idx="652">
                  <c:v>1226.75</c:v>
                </c:pt>
                <c:pt idx="653">
                  <c:v>45.82</c:v>
                </c:pt>
                <c:pt idx="654">
                  <c:v>1248.45</c:v>
                </c:pt>
                <c:pt idx="655">
                  <c:v>1248.45</c:v>
                </c:pt>
                <c:pt idx="656">
                  <c:v>1186.48</c:v>
                </c:pt>
                <c:pt idx="657">
                  <c:v>1123.96</c:v>
                </c:pt>
                <c:pt idx="658">
                  <c:v>1121.74</c:v>
                </c:pt>
                <c:pt idx="659">
                  <c:v>1184.52</c:v>
                </c:pt>
                <c:pt idx="660">
                  <c:v>1246.07</c:v>
                </c:pt>
                <c:pt idx="661">
                  <c:v>1213.1300000000001</c:v>
                </c:pt>
                <c:pt idx="662">
                  <c:v>1128.4100000000001</c:v>
                </c:pt>
                <c:pt idx="663">
                  <c:v>1092.31</c:v>
                </c:pt>
                <c:pt idx="664">
                  <c:v>1036.05</c:v>
                </c:pt>
                <c:pt idx="665">
                  <c:v>967.99</c:v>
                </c:pt>
                <c:pt idx="666">
                  <c:v>967.99</c:v>
                </c:pt>
                <c:pt idx="667">
                  <c:v>962.7</c:v>
                </c:pt>
                <c:pt idx="668">
                  <c:v>1029.98</c:v>
                </c:pt>
                <c:pt idx="669">
                  <c:v>1093.47</c:v>
                </c:pt>
                <c:pt idx="670">
                  <c:v>1063.83</c:v>
                </c:pt>
                <c:pt idx="671">
                  <c:v>978.03</c:v>
                </c:pt>
                <c:pt idx="672">
                  <c:v>912.86</c:v>
                </c:pt>
                <c:pt idx="673">
                  <c:v>852.76</c:v>
                </c:pt>
                <c:pt idx="674">
                  <c:v>771.12</c:v>
                </c:pt>
                <c:pt idx="675">
                  <c:v>773.39</c:v>
                </c:pt>
                <c:pt idx="676">
                  <c:v>312.95999999999998</c:v>
                </c:pt>
                <c:pt idx="677">
                  <c:v>312.95999999999998</c:v>
                </c:pt>
                <c:pt idx="678">
                  <c:v>485.18</c:v>
                </c:pt>
                <c:pt idx="679">
                  <c:v>0</c:v>
                </c:pt>
                <c:pt idx="680">
                  <c:v>78.28</c:v>
                </c:pt>
                <c:pt idx="681">
                  <c:v>168.89</c:v>
                </c:pt>
                <c:pt idx="682">
                  <c:v>330.17</c:v>
                </c:pt>
                <c:pt idx="683">
                  <c:v>524.20000000000005</c:v>
                </c:pt>
                <c:pt idx="684">
                  <c:v>805.96</c:v>
                </c:pt>
                <c:pt idx="685">
                  <c:v>862.46</c:v>
                </c:pt>
                <c:pt idx="686">
                  <c:v>914.09</c:v>
                </c:pt>
                <c:pt idx="687">
                  <c:v>881.58</c:v>
                </c:pt>
                <c:pt idx="688">
                  <c:v>652.54999999999995</c:v>
                </c:pt>
                <c:pt idx="689">
                  <c:v>652.54999999999995</c:v>
                </c:pt>
                <c:pt idx="690">
                  <c:v>727.34</c:v>
                </c:pt>
                <c:pt idx="691">
                  <c:v>611.45000000000005</c:v>
                </c:pt>
                <c:pt idx="692">
                  <c:v>613.02</c:v>
                </c:pt>
                <c:pt idx="693">
                  <c:v>675.4</c:v>
                </c:pt>
                <c:pt idx="694">
                  <c:v>747.24</c:v>
                </c:pt>
                <c:pt idx="695">
                  <c:v>744.66</c:v>
                </c:pt>
                <c:pt idx="696">
                  <c:v>697.92</c:v>
                </c:pt>
                <c:pt idx="697">
                  <c:v>565.79999999999995</c:v>
                </c:pt>
                <c:pt idx="698">
                  <c:v>508.09</c:v>
                </c:pt>
                <c:pt idx="699">
                  <c:v>443.32</c:v>
                </c:pt>
                <c:pt idx="700">
                  <c:v>443.32</c:v>
                </c:pt>
                <c:pt idx="701">
                  <c:v>423.37</c:v>
                </c:pt>
                <c:pt idx="702">
                  <c:v>506.93</c:v>
                </c:pt>
                <c:pt idx="703">
                  <c:v>565.79</c:v>
                </c:pt>
                <c:pt idx="704">
                  <c:v>456.3</c:v>
                </c:pt>
                <c:pt idx="705">
                  <c:v>231.19</c:v>
                </c:pt>
                <c:pt idx="706">
                  <c:v>367.5</c:v>
                </c:pt>
                <c:pt idx="707">
                  <c:v>502.23</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numCache>
              <c:extLst xmlns:c15="http://schemas.microsoft.com/office/drawing/2012/chart"/>
            </c:numRef>
          </c:xVal>
          <c:yVal>
            <c:numRef>
              <c:f>FCS!$I$11:$I$825</c:f>
              <c:numCache>
                <c:formatCode>0\+000.00</c:formatCode>
                <c:ptCount val="815"/>
                <c:pt idx="0">
                  <c:v>98.61</c:v>
                </c:pt>
                <c:pt idx="1">
                  <c:v>98.61</c:v>
                </c:pt>
                <c:pt idx="2">
                  <c:v>111.15</c:v>
                </c:pt>
                <c:pt idx="3">
                  <c:v>129.83000000000001</c:v>
                </c:pt>
                <c:pt idx="4">
                  <c:v>209.82</c:v>
                </c:pt>
                <c:pt idx="5">
                  <c:v>190.9</c:v>
                </c:pt>
                <c:pt idx="6">
                  <c:v>167.36</c:v>
                </c:pt>
                <c:pt idx="7">
                  <c:v>252.76</c:v>
                </c:pt>
                <c:pt idx="8">
                  <c:v>252.76</c:v>
                </c:pt>
                <c:pt idx="9">
                  <c:v>155.49</c:v>
                </c:pt>
                <c:pt idx="10">
                  <c:v>238.34</c:v>
                </c:pt>
                <c:pt idx="11">
                  <c:v>45.54</c:v>
                </c:pt>
                <c:pt idx="12">
                  <c:v>45.54</c:v>
                </c:pt>
                <c:pt idx="13">
                  <c:v>138.03</c:v>
                </c:pt>
                <c:pt idx="14">
                  <c:v>109.77</c:v>
                </c:pt>
                <c:pt idx="15">
                  <c:v>190.77</c:v>
                </c:pt>
                <c:pt idx="16">
                  <c:v>219.06</c:v>
                </c:pt>
                <c:pt idx="17">
                  <c:v>262.55</c:v>
                </c:pt>
                <c:pt idx="18">
                  <c:v>-45.39</c:v>
                </c:pt>
                <c:pt idx="19">
                  <c:v>24.75</c:v>
                </c:pt>
                <c:pt idx="20">
                  <c:v>18.190000000000001</c:v>
                </c:pt>
                <c:pt idx="21">
                  <c:v>84.9</c:v>
                </c:pt>
                <c:pt idx="22">
                  <c:v>19.36</c:v>
                </c:pt>
                <c:pt idx="23">
                  <c:v>19.36</c:v>
                </c:pt>
                <c:pt idx="24">
                  <c:v>25.16</c:v>
                </c:pt>
                <c:pt idx="25">
                  <c:v>-30.77</c:v>
                </c:pt>
                <c:pt idx="26">
                  <c:v>62.23</c:v>
                </c:pt>
                <c:pt idx="27">
                  <c:v>54.69</c:v>
                </c:pt>
                <c:pt idx="28">
                  <c:v>120.8</c:v>
                </c:pt>
                <c:pt idx="29">
                  <c:v>497.41</c:v>
                </c:pt>
                <c:pt idx="30">
                  <c:v>-156.69999999999999</c:v>
                </c:pt>
                <c:pt idx="31">
                  <c:v>33.1</c:v>
                </c:pt>
                <c:pt idx="32">
                  <c:v>48.5</c:v>
                </c:pt>
                <c:pt idx="33">
                  <c:v>48.98</c:v>
                </c:pt>
                <c:pt idx="34">
                  <c:v>48.98</c:v>
                </c:pt>
                <c:pt idx="35">
                  <c:v>34.65</c:v>
                </c:pt>
                <c:pt idx="36">
                  <c:v>116.49</c:v>
                </c:pt>
                <c:pt idx="37">
                  <c:v>114.06</c:v>
                </c:pt>
                <c:pt idx="38">
                  <c:v>61.48</c:v>
                </c:pt>
                <c:pt idx="39">
                  <c:v>389.14</c:v>
                </c:pt>
                <c:pt idx="40">
                  <c:v>510.87</c:v>
                </c:pt>
                <c:pt idx="41">
                  <c:v>427.05</c:v>
                </c:pt>
                <c:pt idx="42">
                  <c:v>570.42999999999995</c:v>
                </c:pt>
                <c:pt idx="43">
                  <c:v>439.21</c:v>
                </c:pt>
                <c:pt idx="44">
                  <c:v>590.98</c:v>
                </c:pt>
                <c:pt idx="45">
                  <c:v>590.98</c:v>
                </c:pt>
                <c:pt idx="46">
                  <c:v>416.6</c:v>
                </c:pt>
                <c:pt idx="47">
                  <c:v>390.98</c:v>
                </c:pt>
                <c:pt idx="48">
                  <c:v>531.83000000000004</c:v>
                </c:pt>
                <c:pt idx="49">
                  <c:v>531.59</c:v>
                </c:pt>
                <c:pt idx="50">
                  <c:v>-29.34</c:v>
                </c:pt>
                <c:pt idx="51">
                  <c:v>-25.66</c:v>
                </c:pt>
                <c:pt idx="52">
                  <c:v>19.5</c:v>
                </c:pt>
                <c:pt idx="53">
                  <c:v>-3.27</c:v>
                </c:pt>
                <c:pt idx="54">
                  <c:v>-2.73</c:v>
                </c:pt>
                <c:pt idx="55">
                  <c:v>24.13</c:v>
                </c:pt>
                <c:pt idx="56">
                  <c:v>24.13</c:v>
                </c:pt>
                <c:pt idx="57">
                  <c:v>203.83</c:v>
                </c:pt>
                <c:pt idx="58">
                  <c:v>231.38</c:v>
                </c:pt>
                <c:pt idx="59">
                  <c:v>256.33</c:v>
                </c:pt>
                <c:pt idx="60">
                  <c:v>340.75</c:v>
                </c:pt>
                <c:pt idx="61">
                  <c:v>329.98</c:v>
                </c:pt>
                <c:pt idx="62">
                  <c:v>346</c:v>
                </c:pt>
                <c:pt idx="63">
                  <c:v>61.67</c:v>
                </c:pt>
                <c:pt idx="64">
                  <c:v>270.45999999999998</c:v>
                </c:pt>
                <c:pt idx="65">
                  <c:v>257.88</c:v>
                </c:pt>
                <c:pt idx="66">
                  <c:v>228.97</c:v>
                </c:pt>
                <c:pt idx="67">
                  <c:v>228.97</c:v>
                </c:pt>
                <c:pt idx="68">
                  <c:v>390.05</c:v>
                </c:pt>
                <c:pt idx="69">
                  <c:v>339.79</c:v>
                </c:pt>
                <c:pt idx="70">
                  <c:v>329.1</c:v>
                </c:pt>
                <c:pt idx="71">
                  <c:v>425.41</c:v>
                </c:pt>
                <c:pt idx="72">
                  <c:v>488.03</c:v>
                </c:pt>
                <c:pt idx="73">
                  <c:v>233.58</c:v>
                </c:pt>
                <c:pt idx="74">
                  <c:v>293.83999999999997</c:v>
                </c:pt>
                <c:pt idx="75">
                  <c:v>382.2</c:v>
                </c:pt>
                <c:pt idx="76">
                  <c:v>-2.89</c:v>
                </c:pt>
                <c:pt idx="77">
                  <c:v>264.16999999999996</c:v>
                </c:pt>
                <c:pt idx="78">
                  <c:v>-25.24</c:v>
                </c:pt>
                <c:pt idx="79">
                  <c:v>-25.24</c:v>
                </c:pt>
                <c:pt idx="80">
                  <c:v>-29.59</c:v>
                </c:pt>
                <c:pt idx="81">
                  <c:v>236.13</c:v>
                </c:pt>
                <c:pt idx="82">
                  <c:v>215.5</c:v>
                </c:pt>
                <c:pt idx="83">
                  <c:v>306.61</c:v>
                </c:pt>
                <c:pt idx="84">
                  <c:v>316.54000000000002</c:v>
                </c:pt>
                <c:pt idx="85">
                  <c:v>429.7</c:v>
                </c:pt>
                <c:pt idx="86">
                  <c:v>410.1</c:v>
                </c:pt>
                <c:pt idx="87">
                  <c:v>516.82000000000005</c:v>
                </c:pt>
                <c:pt idx="88">
                  <c:v>536.03</c:v>
                </c:pt>
                <c:pt idx="89">
                  <c:v>612.91999999999996</c:v>
                </c:pt>
                <c:pt idx="90">
                  <c:v>612.91999999999996</c:v>
                </c:pt>
                <c:pt idx="91">
                  <c:v>60.65</c:v>
                </c:pt>
                <c:pt idx="92">
                  <c:v>431.62</c:v>
                </c:pt>
                <c:pt idx="93">
                  <c:v>436.65</c:v>
                </c:pt>
                <c:pt idx="94">
                  <c:v>413.32</c:v>
                </c:pt>
                <c:pt idx="95">
                  <c:v>396.62</c:v>
                </c:pt>
                <c:pt idx="96">
                  <c:v>504.71</c:v>
                </c:pt>
                <c:pt idx="97">
                  <c:v>532.79</c:v>
                </c:pt>
                <c:pt idx="98">
                  <c:v>528.34</c:v>
                </c:pt>
                <c:pt idx="99">
                  <c:v>497.08</c:v>
                </c:pt>
                <c:pt idx="100">
                  <c:v>298.68</c:v>
                </c:pt>
                <c:pt idx="101">
                  <c:v>298.68</c:v>
                </c:pt>
                <c:pt idx="102">
                  <c:v>235.82</c:v>
                </c:pt>
                <c:pt idx="103">
                  <c:v>304.12</c:v>
                </c:pt>
                <c:pt idx="104">
                  <c:v>425.64</c:v>
                </c:pt>
                <c:pt idx="105">
                  <c:v>374.13</c:v>
                </c:pt>
                <c:pt idx="106">
                  <c:v>373.19</c:v>
                </c:pt>
                <c:pt idx="107">
                  <c:v>227.58</c:v>
                </c:pt>
                <c:pt idx="108">
                  <c:v>240.06</c:v>
                </c:pt>
                <c:pt idx="109">
                  <c:v>234.34</c:v>
                </c:pt>
                <c:pt idx="110">
                  <c:v>307.2</c:v>
                </c:pt>
                <c:pt idx="111">
                  <c:v>321.32</c:v>
                </c:pt>
                <c:pt idx="112">
                  <c:v>321.32</c:v>
                </c:pt>
                <c:pt idx="113">
                  <c:v>349.88</c:v>
                </c:pt>
                <c:pt idx="114">
                  <c:v>-26.63</c:v>
                </c:pt>
                <c:pt idx="115">
                  <c:v>-25.17</c:v>
                </c:pt>
                <c:pt idx="116">
                  <c:v>64.7</c:v>
                </c:pt>
                <c:pt idx="117">
                  <c:v>-25.31</c:v>
                </c:pt>
                <c:pt idx="118">
                  <c:v>54.08</c:v>
                </c:pt>
                <c:pt idx="119">
                  <c:v>96.44</c:v>
                </c:pt>
                <c:pt idx="120">
                  <c:v>106.96</c:v>
                </c:pt>
                <c:pt idx="121">
                  <c:v>125.01</c:v>
                </c:pt>
                <c:pt idx="122">
                  <c:v>106.87</c:v>
                </c:pt>
                <c:pt idx="123">
                  <c:v>59.97</c:v>
                </c:pt>
                <c:pt idx="124">
                  <c:v>59.97</c:v>
                </c:pt>
                <c:pt idx="125">
                  <c:v>8.83</c:v>
                </c:pt>
                <c:pt idx="126">
                  <c:v>62.01</c:v>
                </c:pt>
                <c:pt idx="127">
                  <c:v>199.45</c:v>
                </c:pt>
                <c:pt idx="128">
                  <c:v>-26.06</c:v>
                </c:pt>
                <c:pt idx="129">
                  <c:v>39.15</c:v>
                </c:pt>
                <c:pt idx="130">
                  <c:v>67.989999999999995</c:v>
                </c:pt>
                <c:pt idx="131">
                  <c:v>68.62</c:v>
                </c:pt>
                <c:pt idx="132">
                  <c:v>145.31</c:v>
                </c:pt>
                <c:pt idx="133">
                  <c:v>141.80000000000001</c:v>
                </c:pt>
                <c:pt idx="134">
                  <c:v>186.88</c:v>
                </c:pt>
                <c:pt idx="135">
                  <c:v>255.33</c:v>
                </c:pt>
                <c:pt idx="136">
                  <c:v>255.33</c:v>
                </c:pt>
                <c:pt idx="137">
                  <c:v>239.55</c:v>
                </c:pt>
                <c:pt idx="138">
                  <c:v>348.21</c:v>
                </c:pt>
                <c:pt idx="139">
                  <c:v>322.11</c:v>
                </c:pt>
                <c:pt idx="140">
                  <c:v>289.18</c:v>
                </c:pt>
                <c:pt idx="141">
                  <c:v>366.51</c:v>
                </c:pt>
                <c:pt idx="142">
                  <c:v>403.68</c:v>
                </c:pt>
                <c:pt idx="143">
                  <c:v>462.45</c:v>
                </c:pt>
                <c:pt idx="144">
                  <c:v>253.49</c:v>
                </c:pt>
                <c:pt idx="145">
                  <c:v>228.02</c:v>
                </c:pt>
                <c:pt idx="146">
                  <c:v>203.96</c:v>
                </c:pt>
                <c:pt idx="147">
                  <c:v>203.96</c:v>
                </c:pt>
                <c:pt idx="148">
                  <c:v>286.26</c:v>
                </c:pt>
                <c:pt idx="149">
                  <c:v>303.69</c:v>
                </c:pt>
                <c:pt idx="150">
                  <c:v>364.43</c:v>
                </c:pt>
                <c:pt idx="151">
                  <c:v>399.5</c:v>
                </c:pt>
                <c:pt idx="152">
                  <c:v>43.74</c:v>
                </c:pt>
                <c:pt idx="153">
                  <c:v>-24.95</c:v>
                </c:pt>
                <c:pt idx="154">
                  <c:v>55.49</c:v>
                </c:pt>
                <c:pt idx="155">
                  <c:v>92.13</c:v>
                </c:pt>
                <c:pt idx="156">
                  <c:v>90.36</c:v>
                </c:pt>
                <c:pt idx="157">
                  <c:v>145.94999999999999</c:v>
                </c:pt>
                <c:pt idx="158">
                  <c:v>145.94999999999999</c:v>
                </c:pt>
                <c:pt idx="159">
                  <c:v>169.5</c:v>
                </c:pt>
                <c:pt idx="160">
                  <c:v>116.35</c:v>
                </c:pt>
                <c:pt idx="161">
                  <c:v>200.29</c:v>
                </c:pt>
                <c:pt idx="162">
                  <c:v>276.07</c:v>
                </c:pt>
                <c:pt idx="163">
                  <c:v>240.7</c:v>
                </c:pt>
                <c:pt idx="164">
                  <c:v>296.26</c:v>
                </c:pt>
                <c:pt idx="165">
                  <c:v>498.79</c:v>
                </c:pt>
                <c:pt idx="166">
                  <c:v>592.70000000000005</c:v>
                </c:pt>
                <c:pt idx="167">
                  <c:v>458.75</c:v>
                </c:pt>
                <c:pt idx="168">
                  <c:v>416.04</c:v>
                </c:pt>
                <c:pt idx="169">
                  <c:v>416.04</c:v>
                </c:pt>
                <c:pt idx="170">
                  <c:v>516.91</c:v>
                </c:pt>
                <c:pt idx="171">
                  <c:v>546.49</c:v>
                </c:pt>
                <c:pt idx="172">
                  <c:v>634.92999999999995</c:v>
                </c:pt>
                <c:pt idx="173">
                  <c:v>35.64</c:v>
                </c:pt>
                <c:pt idx="174">
                  <c:v>-25.45</c:v>
                </c:pt>
                <c:pt idx="175">
                  <c:v>18.899999999999999</c:v>
                </c:pt>
                <c:pt idx="176">
                  <c:v>-116.35</c:v>
                </c:pt>
                <c:pt idx="177">
                  <c:v>-62.86</c:v>
                </c:pt>
                <c:pt idx="178">
                  <c:v>-136.27000000000001</c:v>
                </c:pt>
                <c:pt idx="179">
                  <c:v>-143.18</c:v>
                </c:pt>
                <c:pt idx="180">
                  <c:v>-158.47</c:v>
                </c:pt>
                <c:pt idx="181">
                  <c:v>-158.47</c:v>
                </c:pt>
                <c:pt idx="182">
                  <c:v>-77.41</c:v>
                </c:pt>
                <c:pt idx="183">
                  <c:v>-69.040000000000006</c:v>
                </c:pt>
                <c:pt idx="184">
                  <c:v>-74.98</c:v>
                </c:pt>
                <c:pt idx="185">
                  <c:v>-20.420000000000002</c:v>
                </c:pt>
                <c:pt idx="186">
                  <c:v>-4.8899999999999997</c:v>
                </c:pt>
                <c:pt idx="187">
                  <c:v>0.54</c:v>
                </c:pt>
                <c:pt idx="188">
                  <c:v>-25.32</c:v>
                </c:pt>
                <c:pt idx="189">
                  <c:v>-162.91</c:v>
                </c:pt>
                <c:pt idx="190">
                  <c:v>-191.98</c:v>
                </c:pt>
                <c:pt idx="191">
                  <c:v>204.35</c:v>
                </c:pt>
                <c:pt idx="192">
                  <c:v>204.35</c:v>
                </c:pt>
                <c:pt idx="193">
                  <c:v>234.95</c:v>
                </c:pt>
                <c:pt idx="194">
                  <c:v>267.49</c:v>
                </c:pt>
                <c:pt idx="195">
                  <c:v>340.83</c:v>
                </c:pt>
                <c:pt idx="196">
                  <c:v>315</c:v>
                </c:pt>
                <c:pt idx="197">
                  <c:v>279.11</c:v>
                </c:pt>
                <c:pt idx="198">
                  <c:v>413</c:v>
                </c:pt>
                <c:pt idx="199">
                  <c:v>270.45</c:v>
                </c:pt>
                <c:pt idx="200">
                  <c:v>257.51</c:v>
                </c:pt>
                <c:pt idx="201">
                  <c:v>247.06</c:v>
                </c:pt>
                <c:pt idx="202">
                  <c:v>326.85000000000002</c:v>
                </c:pt>
                <c:pt idx="203">
                  <c:v>326.85000000000002</c:v>
                </c:pt>
                <c:pt idx="204">
                  <c:v>345.91</c:v>
                </c:pt>
                <c:pt idx="205">
                  <c:v>353.69</c:v>
                </c:pt>
                <c:pt idx="206">
                  <c:v>399.26</c:v>
                </c:pt>
                <c:pt idx="207">
                  <c:v>-55.84</c:v>
                </c:pt>
                <c:pt idx="208">
                  <c:v>-219.98</c:v>
                </c:pt>
                <c:pt idx="209">
                  <c:v>-71.47</c:v>
                </c:pt>
                <c:pt idx="210">
                  <c:v>44.4</c:v>
                </c:pt>
                <c:pt idx="211">
                  <c:v>-182.78</c:v>
                </c:pt>
                <c:pt idx="212">
                  <c:v>422.09</c:v>
                </c:pt>
                <c:pt idx="213">
                  <c:v>456.99</c:v>
                </c:pt>
                <c:pt idx="214">
                  <c:v>449.63</c:v>
                </c:pt>
                <c:pt idx="215">
                  <c:v>449.63</c:v>
                </c:pt>
                <c:pt idx="216">
                  <c:v>470.73</c:v>
                </c:pt>
                <c:pt idx="217">
                  <c:v>426.81</c:v>
                </c:pt>
                <c:pt idx="218">
                  <c:v>518.08000000000004</c:v>
                </c:pt>
                <c:pt idx="219">
                  <c:v>526.25</c:v>
                </c:pt>
                <c:pt idx="220">
                  <c:v>569.37</c:v>
                </c:pt>
                <c:pt idx="221">
                  <c:v>526.41</c:v>
                </c:pt>
                <c:pt idx="222">
                  <c:v>520.32000000000005</c:v>
                </c:pt>
                <c:pt idx="223">
                  <c:v>621.04</c:v>
                </c:pt>
                <c:pt idx="224">
                  <c:v>607.79</c:v>
                </c:pt>
                <c:pt idx="225">
                  <c:v>43</c:v>
                </c:pt>
                <c:pt idx="226">
                  <c:v>43</c:v>
                </c:pt>
                <c:pt idx="227">
                  <c:v>77.44</c:v>
                </c:pt>
                <c:pt idx="228">
                  <c:v>121.54</c:v>
                </c:pt>
                <c:pt idx="229">
                  <c:v>153.59</c:v>
                </c:pt>
                <c:pt idx="230">
                  <c:v>66.11</c:v>
                </c:pt>
                <c:pt idx="231">
                  <c:v>70.760000000000005</c:v>
                </c:pt>
                <c:pt idx="232">
                  <c:v>52.74</c:v>
                </c:pt>
                <c:pt idx="233">
                  <c:v>-10.54</c:v>
                </c:pt>
                <c:pt idx="234">
                  <c:v>470.43</c:v>
                </c:pt>
                <c:pt idx="235">
                  <c:v>413.55</c:v>
                </c:pt>
                <c:pt idx="236">
                  <c:v>593.96</c:v>
                </c:pt>
                <c:pt idx="237">
                  <c:v>593.96</c:v>
                </c:pt>
                <c:pt idx="238">
                  <c:v>390.33</c:v>
                </c:pt>
                <c:pt idx="239">
                  <c:v>508.43</c:v>
                </c:pt>
                <c:pt idx="240">
                  <c:v>529.74</c:v>
                </c:pt>
                <c:pt idx="241">
                  <c:v>566.95000000000005</c:v>
                </c:pt>
                <c:pt idx="242">
                  <c:v>414.22</c:v>
                </c:pt>
                <c:pt idx="243">
                  <c:v>538.19000000000005</c:v>
                </c:pt>
                <c:pt idx="244">
                  <c:v>477.8</c:v>
                </c:pt>
                <c:pt idx="245">
                  <c:v>396.95</c:v>
                </c:pt>
                <c:pt idx="246">
                  <c:v>258.5</c:v>
                </c:pt>
                <c:pt idx="247">
                  <c:v>231.5</c:v>
                </c:pt>
                <c:pt idx="248">
                  <c:v>237.27</c:v>
                </c:pt>
                <c:pt idx="249">
                  <c:v>237.27</c:v>
                </c:pt>
                <c:pt idx="250">
                  <c:v>296.44</c:v>
                </c:pt>
                <c:pt idx="251">
                  <c:v>337.52</c:v>
                </c:pt>
                <c:pt idx="252">
                  <c:v>365.38</c:v>
                </c:pt>
                <c:pt idx="253">
                  <c:v>337.41</c:v>
                </c:pt>
                <c:pt idx="254">
                  <c:v>269.42</c:v>
                </c:pt>
                <c:pt idx="255">
                  <c:v>250.35</c:v>
                </c:pt>
                <c:pt idx="256">
                  <c:v>212.3</c:v>
                </c:pt>
                <c:pt idx="257">
                  <c:v>346.49</c:v>
                </c:pt>
                <c:pt idx="258">
                  <c:v>372.96</c:v>
                </c:pt>
                <c:pt idx="259">
                  <c:v>328.28</c:v>
                </c:pt>
                <c:pt idx="260">
                  <c:v>328.28</c:v>
                </c:pt>
                <c:pt idx="261">
                  <c:v>308.64999999999998</c:v>
                </c:pt>
                <c:pt idx="262">
                  <c:v>160.21</c:v>
                </c:pt>
                <c:pt idx="263">
                  <c:v>42.6</c:v>
                </c:pt>
                <c:pt idx="264">
                  <c:v>289.76</c:v>
                </c:pt>
                <c:pt idx="265">
                  <c:v>289.57</c:v>
                </c:pt>
                <c:pt idx="266">
                  <c:v>252.92</c:v>
                </c:pt>
                <c:pt idx="267">
                  <c:v>371.78</c:v>
                </c:pt>
                <c:pt idx="268">
                  <c:v>413.57</c:v>
                </c:pt>
                <c:pt idx="269">
                  <c:v>398</c:v>
                </c:pt>
                <c:pt idx="270">
                  <c:v>447.8</c:v>
                </c:pt>
                <c:pt idx="271">
                  <c:v>-8.01</c:v>
                </c:pt>
                <c:pt idx="272">
                  <c:v>-8.01</c:v>
                </c:pt>
                <c:pt idx="273">
                  <c:v>-26.95</c:v>
                </c:pt>
                <c:pt idx="274">
                  <c:v>116.93</c:v>
                </c:pt>
                <c:pt idx="275">
                  <c:v>83.8</c:v>
                </c:pt>
                <c:pt idx="276">
                  <c:v>269.77999999999997</c:v>
                </c:pt>
                <c:pt idx="277">
                  <c:v>211.36</c:v>
                </c:pt>
                <c:pt idx="278">
                  <c:v>206.95</c:v>
                </c:pt>
                <c:pt idx="279">
                  <c:v>185.85</c:v>
                </c:pt>
                <c:pt idx="280">
                  <c:v>-10.16</c:v>
                </c:pt>
                <c:pt idx="281">
                  <c:v>29.33</c:v>
                </c:pt>
                <c:pt idx="282">
                  <c:v>188.01</c:v>
                </c:pt>
                <c:pt idx="283">
                  <c:v>188.01</c:v>
                </c:pt>
                <c:pt idx="284">
                  <c:v>190.9</c:v>
                </c:pt>
                <c:pt idx="285">
                  <c:v>280.32</c:v>
                </c:pt>
                <c:pt idx="286">
                  <c:v>275.42</c:v>
                </c:pt>
                <c:pt idx="287">
                  <c:v>334.78</c:v>
                </c:pt>
                <c:pt idx="288">
                  <c:v>-29.77</c:v>
                </c:pt>
                <c:pt idx="289">
                  <c:v>25.14</c:v>
                </c:pt>
                <c:pt idx="290">
                  <c:v>-21.15</c:v>
                </c:pt>
                <c:pt idx="291">
                  <c:v>415.77</c:v>
                </c:pt>
                <c:pt idx="292">
                  <c:v>204.33</c:v>
                </c:pt>
                <c:pt idx="293">
                  <c:v>331.44</c:v>
                </c:pt>
                <c:pt idx="294">
                  <c:v>331.44</c:v>
                </c:pt>
                <c:pt idx="295">
                  <c:v>219.49</c:v>
                </c:pt>
                <c:pt idx="296">
                  <c:v>386.56</c:v>
                </c:pt>
                <c:pt idx="297">
                  <c:v>290.16000000000003</c:v>
                </c:pt>
                <c:pt idx="298">
                  <c:v>249.27</c:v>
                </c:pt>
                <c:pt idx="299">
                  <c:v>348.86</c:v>
                </c:pt>
                <c:pt idx="300">
                  <c:v>263.93</c:v>
                </c:pt>
                <c:pt idx="301">
                  <c:v>400.66</c:v>
                </c:pt>
                <c:pt idx="302">
                  <c:v>297.20999999999998</c:v>
                </c:pt>
                <c:pt idx="303">
                  <c:v>444.05</c:v>
                </c:pt>
                <c:pt idx="304">
                  <c:v>324.64999999999998</c:v>
                </c:pt>
                <c:pt idx="305">
                  <c:v>324.64999999999998</c:v>
                </c:pt>
                <c:pt idx="306">
                  <c:v>304.92</c:v>
                </c:pt>
                <c:pt idx="307">
                  <c:v>411.69</c:v>
                </c:pt>
                <c:pt idx="308">
                  <c:v>474.91</c:v>
                </c:pt>
                <c:pt idx="309">
                  <c:v>397.16</c:v>
                </c:pt>
                <c:pt idx="310">
                  <c:v>427.93</c:v>
                </c:pt>
                <c:pt idx="311">
                  <c:v>454.34</c:v>
                </c:pt>
                <c:pt idx="312">
                  <c:v>573.61</c:v>
                </c:pt>
                <c:pt idx="313">
                  <c:v>506.16</c:v>
                </c:pt>
                <c:pt idx="314">
                  <c:v>480.15</c:v>
                </c:pt>
                <c:pt idx="315">
                  <c:v>590.74</c:v>
                </c:pt>
                <c:pt idx="316">
                  <c:v>590.74</c:v>
                </c:pt>
                <c:pt idx="317">
                  <c:v>563.29999999999995</c:v>
                </c:pt>
                <c:pt idx="318">
                  <c:v>476.06</c:v>
                </c:pt>
                <c:pt idx="319">
                  <c:v>425.38</c:v>
                </c:pt>
                <c:pt idx="320">
                  <c:v>438.72</c:v>
                </c:pt>
                <c:pt idx="321">
                  <c:v>459.95</c:v>
                </c:pt>
                <c:pt idx="322">
                  <c:v>601.26</c:v>
                </c:pt>
                <c:pt idx="323">
                  <c:v>534.03</c:v>
                </c:pt>
                <c:pt idx="324">
                  <c:v>603.80999999999995</c:v>
                </c:pt>
                <c:pt idx="325">
                  <c:v>240.39</c:v>
                </c:pt>
                <c:pt idx="326">
                  <c:v>207.84</c:v>
                </c:pt>
                <c:pt idx="327">
                  <c:v>313.88</c:v>
                </c:pt>
                <c:pt idx="328">
                  <c:v>313.88</c:v>
                </c:pt>
                <c:pt idx="329">
                  <c:v>369.24</c:v>
                </c:pt>
                <c:pt idx="330">
                  <c:v>346.54</c:v>
                </c:pt>
                <c:pt idx="331">
                  <c:v>310.91000000000003</c:v>
                </c:pt>
                <c:pt idx="332">
                  <c:v>233.94</c:v>
                </c:pt>
                <c:pt idx="333">
                  <c:v>215.76</c:v>
                </c:pt>
                <c:pt idx="334">
                  <c:v>200.94</c:v>
                </c:pt>
                <c:pt idx="335">
                  <c:v>341.06</c:v>
                </c:pt>
                <c:pt idx="336">
                  <c:v>331.2</c:v>
                </c:pt>
                <c:pt idx="337">
                  <c:v>325.01</c:v>
                </c:pt>
                <c:pt idx="338">
                  <c:v>274.48</c:v>
                </c:pt>
                <c:pt idx="339">
                  <c:v>274.48</c:v>
                </c:pt>
                <c:pt idx="340">
                  <c:v>216.1</c:v>
                </c:pt>
                <c:pt idx="341">
                  <c:v>175.32</c:v>
                </c:pt>
                <c:pt idx="342">
                  <c:v>282.14999999999998</c:v>
                </c:pt>
                <c:pt idx="343">
                  <c:v>318.23</c:v>
                </c:pt>
                <c:pt idx="344">
                  <c:v>399.55</c:v>
                </c:pt>
                <c:pt idx="345">
                  <c:v>421.5</c:v>
                </c:pt>
                <c:pt idx="346">
                  <c:v>448.92</c:v>
                </c:pt>
                <c:pt idx="347">
                  <c:v>549.16999999999996</c:v>
                </c:pt>
                <c:pt idx="348">
                  <c:v>514.22</c:v>
                </c:pt>
                <c:pt idx="349">
                  <c:v>500.76</c:v>
                </c:pt>
                <c:pt idx="350">
                  <c:v>500.76</c:v>
                </c:pt>
                <c:pt idx="351">
                  <c:v>585.12</c:v>
                </c:pt>
                <c:pt idx="352">
                  <c:v>586.07000000000005</c:v>
                </c:pt>
                <c:pt idx="353">
                  <c:v>39.479999999999997</c:v>
                </c:pt>
                <c:pt idx="354">
                  <c:v>-123.62</c:v>
                </c:pt>
                <c:pt idx="355">
                  <c:v>-99.37</c:v>
                </c:pt>
                <c:pt idx="356">
                  <c:v>-58.74</c:v>
                </c:pt>
                <c:pt idx="357">
                  <c:v>-17.350000000000001</c:v>
                </c:pt>
                <c:pt idx="358">
                  <c:v>33.979999999999997</c:v>
                </c:pt>
                <c:pt idx="359">
                  <c:v>89.24</c:v>
                </c:pt>
                <c:pt idx="360">
                  <c:v>108.02</c:v>
                </c:pt>
                <c:pt idx="361">
                  <c:v>30.07</c:v>
                </c:pt>
                <c:pt idx="362">
                  <c:v>30.07</c:v>
                </c:pt>
                <c:pt idx="363">
                  <c:v>61.4</c:v>
                </c:pt>
                <c:pt idx="364">
                  <c:v>-11.92</c:v>
                </c:pt>
                <c:pt idx="365">
                  <c:v>84.72</c:v>
                </c:pt>
                <c:pt idx="366">
                  <c:v>113</c:v>
                </c:pt>
                <c:pt idx="367">
                  <c:v>-3.25</c:v>
                </c:pt>
                <c:pt idx="368">
                  <c:v>-171.88</c:v>
                </c:pt>
                <c:pt idx="369">
                  <c:v>-133.86000000000001</c:v>
                </c:pt>
                <c:pt idx="370">
                  <c:v>-146.97999999999999</c:v>
                </c:pt>
                <c:pt idx="371">
                  <c:v>-57.09</c:v>
                </c:pt>
                <c:pt idx="372">
                  <c:v>0</c:v>
                </c:pt>
                <c:pt idx="373">
                  <c:v>-3.1</c:v>
                </c:pt>
                <c:pt idx="374">
                  <c:v>-5.33</c:v>
                </c:pt>
                <c:pt idx="375">
                  <c:v>-5.33</c:v>
                </c:pt>
                <c:pt idx="376">
                  <c:v>234.27</c:v>
                </c:pt>
                <c:pt idx="377">
                  <c:v>264.72000000000003</c:v>
                </c:pt>
                <c:pt idx="378">
                  <c:v>314.55</c:v>
                </c:pt>
                <c:pt idx="379">
                  <c:v>420.85</c:v>
                </c:pt>
                <c:pt idx="380">
                  <c:v>339.41</c:v>
                </c:pt>
                <c:pt idx="381">
                  <c:v>344.3</c:v>
                </c:pt>
                <c:pt idx="382">
                  <c:v>406.18</c:v>
                </c:pt>
                <c:pt idx="383">
                  <c:v>471.19</c:v>
                </c:pt>
                <c:pt idx="384">
                  <c:v>-3.98</c:v>
                </c:pt>
                <c:pt idx="385">
                  <c:v>26.7</c:v>
                </c:pt>
                <c:pt idx="386">
                  <c:v>26.7</c:v>
                </c:pt>
                <c:pt idx="387">
                  <c:v>-29.44</c:v>
                </c:pt>
                <c:pt idx="388">
                  <c:v>305.8</c:v>
                </c:pt>
                <c:pt idx="389">
                  <c:v>330.64</c:v>
                </c:pt>
                <c:pt idx="390">
                  <c:v>350.36</c:v>
                </c:pt>
                <c:pt idx="391">
                  <c:v>373.41</c:v>
                </c:pt>
                <c:pt idx="392">
                  <c:v>462.29</c:v>
                </c:pt>
                <c:pt idx="393">
                  <c:v>436.38</c:v>
                </c:pt>
                <c:pt idx="394">
                  <c:v>432.89</c:v>
                </c:pt>
                <c:pt idx="395">
                  <c:v>416.58</c:v>
                </c:pt>
                <c:pt idx="396">
                  <c:v>526.92999999999995</c:v>
                </c:pt>
                <c:pt idx="397">
                  <c:v>526.92999999999995</c:v>
                </c:pt>
                <c:pt idx="398">
                  <c:v>533.91999999999996</c:v>
                </c:pt>
                <c:pt idx="399">
                  <c:v>543.95000000000005</c:v>
                </c:pt>
                <c:pt idx="400">
                  <c:v>598.66</c:v>
                </c:pt>
                <c:pt idx="401">
                  <c:v>-22.56</c:v>
                </c:pt>
                <c:pt idx="402">
                  <c:v>-23.08</c:v>
                </c:pt>
                <c:pt idx="403">
                  <c:v>110.87</c:v>
                </c:pt>
                <c:pt idx="404">
                  <c:v>191.7</c:v>
                </c:pt>
                <c:pt idx="405">
                  <c:v>244.07</c:v>
                </c:pt>
                <c:pt idx="406">
                  <c:v>111.98</c:v>
                </c:pt>
                <c:pt idx="407">
                  <c:v>161.04</c:v>
                </c:pt>
                <c:pt idx="408">
                  <c:v>161.04</c:v>
                </c:pt>
                <c:pt idx="409">
                  <c:v>108.42</c:v>
                </c:pt>
                <c:pt idx="410">
                  <c:v>246.12</c:v>
                </c:pt>
                <c:pt idx="411">
                  <c:v>205.65</c:v>
                </c:pt>
                <c:pt idx="412">
                  <c:v>48.93</c:v>
                </c:pt>
                <c:pt idx="413">
                  <c:v>131.37</c:v>
                </c:pt>
                <c:pt idx="414">
                  <c:v>240.48</c:v>
                </c:pt>
                <c:pt idx="415">
                  <c:v>360.01</c:v>
                </c:pt>
                <c:pt idx="416">
                  <c:v>78.81</c:v>
                </c:pt>
                <c:pt idx="417">
                  <c:v>128.19</c:v>
                </c:pt>
                <c:pt idx="418">
                  <c:v>206.99</c:v>
                </c:pt>
                <c:pt idx="419">
                  <c:v>209.34</c:v>
                </c:pt>
                <c:pt idx="420">
                  <c:v>209.34</c:v>
                </c:pt>
                <c:pt idx="421">
                  <c:v>151.13999999999999</c:v>
                </c:pt>
                <c:pt idx="422">
                  <c:v>270.82</c:v>
                </c:pt>
                <c:pt idx="423">
                  <c:v>261.45</c:v>
                </c:pt>
                <c:pt idx="424">
                  <c:v>335.16</c:v>
                </c:pt>
                <c:pt idx="425">
                  <c:v>302.64999999999998</c:v>
                </c:pt>
                <c:pt idx="426">
                  <c:v>302.08999999999997</c:v>
                </c:pt>
                <c:pt idx="427">
                  <c:v>397.48</c:v>
                </c:pt>
                <c:pt idx="428">
                  <c:v>392.19</c:v>
                </c:pt>
                <c:pt idx="429">
                  <c:v>406.67</c:v>
                </c:pt>
                <c:pt idx="430">
                  <c:v>232.42</c:v>
                </c:pt>
                <c:pt idx="431">
                  <c:v>232.42</c:v>
                </c:pt>
                <c:pt idx="432">
                  <c:v>-25.04</c:v>
                </c:pt>
                <c:pt idx="433">
                  <c:v>203.72</c:v>
                </c:pt>
                <c:pt idx="434">
                  <c:v>247</c:v>
                </c:pt>
                <c:pt idx="435">
                  <c:v>294.66000000000003</c:v>
                </c:pt>
                <c:pt idx="436">
                  <c:v>383.01</c:v>
                </c:pt>
                <c:pt idx="437">
                  <c:v>338.51</c:v>
                </c:pt>
                <c:pt idx="438">
                  <c:v>295.88</c:v>
                </c:pt>
                <c:pt idx="439">
                  <c:v>316.44</c:v>
                </c:pt>
                <c:pt idx="440">
                  <c:v>370.81</c:v>
                </c:pt>
                <c:pt idx="441">
                  <c:v>485.67</c:v>
                </c:pt>
                <c:pt idx="442">
                  <c:v>485.67</c:v>
                </c:pt>
                <c:pt idx="443">
                  <c:v>93.36</c:v>
                </c:pt>
                <c:pt idx="444">
                  <c:v>113.52</c:v>
                </c:pt>
                <c:pt idx="445">
                  <c:v>142.16999999999999</c:v>
                </c:pt>
                <c:pt idx="446">
                  <c:v>246.12</c:v>
                </c:pt>
                <c:pt idx="447">
                  <c:v>206.51</c:v>
                </c:pt>
                <c:pt idx="448">
                  <c:v>187.8</c:v>
                </c:pt>
                <c:pt idx="449">
                  <c:v>372.31</c:v>
                </c:pt>
                <c:pt idx="450">
                  <c:v>467.37</c:v>
                </c:pt>
                <c:pt idx="451">
                  <c:v>22.6</c:v>
                </c:pt>
                <c:pt idx="452">
                  <c:v>21.06</c:v>
                </c:pt>
                <c:pt idx="453">
                  <c:v>21.06</c:v>
                </c:pt>
                <c:pt idx="454">
                  <c:v>50.31</c:v>
                </c:pt>
                <c:pt idx="455">
                  <c:v>-28.87</c:v>
                </c:pt>
                <c:pt idx="456">
                  <c:v>340.1</c:v>
                </c:pt>
                <c:pt idx="457">
                  <c:v>49.08</c:v>
                </c:pt>
                <c:pt idx="458">
                  <c:v>326.67</c:v>
                </c:pt>
                <c:pt idx="459">
                  <c:v>401.41</c:v>
                </c:pt>
                <c:pt idx="460">
                  <c:v>-27.18</c:v>
                </c:pt>
                <c:pt idx="461">
                  <c:v>379.02</c:v>
                </c:pt>
                <c:pt idx="462">
                  <c:v>350.38</c:v>
                </c:pt>
                <c:pt idx="463">
                  <c:v>432.04</c:v>
                </c:pt>
                <c:pt idx="464">
                  <c:v>464.72</c:v>
                </c:pt>
                <c:pt idx="465">
                  <c:v>464.72</c:v>
                </c:pt>
                <c:pt idx="466">
                  <c:v>516</c:v>
                </c:pt>
                <c:pt idx="467">
                  <c:v>16.11</c:v>
                </c:pt>
                <c:pt idx="468">
                  <c:v>317.12</c:v>
                </c:pt>
                <c:pt idx="469">
                  <c:v>280.60000000000002</c:v>
                </c:pt>
                <c:pt idx="470">
                  <c:v>290.98</c:v>
                </c:pt>
                <c:pt idx="471">
                  <c:v>359.18</c:v>
                </c:pt>
                <c:pt idx="472">
                  <c:v>417.5</c:v>
                </c:pt>
                <c:pt idx="473">
                  <c:v>515.13</c:v>
                </c:pt>
                <c:pt idx="474">
                  <c:v>114.04</c:v>
                </c:pt>
                <c:pt idx="475">
                  <c:v>108.52</c:v>
                </c:pt>
                <c:pt idx="476">
                  <c:v>108.52</c:v>
                </c:pt>
                <c:pt idx="477">
                  <c:v>189.99</c:v>
                </c:pt>
                <c:pt idx="478">
                  <c:v>185.98</c:v>
                </c:pt>
                <c:pt idx="479">
                  <c:v>276.75</c:v>
                </c:pt>
                <c:pt idx="480">
                  <c:v>41.33</c:v>
                </c:pt>
                <c:pt idx="481">
                  <c:v>-182.45</c:v>
                </c:pt>
                <c:pt idx="482">
                  <c:v>-200.29</c:v>
                </c:pt>
                <c:pt idx="483">
                  <c:v>-157.61000000000001</c:v>
                </c:pt>
                <c:pt idx="484">
                  <c:v>-16.690000000000001</c:v>
                </c:pt>
                <c:pt idx="485">
                  <c:v>-95.63</c:v>
                </c:pt>
                <c:pt idx="486">
                  <c:v>-80.56</c:v>
                </c:pt>
                <c:pt idx="487">
                  <c:v>-80.56</c:v>
                </c:pt>
                <c:pt idx="488">
                  <c:v>142.29</c:v>
                </c:pt>
                <c:pt idx="489">
                  <c:v>198.41</c:v>
                </c:pt>
                <c:pt idx="490">
                  <c:v>98.66</c:v>
                </c:pt>
                <c:pt idx="491">
                  <c:v>99.56</c:v>
                </c:pt>
                <c:pt idx="492">
                  <c:v>276.31</c:v>
                </c:pt>
                <c:pt idx="493">
                  <c:v>101.32</c:v>
                </c:pt>
                <c:pt idx="494">
                  <c:v>192.35</c:v>
                </c:pt>
                <c:pt idx="495">
                  <c:v>234.53</c:v>
                </c:pt>
                <c:pt idx="496">
                  <c:v>58.66</c:v>
                </c:pt>
                <c:pt idx="497">
                  <c:v>237.24</c:v>
                </c:pt>
                <c:pt idx="498">
                  <c:v>237.24</c:v>
                </c:pt>
                <c:pt idx="499">
                  <c:v>374.59</c:v>
                </c:pt>
                <c:pt idx="500">
                  <c:v>304.17</c:v>
                </c:pt>
                <c:pt idx="501">
                  <c:v>-212.03</c:v>
                </c:pt>
                <c:pt idx="502">
                  <c:v>244.53</c:v>
                </c:pt>
                <c:pt idx="503">
                  <c:v>230.94</c:v>
                </c:pt>
                <c:pt idx="504">
                  <c:v>287.63</c:v>
                </c:pt>
                <c:pt idx="505">
                  <c:v>338.4</c:v>
                </c:pt>
                <c:pt idx="506">
                  <c:v>336.74</c:v>
                </c:pt>
                <c:pt idx="507">
                  <c:v>384.46</c:v>
                </c:pt>
                <c:pt idx="508">
                  <c:v>41.61</c:v>
                </c:pt>
                <c:pt idx="509">
                  <c:v>234.38</c:v>
                </c:pt>
                <c:pt idx="510">
                  <c:v>234.38</c:v>
                </c:pt>
                <c:pt idx="511">
                  <c:v>214.09</c:v>
                </c:pt>
                <c:pt idx="512">
                  <c:v>196.74</c:v>
                </c:pt>
                <c:pt idx="513">
                  <c:v>299.82</c:v>
                </c:pt>
                <c:pt idx="514">
                  <c:v>311.45999999999998</c:v>
                </c:pt>
                <c:pt idx="515">
                  <c:v>317.72000000000003</c:v>
                </c:pt>
                <c:pt idx="516">
                  <c:v>426.02</c:v>
                </c:pt>
                <c:pt idx="517">
                  <c:v>420.09</c:v>
                </c:pt>
                <c:pt idx="518">
                  <c:v>389.41</c:v>
                </c:pt>
                <c:pt idx="519">
                  <c:v>538.33000000000004</c:v>
                </c:pt>
                <c:pt idx="520">
                  <c:v>573.19000000000005</c:v>
                </c:pt>
                <c:pt idx="521">
                  <c:v>573.19000000000005</c:v>
                </c:pt>
                <c:pt idx="522">
                  <c:v>494.23</c:v>
                </c:pt>
                <c:pt idx="523">
                  <c:v>614.03</c:v>
                </c:pt>
                <c:pt idx="524">
                  <c:v>48.99</c:v>
                </c:pt>
                <c:pt idx="525">
                  <c:v>74.77</c:v>
                </c:pt>
                <c:pt idx="526">
                  <c:v>124.21</c:v>
                </c:pt>
                <c:pt idx="527">
                  <c:v>149.75</c:v>
                </c:pt>
                <c:pt idx="528">
                  <c:v>105.54</c:v>
                </c:pt>
                <c:pt idx="529">
                  <c:v>351.48</c:v>
                </c:pt>
                <c:pt idx="530">
                  <c:v>334.99</c:v>
                </c:pt>
                <c:pt idx="531">
                  <c:v>430.47</c:v>
                </c:pt>
                <c:pt idx="532">
                  <c:v>430.47</c:v>
                </c:pt>
                <c:pt idx="533">
                  <c:v>464.61</c:v>
                </c:pt>
                <c:pt idx="534">
                  <c:v>593.46</c:v>
                </c:pt>
                <c:pt idx="535">
                  <c:v>581.91</c:v>
                </c:pt>
                <c:pt idx="536">
                  <c:v>368.96</c:v>
                </c:pt>
                <c:pt idx="537">
                  <c:v>474.86</c:v>
                </c:pt>
                <c:pt idx="538">
                  <c:v>620.16</c:v>
                </c:pt>
                <c:pt idx="539">
                  <c:v>-145.72999999999999</c:v>
                </c:pt>
                <c:pt idx="540">
                  <c:v>-33.78</c:v>
                </c:pt>
                <c:pt idx="541">
                  <c:v>-156.87</c:v>
                </c:pt>
                <c:pt idx="542">
                  <c:v>-167.08</c:v>
                </c:pt>
                <c:pt idx="543">
                  <c:v>-167.08</c:v>
                </c:pt>
                <c:pt idx="544">
                  <c:v>-63.85</c:v>
                </c:pt>
                <c:pt idx="545">
                  <c:v>-13.55</c:v>
                </c:pt>
                <c:pt idx="546">
                  <c:v>-169.55</c:v>
                </c:pt>
                <c:pt idx="547">
                  <c:v>-67.63</c:v>
                </c:pt>
                <c:pt idx="548">
                  <c:v>-133.96</c:v>
                </c:pt>
                <c:pt idx="549">
                  <c:v>-91.62</c:v>
                </c:pt>
                <c:pt idx="550">
                  <c:v>-41.14</c:v>
                </c:pt>
                <c:pt idx="551">
                  <c:v>44.52</c:v>
                </c:pt>
                <c:pt idx="552">
                  <c:v>-16.079999999999998</c:v>
                </c:pt>
                <c:pt idx="553">
                  <c:v>51.54</c:v>
                </c:pt>
                <c:pt idx="554">
                  <c:v>51.54</c:v>
                </c:pt>
                <c:pt idx="555">
                  <c:v>-52.84</c:v>
                </c:pt>
                <c:pt idx="556">
                  <c:v>80.12</c:v>
                </c:pt>
                <c:pt idx="557">
                  <c:v>147.87</c:v>
                </c:pt>
                <c:pt idx="558">
                  <c:v>60.26</c:v>
                </c:pt>
                <c:pt idx="559">
                  <c:v>38.340000000000003</c:v>
                </c:pt>
                <c:pt idx="560">
                  <c:v>160.56</c:v>
                </c:pt>
                <c:pt idx="561">
                  <c:v>34.67</c:v>
                </c:pt>
                <c:pt idx="562">
                  <c:v>210.27</c:v>
                </c:pt>
                <c:pt idx="563">
                  <c:v>119.53</c:v>
                </c:pt>
                <c:pt idx="564">
                  <c:v>33.47</c:v>
                </c:pt>
                <c:pt idx="565">
                  <c:v>131.07</c:v>
                </c:pt>
                <c:pt idx="566">
                  <c:v>131.07</c:v>
                </c:pt>
                <c:pt idx="567">
                  <c:v>232.01</c:v>
                </c:pt>
                <c:pt idx="568">
                  <c:v>-23.62</c:v>
                </c:pt>
                <c:pt idx="569">
                  <c:v>14.82</c:v>
                </c:pt>
                <c:pt idx="570">
                  <c:v>40.53</c:v>
                </c:pt>
                <c:pt idx="571">
                  <c:v>169.23</c:v>
                </c:pt>
                <c:pt idx="572">
                  <c:v>134.04</c:v>
                </c:pt>
                <c:pt idx="573">
                  <c:v>57.94</c:v>
                </c:pt>
                <c:pt idx="574">
                  <c:v>133.57</c:v>
                </c:pt>
                <c:pt idx="575">
                  <c:v>111.35</c:v>
                </c:pt>
                <c:pt idx="576">
                  <c:v>119.68</c:v>
                </c:pt>
                <c:pt idx="577">
                  <c:v>119.68</c:v>
                </c:pt>
                <c:pt idx="578">
                  <c:v>211.02</c:v>
                </c:pt>
                <c:pt idx="579">
                  <c:v>202.63</c:v>
                </c:pt>
                <c:pt idx="580">
                  <c:v>302.56</c:v>
                </c:pt>
                <c:pt idx="581">
                  <c:v>111.69</c:v>
                </c:pt>
                <c:pt idx="582">
                  <c:v>86.98</c:v>
                </c:pt>
                <c:pt idx="583">
                  <c:v>44.78</c:v>
                </c:pt>
                <c:pt idx="584">
                  <c:v>132.13</c:v>
                </c:pt>
                <c:pt idx="585">
                  <c:v>158.58000000000001</c:v>
                </c:pt>
                <c:pt idx="586">
                  <c:v>185.3</c:v>
                </c:pt>
                <c:pt idx="587">
                  <c:v>235.45</c:v>
                </c:pt>
                <c:pt idx="588">
                  <c:v>235.45</c:v>
                </c:pt>
                <c:pt idx="589">
                  <c:v>201.69</c:v>
                </c:pt>
                <c:pt idx="590">
                  <c:v>520.01</c:v>
                </c:pt>
                <c:pt idx="591">
                  <c:v>461.98</c:v>
                </c:pt>
                <c:pt idx="592">
                  <c:v>427.55</c:v>
                </c:pt>
                <c:pt idx="593">
                  <c:v>394.15</c:v>
                </c:pt>
                <c:pt idx="594">
                  <c:v>494.19</c:v>
                </c:pt>
                <c:pt idx="595">
                  <c:v>507.67</c:v>
                </c:pt>
                <c:pt idx="596">
                  <c:v>561.38</c:v>
                </c:pt>
                <c:pt idx="597">
                  <c:v>446.48</c:v>
                </c:pt>
                <c:pt idx="598">
                  <c:v>452.71</c:v>
                </c:pt>
                <c:pt idx="599">
                  <c:v>540.16</c:v>
                </c:pt>
                <c:pt idx="600">
                  <c:v>540.16</c:v>
                </c:pt>
                <c:pt idx="601">
                  <c:v>451.39</c:v>
                </c:pt>
                <c:pt idx="602">
                  <c:v>486.88</c:v>
                </c:pt>
                <c:pt idx="603">
                  <c:v>553.96</c:v>
                </c:pt>
                <c:pt idx="604">
                  <c:v>548.54999999999995</c:v>
                </c:pt>
                <c:pt idx="605">
                  <c:v>540.55999999999995</c:v>
                </c:pt>
                <c:pt idx="606">
                  <c:v>324.22000000000003</c:v>
                </c:pt>
                <c:pt idx="607">
                  <c:v>431.25</c:v>
                </c:pt>
                <c:pt idx="608">
                  <c:v>282.77</c:v>
                </c:pt>
                <c:pt idx="609">
                  <c:v>261.5</c:v>
                </c:pt>
                <c:pt idx="610">
                  <c:v>264.48</c:v>
                </c:pt>
                <c:pt idx="611">
                  <c:v>264.48</c:v>
                </c:pt>
                <c:pt idx="612">
                  <c:v>222.7</c:v>
                </c:pt>
                <c:pt idx="613">
                  <c:v>311.19</c:v>
                </c:pt>
                <c:pt idx="614">
                  <c:v>349.71</c:v>
                </c:pt>
                <c:pt idx="615">
                  <c:v>350.81</c:v>
                </c:pt>
                <c:pt idx="616">
                  <c:v>356.28</c:v>
                </c:pt>
                <c:pt idx="617">
                  <c:v>421.72</c:v>
                </c:pt>
                <c:pt idx="618">
                  <c:v>432.43</c:v>
                </c:pt>
                <c:pt idx="619">
                  <c:v>396.53</c:v>
                </c:pt>
                <c:pt idx="620">
                  <c:v>-16.14</c:v>
                </c:pt>
                <c:pt idx="621">
                  <c:v>161.53</c:v>
                </c:pt>
                <c:pt idx="622">
                  <c:v>161.53</c:v>
                </c:pt>
                <c:pt idx="623">
                  <c:v>129.65</c:v>
                </c:pt>
                <c:pt idx="624">
                  <c:v>108.72</c:v>
                </c:pt>
                <c:pt idx="625">
                  <c:v>166.69</c:v>
                </c:pt>
                <c:pt idx="626">
                  <c:v>196.52</c:v>
                </c:pt>
                <c:pt idx="627">
                  <c:v>235.72</c:v>
                </c:pt>
                <c:pt idx="628">
                  <c:v>141.65</c:v>
                </c:pt>
                <c:pt idx="629">
                  <c:v>120.37</c:v>
                </c:pt>
                <c:pt idx="630">
                  <c:v>137.09</c:v>
                </c:pt>
                <c:pt idx="631">
                  <c:v>102.64</c:v>
                </c:pt>
                <c:pt idx="632">
                  <c:v>80.150000000000006</c:v>
                </c:pt>
                <c:pt idx="633">
                  <c:v>80.150000000000006</c:v>
                </c:pt>
                <c:pt idx="634">
                  <c:v>-15.78</c:v>
                </c:pt>
                <c:pt idx="635">
                  <c:v>175.29</c:v>
                </c:pt>
                <c:pt idx="636">
                  <c:v>310.08</c:v>
                </c:pt>
                <c:pt idx="637">
                  <c:v>336.01</c:v>
                </c:pt>
                <c:pt idx="638">
                  <c:v>440.73</c:v>
                </c:pt>
                <c:pt idx="639">
                  <c:v>466.12</c:v>
                </c:pt>
                <c:pt idx="640">
                  <c:v>496.73</c:v>
                </c:pt>
                <c:pt idx="641">
                  <c:v>479.15</c:v>
                </c:pt>
                <c:pt idx="642">
                  <c:v>438.4</c:v>
                </c:pt>
                <c:pt idx="643">
                  <c:v>545.51</c:v>
                </c:pt>
                <c:pt idx="644">
                  <c:v>545.51</c:v>
                </c:pt>
                <c:pt idx="645">
                  <c:v>503.53</c:v>
                </c:pt>
                <c:pt idx="646">
                  <c:v>526.48</c:v>
                </c:pt>
                <c:pt idx="647">
                  <c:v>542.4</c:v>
                </c:pt>
                <c:pt idx="648">
                  <c:v>548.4</c:v>
                </c:pt>
                <c:pt idx="649">
                  <c:v>625.63</c:v>
                </c:pt>
                <c:pt idx="650">
                  <c:v>638.01</c:v>
                </c:pt>
                <c:pt idx="651">
                  <c:v>624.67999999999995</c:v>
                </c:pt>
                <c:pt idx="652">
                  <c:v>610.19000000000005</c:v>
                </c:pt>
                <c:pt idx="653">
                  <c:v>-17.3</c:v>
                </c:pt>
                <c:pt idx="654">
                  <c:v>196.13</c:v>
                </c:pt>
                <c:pt idx="655">
                  <c:v>196.13</c:v>
                </c:pt>
                <c:pt idx="656">
                  <c:v>227.57</c:v>
                </c:pt>
                <c:pt idx="657">
                  <c:v>261.88</c:v>
                </c:pt>
                <c:pt idx="658">
                  <c:v>337.76</c:v>
                </c:pt>
                <c:pt idx="659">
                  <c:v>307.89999999999998</c:v>
                </c:pt>
                <c:pt idx="660">
                  <c:v>331.57</c:v>
                </c:pt>
                <c:pt idx="661">
                  <c:v>372.2</c:v>
                </c:pt>
                <c:pt idx="662">
                  <c:v>415.38</c:v>
                </c:pt>
                <c:pt idx="663">
                  <c:v>258.13</c:v>
                </c:pt>
                <c:pt idx="664">
                  <c:v>243.7</c:v>
                </c:pt>
                <c:pt idx="665">
                  <c:v>228.45</c:v>
                </c:pt>
                <c:pt idx="666">
                  <c:v>228.45</c:v>
                </c:pt>
                <c:pt idx="667">
                  <c:v>304.29000000000002</c:v>
                </c:pt>
                <c:pt idx="668">
                  <c:v>329.22</c:v>
                </c:pt>
                <c:pt idx="669">
                  <c:v>350.26</c:v>
                </c:pt>
                <c:pt idx="670">
                  <c:v>419.46</c:v>
                </c:pt>
                <c:pt idx="671">
                  <c:v>389.05</c:v>
                </c:pt>
                <c:pt idx="672">
                  <c:v>465.72</c:v>
                </c:pt>
                <c:pt idx="673">
                  <c:v>436.2</c:v>
                </c:pt>
                <c:pt idx="674">
                  <c:v>407.24</c:v>
                </c:pt>
                <c:pt idx="675">
                  <c:v>473.51</c:v>
                </c:pt>
                <c:pt idx="676">
                  <c:v>63.42</c:v>
                </c:pt>
                <c:pt idx="677">
                  <c:v>63.42</c:v>
                </c:pt>
                <c:pt idx="678">
                  <c:v>64.19</c:v>
                </c:pt>
                <c:pt idx="679">
                  <c:v>480.01</c:v>
                </c:pt>
                <c:pt idx="680">
                  <c:v>14.63</c:v>
                </c:pt>
                <c:pt idx="681">
                  <c:v>73.45</c:v>
                </c:pt>
                <c:pt idx="682">
                  <c:v>87.28</c:v>
                </c:pt>
                <c:pt idx="683">
                  <c:v>67.510000000000005</c:v>
                </c:pt>
                <c:pt idx="684">
                  <c:v>542.46</c:v>
                </c:pt>
                <c:pt idx="685">
                  <c:v>534.09</c:v>
                </c:pt>
                <c:pt idx="686">
                  <c:v>581.4</c:v>
                </c:pt>
                <c:pt idx="687">
                  <c:v>609.22</c:v>
                </c:pt>
                <c:pt idx="688">
                  <c:v>401.2</c:v>
                </c:pt>
                <c:pt idx="689">
                  <c:v>401.2</c:v>
                </c:pt>
                <c:pt idx="690">
                  <c:v>423.07</c:v>
                </c:pt>
                <c:pt idx="691">
                  <c:v>442.4</c:v>
                </c:pt>
                <c:pt idx="692">
                  <c:v>506.38</c:v>
                </c:pt>
                <c:pt idx="693">
                  <c:v>498.55</c:v>
                </c:pt>
                <c:pt idx="694">
                  <c:v>505.29</c:v>
                </c:pt>
                <c:pt idx="695">
                  <c:v>615.05999999999995</c:v>
                </c:pt>
                <c:pt idx="696">
                  <c:v>565.61</c:v>
                </c:pt>
                <c:pt idx="697">
                  <c:v>361.95</c:v>
                </c:pt>
                <c:pt idx="698">
                  <c:v>334.38</c:v>
                </c:pt>
                <c:pt idx="699">
                  <c:v>314.64999999999998</c:v>
                </c:pt>
                <c:pt idx="700">
                  <c:v>314.64999999999998</c:v>
                </c:pt>
                <c:pt idx="701">
                  <c:v>386.04</c:v>
                </c:pt>
                <c:pt idx="702">
                  <c:v>419.08</c:v>
                </c:pt>
                <c:pt idx="703">
                  <c:v>462.93</c:v>
                </c:pt>
                <c:pt idx="704">
                  <c:v>436.38</c:v>
                </c:pt>
                <c:pt idx="705">
                  <c:v>41.59</c:v>
                </c:pt>
                <c:pt idx="706">
                  <c:v>39.729999999999997</c:v>
                </c:pt>
                <c:pt idx="707">
                  <c:v>43.85</c:v>
                </c:pt>
              </c:numCache>
              <c:extLst xmlns:c15="http://schemas.microsoft.com/office/drawing/2012/chart"/>
            </c:numRef>
          </c:yVal>
          <c:smooth val="0"/>
          <c:extLst xmlns:c15="http://schemas.microsoft.com/office/drawing/2012/chart">
            <c:ext xmlns:c16="http://schemas.microsoft.com/office/drawing/2014/chart" uri="{C3380CC4-5D6E-409C-BE32-E72D297353CC}">
              <c16:uniqueId val="{00000009-F133-4C85-A697-0DE7DD632797}"/>
            </c:ext>
          </c:extLst>
        </c:ser>
        <c:ser>
          <c:idx val="2"/>
          <c:order val="3"/>
          <c:tx>
            <c:v>Fallas</c:v>
          </c:tx>
          <c:spPr>
            <a:ln w="19050" cap="rnd">
              <a:noFill/>
              <a:round/>
            </a:ln>
            <a:effectLst/>
          </c:spPr>
          <c:marker>
            <c:symbol val="circle"/>
            <c:size val="4"/>
            <c:spPr>
              <a:solidFill>
                <a:srgbClr val="FF0000"/>
              </a:solidFill>
              <a:ln w="9525">
                <a:solidFill>
                  <a:srgbClr val="FF0000"/>
                </a:solidFill>
              </a:ln>
              <a:effectLst/>
            </c:spPr>
          </c:marker>
          <c:xVal>
            <c:numRef>
              <c:f>FCS!$AT$11:$AT$825</c:f>
              <c:numCache>
                <c:formatCode>0</c:formatCode>
                <c:ptCount val="8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numCache>
              <c:extLst xmlns:c15="http://schemas.microsoft.com/office/drawing/2012/chart"/>
            </c:numRef>
          </c:xVal>
          <c:yVal>
            <c:numRef>
              <c:f>FCS!$I$11:$I$825</c:f>
              <c:numCache>
                <c:formatCode>0\+000.00</c:formatCode>
                <c:ptCount val="815"/>
                <c:pt idx="0">
                  <c:v>98.61</c:v>
                </c:pt>
                <c:pt idx="1">
                  <c:v>98.61</c:v>
                </c:pt>
                <c:pt idx="2">
                  <c:v>111.15</c:v>
                </c:pt>
                <c:pt idx="3">
                  <c:v>129.83000000000001</c:v>
                </c:pt>
                <c:pt idx="4">
                  <c:v>209.82</c:v>
                </c:pt>
                <c:pt idx="5">
                  <c:v>190.9</c:v>
                </c:pt>
                <c:pt idx="6">
                  <c:v>167.36</c:v>
                </c:pt>
                <c:pt idx="7">
                  <c:v>252.76</c:v>
                </c:pt>
                <c:pt idx="8">
                  <c:v>252.76</c:v>
                </c:pt>
                <c:pt idx="9">
                  <c:v>155.49</c:v>
                </c:pt>
                <c:pt idx="10">
                  <c:v>238.34</c:v>
                </c:pt>
                <c:pt idx="11">
                  <c:v>45.54</c:v>
                </c:pt>
                <c:pt idx="12">
                  <c:v>45.54</c:v>
                </c:pt>
                <c:pt idx="13">
                  <c:v>138.03</c:v>
                </c:pt>
                <c:pt idx="14">
                  <c:v>109.77</c:v>
                </c:pt>
                <c:pt idx="15">
                  <c:v>190.77</c:v>
                </c:pt>
                <c:pt idx="16">
                  <c:v>219.06</c:v>
                </c:pt>
                <c:pt idx="17">
                  <c:v>262.55</c:v>
                </c:pt>
                <c:pt idx="18">
                  <c:v>-45.39</c:v>
                </c:pt>
                <c:pt idx="19">
                  <c:v>24.75</c:v>
                </c:pt>
                <c:pt idx="20">
                  <c:v>18.190000000000001</c:v>
                </c:pt>
                <c:pt idx="21">
                  <c:v>84.9</c:v>
                </c:pt>
                <c:pt idx="22">
                  <c:v>19.36</c:v>
                </c:pt>
                <c:pt idx="23">
                  <c:v>19.36</c:v>
                </c:pt>
                <c:pt idx="24">
                  <c:v>25.16</c:v>
                </c:pt>
                <c:pt idx="25">
                  <c:v>-30.77</c:v>
                </c:pt>
                <c:pt idx="26">
                  <c:v>62.23</c:v>
                </c:pt>
                <c:pt idx="27">
                  <c:v>54.69</c:v>
                </c:pt>
                <c:pt idx="28">
                  <c:v>120.8</c:v>
                </c:pt>
                <c:pt idx="29">
                  <c:v>497.41</c:v>
                </c:pt>
                <c:pt idx="30">
                  <c:v>-156.69999999999999</c:v>
                </c:pt>
                <c:pt idx="31">
                  <c:v>33.1</c:v>
                </c:pt>
                <c:pt idx="32">
                  <c:v>48.5</c:v>
                </c:pt>
                <c:pt idx="33">
                  <c:v>48.98</c:v>
                </c:pt>
                <c:pt idx="34">
                  <c:v>48.98</c:v>
                </c:pt>
                <c:pt idx="35">
                  <c:v>34.65</c:v>
                </c:pt>
                <c:pt idx="36">
                  <c:v>116.49</c:v>
                </c:pt>
                <c:pt idx="37">
                  <c:v>114.06</c:v>
                </c:pt>
                <c:pt idx="38">
                  <c:v>61.48</c:v>
                </c:pt>
                <c:pt idx="39">
                  <c:v>389.14</c:v>
                </c:pt>
                <c:pt idx="40">
                  <c:v>510.87</c:v>
                </c:pt>
                <c:pt idx="41">
                  <c:v>427.05</c:v>
                </c:pt>
                <c:pt idx="42">
                  <c:v>570.42999999999995</c:v>
                </c:pt>
                <c:pt idx="43">
                  <c:v>439.21</c:v>
                </c:pt>
                <c:pt idx="44">
                  <c:v>590.98</c:v>
                </c:pt>
                <c:pt idx="45">
                  <c:v>590.98</c:v>
                </c:pt>
                <c:pt idx="46">
                  <c:v>416.6</c:v>
                </c:pt>
                <c:pt idx="47">
                  <c:v>390.98</c:v>
                </c:pt>
                <c:pt idx="48">
                  <c:v>531.83000000000004</c:v>
                </c:pt>
                <c:pt idx="49">
                  <c:v>531.59</c:v>
                </c:pt>
                <c:pt idx="50">
                  <c:v>-29.34</c:v>
                </c:pt>
                <c:pt idx="51">
                  <c:v>-25.66</c:v>
                </c:pt>
                <c:pt idx="52">
                  <c:v>19.5</c:v>
                </c:pt>
                <c:pt idx="53">
                  <c:v>-3.27</c:v>
                </c:pt>
                <c:pt idx="54">
                  <c:v>-2.73</c:v>
                </c:pt>
                <c:pt idx="55">
                  <c:v>24.13</c:v>
                </c:pt>
                <c:pt idx="56">
                  <c:v>24.13</c:v>
                </c:pt>
                <c:pt idx="57">
                  <c:v>203.83</c:v>
                </c:pt>
                <c:pt idx="58">
                  <c:v>231.38</c:v>
                </c:pt>
                <c:pt idx="59">
                  <c:v>256.33</c:v>
                </c:pt>
                <c:pt idx="60">
                  <c:v>340.75</c:v>
                </c:pt>
                <c:pt idx="61">
                  <c:v>329.98</c:v>
                </c:pt>
                <c:pt idx="62">
                  <c:v>346</c:v>
                </c:pt>
                <c:pt idx="63">
                  <c:v>61.67</c:v>
                </c:pt>
                <c:pt idx="64">
                  <c:v>270.45999999999998</c:v>
                </c:pt>
                <c:pt idx="65">
                  <c:v>257.88</c:v>
                </c:pt>
                <c:pt idx="66">
                  <c:v>228.97</c:v>
                </c:pt>
                <c:pt idx="67">
                  <c:v>228.97</c:v>
                </c:pt>
                <c:pt idx="68">
                  <c:v>390.05</c:v>
                </c:pt>
                <c:pt idx="69">
                  <c:v>339.79</c:v>
                </c:pt>
                <c:pt idx="70">
                  <c:v>329.1</c:v>
                </c:pt>
                <c:pt idx="71">
                  <c:v>425.41</c:v>
                </c:pt>
                <c:pt idx="72">
                  <c:v>488.03</c:v>
                </c:pt>
                <c:pt idx="73">
                  <c:v>233.58</c:v>
                </c:pt>
                <c:pt idx="74">
                  <c:v>293.83999999999997</c:v>
                </c:pt>
                <c:pt idx="75">
                  <c:v>382.2</c:v>
                </c:pt>
                <c:pt idx="76">
                  <c:v>-2.89</c:v>
                </c:pt>
                <c:pt idx="77">
                  <c:v>264.16999999999996</c:v>
                </c:pt>
                <c:pt idx="78">
                  <c:v>-25.24</c:v>
                </c:pt>
                <c:pt idx="79">
                  <c:v>-25.24</c:v>
                </c:pt>
                <c:pt idx="80">
                  <c:v>-29.59</c:v>
                </c:pt>
                <c:pt idx="81">
                  <c:v>236.13</c:v>
                </c:pt>
                <c:pt idx="82">
                  <c:v>215.5</c:v>
                </c:pt>
                <c:pt idx="83">
                  <c:v>306.61</c:v>
                </c:pt>
                <c:pt idx="84">
                  <c:v>316.54000000000002</c:v>
                </c:pt>
                <c:pt idx="85">
                  <c:v>429.7</c:v>
                </c:pt>
                <c:pt idx="86">
                  <c:v>410.1</c:v>
                </c:pt>
                <c:pt idx="87">
                  <c:v>516.82000000000005</c:v>
                </c:pt>
                <c:pt idx="88">
                  <c:v>536.03</c:v>
                </c:pt>
                <c:pt idx="89">
                  <c:v>612.91999999999996</c:v>
                </c:pt>
                <c:pt idx="90">
                  <c:v>612.91999999999996</c:v>
                </c:pt>
                <c:pt idx="91">
                  <c:v>60.65</c:v>
                </c:pt>
                <c:pt idx="92">
                  <c:v>431.62</c:v>
                </c:pt>
                <c:pt idx="93">
                  <c:v>436.65</c:v>
                </c:pt>
                <c:pt idx="94">
                  <c:v>413.32</c:v>
                </c:pt>
                <c:pt idx="95">
                  <c:v>396.62</c:v>
                </c:pt>
                <c:pt idx="96">
                  <c:v>504.71</c:v>
                </c:pt>
                <c:pt idx="97">
                  <c:v>532.79</c:v>
                </c:pt>
                <c:pt idx="98">
                  <c:v>528.34</c:v>
                </c:pt>
                <c:pt idx="99">
                  <c:v>497.08</c:v>
                </c:pt>
                <c:pt idx="100">
                  <c:v>298.68</c:v>
                </c:pt>
                <c:pt idx="101">
                  <c:v>298.68</c:v>
                </c:pt>
                <c:pt idx="102">
                  <c:v>235.82</c:v>
                </c:pt>
                <c:pt idx="103">
                  <c:v>304.12</c:v>
                </c:pt>
                <c:pt idx="104">
                  <c:v>425.64</c:v>
                </c:pt>
                <c:pt idx="105">
                  <c:v>374.13</c:v>
                </c:pt>
                <c:pt idx="106">
                  <c:v>373.19</c:v>
                </c:pt>
                <c:pt idx="107">
                  <c:v>227.58</c:v>
                </c:pt>
                <c:pt idx="108">
                  <c:v>240.06</c:v>
                </c:pt>
                <c:pt idx="109">
                  <c:v>234.34</c:v>
                </c:pt>
                <c:pt idx="110">
                  <c:v>307.2</c:v>
                </c:pt>
                <c:pt idx="111">
                  <c:v>321.32</c:v>
                </c:pt>
                <c:pt idx="112">
                  <c:v>321.32</c:v>
                </c:pt>
                <c:pt idx="113">
                  <c:v>349.88</c:v>
                </c:pt>
                <c:pt idx="114">
                  <c:v>-26.63</c:v>
                </c:pt>
                <c:pt idx="115">
                  <c:v>-25.17</c:v>
                </c:pt>
                <c:pt idx="116">
                  <c:v>64.7</c:v>
                </c:pt>
                <c:pt idx="117">
                  <c:v>-25.31</c:v>
                </c:pt>
                <c:pt idx="118">
                  <c:v>54.08</c:v>
                </c:pt>
                <c:pt idx="119">
                  <c:v>96.44</c:v>
                </c:pt>
                <c:pt idx="120">
                  <c:v>106.96</c:v>
                </c:pt>
                <c:pt idx="121">
                  <c:v>125.01</c:v>
                </c:pt>
                <c:pt idx="122">
                  <c:v>106.87</c:v>
                </c:pt>
                <c:pt idx="123">
                  <c:v>59.97</c:v>
                </c:pt>
                <c:pt idx="124">
                  <c:v>59.97</c:v>
                </c:pt>
                <c:pt idx="125">
                  <c:v>8.83</c:v>
                </c:pt>
                <c:pt idx="126">
                  <c:v>62.01</c:v>
                </c:pt>
                <c:pt idx="127">
                  <c:v>199.45</c:v>
                </c:pt>
                <c:pt idx="128">
                  <c:v>-26.06</c:v>
                </c:pt>
                <c:pt idx="129">
                  <c:v>39.15</c:v>
                </c:pt>
                <c:pt idx="130">
                  <c:v>67.989999999999995</c:v>
                </c:pt>
                <c:pt idx="131">
                  <c:v>68.62</c:v>
                </c:pt>
                <c:pt idx="132">
                  <c:v>145.31</c:v>
                </c:pt>
                <c:pt idx="133">
                  <c:v>141.80000000000001</c:v>
                </c:pt>
                <c:pt idx="134">
                  <c:v>186.88</c:v>
                </c:pt>
                <c:pt idx="135">
                  <c:v>255.33</c:v>
                </c:pt>
                <c:pt idx="136">
                  <c:v>255.33</c:v>
                </c:pt>
                <c:pt idx="137">
                  <c:v>239.55</c:v>
                </c:pt>
                <c:pt idx="138">
                  <c:v>348.21</c:v>
                </c:pt>
                <c:pt idx="139">
                  <c:v>322.11</c:v>
                </c:pt>
                <c:pt idx="140">
                  <c:v>289.18</c:v>
                </c:pt>
                <c:pt idx="141">
                  <c:v>366.51</c:v>
                </c:pt>
                <c:pt idx="142">
                  <c:v>403.68</c:v>
                </c:pt>
                <c:pt idx="143">
                  <c:v>462.45</c:v>
                </c:pt>
                <c:pt idx="144">
                  <c:v>253.49</c:v>
                </c:pt>
                <c:pt idx="145">
                  <c:v>228.02</c:v>
                </c:pt>
                <c:pt idx="146">
                  <c:v>203.96</c:v>
                </c:pt>
                <c:pt idx="147">
                  <c:v>203.96</c:v>
                </c:pt>
                <c:pt idx="148">
                  <c:v>286.26</c:v>
                </c:pt>
                <c:pt idx="149">
                  <c:v>303.69</c:v>
                </c:pt>
                <c:pt idx="150">
                  <c:v>364.43</c:v>
                </c:pt>
                <c:pt idx="151">
                  <c:v>399.5</c:v>
                </c:pt>
                <c:pt idx="152">
                  <c:v>43.74</c:v>
                </c:pt>
                <c:pt idx="153">
                  <c:v>-24.95</c:v>
                </c:pt>
                <c:pt idx="154">
                  <c:v>55.49</c:v>
                </c:pt>
                <c:pt idx="155">
                  <c:v>92.13</c:v>
                </c:pt>
                <c:pt idx="156">
                  <c:v>90.36</c:v>
                </c:pt>
                <c:pt idx="157">
                  <c:v>145.94999999999999</c:v>
                </c:pt>
                <c:pt idx="158">
                  <c:v>145.94999999999999</c:v>
                </c:pt>
                <c:pt idx="159">
                  <c:v>169.5</c:v>
                </c:pt>
                <c:pt idx="160">
                  <c:v>116.35</c:v>
                </c:pt>
                <c:pt idx="161">
                  <c:v>200.29</c:v>
                </c:pt>
                <c:pt idx="162">
                  <c:v>276.07</c:v>
                </c:pt>
                <c:pt idx="163">
                  <c:v>240.7</c:v>
                </c:pt>
                <c:pt idx="164">
                  <c:v>296.26</c:v>
                </c:pt>
                <c:pt idx="165">
                  <c:v>498.79</c:v>
                </c:pt>
                <c:pt idx="166">
                  <c:v>592.70000000000005</c:v>
                </c:pt>
                <c:pt idx="167">
                  <c:v>458.75</c:v>
                </c:pt>
                <c:pt idx="168">
                  <c:v>416.04</c:v>
                </c:pt>
                <c:pt idx="169">
                  <c:v>416.04</c:v>
                </c:pt>
                <c:pt idx="170">
                  <c:v>516.91</c:v>
                </c:pt>
                <c:pt idx="171">
                  <c:v>546.49</c:v>
                </c:pt>
                <c:pt idx="172">
                  <c:v>634.92999999999995</c:v>
                </c:pt>
                <c:pt idx="173">
                  <c:v>35.64</c:v>
                </c:pt>
                <c:pt idx="174">
                  <c:v>-25.45</c:v>
                </c:pt>
                <c:pt idx="175">
                  <c:v>18.899999999999999</c:v>
                </c:pt>
                <c:pt idx="176">
                  <c:v>-116.35</c:v>
                </c:pt>
                <c:pt idx="177">
                  <c:v>-62.86</c:v>
                </c:pt>
                <c:pt idx="178">
                  <c:v>-136.27000000000001</c:v>
                </c:pt>
                <c:pt idx="179">
                  <c:v>-143.18</c:v>
                </c:pt>
                <c:pt idx="180">
                  <c:v>-158.47</c:v>
                </c:pt>
                <c:pt idx="181">
                  <c:v>-158.47</c:v>
                </c:pt>
                <c:pt idx="182">
                  <c:v>-77.41</c:v>
                </c:pt>
                <c:pt idx="183">
                  <c:v>-69.040000000000006</c:v>
                </c:pt>
                <c:pt idx="184">
                  <c:v>-74.98</c:v>
                </c:pt>
                <c:pt idx="185">
                  <c:v>-20.420000000000002</c:v>
                </c:pt>
                <c:pt idx="186">
                  <c:v>-4.8899999999999997</c:v>
                </c:pt>
                <c:pt idx="187">
                  <c:v>0.54</c:v>
                </c:pt>
                <c:pt idx="188">
                  <c:v>-25.32</c:v>
                </c:pt>
                <c:pt idx="189">
                  <c:v>-162.91</c:v>
                </c:pt>
                <c:pt idx="190">
                  <c:v>-191.98</c:v>
                </c:pt>
                <c:pt idx="191">
                  <c:v>204.35</c:v>
                </c:pt>
                <c:pt idx="192">
                  <c:v>204.35</c:v>
                </c:pt>
                <c:pt idx="193">
                  <c:v>234.95</c:v>
                </c:pt>
                <c:pt idx="194">
                  <c:v>267.49</c:v>
                </c:pt>
                <c:pt idx="195">
                  <c:v>340.83</c:v>
                </c:pt>
                <c:pt idx="196">
                  <c:v>315</c:v>
                </c:pt>
                <c:pt idx="197">
                  <c:v>279.11</c:v>
                </c:pt>
                <c:pt idx="198">
                  <c:v>413</c:v>
                </c:pt>
                <c:pt idx="199">
                  <c:v>270.45</c:v>
                </c:pt>
                <c:pt idx="200">
                  <c:v>257.51</c:v>
                </c:pt>
                <c:pt idx="201">
                  <c:v>247.06</c:v>
                </c:pt>
                <c:pt idx="202">
                  <c:v>326.85000000000002</c:v>
                </c:pt>
                <c:pt idx="203">
                  <c:v>326.85000000000002</c:v>
                </c:pt>
                <c:pt idx="204">
                  <c:v>345.91</c:v>
                </c:pt>
                <c:pt idx="205">
                  <c:v>353.69</c:v>
                </c:pt>
                <c:pt idx="206">
                  <c:v>399.26</c:v>
                </c:pt>
                <c:pt idx="207">
                  <c:v>-55.84</c:v>
                </c:pt>
                <c:pt idx="208">
                  <c:v>-219.98</c:v>
                </c:pt>
                <c:pt idx="209">
                  <c:v>-71.47</c:v>
                </c:pt>
                <c:pt idx="210">
                  <c:v>44.4</c:v>
                </c:pt>
                <c:pt idx="211">
                  <c:v>-182.78</c:v>
                </c:pt>
                <c:pt idx="212">
                  <c:v>422.09</c:v>
                </c:pt>
                <c:pt idx="213">
                  <c:v>456.99</c:v>
                </c:pt>
                <c:pt idx="214">
                  <c:v>449.63</c:v>
                </c:pt>
                <c:pt idx="215">
                  <c:v>449.63</c:v>
                </c:pt>
                <c:pt idx="216">
                  <c:v>470.73</c:v>
                </c:pt>
                <c:pt idx="217">
                  <c:v>426.81</c:v>
                </c:pt>
                <c:pt idx="218">
                  <c:v>518.08000000000004</c:v>
                </c:pt>
                <c:pt idx="219">
                  <c:v>526.25</c:v>
                </c:pt>
                <c:pt idx="220">
                  <c:v>569.37</c:v>
                </c:pt>
                <c:pt idx="221">
                  <c:v>526.41</c:v>
                </c:pt>
                <c:pt idx="222">
                  <c:v>520.32000000000005</c:v>
                </c:pt>
                <c:pt idx="223">
                  <c:v>621.04</c:v>
                </c:pt>
                <c:pt idx="224">
                  <c:v>607.79</c:v>
                </c:pt>
                <c:pt idx="225">
                  <c:v>43</c:v>
                </c:pt>
                <c:pt idx="226">
                  <c:v>43</c:v>
                </c:pt>
                <c:pt idx="227">
                  <c:v>77.44</c:v>
                </c:pt>
                <c:pt idx="228">
                  <c:v>121.54</c:v>
                </c:pt>
                <c:pt idx="229">
                  <c:v>153.59</c:v>
                </c:pt>
                <c:pt idx="230">
                  <c:v>66.11</c:v>
                </c:pt>
                <c:pt idx="231">
                  <c:v>70.760000000000005</c:v>
                </c:pt>
                <c:pt idx="232">
                  <c:v>52.74</c:v>
                </c:pt>
                <c:pt idx="233">
                  <c:v>-10.54</c:v>
                </c:pt>
                <c:pt idx="234">
                  <c:v>470.43</c:v>
                </c:pt>
                <c:pt idx="235">
                  <c:v>413.55</c:v>
                </c:pt>
                <c:pt idx="236">
                  <c:v>593.96</c:v>
                </c:pt>
                <c:pt idx="237">
                  <c:v>593.96</c:v>
                </c:pt>
                <c:pt idx="238">
                  <c:v>390.33</c:v>
                </c:pt>
                <c:pt idx="239">
                  <c:v>508.43</c:v>
                </c:pt>
                <c:pt idx="240">
                  <c:v>529.74</c:v>
                </c:pt>
                <c:pt idx="241">
                  <c:v>566.95000000000005</c:v>
                </c:pt>
                <c:pt idx="242">
                  <c:v>414.22</c:v>
                </c:pt>
                <c:pt idx="243">
                  <c:v>538.19000000000005</c:v>
                </c:pt>
                <c:pt idx="244">
                  <c:v>477.8</c:v>
                </c:pt>
                <c:pt idx="245">
                  <c:v>396.95</c:v>
                </c:pt>
                <c:pt idx="246">
                  <c:v>258.5</c:v>
                </c:pt>
                <c:pt idx="247">
                  <c:v>231.5</c:v>
                </c:pt>
                <c:pt idx="248">
                  <c:v>237.27</c:v>
                </c:pt>
                <c:pt idx="249">
                  <c:v>237.27</c:v>
                </c:pt>
                <c:pt idx="250">
                  <c:v>296.44</c:v>
                </c:pt>
                <c:pt idx="251">
                  <c:v>337.52</c:v>
                </c:pt>
                <c:pt idx="252">
                  <c:v>365.38</c:v>
                </c:pt>
                <c:pt idx="253">
                  <c:v>337.41</c:v>
                </c:pt>
                <c:pt idx="254">
                  <c:v>269.42</c:v>
                </c:pt>
                <c:pt idx="255">
                  <c:v>250.35</c:v>
                </c:pt>
                <c:pt idx="256">
                  <c:v>212.3</c:v>
                </c:pt>
                <c:pt idx="257">
                  <c:v>346.49</c:v>
                </c:pt>
                <c:pt idx="258">
                  <c:v>372.96</c:v>
                </c:pt>
                <c:pt idx="259">
                  <c:v>328.28</c:v>
                </c:pt>
                <c:pt idx="260">
                  <c:v>328.28</c:v>
                </c:pt>
                <c:pt idx="261">
                  <c:v>308.64999999999998</c:v>
                </c:pt>
                <c:pt idx="262">
                  <c:v>160.21</c:v>
                </c:pt>
                <c:pt idx="263">
                  <c:v>42.6</c:v>
                </c:pt>
                <c:pt idx="264">
                  <c:v>289.76</c:v>
                </c:pt>
                <c:pt idx="265">
                  <c:v>289.57</c:v>
                </c:pt>
                <c:pt idx="266">
                  <c:v>252.92</c:v>
                </c:pt>
                <c:pt idx="267">
                  <c:v>371.78</c:v>
                </c:pt>
                <c:pt idx="268">
                  <c:v>413.57</c:v>
                </c:pt>
                <c:pt idx="269">
                  <c:v>398</c:v>
                </c:pt>
                <c:pt idx="270">
                  <c:v>447.8</c:v>
                </c:pt>
                <c:pt idx="271">
                  <c:v>-8.01</c:v>
                </c:pt>
                <c:pt idx="272">
                  <c:v>-8.01</c:v>
                </c:pt>
                <c:pt idx="273">
                  <c:v>-26.95</c:v>
                </c:pt>
                <c:pt idx="274">
                  <c:v>116.93</c:v>
                </c:pt>
                <c:pt idx="275">
                  <c:v>83.8</c:v>
                </c:pt>
                <c:pt idx="276">
                  <c:v>269.77999999999997</c:v>
                </c:pt>
                <c:pt idx="277">
                  <c:v>211.36</c:v>
                </c:pt>
                <c:pt idx="278">
                  <c:v>206.95</c:v>
                </c:pt>
                <c:pt idx="279">
                  <c:v>185.85</c:v>
                </c:pt>
                <c:pt idx="280">
                  <c:v>-10.16</c:v>
                </c:pt>
                <c:pt idx="281">
                  <c:v>29.33</c:v>
                </c:pt>
                <c:pt idx="282">
                  <c:v>188.01</c:v>
                </c:pt>
                <c:pt idx="283">
                  <c:v>188.01</c:v>
                </c:pt>
                <c:pt idx="284">
                  <c:v>190.9</c:v>
                </c:pt>
                <c:pt idx="285">
                  <c:v>280.32</c:v>
                </c:pt>
                <c:pt idx="286">
                  <c:v>275.42</c:v>
                </c:pt>
                <c:pt idx="287">
                  <c:v>334.78</c:v>
                </c:pt>
                <c:pt idx="288">
                  <c:v>-29.77</c:v>
                </c:pt>
                <c:pt idx="289">
                  <c:v>25.14</c:v>
                </c:pt>
                <c:pt idx="290">
                  <c:v>-21.15</c:v>
                </c:pt>
                <c:pt idx="291">
                  <c:v>415.77</c:v>
                </c:pt>
                <c:pt idx="292">
                  <c:v>204.33</c:v>
                </c:pt>
                <c:pt idx="293">
                  <c:v>331.44</c:v>
                </c:pt>
                <c:pt idx="294">
                  <c:v>331.44</c:v>
                </c:pt>
                <c:pt idx="295">
                  <c:v>219.49</c:v>
                </c:pt>
                <c:pt idx="296">
                  <c:v>386.56</c:v>
                </c:pt>
                <c:pt idx="297">
                  <c:v>290.16000000000003</c:v>
                </c:pt>
                <c:pt idx="298">
                  <c:v>249.27</c:v>
                </c:pt>
                <c:pt idx="299">
                  <c:v>348.86</c:v>
                </c:pt>
                <c:pt idx="300">
                  <c:v>263.93</c:v>
                </c:pt>
                <c:pt idx="301">
                  <c:v>400.66</c:v>
                </c:pt>
                <c:pt idx="302">
                  <c:v>297.20999999999998</c:v>
                </c:pt>
                <c:pt idx="303">
                  <c:v>444.05</c:v>
                </c:pt>
                <c:pt idx="304">
                  <c:v>324.64999999999998</c:v>
                </c:pt>
                <c:pt idx="305">
                  <c:v>324.64999999999998</c:v>
                </c:pt>
                <c:pt idx="306">
                  <c:v>304.92</c:v>
                </c:pt>
                <c:pt idx="307">
                  <c:v>411.69</c:v>
                </c:pt>
                <c:pt idx="308">
                  <c:v>474.91</c:v>
                </c:pt>
                <c:pt idx="309">
                  <c:v>397.16</c:v>
                </c:pt>
                <c:pt idx="310">
                  <c:v>427.93</c:v>
                </c:pt>
                <c:pt idx="311">
                  <c:v>454.34</c:v>
                </c:pt>
                <c:pt idx="312">
                  <c:v>573.61</c:v>
                </c:pt>
                <c:pt idx="313">
                  <c:v>506.16</c:v>
                </c:pt>
                <c:pt idx="314">
                  <c:v>480.15</c:v>
                </c:pt>
                <c:pt idx="315">
                  <c:v>590.74</c:v>
                </c:pt>
                <c:pt idx="316">
                  <c:v>590.74</c:v>
                </c:pt>
                <c:pt idx="317">
                  <c:v>563.29999999999995</c:v>
                </c:pt>
                <c:pt idx="318">
                  <c:v>476.06</c:v>
                </c:pt>
                <c:pt idx="319">
                  <c:v>425.38</c:v>
                </c:pt>
                <c:pt idx="320">
                  <c:v>438.72</c:v>
                </c:pt>
                <c:pt idx="321">
                  <c:v>459.95</c:v>
                </c:pt>
                <c:pt idx="322">
                  <c:v>601.26</c:v>
                </c:pt>
                <c:pt idx="323">
                  <c:v>534.03</c:v>
                </c:pt>
                <c:pt idx="324">
                  <c:v>603.80999999999995</c:v>
                </c:pt>
                <c:pt idx="325">
                  <c:v>240.39</c:v>
                </c:pt>
                <c:pt idx="326">
                  <c:v>207.84</c:v>
                </c:pt>
                <c:pt idx="327">
                  <c:v>313.88</c:v>
                </c:pt>
                <c:pt idx="328">
                  <c:v>313.88</c:v>
                </c:pt>
                <c:pt idx="329">
                  <c:v>369.24</c:v>
                </c:pt>
                <c:pt idx="330">
                  <c:v>346.54</c:v>
                </c:pt>
                <c:pt idx="331">
                  <c:v>310.91000000000003</c:v>
                </c:pt>
                <c:pt idx="332">
                  <c:v>233.94</c:v>
                </c:pt>
                <c:pt idx="333">
                  <c:v>215.76</c:v>
                </c:pt>
                <c:pt idx="334">
                  <c:v>200.94</c:v>
                </c:pt>
                <c:pt idx="335">
                  <c:v>341.06</c:v>
                </c:pt>
                <c:pt idx="336">
                  <c:v>331.2</c:v>
                </c:pt>
                <c:pt idx="337">
                  <c:v>325.01</c:v>
                </c:pt>
                <c:pt idx="338">
                  <c:v>274.48</c:v>
                </c:pt>
                <c:pt idx="339">
                  <c:v>274.48</c:v>
                </c:pt>
                <c:pt idx="340">
                  <c:v>216.1</c:v>
                </c:pt>
                <c:pt idx="341">
                  <c:v>175.32</c:v>
                </c:pt>
                <c:pt idx="342">
                  <c:v>282.14999999999998</c:v>
                </c:pt>
                <c:pt idx="343">
                  <c:v>318.23</c:v>
                </c:pt>
                <c:pt idx="344">
                  <c:v>399.55</c:v>
                </c:pt>
                <c:pt idx="345">
                  <c:v>421.5</c:v>
                </c:pt>
                <c:pt idx="346">
                  <c:v>448.92</c:v>
                </c:pt>
                <c:pt idx="347">
                  <c:v>549.16999999999996</c:v>
                </c:pt>
                <c:pt idx="348">
                  <c:v>514.22</c:v>
                </c:pt>
                <c:pt idx="349">
                  <c:v>500.76</c:v>
                </c:pt>
                <c:pt idx="350">
                  <c:v>500.76</c:v>
                </c:pt>
                <c:pt idx="351">
                  <c:v>585.12</c:v>
                </c:pt>
                <c:pt idx="352">
                  <c:v>586.07000000000005</c:v>
                </c:pt>
                <c:pt idx="353">
                  <c:v>39.479999999999997</c:v>
                </c:pt>
                <c:pt idx="354">
                  <c:v>-123.62</c:v>
                </c:pt>
                <c:pt idx="355">
                  <c:v>-99.37</c:v>
                </c:pt>
                <c:pt idx="356">
                  <c:v>-58.74</c:v>
                </c:pt>
                <c:pt idx="357">
                  <c:v>-17.350000000000001</c:v>
                </c:pt>
                <c:pt idx="358">
                  <c:v>33.979999999999997</c:v>
                </c:pt>
                <c:pt idx="359">
                  <c:v>89.24</c:v>
                </c:pt>
                <c:pt idx="360">
                  <c:v>108.02</c:v>
                </c:pt>
                <c:pt idx="361">
                  <c:v>30.07</c:v>
                </c:pt>
                <c:pt idx="362">
                  <c:v>30.07</c:v>
                </c:pt>
                <c:pt idx="363">
                  <c:v>61.4</c:v>
                </c:pt>
                <c:pt idx="364">
                  <c:v>-11.92</c:v>
                </c:pt>
                <c:pt idx="365">
                  <c:v>84.72</c:v>
                </c:pt>
                <c:pt idx="366">
                  <c:v>113</c:v>
                </c:pt>
                <c:pt idx="367">
                  <c:v>-3.25</c:v>
                </c:pt>
                <c:pt idx="368">
                  <c:v>-171.88</c:v>
                </c:pt>
                <c:pt idx="369">
                  <c:v>-133.86000000000001</c:v>
                </c:pt>
                <c:pt idx="370">
                  <c:v>-146.97999999999999</c:v>
                </c:pt>
                <c:pt idx="371">
                  <c:v>-57.09</c:v>
                </c:pt>
                <c:pt idx="372">
                  <c:v>0</c:v>
                </c:pt>
                <c:pt idx="373">
                  <c:v>-3.1</c:v>
                </c:pt>
                <c:pt idx="374">
                  <c:v>-5.33</c:v>
                </c:pt>
                <c:pt idx="375">
                  <c:v>-5.33</c:v>
                </c:pt>
                <c:pt idx="376">
                  <c:v>234.27</c:v>
                </c:pt>
                <c:pt idx="377">
                  <c:v>264.72000000000003</c:v>
                </c:pt>
                <c:pt idx="378">
                  <c:v>314.55</c:v>
                </c:pt>
                <c:pt idx="379">
                  <c:v>420.85</c:v>
                </c:pt>
                <c:pt idx="380">
                  <c:v>339.41</c:v>
                </c:pt>
                <c:pt idx="381">
                  <c:v>344.3</c:v>
                </c:pt>
                <c:pt idx="382">
                  <c:v>406.18</c:v>
                </c:pt>
                <c:pt idx="383">
                  <c:v>471.19</c:v>
                </c:pt>
                <c:pt idx="384">
                  <c:v>-3.98</c:v>
                </c:pt>
                <c:pt idx="385">
                  <c:v>26.7</c:v>
                </c:pt>
                <c:pt idx="386">
                  <c:v>26.7</c:v>
                </c:pt>
                <c:pt idx="387">
                  <c:v>-29.44</c:v>
                </c:pt>
                <c:pt idx="388">
                  <c:v>305.8</c:v>
                </c:pt>
                <c:pt idx="389">
                  <c:v>330.64</c:v>
                </c:pt>
                <c:pt idx="390">
                  <c:v>350.36</c:v>
                </c:pt>
                <c:pt idx="391">
                  <c:v>373.41</c:v>
                </c:pt>
                <c:pt idx="392">
                  <c:v>462.29</c:v>
                </c:pt>
                <c:pt idx="393">
                  <c:v>436.38</c:v>
                </c:pt>
                <c:pt idx="394">
                  <c:v>432.89</c:v>
                </c:pt>
                <c:pt idx="395">
                  <c:v>416.58</c:v>
                </c:pt>
                <c:pt idx="396">
                  <c:v>526.92999999999995</c:v>
                </c:pt>
                <c:pt idx="397">
                  <c:v>526.92999999999995</c:v>
                </c:pt>
                <c:pt idx="398">
                  <c:v>533.91999999999996</c:v>
                </c:pt>
                <c:pt idx="399">
                  <c:v>543.95000000000005</c:v>
                </c:pt>
                <c:pt idx="400">
                  <c:v>598.66</c:v>
                </c:pt>
                <c:pt idx="401">
                  <c:v>-22.56</c:v>
                </c:pt>
                <c:pt idx="402">
                  <c:v>-23.08</c:v>
                </c:pt>
                <c:pt idx="403">
                  <c:v>110.87</c:v>
                </c:pt>
                <c:pt idx="404">
                  <c:v>191.7</c:v>
                </c:pt>
                <c:pt idx="405">
                  <c:v>244.07</c:v>
                </c:pt>
                <c:pt idx="406">
                  <c:v>111.98</c:v>
                </c:pt>
                <c:pt idx="407">
                  <c:v>161.04</c:v>
                </c:pt>
                <c:pt idx="408">
                  <c:v>161.04</c:v>
                </c:pt>
                <c:pt idx="409">
                  <c:v>108.42</c:v>
                </c:pt>
                <c:pt idx="410">
                  <c:v>246.12</c:v>
                </c:pt>
                <c:pt idx="411">
                  <c:v>205.65</c:v>
                </c:pt>
                <c:pt idx="412">
                  <c:v>48.93</c:v>
                </c:pt>
                <c:pt idx="413">
                  <c:v>131.37</c:v>
                </c:pt>
                <c:pt idx="414">
                  <c:v>240.48</c:v>
                </c:pt>
                <c:pt idx="415">
                  <c:v>360.01</c:v>
                </c:pt>
                <c:pt idx="416">
                  <c:v>78.81</c:v>
                </c:pt>
                <c:pt idx="417">
                  <c:v>128.19</c:v>
                </c:pt>
                <c:pt idx="418">
                  <c:v>206.99</c:v>
                </c:pt>
                <c:pt idx="419">
                  <c:v>209.34</c:v>
                </c:pt>
                <c:pt idx="420">
                  <c:v>209.34</c:v>
                </c:pt>
                <c:pt idx="421">
                  <c:v>151.13999999999999</c:v>
                </c:pt>
                <c:pt idx="422">
                  <c:v>270.82</c:v>
                </c:pt>
                <c:pt idx="423">
                  <c:v>261.45</c:v>
                </c:pt>
                <c:pt idx="424">
                  <c:v>335.16</c:v>
                </c:pt>
                <c:pt idx="425">
                  <c:v>302.64999999999998</c:v>
                </c:pt>
                <c:pt idx="426">
                  <c:v>302.08999999999997</c:v>
                </c:pt>
                <c:pt idx="427">
                  <c:v>397.48</c:v>
                </c:pt>
                <c:pt idx="428">
                  <c:v>392.19</c:v>
                </c:pt>
                <c:pt idx="429">
                  <c:v>406.67</c:v>
                </c:pt>
                <c:pt idx="430">
                  <c:v>232.42</c:v>
                </c:pt>
                <c:pt idx="431">
                  <c:v>232.42</c:v>
                </c:pt>
                <c:pt idx="432">
                  <c:v>-25.04</c:v>
                </c:pt>
                <c:pt idx="433">
                  <c:v>203.72</c:v>
                </c:pt>
                <c:pt idx="434">
                  <c:v>247</c:v>
                </c:pt>
                <c:pt idx="435">
                  <c:v>294.66000000000003</c:v>
                </c:pt>
                <c:pt idx="436">
                  <c:v>383.01</c:v>
                </c:pt>
                <c:pt idx="437">
                  <c:v>338.51</c:v>
                </c:pt>
                <c:pt idx="438">
                  <c:v>295.88</c:v>
                </c:pt>
                <c:pt idx="439">
                  <c:v>316.44</c:v>
                </c:pt>
                <c:pt idx="440">
                  <c:v>370.81</c:v>
                </c:pt>
                <c:pt idx="441">
                  <c:v>485.67</c:v>
                </c:pt>
                <c:pt idx="442">
                  <c:v>485.67</c:v>
                </c:pt>
                <c:pt idx="443">
                  <c:v>93.36</c:v>
                </c:pt>
                <c:pt idx="444">
                  <c:v>113.52</c:v>
                </c:pt>
                <c:pt idx="445">
                  <c:v>142.16999999999999</c:v>
                </c:pt>
                <c:pt idx="446">
                  <c:v>246.12</c:v>
                </c:pt>
                <c:pt idx="447">
                  <c:v>206.51</c:v>
                </c:pt>
                <c:pt idx="448">
                  <c:v>187.8</c:v>
                </c:pt>
                <c:pt idx="449">
                  <c:v>372.31</c:v>
                </c:pt>
                <c:pt idx="450">
                  <c:v>467.37</c:v>
                </c:pt>
                <c:pt idx="451">
                  <c:v>22.6</c:v>
                </c:pt>
                <c:pt idx="452">
                  <c:v>21.06</c:v>
                </c:pt>
                <c:pt idx="453">
                  <c:v>21.06</c:v>
                </c:pt>
                <c:pt idx="454">
                  <c:v>50.31</c:v>
                </c:pt>
                <c:pt idx="455">
                  <c:v>-28.87</c:v>
                </c:pt>
                <c:pt idx="456">
                  <c:v>340.1</c:v>
                </c:pt>
                <c:pt idx="457">
                  <c:v>49.08</c:v>
                </c:pt>
                <c:pt idx="458">
                  <c:v>326.67</c:v>
                </c:pt>
                <c:pt idx="459">
                  <c:v>401.41</c:v>
                </c:pt>
                <c:pt idx="460">
                  <c:v>-27.18</c:v>
                </c:pt>
                <c:pt idx="461">
                  <c:v>379.02</c:v>
                </c:pt>
                <c:pt idx="462">
                  <c:v>350.38</c:v>
                </c:pt>
                <c:pt idx="463">
                  <c:v>432.04</c:v>
                </c:pt>
                <c:pt idx="464">
                  <c:v>464.72</c:v>
                </c:pt>
                <c:pt idx="465">
                  <c:v>464.72</c:v>
                </c:pt>
                <c:pt idx="466">
                  <c:v>516</c:v>
                </c:pt>
                <c:pt idx="467">
                  <c:v>16.11</c:v>
                </c:pt>
                <c:pt idx="468">
                  <c:v>317.12</c:v>
                </c:pt>
                <c:pt idx="469">
                  <c:v>280.60000000000002</c:v>
                </c:pt>
                <c:pt idx="470">
                  <c:v>290.98</c:v>
                </c:pt>
                <c:pt idx="471">
                  <c:v>359.18</c:v>
                </c:pt>
                <c:pt idx="472">
                  <c:v>417.5</c:v>
                </c:pt>
                <c:pt idx="473">
                  <c:v>515.13</c:v>
                </c:pt>
                <c:pt idx="474">
                  <c:v>114.04</c:v>
                </c:pt>
                <c:pt idx="475">
                  <c:v>108.52</c:v>
                </c:pt>
                <c:pt idx="476">
                  <c:v>108.52</c:v>
                </c:pt>
                <c:pt idx="477">
                  <c:v>189.99</c:v>
                </c:pt>
                <c:pt idx="478">
                  <c:v>185.98</c:v>
                </c:pt>
                <c:pt idx="479">
                  <c:v>276.75</c:v>
                </c:pt>
                <c:pt idx="480">
                  <c:v>41.33</c:v>
                </c:pt>
                <c:pt idx="481">
                  <c:v>-182.45</c:v>
                </c:pt>
                <c:pt idx="482">
                  <c:v>-200.29</c:v>
                </c:pt>
                <c:pt idx="483">
                  <c:v>-157.61000000000001</c:v>
                </c:pt>
                <c:pt idx="484">
                  <c:v>-16.690000000000001</c:v>
                </c:pt>
                <c:pt idx="485">
                  <c:v>-95.63</c:v>
                </c:pt>
                <c:pt idx="486">
                  <c:v>-80.56</c:v>
                </c:pt>
                <c:pt idx="487">
                  <c:v>-80.56</c:v>
                </c:pt>
                <c:pt idx="488">
                  <c:v>142.29</c:v>
                </c:pt>
                <c:pt idx="489">
                  <c:v>198.41</c:v>
                </c:pt>
                <c:pt idx="490">
                  <c:v>98.66</c:v>
                </c:pt>
                <c:pt idx="491">
                  <c:v>99.56</c:v>
                </c:pt>
                <c:pt idx="492">
                  <c:v>276.31</c:v>
                </c:pt>
                <c:pt idx="493">
                  <c:v>101.32</c:v>
                </c:pt>
                <c:pt idx="494">
                  <c:v>192.35</c:v>
                </c:pt>
                <c:pt idx="495">
                  <c:v>234.53</c:v>
                </c:pt>
                <c:pt idx="496">
                  <c:v>58.66</c:v>
                </c:pt>
                <c:pt idx="497">
                  <c:v>237.24</c:v>
                </c:pt>
                <c:pt idx="498">
                  <c:v>237.24</c:v>
                </c:pt>
                <c:pt idx="499">
                  <c:v>374.59</c:v>
                </c:pt>
                <c:pt idx="500">
                  <c:v>304.17</c:v>
                </c:pt>
                <c:pt idx="501">
                  <c:v>-212.03</c:v>
                </c:pt>
                <c:pt idx="502">
                  <c:v>244.53</c:v>
                </c:pt>
                <c:pt idx="503">
                  <c:v>230.94</c:v>
                </c:pt>
                <c:pt idx="504">
                  <c:v>287.63</c:v>
                </c:pt>
                <c:pt idx="505">
                  <c:v>338.4</c:v>
                </c:pt>
                <c:pt idx="506">
                  <c:v>336.74</c:v>
                </c:pt>
                <c:pt idx="507">
                  <c:v>384.46</c:v>
                </c:pt>
                <c:pt idx="508">
                  <c:v>41.61</c:v>
                </c:pt>
                <c:pt idx="509">
                  <c:v>234.38</c:v>
                </c:pt>
                <c:pt idx="510">
                  <c:v>234.38</c:v>
                </c:pt>
                <c:pt idx="511">
                  <c:v>214.09</c:v>
                </c:pt>
                <c:pt idx="512">
                  <c:v>196.74</c:v>
                </c:pt>
                <c:pt idx="513">
                  <c:v>299.82</c:v>
                </c:pt>
                <c:pt idx="514">
                  <c:v>311.45999999999998</c:v>
                </c:pt>
                <c:pt idx="515">
                  <c:v>317.72000000000003</c:v>
                </c:pt>
                <c:pt idx="516">
                  <c:v>426.02</c:v>
                </c:pt>
                <c:pt idx="517">
                  <c:v>420.09</c:v>
                </c:pt>
                <c:pt idx="518">
                  <c:v>389.41</c:v>
                </c:pt>
                <c:pt idx="519">
                  <c:v>538.33000000000004</c:v>
                </c:pt>
                <c:pt idx="520">
                  <c:v>573.19000000000005</c:v>
                </c:pt>
                <c:pt idx="521">
                  <c:v>573.19000000000005</c:v>
                </c:pt>
                <c:pt idx="522">
                  <c:v>494.23</c:v>
                </c:pt>
                <c:pt idx="523">
                  <c:v>614.03</c:v>
                </c:pt>
                <c:pt idx="524">
                  <c:v>48.99</c:v>
                </c:pt>
                <c:pt idx="525">
                  <c:v>74.77</c:v>
                </c:pt>
                <c:pt idx="526">
                  <c:v>124.21</c:v>
                </c:pt>
                <c:pt idx="527">
                  <c:v>149.75</c:v>
                </c:pt>
                <c:pt idx="528">
                  <c:v>105.54</c:v>
                </c:pt>
                <c:pt idx="529">
                  <c:v>351.48</c:v>
                </c:pt>
                <c:pt idx="530">
                  <c:v>334.99</c:v>
                </c:pt>
                <c:pt idx="531">
                  <c:v>430.47</c:v>
                </c:pt>
                <c:pt idx="532">
                  <c:v>430.47</c:v>
                </c:pt>
                <c:pt idx="533">
                  <c:v>464.61</c:v>
                </c:pt>
                <c:pt idx="534">
                  <c:v>593.46</c:v>
                </c:pt>
                <c:pt idx="535">
                  <c:v>581.91</c:v>
                </c:pt>
                <c:pt idx="536">
                  <c:v>368.96</c:v>
                </c:pt>
                <c:pt idx="537">
                  <c:v>474.86</c:v>
                </c:pt>
                <c:pt idx="538">
                  <c:v>620.16</c:v>
                </c:pt>
                <c:pt idx="539">
                  <c:v>-145.72999999999999</c:v>
                </c:pt>
                <c:pt idx="540">
                  <c:v>-33.78</c:v>
                </c:pt>
                <c:pt idx="541">
                  <c:v>-156.87</c:v>
                </c:pt>
                <c:pt idx="542">
                  <c:v>-167.08</c:v>
                </c:pt>
                <c:pt idx="543">
                  <c:v>-167.08</c:v>
                </c:pt>
                <c:pt idx="544">
                  <c:v>-63.85</c:v>
                </c:pt>
                <c:pt idx="545">
                  <c:v>-13.55</c:v>
                </c:pt>
                <c:pt idx="546">
                  <c:v>-169.55</c:v>
                </c:pt>
                <c:pt idx="547">
                  <c:v>-67.63</c:v>
                </c:pt>
                <c:pt idx="548">
                  <c:v>-133.96</c:v>
                </c:pt>
                <c:pt idx="549">
                  <c:v>-91.62</c:v>
                </c:pt>
                <c:pt idx="550">
                  <c:v>-41.14</c:v>
                </c:pt>
                <c:pt idx="551">
                  <c:v>44.52</c:v>
                </c:pt>
                <c:pt idx="552">
                  <c:v>-16.079999999999998</c:v>
                </c:pt>
                <c:pt idx="553">
                  <c:v>51.54</c:v>
                </c:pt>
                <c:pt idx="554">
                  <c:v>51.54</c:v>
                </c:pt>
                <c:pt idx="555">
                  <c:v>-52.84</c:v>
                </c:pt>
                <c:pt idx="556">
                  <c:v>80.12</c:v>
                </c:pt>
                <c:pt idx="557">
                  <c:v>147.87</c:v>
                </c:pt>
                <c:pt idx="558">
                  <c:v>60.26</c:v>
                </c:pt>
                <c:pt idx="559">
                  <c:v>38.340000000000003</c:v>
                </c:pt>
                <c:pt idx="560">
                  <c:v>160.56</c:v>
                </c:pt>
                <c:pt idx="561">
                  <c:v>34.67</c:v>
                </c:pt>
                <c:pt idx="562">
                  <c:v>210.27</c:v>
                </c:pt>
                <c:pt idx="563">
                  <c:v>119.53</c:v>
                </c:pt>
                <c:pt idx="564">
                  <c:v>33.47</c:v>
                </c:pt>
                <c:pt idx="565">
                  <c:v>131.07</c:v>
                </c:pt>
                <c:pt idx="566">
                  <c:v>131.07</c:v>
                </c:pt>
                <c:pt idx="567">
                  <c:v>232.01</c:v>
                </c:pt>
                <c:pt idx="568">
                  <c:v>-23.62</c:v>
                </c:pt>
                <c:pt idx="569">
                  <c:v>14.82</c:v>
                </c:pt>
                <c:pt idx="570">
                  <c:v>40.53</c:v>
                </c:pt>
                <c:pt idx="571">
                  <c:v>169.23</c:v>
                </c:pt>
                <c:pt idx="572">
                  <c:v>134.04</c:v>
                </c:pt>
                <c:pt idx="573">
                  <c:v>57.94</c:v>
                </c:pt>
                <c:pt idx="574">
                  <c:v>133.57</c:v>
                </c:pt>
                <c:pt idx="575">
                  <c:v>111.35</c:v>
                </c:pt>
                <c:pt idx="576">
                  <c:v>119.68</c:v>
                </c:pt>
                <c:pt idx="577">
                  <c:v>119.68</c:v>
                </c:pt>
                <c:pt idx="578">
                  <c:v>211.02</c:v>
                </c:pt>
                <c:pt idx="579">
                  <c:v>202.63</c:v>
                </c:pt>
                <c:pt idx="580">
                  <c:v>302.56</c:v>
                </c:pt>
                <c:pt idx="581">
                  <c:v>111.69</c:v>
                </c:pt>
                <c:pt idx="582">
                  <c:v>86.98</c:v>
                </c:pt>
                <c:pt idx="583">
                  <c:v>44.78</c:v>
                </c:pt>
                <c:pt idx="584">
                  <c:v>132.13</c:v>
                </c:pt>
                <c:pt idx="585">
                  <c:v>158.58000000000001</c:v>
                </c:pt>
                <c:pt idx="586">
                  <c:v>185.3</c:v>
                </c:pt>
                <c:pt idx="587">
                  <c:v>235.45</c:v>
                </c:pt>
                <c:pt idx="588">
                  <c:v>235.45</c:v>
                </c:pt>
                <c:pt idx="589">
                  <c:v>201.69</c:v>
                </c:pt>
                <c:pt idx="590">
                  <c:v>520.01</c:v>
                </c:pt>
                <c:pt idx="591">
                  <c:v>461.98</c:v>
                </c:pt>
                <c:pt idx="592">
                  <c:v>427.55</c:v>
                </c:pt>
                <c:pt idx="593">
                  <c:v>394.15</c:v>
                </c:pt>
                <c:pt idx="594">
                  <c:v>494.19</c:v>
                </c:pt>
                <c:pt idx="595">
                  <c:v>507.67</c:v>
                </c:pt>
                <c:pt idx="596">
                  <c:v>561.38</c:v>
                </c:pt>
                <c:pt idx="597">
                  <c:v>446.48</c:v>
                </c:pt>
                <c:pt idx="598">
                  <c:v>452.71</c:v>
                </c:pt>
                <c:pt idx="599">
                  <c:v>540.16</c:v>
                </c:pt>
                <c:pt idx="600">
                  <c:v>540.16</c:v>
                </c:pt>
                <c:pt idx="601">
                  <c:v>451.39</c:v>
                </c:pt>
                <c:pt idx="602">
                  <c:v>486.88</c:v>
                </c:pt>
                <c:pt idx="603">
                  <c:v>553.96</c:v>
                </c:pt>
                <c:pt idx="604">
                  <c:v>548.54999999999995</c:v>
                </c:pt>
                <c:pt idx="605">
                  <c:v>540.55999999999995</c:v>
                </c:pt>
                <c:pt idx="606">
                  <c:v>324.22000000000003</c:v>
                </c:pt>
                <c:pt idx="607">
                  <c:v>431.25</c:v>
                </c:pt>
                <c:pt idx="608">
                  <c:v>282.77</c:v>
                </c:pt>
                <c:pt idx="609">
                  <c:v>261.5</c:v>
                </c:pt>
                <c:pt idx="610">
                  <c:v>264.48</c:v>
                </c:pt>
                <c:pt idx="611">
                  <c:v>264.48</c:v>
                </c:pt>
                <c:pt idx="612">
                  <c:v>222.7</c:v>
                </c:pt>
                <c:pt idx="613">
                  <c:v>311.19</c:v>
                </c:pt>
                <c:pt idx="614">
                  <c:v>349.71</c:v>
                </c:pt>
                <c:pt idx="615">
                  <c:v>350.81</c:v>
                </c:pt>
                <c:pt idx="616">
                  <c:v>356.28</c:v>
                </c:pt>
                <c:pt idx="617">
                  <c:v>421.72</c:v>
                </c:pt>
                <c:pt idx="618">
                  <c:v>432.43</c:v>
                </c:pt>
                <c:pt idx="619">
                  <c:v>396.53</c:v>
                </c:pt>
                <c:pt idx="620">
                  <c:v>-16.14</c:v>
                </c:pt>
                <c:pt idx="621">
                  <c:v>161.53</c:v>
                </c:pt>
                <c:pt idx="622">
                  <c:v>161.53</c:v>
                </c:pt>
                <c:pt idx="623">
                  <c:v>129.65</c:v>
                </c:pt>
                <c:pt idx="624">
                  <c:v>108.72</c:v>
                </c:pt>
                <c:pt idx="625">
                  <c:v>166.69</c:v>
                </c:pt>
                <c:pt idx="626">
                  <c:v>196.52</c:v>
                </c:pt>
                <c:pt idx="627">
                  <c:v>235.72</c:v>
                </c:pt>
                <c:pt idx="628">
                  <c:v>141.65</c:v>
                </c:pt>
                <c:pt idx="629">
                  <c:v>120.37</c:v>
                </c:pt>
                <c:pt idx="630">
                  <c:v>137.09</c:v>
                </c:pt>
                <c:pt idx="631">
                  <c:v>102.64</c:v>
                </c:pt>
                <c:pt idx="632">
                  <c:v>80.150000000000006</c:v>
                </c:pt>
                <c:pt idx="633">
                  <c:v>80.150000000000006</c:v>
                </c:pt>
                <c:pt idx="634">
                  <c:v>-15.78</c:v>
                </c:pt>
                <c:pt idx="635">
                  <c:v>175.29</c:v>
                </c:pt>
                <c:pt idx="636">
                  <c:v>310.08</c:v>
                </c:pt>
                <c:pt idx="637">
                  <c:v>336.01</c:v>
                </c:pt>
                <c:pt idx="638">
                  <c:v>440.73</c:v>
                </c:pt>
                <c:pt idx="639">
                  <c:v>466.12</c:v>
                </c:pt>
                <c:pt idx="640">
                  <c:v>496.73</c:v>
                </c:pt>
                <c:pt idx="641">
                  <c:v>479.15</c:v>
                </c:pt>
                <c:pt idx="642">
                  <c:v>438.4</c:v>
                </c:pt>
                <c:pt idx="643">
                  <c:v>545.51</c:v>
                </c:pt>
                <c:pt idx="644">
                  <c:v>545.51</c:v>
                </c:pt>
                <c:pt idx="645">
                  <c:v>503.53</c:v>
                </c:pt>
                <c:pt idx="646">
                  <c:v>526.48</c:v>
                </c:pt>
                <c:pt idx="647">
                  <c:v>542.4</c:v>
                </c:pt>
                <c:pt idx="648">
                  <c:v>548.4</c:v>
                </c:pt>
                <c:pt idx="649">
                  <c:v>625.63</c:v>
                </c:pt>
                <c:pt idx="650">
                  <c:v>638.01</c:v>
                </c:pt>
                <c:pt idx="651">
                  <c:v>624.67999999999995</c:v>
                </c:pt>
                <c:pt idx="652">
                  <c:v>610.19000000000005</c:v>
                </c:pt>
                <c:pt idx="653">
                  <c:v>-17.3</c:v>
                </c:pt>
                <c:pt idx="654">
                  <c:v>196.13</c:v>
                </c:pt>
                <c:pt idx="655">
                  <c:v>196.13</c:v>
                </c:pt>
                <c:pt idx="656">
                  <c:v>227.57</c:v>
                </c:pt>
                <c:pt idx="657">
                  <c:v>261.88</c:v>
                </c:pt>
                <c:pt idx="658">
                  <c:v>337.76</c:v>
                </c:pt>
                <c:pt idx="659">
                  <c:v>307.89999999999998</c:v>
                </c:pt>
                <c:pt idx="660">
                  <c:v>331.57</c:v>
                </c:pt>
                <c:pt idx="661">
                  <c:v>372.2</c:v>
                </c:pt>
                <c:pt idx="662">
                  <c:v>415.38</c:v>
                </c:pt>
                <c:pt idx="663">
                  <c:v>258.13</c:v>
                </c:pt>
                <c:pt idx="664">
                  <c:v>243.7</c:v>
                </c:pt>
                <c:pt idx="665">
                  <c:v>228.45</c:v>
                </c:pt>
                <c:pt idx="666">
                  <c:v>228.45</c:v>
                </c:pt>
                <c:pt idx="667">
                  <c:v>304.29000000000002</c:v>
                </c:pt>
                <c:pt idx="668">
                  <c:v>329.22</c:v>
                </c:pt>
                <c:pt idx="669">
                  <c:v>350.26</c:v>
                </c:pt>
                <c:pt idx="670">
                  <c:v>419.46</c:v>
                </c:pt>
                <c:pt idx="671">
                  <c:v>389.05</c:v>
                </c:pt>
                <c:pt idx="672">
                  <c:v>465.72</c:v>
                </c:pt>
                <c:pt idx="673">
                  <c:v>436.2</c:v>
                </c:pt>
                <c:pt idx="674">
                  <c:v>407.24</c:v>
                </c:pt>
                <c:pt idx="675">
                  <c:v>473.51</c:v>
                </c:pt>
                <c:pt idx="676">
                  <c:v>63.42</c:v>
                </c:pt>
                <c:pt idx="677">
                  <c:v>63.42</c:v>
                </c:pt>
                <c:pt idx="678">
                  <c:v>64.19</c:v>
                </c:pt>
                <c:pt idx="679">
                  <c:v>480.01</c:v>
                </c:pt>
                <c:pt idx="680">
                  <c:v>14.63</c:v>
                </c:pt>
                <c:pt idx="681">
                  <c:v>73.45</c:v>
                </c:pt>
                <c:pt idx="682">
                  <c:v>87.28</c:v>
                </c:pt>
                <c:pt idx="683">
                  <c:v>67.510000000000005</c:v>
                </c:pt>
                <c:pt idx="684">
                  <c:v>542.46</c:v>
                </c:pt>
                <c:pt idx="685">
                  <c:v>534.09</c:v>
                </c:pt>
                <c:pt idx="686">
                  <c:v>581.4</c:v>
                </c:pt>
                <c:pt idx="687">
                  <c:v>609.22</c:v>
                </c:pt>
                <c:pt idx="688">
                  <c:v>401.2</c:v>
                </c:pt>
                <c:pt idx="689">
                  <c:v>401.2</c:v>
                </c:pt>
                <c:pt idx="690">
                  <c:v>423.07</c:v>
                </c:pt>
                <c:pt idx="691">
                  <c:v>442.4</c:v>
                </c:pt>
                <c:pt idx="692">
                  <c:v>506.38</c:v>
                </c:pt>
                <c:pt idx="693">
                  <c:v>498.55</c:v>
                </c:pt>
                <c:pt idx="694">
                  <c:v>505.29</c:v>
                </c:pt>
                <c:pt idx="695">
                  <c:v>615.05999999999995</c:v>
                </c:pt>
                <c:pt idx="696">
                  <c:v>565.61</c:v>
                </c:pt>
                <c:pt idx="697">
                  <c:v>361.95</c:v>
                </c:pt>
                <c:pt idx="698">
                  <c:v>334.38</c:v>
                </c:pt>
                <c:pt idx="699">
                  <c:v>314.64999999999998</c:v>
                </c:pt>
                <c:pt idx="700">
                  <c:v>314.64999999999998</c:v>
                </c:pt>
                <c:pt idx="701">
                  <c:v>386.04</c:v>
                </c:pt>
                <c:pt idx="702">
                  <c:v>419.08</c:v>
                </c:pt>
                <c:pt idx="703">
                  <c:v>462.93</c:v>
                </c:pt>
                <c:pt idx="704">
                  <c:v>436.38</c:v>
                </c:pt>
                <c:pt idx="705">
                  <c:v>41.59</c:v>
                </c:pt>
                <c:pt idx="706">
                  <c:v>39.729999999999997</c:v>
                </c:pt>
                <c:pt idx="707">
                  <c:v>43.85</c:v>
                </c:pt>
              </c:numCache>
              <c:extLst xmlns:c15="http://schemas.microsoft.com/office/drawing/2012/chart"/>
            </c:numRef>
          </c:yVal>
          <c:smooth val="0"/>
          <c:extLst xmlns:c15="http://schemas.microsoft.com/office/drawing/2012/chart">
            <c:ext xmlns:c16="http://schemas.microsoft.com/office/drawing/2014/chart" uri="{C3380CC4-5D6E-409C-BE32-E72D297353CC}">
              <c16:uniqueId val="{0000032A-F133-4C85-A697-0DE7DD632797}"/>
            </c:ext>
          </c:extLst>
        </c:ser>
        <c:ser>
          <c:idx val="3"/>
          <c:order val="4"/>
          <c:tx>
            <c:v>Conos APRO</c:v>
          </c:tx>
          <c:spPr>
            <a:ln w="19050" cap="rnd">
              <a:noFill/>
              <a:round/>
            </a:ln>
            <a:effectLst/>
          </c:spPr>
          <c:marker>
            <c:symbol val="none"/>
          </c:marker>
          <c:dLbls>
            <c:dLbl>
              <c:idx val="0"/>
              <c:tx>
                <c:rich>
                  <a:bodyPr/>
                  <a:lstStyle/>
                  <a:p>
                    <a:fld id="{B20656B3-46B4-465A-970A-9A58A968D671}"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32B-F133-4C85-A697-0DE7DD632797}"/>
                </c:ext>
              </c:extLst>
            </c:dLbl>
            <c:dLbl>
              <c:idx val="1"/>
              <c:tx>
                <c:rich>
                  <a:bodyPr/>
                  <a:lstStyle/>
                  <a:p>
                    <a:fld id="{DDD55FDF-C733-485C-8851-4811736DAA2B}"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32C-F133-4C85-A697-0DE7DD632797}"/>
                </c:ext>
              </c:extLst>
            </c:dLbl>
            <c:dLbl>
              <c:idx val="2"/>
              <c:tx>
                <c:rich>
                  <a:bodyPr/>
                  <a:lstStyle/>
                  <a:p>
                    <a:fld id="{3FCCA40A-8350-4746-B6EC-CBEC7801F3CE}"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32D-F133-4C85-A697-0DE7DD632797}"/>
                </c:ext>
              </c:extLst>
            </c:dLbl>
            <c:dLbl>
              <c:idx val="3"/>
              <c:tx>
                <c:rich>
                  <a:bodyPr/>
                  <a:lstStyle/>
                  <a:p>
                    <a:fld id="{63DA423A-D13D-4881-9ED2-F890702B9486}"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32E-F133-4C85-A697-0DE7DD632797}"/>
                </c:ext>
              </c:extLst>
            </c:dLbl>
            <c:dLbl>
              <c:idx val="4"/>
              <c:tx>
                <c:rich>
                  <a:bodyPr/>
                  <a:lstStyle/>
                  <a:p>
                    <a:fld id="{84980115-0E81-4F59-9B7C-E0A8561738C7}"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32F-F133-4C85-A697-0DE7DD632797}"/>
                </c:ext>
              </c:extLst>
            </c:dLbl>
            <c:dLbl>
              <c:idx val="5"/>
              <c:tx>
                <c:rich>
                  <a:bodyPr/>
                  <a:lstStyle/>
                  <a:p>
                    <a:fld id="{981CBF17-B8C5-49EB-B7FC-7D4EA8719D7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330-F133-4C85-A697-0DE7DD632797}"/>
                </c:ext>
              </c:extLst>
            </c:dLbl>
            <c:dLbl>
              <c:idx val="6"/>
              <c:tx>
                <c:rich>
                  <a:bodyPr/>
                  <a:lstStyle/>
                  <a:p>
                    <a:fld id="{49A97FCD-5904-4623-919C-74636A1BD728}"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331-F133-4C85-A697-0DE7DD632797}"/>
                </c:ext>
              </c:extLst>
            </c:dLbl>
            <c:dLbl>
              <c:idx val="7"/>
              <c:tx>
                <c:rich>
                  <a:bodyPr/>
                  <a:lstStyle/>
                  <a:p>
                    <a:fld id="{B372540B-6A29-4F07-9631-28619BC7CE1E}"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332-F133-4C85-A697-0DE7DD632797}"/>
                </c:ext>
              </c:extLst>
            </c:dLbl>
            <c:dLbl>
              <c:idx val="8"/>
              <c:tx>
                <c:rich>
                  <a:bodyPr/>
                  <a:lstStyle/>
                  <a:p>
                    <a:fld id="{103E7071-788F-4099-80DF-03652EBF625F}"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333-F133-4C85-A697-0DE7DD632797}"/>
                </c:ext>
              </c:extLst>
            </c:dLbl>
            <c:dLbl>
              <c:idx val="9"/>
              <c:tx>
                <c:rich>
                  <a:bodyPr/>
                  <a:lstStyle/>
                  <a:p>
                    <a:fld id="{DAA78AD3-765E-4569-AC1F-3E5C33D9729C}"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334-F133-4C85-A697-0DE7DD632797}"/>
                </c:ext>
              </c:extLst>
            </c:dLbl>
            <c:dLbl>
              <c:idx val="10"/>
              <c:tx>
                <c:rich>
                  <a:bodyPr/>
                  <a:lstStyle/>
                  <a:p>
                    <a:fld id="{90F3CFF5-548B-41F4-87B3-BC1AF91E5828}"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335-F133-4C85-A697-0DE7DD632797}"/>
                </c:ext>
              </c:extLst>
            </c:dLbl>
            <c:dLbl>
              <c:idx val="11"/>
              <c:tx>
                <c:rich>
                  <a:bodyPr/>
                  <a:lstStyle/>
                  <a:p>
                    <a:fld id="{E3A08F95-DC12-4CBF-8A72-9E1E5333CEB1}"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336-F133-4C85-A697-0DE7DD632797}"/>
                </c:ext>
              </c:extLst>
            </c:dLbl>
            <c:dLbl>
              <c:idx val="12"/>
              <c:tx>
                <c:rich>
                  <a:bodyPr/>
                  <a:lstStyle/>
                  <a:p>
                    <a:fld id="{346CDDCC-8F20-4167-ABF2-DC10B0B1ED53}"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337-F133-4C85-A697-0DE7DD632797}"/>
                </c:ext>
              </c:extLst>
            </c:dLbl>
            <c:dLbl>
              <c:idx val="13"/>
              <c:tx>
                <c:rich>
                  <a:bodyPr/>
                  <a:lstStyle/>
                  <a:p>
                    <a:fld id="{B08232BE-FBC0-4727-B96A-62396AD5D76C}"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338-F133-4C85-A697-0DE7DD632797}"/>
                </c:ext>
              </c:extLst>
            </c:dLbl>
            <c:dLbl>
              <c:idx val="14"/>
              <c:tx>
                <c:rich>
                  <a:bodyPr/>
                  <a:lstStyle/>
                  <a:p>
                    <a:fld id="{36D6C95C-DFBA-45B7-95B2-7E438F2E215D}"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339-F133-4C85-A697-0DE7DD632797}"/>
                </c:ext>
              </c:extLst>
            </c:dLbl>
            <c:dLbl>
              <c:idx val="15"/>
              <c:tx>
                <c:rich>
                  <a:bodyPr/>
                  <a:lstStyle/>
                  <a:p>
                    <a:fld id="{CEB2994B-D0E3-4035-8AD8-7940D33D3693}"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33A-F133-4C85-A697-0DE7DD632797}"/>
                </c:ext>
              </c:extLst>
            </c:dLbl>
            <c:dLbl>
              <c:idx val="16"/>
              <c:tx>
                <c:rich>
                  <a:bodyPr/>
                  <a:lstStyle/>
                  <a:p>
                    <a:fld id="{7145D19C-94E6-4BA0-920D-6D965B1BE5C8}"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33B-F133-4C85-A697-0DE7DD632797}"/>
                </c:ext>
              </c:extLst>
            </c:dLbl>
            <c:dLbl>
              <c:idx val="17"/>
              <c:tx>
                <c:rich>
                  <a:bodyPr/>
                  <a:lstStyle/>
                  <a:p>
                    <a:fld id="{304FB6B0-805A-4D01-8DFF-C5F2B884ADB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33C-F133-4C85-A697-0DE7DD632797}"/>
                </c:ext>
              </c:extLst>
            </c:dLbl>
            <c:dLbl>
              <c:idx val="18"/>
              <c:tx>
                <c:rich>
                  <a:bodyPr/>
                  <a:lstStyle/>
                  <a:p>
                    <a:fld id="{F5E1804F-7B5E-4241-8C6D-24FE83EEE83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33D-F133-4C85-A697-0DE7DD632797}"/>
                </c:ext>
              </c:extLst>
            </c:dLbl>
            <c:dLbl>
              <c:idx val="19"/>
              <c:tx>
                <c:rich>
                  <a:bodyPr/>
                  <a:lstStyle/>
                  <a:p>
                    <a:fld id="{99FCC1E6-DF45-4B61-B8A2-7D4AE3065E6C}"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33E-F133-4C85-A697-0DE7DD632797}"/>
                </c:ext>
              </c:extLst>
            </c:dLbl>
            <c:dLbl>
              <c:idx val="20"/>
              <c:tx>
                <c:rich>
                  <a:bodyPr/>
                  <a:lstStyle/>
                  <a:p>
                    <a:fld id="{B520B94A-62E9-48F2-966B-6E4563C04741}"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33F-F133-4C85-A697-0DE7DD632797}"/>
                </c:ext>
              </c:extLst>
            </c:dLbl>
            <c:dLbl>
              <c:idx val="21"/>
              <c:tx>
                <c:rich>
                  <a:bodyPr/>
                  <a:lstStyle/>
                  <a:p>
                    <a:fld id="{9CDFAE3D-D616-4C4E-A7AE-05CC4D99C161}"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340-F133-4C85-A697-0DE7DD632797}"/>
                </c:ext>
              </c:extLst>
            </c:dLbl>
            <c:dLbl>
              <c:idx val="22"/>
              <c:tx>
                <c:rich>
                  <a:bodyPr/>
                  <a:lstStyle/>
                  <a:p>
                    <a:fld id="{F0CD810B-337E-43EE-8FB9-FD79221F509F}"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341-F133-4C85-A697-0DE7DD632797}"/>
                </c:ext>
              </c:extLst>
            </c:dLbl>
            <c:dLbl>
              <c:idx val="23"/>
              <c:tx>
                <c:rich>
                  <a:bodyPr/>
                  <a:lstStyle/>
                  <a:p>
                    <a:fld id="{977E2520-AE4C-40FA-94F0-E2B78ED56329}"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342-F133-4C85-A697-0DE7DD632797}"/>
                </c:ext>
              </c:extLst>
            </c:dLbl>
            <c:dLbl>
              <c:idx val="24"/>
              <c:tx>
                <c:rich>
                  <a:bodyPr/>
                  <a:lstStyle/>
                  <a:p>
                    <a:fld id="{B73443F1-D94C-409A-B74B-C0DE165B48DE}"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343-F133-4C85-A697-0DE7DD632797}"/>
                </c:ext>
              </c:extLst>
            </c:dLbl>
            <c:dLbl>
              <c:idx val="25"/>
              <c:tx>
                <c:rich>
                  <a:bodyPr/>
                  <a:lstStyle/>
                  <a:p>
                    <a:fld id="{0BF3E7B7-C0BD-41C0-B36A-197DD58149D1}"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344-F133-4C85-A697-0DE7DD632797}"/>
                </c:ext>
              </c:extLst>
            </c:dLbl>
            <c:dLbl>
              <c:idx val="26"/>
              <c:tx>
                <c:rich>
                  <a:bodyPr/>
                  <a:lstStyle/>
                  <a:p>
                    <a:fld id="{8A6E4A11-269D-4C8C-ACF3-75DEEADFBAA2}"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345-F133-4C85-A697-0DE7DD632797}"/>
                </c:ext>
              </c:extLst>
            </c:dLbl>
            <c:dLbl>
              <c:idx val="27"/>
              <c:tx>
                <c:rich>
                  <a:bodyPr/>
                  <a:lstStyle/>
                  <a:p>
                    <a:fld id="{387E7F0A-2AD3-4B89-AC44-FBAA086AC2F2}"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346-F133-4C85-A697-0DE7DD632797}"/>
                </c:ext>
              </c:extLst>
            </c:dLbl>
            <c:dLbl>
              <c:idx val="28"/>
              <c:tx>
                <c:rich>
                  <a:bodyPr/>
                  <a:lstStyle/>
                  <a:p>
                    <a:fld id="{BE75B06E-AC34-492F-A4AB-189F72203E5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347-F133-4C85-A697-0DE7DD632797}"/>
                </c:ext>
              </c:extLst>
            </c:dLbl>
            <c:dLbl>
              <c:idx val="29"/>
              <c:tx>
                <c:rich>
                  <a:bodyPr/>
                  <a:lstStyle/>
                  <a:p>
                    <a:fld id="{7D6830A8-D8B9-4679-86FC-C3D9AFB1FA9E}"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348-F133-4C85-A697-0DE7DD632797}"/>
                </c:ext>
              </c:extLst>
            </c:dLbl>
            <c:dLbl>
              <c:idx val="30"/>
              <c:tx>
                <c:rich>
                  <a:bodyPr/>
                  <a:lstStyle/>
                  <a:p>
                    <a:fld id="{6EF4D534-DDBD-46A2-A8D4-793EDD432CDB}"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349-F133-4C85-A697-0DE7DD632797}"/>
                </c:ext>
              </c:extLst>
            </c:dLbl>
            <c:dLbl>
              <c:idx val="31"/>
              <c:tx>
                <c:rich>
                  <a:bodyPr/>
                  <a:lstStyle/>
                  <a:p>
                    <a:fld id="{3AD6CDE6-163D-4545-8D0A-F052491765A9}"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34A-F133-4C85-A697-0DE7DD632797}"/>
                </c:ext>
              </c:extLst>
            </c:dLbl>
            <c:dLbl>
              <c:idx val="32"/>
              <c:tx>
                <c:rich>
                  <a:bodyPr/>
                  <a:lstStyle/>
                  <a:p>
                    <a:fld id="{66254E22-DA48-4E57-97A5-706F00945D5F}"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34B-F133-4C85-A697-0DE7DD632797}"/>
                </c:ext>
              </c:extLst>
            </c:dLbl>
            <c:dLbl>
              <c:idx val="33"/>
              <c:tx>
                <c:rich>
                  <a:bodyPr/>
                  <a:lstStyle/>
                  <a:p>
                    <a:fld id="{8A5B2E7E-2D46-4E62-AE5C-5E3D5CE55F0E}"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34C-F133-4C85-A697-0DE7DD632797}"/>
                </c:ext>
              </c:extLst>
            </c:dLbl>
            <c:dLbl>
              <c:idx val="34"/>
              <c:tx>
                <c:rich>
                  <a:bodyPr/>
                  <a:lstStyle/>
                  <a:p>
                    <a:fld id="{8464B91B-A04C-47EE-B5EF-C6C45E5F198F}"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34D-F133-4C85-A697-0DE7DD632797}"/>
                </c:ext>
              </c:extLst>
            </c:dLbl>
            <c:dLbl>
              <c:idx val="35"/>
              <c:tx>
                <c:rich>
                  <a:bodyPr/>
                  <a:lstStyle/>
                  <a:p>
                    <a:fld id="{01C0DB14-D7D4-463F-A8DD-9E8F52C3BE29}"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34E-F133-4C85-A697-0DE7DD632797}"/>
                </c:ext>
              </c:extLst>
            </c:dLbl>
            <c:dLbl>
              <c:idx val="36"/>
              <c:tx>
                <c:rich>
                  <a:bodyPr/>
                  <a:lstStyle/>
                  <a:p>
                    <a:fld id="{A8153942-693C-4727-90F8-C94F6C99E36A}"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34F-F133-4C85-A697-0DE7DD632797}"/>
                </c:ext>
              </c:extLst>
            </c:dLbl>
            <c:dLbl>
              <c:idx val="37"/>
              <c:tx>
                <c:rich>
                  <a:bodyPr/>
                  <a:lstStyle/>
                  <a:p>
                    <a:fld id="{F3FB9F97-B6D8-4C8F-AD38-07CB56BA41E1}"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350-F133-4C85-A697-0DE7DD632797}"/>
                </c:ext>
              </c:extLst>
            </c:dLbl>
            <c:dLbl>
              <c:idx val="38"/>
              <c:tx>
                <c:rich>
                  <a:bodyPr/>
                  <a:lstStyle/>
                  <a:p>
                    <a:fld id="{A0E99251-434F-4D83-B3F2-9D203CDF73D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351-F133-4C85-A697-0DE7DD632797}"/>
                </c:ext>
              </c:extLst>
            </c:dLbl>
            <c:dLbl>
              <c:idx val="39"/>
              <c:tx>
                <c:rich>
                  <a:bodyPr/>
                  <a:lstStyle/>
                  <a:p>
                    <a:fld id="{1E62BFBD-CCC6-48F2-8E47-7E1FC4BD9575}"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352-F133-4C85-A697-0DE7DD632797}"/>
                </c:ext>
              </c:extLst>
            </c:dLbl>
            <c:dLbl>
              <c:idx val="40"/>
              <c:tx>
                <c:rich>
                  <a:bodyPr/>
                  <a:lstStyle/>
                  <a:p>
                    <a:fld id="{3ED14872-6788-434D-B7E0-30A4F1263128}"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353-F133-4C85-A697-0DE7DD632797}"/>
                </c:ext>
              </c:extLst>
            </c:dLbl>
            <c:dLbl>
              <c:idx val="41"/>
              <c:tx>
                <c:rich>
                  <a:bodyPr/>
                  <a:lstStyle/>
                  <a:p>
                    <a:fld id="{DD07EAF1-B758-4871-B73E-F167E2757B18}"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354-F133-4C85-A697-0DE7DD632797}"/>
                </c:ext>
              </c:extLst>
            </c:dLbl>
            <c:dLbl>
              <c:idx val="42"/>
              <c:tx>
                <c:rich>
                  <a:bodyPr/>
                  <a:lstStyle/>
                  <a:p>
                    <a:fld id="{24C7B999-C0EB-408F-AA4C-46691503B0CB}"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355-F133-4C85-A697-0DE7DD632797}"/>
                </c:ext>
              </c:extLst>
            </c:dLbl>
            <c:dLbl>
              <c:idx val="43"/>
              <c:tx>
                <c:rich>
                  <a:bodyPr/>
                  <a:lstStyle/>
                  <a:p>
                    <a:fld id="{240A05D3-95E1-4298-B569-E859A9DF5381}"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356-F133-4C85-A697-0DE7DD632797}"/>
                </c:ext>
              </c:extLst>
            </c:dLbl>
            <c:dLbl>
              <c:idx val="44"/>
              <c:tx>
                <c:rich>
                  <a:bodyPr/>
                  <a:lstStyle/>
                  <a:p>
                    <a:fld id="{E9DC210B-1F07-41CC-A1F8-5B1E2753A6C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357-F133-4C85-A697-0DE7DD632797}"/>
                </c:ext>
              </c:extLst>
            </c:dLbl>
            <c:dLbl>
              <c:idx val="45"/>
              <c:tx>
                <c:rich>
                  <a:bodyPr/>
                  <a:lstStyle/>
                  <a:p>
                    <a:fld id="{7711BD23-F4C0-4364-9AB7-F003C163D10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358-F133-4C85-A697-0DE7DD632797}"/>
                </c:ext>
              </c:extLst>
            </c:dLbl>
            <c:dLbl>
              <c:idx val="46"/>
              <c:tx>
                <c:rich>
                  <a:bodyPr/>
                  <a:lstStyle/>
                  <a:p>
                    <a:fld id="{373A2BFE-0C88-4532-8852-D7F16377BC78}"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359-F133-4C85-A697-0DE7DD632797}"/>
                </c:ext>
              </c:extLst>
            </c:dLbl>
            <c:dLbl>
              <c:idx val="47"/>
              <c:tx>
                <c:rich>
                  <a:bodyPr/>
                  <a:lstStyle/>
                  <a:p>
                    <a:fld id="{57511CBE-DD2A-4B4F-9E95-631B3155B257}"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35A-F133-4C85-A697-0DE7DD632797}"/>
                </c:ext>
              </c:extLst>
            </c:dLbl>
            <c:dLbl>
              <c:idx val="48"/>
              <c:tx>
                <c:rich>
                  <a:bodyPr/>
                  <a:lstStyle/>
                  <a:p>
                    <a:fld id="{50182D7C-9641-452A-B0D9-7DB0403794EE}"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35B-F133-4C85-A697-0DE7DD632797}"/>
                </c:ext>
              </c:extLst>
            </c:dLbl>
            <c:dLbl>
              <c:idx val="49"/>
              <c:tx>
                <c:rich>
                  <a:bodyPr/>
                  <a:lstStyle/>
                  <a:p>
                    <a:fld id="{DE317787-6CF3-4D70-A5EC-C167808E481C}"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35C-F133-4C85-A697-0DE7DD632797}"/>
                </c:ext>
              </c:extLst>
            </c:dLbl>
            <c:dLbl>
              <c:idx val="50"/>
              <c:tx>
                <c:rich>
                  <a:bodyPr/>
                  <a:lstStyle/>
                  <a:p>
                    <a:fld id="{A24AC8C5-9454-4BD2-A18D-2298F5F95A35}"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35D-F133-4C85-A697-0DE7DD632797}"/>
                </c:ext>
              </c:extLst>
            </c:dLbl>
            <c:dLbl>
              <c:idx val="51"/>
              <c:tx>
                <c:rich>
                  <a:bodyPr/>
                  <a:lstStyle/>
                  <a:p>
                    <a:fld id="{A5201584-636F-4FFE-A503-43F49345835F}"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35E-F133-4C85-A697-0DE7DD632797}"/>
                </c:ext>
              </c:extLst>
            </c:dLbl>
            <c:dLbl>
              <c:idx val="52"/>
              <c:tx>
                <c:rich>
                  <a:bodyPr/>
                  <a:lstStyle/>
                  <a:p>
                    <a:fld id="{B7E5D28D-97FC-4BF6-A1B1-7A7657463BCC}"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35F-F133-4C85-A697-0DE7DD632797}"/>
                </c:ext>
              </c:extLst>
            </c:dLbl>
            <c:dLbl>
              <c:idx val="53"/>
              <c:tx>
                <c:rich>
                  <a:bodyPr/>
                  <a:lstStyle/>
                  <a:p>
                    <a:fld id="{DB9BBCC4-B590-487C-86EB-8FCD03118018}"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360-F133-4C85-A697-0DE7DD632797}"/>
                </c:ext>
              </c:extLst>
            </c:dLbl>
            <c:dLbl>
              <c:idx val="54"/>
              <c:tx>
                <c:rich>
                  <a:bodyPr/>
                  <a:lstStyle/>
                  <a:p>
                    <a:fld id="{5BE7254D-ECD3-4F7D-B357-0922F5486E5D}"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361-F133-4C85-A697-0DE7DD632797}"/>
                </c:ext>
              </c:extLst>
            </c:dLbl>
            <c:dLbl>
              <c:idx val="55"/>
              <c:tx>
                <c:rich>
                  <a:bodyPr/>
                  <a:lstStyle/>
                  <a:p>
                    <a:fld id="{93AF7885-934F-4B86-A9DC-F114DA739F8B}"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362-F133-4C85-A697-0DE7DD632797}"/>
                </c:ext>
              </c:extLst>
            </c:dLbl>
            <c:dLbl>
              <c:idx val="56"/>
              <c:tx>
                <c:rich>
                  <a:bodyPr/>
                  <a:lstStyle/>
                  <a:p>
                    <a:fld id="{26098F8B-16BE-41AB-919C-F961E4634EFF}"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363-F133-4C85-A697-0DE7DD632797}"/>
                </c:ext>
              </c:extLst>
            </c:dLbl>
            <c:dLbl>
              <c:idx val="57"/>
              <c:tx>
                <c:rich>
                  <a:bodyPr/>
                  <a:lstStyle/>
                  <a:p>
                    <a:fld id="{7FE0D1AA-8B12-47A0-A719-CB189A933C73}"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364-F133-4C85-A697-0DE7DD632797}"/>
                </c:ext>
              </c:extLst>
            </c:dLbl>
            <c:dLbl>
              <c:idx val="58"/>
              <c:tx>
                <c:rich>
                  <a:bodyPr/>
                  <a:lstStyle/>
                  <a:p>
                    <a:fld id="{C0AD5597-5611-4171-BDCC-CEDD0970ACD9}"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365-F133-4C85-A697-0DE7DD632797}"/>
                </c:ext>
              </c:extLst>
            </c:dLbl>
            <c:dLbl>
              <c:idx val="59"/>
              <c:tx>
                <c:rich>
                  <a:bodyPr/>
                  <a:lstStyle/>
                  <a:p>
                    <a:fld id="{1ADC668B-466C-44B1-8EF7-AC3B133FCBB5}"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366-F133-4C85-A697-0DE7DD632797}"/>
                </c:ext>
              </c:extLst>
            </c:dLbl>
            <c:dLbl>
              <c:idx val="60"/>
              <c:tx>
                <c:rich>
                  <a:bodyPr/>
                  <a:lstStyle/>
                  <a:p>
                    <a:fld id="{D2B086D2-46BB-4D00-8533-5373F136D925}"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367-F133-4C85-A697-0DE7DD632797}"/>
                </c:ext>
              </c:extLst>
            </c:dLbl>
            <c:dLbl>
              <c:idx val="61"/>
              <c:tx>
                <c:rich>
                  <a:bodyPr/>
                  <a:lstStyle/>
                  <a:p>
                    <a:fld id="{DC116C0C-7939-43C9-AEE1-D7085630F1FE}"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368-F133-4C85-A697-0DE7DD632797}"/>
                </c:ext>
              </c:extLst>
            </c:dLbl>
            <c:dLbl>
              <c:idx val="62"/>
              <c:tx>
                <c:rich>
                  <a:bodyPr/>
                  <a:lstStyle/>
                  <a:p>
                    <a:fld id="{9C7A1E5C-E458-4339-84B0-A4EB2A9A6309}"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369-F133-4C85-A697-0DE7DD632797}"/>
                </c:ext>
              </c:extLst>
            </c:dLbl>
            <c:dLbl>
              <c:idx val="63"/>
              <c:tx>
                <c:rich>
                  <a:bodyPr/>
                  <a:lstStyle/>
                  <a:p>
                    <a:fld id="{28280D61-76C4-464F-BEE3-EA37D175F6A0}"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36A-F133-4C85-A697-0DE7DD632797}"/>
                </c:ext>
              </c:extLst>
            </c:dLbl>
            <c:dLbl>
              <c:idx val="64"/>
              <c:tx>
                <c:rich>
                  <a:bodyPr/>
                  <a:lstStyle/>
                  <a:p>
                    <a:fld id="{B7C9C350-42FC-45FE-977C-6F5E86E485CE}"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36B-F133-4C85-A697-0DE7DD632797}"/>
                </c:ext>
              </c:extLst>
            </c:dLbl>
            <c:dLbl>
              <c:idx val="65"/>
              <c:tx>
                <c:rich>
                  <a:bodyPr/>
                  <a:lstStyle/>
                  <a:p>
                    <a:fld id="{0F5EBB22-A46E-4386-8E5A-C9B163FAB98A}"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36C-F133-4C85-A697-0DE7DD632797}"/>
                </c:ext>
              </c:extLst>
            </c:dLbl>
            <c:dLbl>
              <c:idx val="66"/>
              <c:tx>
                <c:rich>
                  <a:bodyPr/>
                  <a:lstStyle/>
                  <a:p>
                    <a:fld id="{0046FED4-222E-4440-9578-7905F8D58BE1}"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36D-F133-4C85-A697-0DE7DD632797}"/>
                </c:ext>
              </c:extLst>
            </c:dLbl>
            <c:dLbl>
              <c:idx val="67"/>
              <c:tx>
                <c:rich>
                  <a:bodyPr/>
                  <a:lstStyle/>
                  <a:p>
                    <a:fld id="{7904F3C8-77C9-4FC6-A2C4-2FCCF5DFBD61}"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36E-F133-4C85-A697-0DE7DD632797}"/>
                </c:ext>
              </c:extLst>
            </c:dLbl>
            <c:dLbl>
              <c:idx val="68"/>
              <c:tx>
                <c:rich>
                  <a:bodyPr/>
                  <a:lstStyle/>
                  <a:p>
                    <a:fld id="{B4CF1D33-430A-4F8B-B30C-0058A8A4D786}"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36F-F133-4C85-A697-0DE7DD632797}"/>
                </c:ext>
              </c:extLst>
            </c:dLbl>
            <c:dLbl>
              <c:idx val="69"/>
              <c:tx>
                <c:rich>
                  <a:bodyPr/>
                  <a:lstStyle/>
                  <a:p>
                    <a:fld id="{C4258793-7F2C-40F2-A155-A84AB0A33D65}"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370-F133-4C85-A697-0DE7DD632797}"/>
                </c:ext>
              </c:extLst>
            </c:dLbl>
            <c:dLbl>
              <c:idx val="70"/>
              <c:tx>
                <c:rich>
                  <a:bodyPr/>
                  <a:lstStyle/>
                  <a:p>
                    <a:fld id="{FCE19566-EDAB-4ED0-86F4-EC46150D19CB}"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371-F133-4C85-A697-0DE7DD632797}"/>
                </c:ext>
              </c:extLst>
            </c:dLbl>
            <c:dLbl>
              <c:idx val="71"/>
              <c:tx>
                <c:rich>
                  <a:bodyPr/>
                  <a:lstStyle/>
                  <a:p>
                    <a:fld id="{A16751F4-585E-4656-B8E6-541E0ADD09B2}"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372-F133-4C85-A697-0DE7DD632797}"/>
                </c:ext>
              </c:extLst>
            </c:dLbl>
            <c:dLbl>
              <c:idx val="72"/>
              <c:tx>
                <c:rich>
                  <a:bodyPr/>
                  <a:lstStyle/>
                  <a:p>
                    <a:fld id="{DA44E41C-A0BE-467A-A6F9-5F25D61E7538}"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373-F133-4C85-A697-0DE7DD632797}"/>
                </c:ext>
              </c:extLst>
            </c:dLbl>
            <c:dLbl>
              <c:idx val="73"/>
              <c:tx>
                <c:rich>
                  <a:bodyPr/>
                  <a:lstStyle/>
                  <a:p>
                    <a:fld id="{DC427D5F-3323-4E5B-8752-6DBF60291861}"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374-F133-4C85-A697-0DE7DD632797}"/>
                </c:ext>
              </c:extLst>
            </c:dLbl>
            <c:dLbl>
              <c:idx val="74"/>
              <c:tx>
                <c:rich>
                  <a:bodyPr/>
                  <a:lstStyle/>
                  <a:p>
                    <a:fld id="{62CD1FFB-1D21-4718-9EB4-20ECD1508E25}"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375-F133-4C85-A697-0DE7DD632797}"/>
                </c:ext>
              </c:extLst>
            </c:dLbl>
            <c:dLbl>
              <c:idx val="75"/>
              <c:tx>
                <c:rich>
                  <a:bodyPr/>
                  <a:lstStyle/>
                  <a:p>
                    <a:fld id="{737996A2-C734-467E-A48E-AFA5484E1AD0}"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376-F133-4C85-A697-0DE7DD632797}"/>
                </c:ext>
              </c:extLst>
            </c:dLbl>
            <c:dLbl>
              <c:idx val="76"/>
              <c:tx>
                <c:rich>
                  <a:bodyPr/>
                  <a:lstStyle/>
                  <a:p>
                    <a:fld id="{EA932D3F-F20E-46FE-B347-3D168578073E}"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377-F133-4C85-A697-0DE7DD632797}"/>
                </c:ext>
              </c:extLst>
            </c:dLbl>
            <c:dLbl>
              <c:idx val="78"/>
              <c:tx>
                <c:rich>
                  <a:bodyPr/>
                  <a:lstStyle/>
                  <a:p>
                    <a:fld id="{49B45B32-BDE0-441A-B208-745188F018D8}"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379-F133-4C85-A697-0DE7DD632797}"/>
                </c:ext>
              </c:extLst>
            </c:dLbl>
            <c:dLbl>
              <c:idx val="79"/>
              <c:tx>
                <c:rich>
                  <a:bodyPr/>
                  <a:lstStyle/>
                  <a:p>
                    <a:fld id="{B2747C37-C663-4FEB-AB26-DE6D84211615}"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37A-F133-4C85-A697-0DE7DD632797}"/>
                </c:ext>
              </c:extLst>
            </c:dLbl>
            <c:dLbl>
              <c:idx val="80"/>
              <c:tx>
                <c:rich>
                  <a:bodyPr/>
                  <a:lstStyle/>
                  <a:p>
                    <a:fld id="{7FE27332-AAE0-48DE-A3BF-272EA390D70E}"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37B-F133-4C85-A697-0DE7DD632797}"/>
                </c:ext>
              </c:extLst>
            </c:dLbl>
            <c:dLbl>
              <c:idx val="81"/>
              <c:tx>
                <c:rich>
                  <a:bodyPr/>
                  <a:lstStyle/>
                  <a:p>
                    <a:fld id="{70370EFF-7728-4FC6-A356-A70CF75AEEF6}"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37C-F133-4C85-A697-0DE7DD632797}"/>
                </c:ext>
              </c:extLst>
            </c:dLbl>
            <c:dLbl>
              <c:idx val="82"/>
              <c:tx>
                <c:rich>
                  <a:bodyPr/>
                  <a:lstStyle/>
                  <a:p>
                    <a:fld id="{4385EFBD-4866-45CF-BFA0-08E23523EB4A}"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37D-F133-4C85-A697-0DE7DD632797}"/>
                </c:ext>
              </c:extLst>
            </c:dLbl>
            <c:dLbl>
              <c:idx val="83"/>
              <c:tx>
                <c:rich>
                  <a:bodyPr/>
                  <a:lstStyle/>
                  <a:p>
                    <a:fld id="{2023ED6B-C504-4909-8365-FEEC3F0D0C69}"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37E-F133-4C85-A697-0DE7DD632797}"/>
                </c:ext>
              </c:extLst>
            </c:dLbl>
            <c:dLbl>
              <c:idx val="84"/>
              <c:tx>
                <c:rich>
                  <a:bodyPr/>
                  <a:lstStyle/>
                  <a:p>
                    <a:fld id="{BE885C55-2E6A-4859-8265-93385CF1954A}"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37F-F133-4C85-A697-0DE7DD632797}"/>
                </c:ext>
              </c:extLst>
            </c:dLbl>
            <c:dLbl>
              <c:idx val="85"/>
              <c:tx>
                <c:rich>
                  <a:bodyPr/>
                  <a:lstStyle/>
                  <a:p>
                    <a:fld id="{9152E364-ADC0-450D-AE1F-CA534C6F2050}"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380-F133-4C85-A697-0DE7DD632797}"/>
                </c:ext>
              </c:extLst>
            </c:dLbl>
            <c:dLbl>
              <c:idx val="86"/>
              <c:tx>
                <c:rich>
                  <a:bodyPr/>
                  <a:lstStyle/>
                  <a:p>
                    <a:fld id="{69B89B75-1AB3-4EA7-A5D1-DE6C8D750F25}"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381-F133-4C85-A697-0DE7DD632797}"/>
                </c:ext>
              </c:extLst>
            </c:dLbl>
            <c:dLbl>
              <c:idx val="87"/>
              <c:tx>
                <c:rich>
                  <a:bodyPr/>
                  <a:lstStyle/>
                  <a:p>
                    <a:fld id="{5F523698-21D8-408E-8FB5-7C62A5AA6D3B}"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382-F133-4C85-A697-0DE7DD632797}"/>
                </c:ext>
              </c:extLst>
            </c:dLbl>
            <c:dLbl>
              <c:idx val="88"/>
              <c:tx>
                <c:rich>
                  <a:bodyPr/>
                  <a:lstStyle/>
                  <a:p>
                    <a:fld id="{7B5B9CAD-5766-461A-9653-651C838DA05C}"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383-F133-4C85-A697-0DE7DD632797}"/>
                </c:ext>
              </c:extLst>
            </c:dLbl>
            <c:dLbl>
              <c:idx val="89"/>
              <c:tx>
                <c:rich>
                  <a:bodyPr/>
                  <a:lstStyle/>
                  <a:p>
                    <a:fld id="{4D8215DF-A81B-4A1F-9197-3EB52B1A6E7D}"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384-F133-4C85-A697-0DE7DD632797}"/>
                </c:ext>
              </c:extLst>
            </c:dLbl>
            <c:dLbl>
              <c:idx val="90"/>
              <c:tx>
                <c:rich>
                  <a:bodyPr/>
                  <a:lstStyle/>
                  <a:p>
                    <a:fld id="{20F0840C-3729-4AC6-A98D-5E7C25D76C1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385-F133-4C85-A697-0DE7DD632797}"/>
                </c:ext>
              </c:extLst>
            </c:dLbl>
            <c:dLbl>
              <c:idx val="91"/>
              <c:tx>
                <c:rich>
                  <a:bodyPr/>
                  <a:lstStyle/>
                  <a:p>
                    <a:fld id="{B4F61E48-CB58-4132-9FD4-ED6D866C2482}"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386-F133-4C85-A697-0DE7DD632797}"/>
                </c:ext>
              </c:extLst>
            </c:dLbl>
            <c:dLbl>
              <c:idx val="92"/>
              <c:tx>
                <c:rich>
                  <a:bodyPr/>
                  <a:lstStyle/>
                  <a:p>
                    <a:fld id="{32AAE58D-567F-4081-977E-F6C6673AAD38}"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387-F133-4C85-A697-0DE7DD632797}"/>
                </c:ext>
              </c:extLst>
            </c:dLbl>
            <c:dLbl>
              <c:idx val="93"/>
              <c:tx>
                <c:rich>
                  <a:bodyPr/>
                  <a:lstStyle/>
                  <a:p>
                    <a:fld id="{3408B645-3F15-4CE6-B5BE-B9FB3E757125}"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388-F133-4C85-A697-0DE7DD632797}"/>
                </c:ext>
              </c:extLst>
            </c:dLbl>
            <c:dLbl>
              <c:idx val="94"/>
              <c:tx>
                <c:rich>
                  <a:bodyPr/>
                  <a:lstStyle/>
                  <a:p>
                    <a:fld id="{7F36F625-B559-472E-BAC5-93BFDF86C198}"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389-F133-4C85-A697-0DE7DD632797}"/>
                </c:ext>
              </c:extLst>
            </c:dLbl>
            <c:dLbl>
              <c:idx val="95"/>
              <c:tx>
                <c:rich>
                  <a:bodyPr/>
                  <a:lstStyle/>
                  <a:p>
                    <a:fld id="{02F70302-C065-4927-9125-E7706A83FA09}"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38A-F133-4C85-A697-0DE7DD632797}"/>
                </c:ext>
              </c:extLst>
            </c:dLbl>
            <c:dLbl>
              <c:idx val="96"/>
              <c:tx>
                <c:rich>
                  <a:bodyPr/>
                  <a:lstStyle/>
                  <a:p>
                    <a:fld id="{C0D4BFEF-0D01-491B-A5A9-04F3891955A8}"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38B-F133-4C85-A697-0DE7DD632797}"/>
                </c:ext>
              </c:extLst>
            </c:dLbl>
            <c:dLbl>
              <c:idx val="97"/>
              <c:tx>
                <c:rich>
                  <a:bodyPr/>
                  <a:lstStyle/>
                  <a:p>
                    <a:fld id="{2531A47A-06B0-42AE-9F1C-046A36BAB858}"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38C-F133-4C85-A697-0DE7DD632797}"/>
                </c:ext>
              </c:extLst>
            </c:dLbl>
            <c:dLbl>
              <c:idx val="98"/>
              <c:tx>
                <c:rich>
                  <a:bodyPr/>
                  <a:lstStyle/>
                  <a:p>
                    <a:fld id="{F7C7B822-5527-49DD-8255-C056FAF0646C}"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38D-F133-4C85-A697-0DE7DD632797}"/>
                </c:ext>
              </c:extLst>
            </c:dLbl>
            <c:dLbl>
              <c:idx val="99"/>
              <c:tx>
                <c:rich>
                  <a:bodyPr/>
                  <a:lstStyle/>
                  <a:p>
                    <a:fld id="{06E7E3CF-B93F-484A-B2DD-06119F82A4DE}"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38E-F133-4C85-A697-0DE7DD632797}"/>
                </c:ext>
              </c:extLst>
            </c:dLbl>
            <c:dLbl>
              <c:idx val="100"/>
              <c:tx>
                <c:rich>
                  <a:bodyPr/>
                  <a:lstStyle/>
                  <a:p>
                    <a:fld id="{315C3E96-91EA-4147-B16B-57ACB774120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38F-F133-4C85-A697-0DE7DD632797}"/>
                </c:ext>
              </c:extLst>
            </c:dLbl>
            <c:dLbl>
              <c:idx val="101"/>
              <c:tx>
                <c:rich>
                  <a:bodyPr/>
                  <a:lstStyle/>
                  <a:p>
                    <a:fld id="{F455E691-9875-41F0-8D72-64741C69D0E9}"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390-F133-4C85-A697-0DE7DD632797}"/>
                </c:ext>
              </c:extLst>
            </c:dLbl>
            <c:dLbl>
              <c:idx val="102"/>
              <c:tx>
                <c:rich>
                  <a:bodyPr/>
                  <a:lstStyle/>
                  <a:p>
                    <a:fld id="{BF3621AF-EB44-417F-A850-9A04725A0F25}"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391-F133-4C85-A697-0DE7DD632797}"/>
                </c:ext>
              </c:extLst>
            </c:dLbl>
            <c:dLbl>
              <c:idx val="103"/>
              <c:tx>
                <c:rich>
                  <a:bodyPr/>
                  <a:lstStyle/>
                  <a:p>
                    <a:fld id="{EC4FC4AB-7048-4402-9E79-1A1B97455E1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392-F133-4C85-A697-0DE7DD632797}"/>
                </c:ext>
              </c:extLst>
            </c:dLbl>
            <c:dLbl>
              <c:idx val="104"/>
              <c:tx>
                <c:rich>
                  <a:bodyPr/>
                  <a:lstStyle/>
                  <a:p>
                    <a:fld id="{674481A2-5DB9-483F-8FE8-65B112B4486C}"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393-F133-4C85-A697-0DE7DD632797}"/>
                </c:ext>
              </c:extLst>
            </c:dLbl>
            <c:dLbl>
              <c:idx val="105"/>
              <c:tx>
                <c:rich>
                  <a:bodyPr/>
                  <a:lstStyle/>
                  <a:p>
                    <a:fld id="{406BE0A8-58BE-4A19-9D30-7D5DF8E1DE23}"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394-F133-4C85-A697-0DE7DD632797}"/>
                </c:ext>
              </c:extLst>
            </c:dLbl>
            <c:dLbl>
              <c:idx val="106"/>
              <c:tx>
                <c:rich>
                  <a:bodyPr/>
                  <a:lstStyle/>
                  <a:p>
                    <a:fld id="{E0D1610E-3BBF-4643-BBF4-024EF1C9D08E}"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395-F133-4C85-A697-0DE7DD632797}"/>
                </c:ext>
              </c:extLst>
            </c:dLbl>
            <c:dLbl>
              <c:idx val="107"/>
              <c:tx>
                <c:rich>
                  <a:bodyPr/>
                  <a:lstStyle/>
                  <a:p>
                    <a:fld id="{BBC998FC-9673-40BD-A60E-884CEEAB752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396-F133-4C85-A697-0DE7DD632797}"/>
                </c:ext>
              </c:extLst>
            </c:dLbl>
            <c:dLbl>
              <c:idx val="108"/>
              <c:tx>
                <c:rich>
                  <a:bodyPr/>
                  <a:lstStyle/>
                  <a:p>
                    <a:fld id="{5EADE766-A2C0-4965-ADDC-589C2E9CA431}"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397-F133-4C85-A697-0DE7DD632797}"/>
                </c:ext>
              </c:extLst>
            </c:dLbl>
            <c:dLbl>
              <c:idx val="109"/>
              <c:tx>
                <c:rich>
                  <a:bodyPr/>
                  <a:lstStyle/>
                  <a:p>
                    <a:fld id="{A61CF4EC-1A76-46B0-B1C6-1803396FB56D}"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398-F133-4C85-A697-0DE7DD632797}"/>
                </c:ext>
              </c:extLst>
            </c:dLbl>
            <c:dLbl>
              <c:idx val="110"/>
              <c:tx>
                <c:rich>
                  <a:bodyPr/>
                  <a:lstStyle/>
                  <a:p>
                    <a:fld id="{842867FB-9BBE-4EED-B3DA-823287D2B0AD}"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399-F133-4C85-A697-0DE7DD632797}"/>
                </c:ext>
              </c:extLst>
            </c:dLbl>
            <c:dLbl>
              <c:idx val="111"/>
              <c:tx>
                <c:rich>
                  <a:bodyPr/>
                  <a:lstStyle/>
                  <a:p>
                    <a:fld id="{AA48BE5C-369E-4120-8D57-EDD94C958672}"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39A-F133-4C85-A697-0DE7DD632797}"/>
                </c:ext>
              </c:extLst>
            </c:dLbl>
            <c:dLbl>
              <c:idx val="112"/>
              <c:tx>
                <c:rich>
                  <a:bodyPr/>
                  <a:lstStyle/>
                  <a:p>
                    <a:fld id="{35318A8B-DF5B-4833-8D4E-2F7146797297}"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39B-F133-4C85-A697-0DE7DD632797}"/>
                </c:ext>
              </c:extLst>
            </c:dLbl>
            <c:dLbl>
              <c:idx val="113"/>
              <c:tx>
                <c:rich>
                  <a:bodyPr/>
                  <a:lstStyle/>
                  <a:p>
                    <a:fld id="{9E7BFA85-DAE2-4374-A4E9-1B470EE55F7C}"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39C-F133-4C85-A697-0DE7DD632797}"/>
                </c:ext>
              </c:extLst>
            </c:dLbl>
            <c:dLbl>
              <c:idx val="114"/>
              <c:tx>
                <c:rich>
                  <a:bodyPr/>
                  <a:lstStyle/>
                  <a:p>
                    <a:fld id="{C5FBDDFB-7EB2-4829-8950-47A653CDA1C7}"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39D-F133-4C85-A697-0DE7DD632797}"/>
                </c:ext>
              </c:extLst>
            </c:dLbl>
            <c:dLbl>
              <c:idx val="115"/>
              <c:tx>
                <c:rich>
                  <a:bodyPr/>
                  <a:lstStyle/>
                  <a:p>
                    <a:fld id="{01FC7739-5F7F-4017-8115-FC654289908B}"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39E-F133-4C85-A697-0DE7DD632797}"/>
                </c:ext>
              </c:extLst>
            </c:dLbl>
            <c:dLbl>
              <c:idx val="117"/>
              <c:tx>
                <c:rich>
                  <a:bodyPr/>
                  <a:lstStyle/>
                  <a:p>
                    <a:fld id="{3B097F44-67D2-44B6-B12E-A5CA4402F74D}"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23A-5895-4922-8980-2F43EA5743F7}"/>
                </c:ext>
              </c:extLst>
            </c:dLbl>
            <c:dLbl>
              <c:idx val="118"/>
              <c:tx>
                <c:rich>
                  <a:bodyPr/>
                  <a:lstStyle/>
                  <a:p>
                    <a:fld id="{54D1E4FA-DFE7-4C42-A966-76C1BE98EBBE}"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23B-5895-4922-8980-2F43EA5743F7}"/>
                </c:ext>
              </c:extLst>
            </c:dLbl>
            <c:dLbl>
              <c:idx val="119"/>
              <c:tx>
                <c:rich>
                  <a:bodyPr/>
                  <a:lstStyle/>
                  <a:p>
                    <a:fld id="{5EDE652C-1548-48D5-B5DB-EFD63F6ED03B}"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23C-5895-4922-8980-2F43EA5743F7}"/>
                </c:ext>
              </c:extLst>
            </c:dLbl>
            <c:dLbl>
              <c:idx val="120"/>
              <c:tx>
                <c:rich>
                  <a:bodyPr/>
                  <a:lstStyle/>
                  <a:p>
                    <a:fld id="{2C704B97-10E6-4099-BC5F-209D9D7FEB2D}"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23D-5895-4922-8980-2F43EA5743F7}"/>
                </c:ext>
              </c:extLst>
            </c:dLbl>
            <c:dLbl>
              <c:idx val="121"/>
              <c:tx>
                <c:rich>
                  <a:bodyPr/>
                  <a:lstStyle/>
                  <a:p>
                    <a:fld id="{BAA4D5CD-7906-491A-9BB9-B16F1D1E6C75}"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23E-5895-4922-8980-2F43EA5743F7}"/>
                </c:ext>
              </c:extLst>
            </c:dLbl>
            <c:dLbl>
              <c:idx val="122"/>
              <c:tx>
                <c:rich>
                  <a:bodyPr/>
                  <a:lstStyle/>
                  <a:p>
                    <a:fld id="{8D328E55-7305-4F42-9D8E-1C83D2B6F039}"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23F-5895-4922-8980-2F43EA5743F7}"/>
                </c:ext>
              </c:extLst>
            </c:dLbl>
            <c:dLbl>
              <c:idx val="123"/>
              <c:tx>
                <c:rich>
                  <a:bodyPr/>
                  <a:lstStyle/>
                  <a:p>
                    <a:fld id="{E4959D61-7366-40EB-AA9B-58DFA4187993}"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240-5895-4922-8980-2F43EA5743F7}"/>
                </c:ext>
              </c:extLst>
            </c:dLbl>
            <c:dLbl>
              <c:idx val="124"/>
              <c:tx>
                <c:rich>
                  <a:bodyPr/>
                  <a:lstStyle/>
                  <a:p>
                    <a:fld id="{4197F0BC-8AA7-4987-A80F-E7B8C0D1A871}"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241-5895-4922-8980-2F43EA5743F7}"/>
                </c:ext>
              </c:extLst>
            </c:dLbl>
            <c:dLbl>
              <c:idx val="125"/>
              <c:tx>
                <c:rich>
                  <a:bodyPr/>
                  <a:lstStyle/>
                  <a:p>
                    <a:fld id="{DA2C766A-E1DC-4A91-B4D5-C0D7285A5E86}"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242-5895-4922-8980-2F43EA5743F7}"/>
                </c:ext>
              </c:extLst>
            </c:dLbl>
            <c:dLbl>
              <c:idx val="126"/>
              <c:tx>
                <c:rich>
                  <a:bodyPr/>
                  <a:lstStyle/>
                  <a:p>
                    <a:fld id="{A7A47426-8BA2-4D38-88E0-3CA73EB5BDDD}"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243-5895-4922-8980-2F43EA5743F7}"/>
                </c:ext>
              </c:extLst>
            </c:dLbl>
            <c:dLbl>
              <c:idx val="128"/>
              <c:tx>
                <c:rich>
                  <a:bodyPr/>
                  <a:lstStyle/>
                  <a:p>
                    <a:fld id="{88773D04-80D7-41B6-B6EA-8E8C7C979419}"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245-5895-4922-8980-2F43EA5743F7}"/>
                </c:ext>
              </c:extLst>
            </c:dLbl>
            <c:dLbl>
              <c:idx val="129"/>
              <c:tx>
                <c:rich>
                  <a:bodyPr/>
                  <a:lstStyle/>
                  <a:p>
                    <a:fld id="{DD811DD8-D382-4087-878B-429E20D9E3E8}"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246-5895-4922-8980-2F43EA5743F7}"/>
                </c:ext>
              </c:extLst>
            </c:dLbl>
            <c:dLbl>
              <c:idx val="130"/>
              <c:tx>
                <c:rich>
                  <a:bodyPr/>
                  <a:lstStyle/>
                  <a:p>
                    <a:fld id="{1AB7077F-D594-4741-A4BF-F4840DE71667}"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247-5895-4922-8980-2F43EA5743F7}"/>
                </c:ext>
              </c:extLst>
            </c:dLbl>
            <c:dLbl>
              <c:idx val="131"/>
              <c:tx>
                <c:rich>
                  <a:bodyPr/>
                  <a:lstStyle/>
                  <a:p>
                    <a:fld id="{C8DC751A-3D48-469E-A238-96E6C52CD651}"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248-5895-4922-8980-2F43EA5743F7}"/>
                </c:ext>
              </c:extLst>
            </c:dLbl>
            <c:dLbl>
              <c:idx val="132"/>
              <c:tx>
                <c:rich>
                  <a:bodyPr/>
                  <a:lstStyle/>
                  <a:p>
                    <a:fld id="{688DF61F-52C4-4086-A4E8-3561C3F6525A}"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249-5895-4922-8980-2F43EA5743F7}"/>
                </c:ext>
              </c:extLst>
            </c:dLbl>
            <c:dLbl>
              <c:idx val="133"/>
              <c:tx>
                <c:rich>
                  <a:bodyPr/>
                  <a:lstStyle/>
                  <a:p>
                    <a:fld id="{90AEB354-E2E2-41F1-90F6-5F4F04266CFF}"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24A-5895-4922-8980-2F43EA5743F7}"/>
                </c:ext>
              </c:extLst>
            </c:dLbl>
            <c:dLbl>
              <c:idx val="134"/>
              <c:tx>
                <c:rich>
                  <a:bodyPr/>
                  <a:lstStyle/>
                  <a:p>
                    <a:fld id="{F4FA2F0F-BD3A-46D2-A06D-C686FE912E86}"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24B-5895-4922-8980-2F43EA5743F7}"/>
                </c:ext>
              </c:extLst>
            </c:dLbl>
            <c:dLbl>
              <c:idx val="135"/>
              <c:tx>
                <c:rich>
                  <a:bodyPr/>
                  <a:lstStyle/>
                  <a:p>
                    <a:fld id="{8AEE8B5C-878D-4424-9149-D6432A5DBF01}"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A180-472B-BD8E-C59BE9A8C5EE}"/>
                </c:ext>
              </c:extLst>
            </c:dLbl>
            <c:dLbl>
              <c:idx val="136"/>
              <c:tx>
                <c:rich>
                  <a:bodyPr/>
                  <a:lstStyle/>
                  <a:p>
                    <a:fld id="{CD8EEFBE-8824-4E42-83F3-ABB7E5AEAAD9}"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A180-472B-BD8E-C59BE9A8C5EE}"/>
                </c:ext>
              </c:extLst>
            </c:dLbl>
            <c:dLbl>
              <c:idx val="137"/>
              <c:tx>
                <c:rich>
                  <a:bodyPr/>
                  <a:lstStyle/>
                  <a:p>
                    <a:fld id="{68FE7B43-51E1-40DA-AEA3-24269FE600B5}"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A180-472B-BD8E-C59BE9A8C5EE}"/>
                </c:ext>
              </c:extLst>
            </c:dLbl>
            <c:dLbl>
              <c:idx val="138"/>
              <c:tx>
                <c:rich>
                  <a:bodyPr/>
                  <a:lstStyle/>
                  <a:p>
                    <a:fld id="{70E9BAFF-2B18-4EC7-8ED3-76186A33FAB7}"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A180-472B-BD8E-C59BE9A8C5EE}"/>
                </c:ext>
              </c:extLst>
            </c:dLbl>
            <c:dLbl>
              <c:idx val="139"/>
              <c:tx>
                <c:rich>
                  <a:bodyPr/>
                  <a:lstStyle/>
                  <a:p>
                    <a:fld id="{0978AB04-3C5F-4382-9167-84007D5C72ED}"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A180-472B-BD8E-C59BE9A8C5EE}"/>
                </c:ext>
              </c:extLst>
            </c:dLbl>
            <c:dLbl>
              <c:idx val="140"/>
              <c:tx>
                <c:rich>
                  <a:bodyPr/>
                  <a:lstStyle/>
                  <a:p>
                    <a:fld id="{03181BCA-40AD-4819-A5BD-BA2009DB24BA}"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A180-472B-BD8E-C59BE9A8C5EE}"/>
                </c:ext>
              </c:extLst>
            </c:dLbl>
            <c:dLbl>
              <c:idx val="141"/>
              <c:tx>
                <c:rich>
                  <a:bodyPr/>
                  <a:lstStyle/>
                  <a:p>
                    <a:fld id="{160DFB8D-1D4C-4B16-8965-2AF28C9B0F63}"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A180-472B-BD8E-C59BE9A8C5EE}"/>
                </c:ext>
              </c:extLst>
            </c:dLbl>
            <c:dLbl>
              <c:idx val="142"/>
              <c:tx>
                <c:rich>
                  <a:bodyPr/>
                  <a:lstStyle/>
                  <a:p>
                    <a:fld id="{3E85691C-A5C6-462D-920A-FD4F0C8D0200}"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A180-472B-BD8E-C59BE9A8C5EE}"/>
                </c:ext>
              </c:extLst>
            </c:dLbl>
            <c:dLbl>
              <c:idx val="143"/>
              <c:tx>
                <c:rich>
                  <a:bodyPr/>
                  <a:lstStyle/>
                  <a:p>
                    <a:fld id="{B3E715A5-D117-450E-9864-8674428DB82C}"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A180-472B-BD8E-C59BE9A8C5EE}"/>
                </c:ext>
              </c:extLst>
            </c:dLbl>
            <c:dLbl>
              <c:idx val="144"/>
              <c:tx>
                <c:rich>
                  <a:bodyPr/>
                  <a:lstStyle/>
                  <a:p>
                    <a:fld id="{5FA662AA-2522-4B7B-AEE9-017E70F239B9}"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A180-472B-BD8E-C59BE9A8C5EE}"/>
                </c:ext>
              </c:extLst>
            </c:dLbl>
            <c:dLbl>
              <c:idx val="145"/>
              <c:tx>
                <c:rich>
                  <a:bodyPr/>
                  <a:lstStyle/>
                  <a:p>
                    <a:fld id="{9174E8E6-A5CF-46C8-8433-26B77B18A085}"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A180-472B-BD8E-C59BE9A8C5EE}"/>
                </c:ext>
              </c:extLst>
            </c:dLbl>
            <c:dLbl>
              <c:idx val="146"/>
              <c:tx>
                <c:rich>
                  <a:bodyPr/>
                  <a:lstStyle/>
                  <a:p>
                    <a:fld id="{B1998272-8A9C-45B3-AEC0-AEA25E8991D3}"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B-A180-472B-BD8E-C59BE9A8C5EE}"/>
                </c:ext>
              </c:extLst>
            </c:dLbl>
            <c:dLbl>
              <c:idx val="147"/>
              <c:tx>
                <c:rich>
                  <a:bodyPr/>
                  <a:lstStyle/>
                  <a:p>
                    <a:fld id="{56040FF5-D369-4B22-AD6F-161E79F6D069}"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C-A180-472B-BD8E-C59BE9A8C5EE}"/>
                </c:ext>
              </c:extLst>
            </c:dLbl>
            <c:dLbl>
              <c:idx val="148"/>
              <c:tx>
                <c:rich>
                  <a:bodyPr/>
                  <a:lstStyle/>
                  <a:p>
                    <a:fld id="{352253C9-F8D7-4741-A5CF-0D9A826239AC}"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D-A180-472B-BD8E-C59BE9A8C5EE}"/>
                </c:ext>
              </c:extLst>
            </c:dLbl>
            <c:dLbl>
              <c:idx val="149"/>
              <c:tx>
                <c:rich>
                  <a:bodyPr/>
                  <a:lstStyle/>
                  <a:p>
                    <a:fld id="{5EE47781-E892-4A38-A1A9-5AF985D3DF15}"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A180-472B-BD8E-C59BE9A8C5EE}"/>
                </c:ext>
              </c:extLst>
            </c:dLbl>
            <c:dLbl>
              <c:idx val="150"/>
              <c:tx>
                <c:rich>
                  <a:bodyPr/>
                  <a:lstStyle/>
                  <a:p>
                    <a:fld id="{78E5D0D1-05CD-4098-8BF9-9A9D4D5B0A3F}"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F-A180-472B-BD8E-C59BE9A8C5EE}"/>
                </c:ext>
              </c:extLst>
            </c:dLbl>
            <c:dLbl>
              <c:idx val="151"/>
              <c:tx>
                <c:rich>
                  <a:bodyPr/>
                  <a:lstStyle/>
                  <a:p>
                    <a:fld id="{8672679E-7529-4B31-8670-DB3F30F35B83}"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0-A180-472B-BD8E-C59BE9A8C5EE}"/>
                </c:ext>
              </c:extLst>
            </c:dLbl>
            <c:dLbl>
              <c:idx val="152"/>
              <c:tx>
                <c:rich>
                  <a:bodyPr/>
                  <a:lstStyle/>
                  <a:p>
                    <a:fld id="{D0B83756-5F9A-4336-B5C3-EBF9DBD4F81D}"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1-A180-472B-BD8E-C59BE9A8C5EE}"/>
                </c:ext>
              </c:extLst>
            </c:dLbl>
            <c:dLbl>
              <c:idx val="153"/>
              <c:tx>
                <c:rich>
                  <a:bodyPr/>
                  <a:lstStyle/>
                  <a:p>
                    <a:fld id="{A0DC58D7-1D2D-48EF-A5FC-36201FA26651}"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2-A180-472B-BD8E-C59BE9A8C5EE}"/>
                </c:ext>
              </c:extLst>
            </c:dLbl>
            <c:dLbl>
              <c:idx val="154"/>
              <c:tx>
                <c:rich>
                  <a:bodyPr/>
                  <a:lstStyle/>
                  <a:p>
                    <a:fld id="{A70690FC-0242-4CF4-AEC3-9B3C241DAA20}"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3-A180-472B-BD8E-C59BE9A8C5EE}"/>
                </c:ext>
              </c:extLst>
            </c:dLbl>
            <c:dLbl>
              <c:idx val="155"/>
              <c:tx>
                <c:rich>
                  <a:bodyPr/>
                  <a:lstStyle/>
                  <a:p>
                    <a:fld id="{39A2A00A-36FC-482D-97F6-77311220686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4-A180-472B-BD8E-C59BE9A8C5EE}"/>
                </c:ext>
              </c:extLst>
            </c:dLbl>
            <c:dLbl>
              <c:idx val="156"/>
              <c:tx>
                <c:rich>
                  <a:bodyPr/>
                  <a:lstStyle/>
                  <a:p>
                    <a:fld id="{6E21C305-663D-499D-99E5-A16A2980D67A}"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5-A180-472B-BD8E-C59BE9A8C5EE}"/>
                </c:ext>
              </c:extLst>
            </c:dLbl>
            <c:dLbl>
              <c:idx val="157"/>
              <c:tx>
                <c:rich>
                  <a:bodyPr/>
                  <a:lstStyle/>
                  <a:p>
                    <a:fld id="{64524A7B-39CC-44CE-B5BE-1A4C40696962}"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6-A180-472B-BD8E-C59BE9A8C5EE}"/>
                </c:ext>
              </c:extLst>
            </c:dLbl>
            <c:dLbl>
              <c:idx val="158"/>
              <c:tx>
                <c:rich>
                  <a:bodyPr/>
                  <a:lstStyle/>
                  <a:p>
                    <a:fld id="{7D8224F0-E6D3-45B7-A6B5-50BEC4AE4C6D}"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7-A180-472B-BD8E-C59BE9A8C5EE}"/>
                </c:ext>
              </c:extLst>
            </c:dLbl>
            <c:dLbl>
              <c:idx val="159"/>
              <c:tx>
                <c:rich>
                  <a:bodyPr/>
                  <a:lstStyle/>
                  <a:p>
                    <a:fld id="{7CA99F59-7B5C-4DAE-9A44-798BF1216402}"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8-A180-472B-BD8E-C59BE9A8C5EE}"/>
                </c:ext>
              </c:extLst>
            </c:dLbl>
            <c:dLbl>
              <c:idx val="160"/>
              <c:tx>
                <c:rich>
                  <a:bodyPr/>
                  <a:lstStyle/>
                  <a:p>
                    <a:fld id="{523C3231-F3C0-4521-A71E-C2D09B4A6C0B}"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9-A180-472B-BD8E-C59BE9A8C5EE}"/>
                </c:ext>
              </c:extLst>
            </c:dLbl>
            <c:dLbl>
              <c:idx val="161"/>
              <c:tx>
                <c:rich>
                  <a:bodyPr/>
                  <a:lstStyle/>
                  <a:p>
                    <a:fld id="{ABFFE05F-4C16-4BA5-9E51-71345E2ECA91}"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A-A180-472B-BD8E-C59BE9A8C5EE}"/>
                </c:ext>
              </c:extLst>
            </c:dLbl>
            <c:dLbl>
              <c:idx val="162"/>
              <c:tx>
                <c:rich>
                  <a:bodyPr/>
                  <a:lstStyle/>
                  <a:p>
                    <a:fld id="{5BC10AC6-8FB4-437A-B557-7EB23CBB8ADE}"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B-A180-472B-BD8E-C59BE9A8C5EE}"/>
                </c:ext>
              </c:extLst>
            </c:dLbl>
            <c:dLbl>
              <c:idx val="163"/>
              <c:tx>
                <c:rich>
                  <a:bodyPr/>
                  <a:lstStyle/>
                  <a:p>
                    <a:fld id="{87579ECC-5A5F-4010-A412-CCD4F2F4B47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C-A180-472B-BD8E-C59BE9A8C5EE}"/>
                </c:ext>
              </c:extLst>
            </c:dLbl>
            <c:dLbl>
              <c:idx val="164"/>
              <c:tx>
                <c:rich>
                  <a:bodyPr/>
                  <a:lstStyle/>
                  <a:p>
                    <a:fld id="{9E7F246E-DBA1-4342-A4B5-AED62A0C2CED}"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D-A180-472B-BD8E-C59BE9A8C5EE}"/>
                </c:ext>
              </c:extLst>
            </c:dLbl>
            <c:dLbl>
              <c:idx val="165"/>
              <c:tx>
                <c:rich>
                  <a:bodyPr/>
                  <a:lstStyle/>
                  <a:p>
                    <a:fld id="{3EC616AD-C2E0-46B5-ACC5-F03FE1D7F8A6}"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E-A180-472B-BD8E-C59BE9A8C5EE}"/>
                </c:ext>
              </c:extLst>
            </c:dLbl>
            <c:dLbl>
              <c:idx val="166"/>
              <c:tx>
                <c:rich>
                  <a:bodyPr/>
                  <a:lstStyle/>
                  <a:p>
                    <a:fld id="{62BB3A0C-46D6-418B-8AEB-E021747C5FE8}"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F-A180-472B-BD8E-C59BE9A8C5EE}"/>
                </c:ext>
              </c:extLst>
            </c:dLbl>
            <c:dLbl>
              <c:idx val="167"/>
              <c:tx>
                <c:rich>
                  <a:bodyPr/>
                  <a:lstStyle/>
                  <a:p>
                    <a:fld id="{A537324C-8660-4F60-B9F1-AF2651CA2A60}"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0-A180-472B-BD8E-C59BE9A8C5EE}"/>
                </c:ext>
              </c:extLst>
            </c:dLbl>
            <c:dLbl>
              <c:idx val="168"/>
              <c:tx>
                <c:rich>
                  <a:bodyPr/>
                  <a:lstStyle/>
                  <a:p>
                    <a:fld id="{87CEC4FA-E3A2-4028-8DF9-4C5BCCB78F49}"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1-A180-472B-BD8E-C59BE9A8C5EE}"/>
                </c:ext>
              </c:extLst>
            </c:dLbl>
            <c:dLbl>
              <c:idx val="169"/>
              <c:tx>
                <c:rich>
                  <a:bodyPr/>
                  <a:lstStyle/>
                  <a:p>
                    <a:fld id="{BF7DDE51-99BF-4C8A-B34E-41A454B1C296}"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2-A180-472B-BD8E-C59BE9A8C5EE}"/>
                </c:ext>
              </c:extLst>
            </c:dLbl>
            <c:dLbl>
              <c:idx val="170"/>
              <c:tx>
                <c:rich>
                  <a:bodyPr/>
                  <a:lstStyle/>
                  <a:p>
                    <a:fld id="{BF1954A1-09C9-4871-91DE-12F9713D6A5A}"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3-A180-472B-BD8E-C59BE9A8C5EE}"/>
                </c:ext>
              </c:extLst>
            </c:dLbl>
            <c:dLbl>
              <c:idx val="171"/>
              <c:tx>
                <c:rich>
                  <a:bodyPr/>
                  <a:lstStyle/>
                  <a:p>
                    <a:fld id="{6A1F141E-7001-479C-B9D6-496FC0FA7852}"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4-A180-472B-BD8E-C59BE9A8C5EE}"/>
                </c:ext>
              </c:extLst>
            </c:dLbl>
            <c:dLbl>
              <c:idx val="172"/>
              <c:tx>
                <c:rich>
                  <a:bodyPr/>
                  <a:lstStyle/>
                  <a:p>
                    <a:fld id="{68F5E68E-1158-4295-A9AE-8BE990C1B8DC}"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5-A180-472B-BD8E-C59BE9A8C5EE}"/>
                </c:ext>
              </c:extLst>
            </c:dLbl>
            <c:dLbl>
              <c:idx val="173"/>
              <c:tx>
                <c:rich>
                  <a:bodyPr/>
                  <a:lstStyle/>
                  <a:p>
                    <a:fld id="{4AAF81DB-9C39-4BCA-9CC1-240144614BDE}"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6-A180-472B-BD8E-C59BE9A8C5EE}"/>
                </c:ext>
              </c:extLst>
            </c:dLbl>
            <c:dLbl>
              <c:idx val="174"/>
              <c:tx>
                <c:rich>
                  <a:bodyPr/>
                  <a:lstStyle/>
                  <a:p>
                    <a:fld id="{9A31A666-6C01-4FC2-8A0A-D5A191AD16F7}"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7-A180-472B-BD8E-C59BE9A8C5EE}"/>
                </c:ext>
              </c:extLst>
            </c:dLbl>
            <c:dLbl>
              <c:idx val="176"/>
              <c:tx>
                <c:rich>
                  <a:bodyPr/>
                  <a:lstStyle/>
                  <a:p>
                    <a:fld id="{BF77CFDB-8A0E-449A-A4A2-8BB0584B3570}"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4867-42A3-AD23-EDF580A2706D}"/>
                </c:ext>
              </c:extLst>
            </c:dLbl>
            <c:dLbl>
              <c:idx val="177"/>
              <c:tx>
                <c:rich>
                  <a:bodyPr/>
                  <a:lstStyle/>
                  <a:p>
                    <a:fld id="{474C49A0-163E-4BEB-8134-8B2BBB7D7A63}"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4867-42A3-AD23-EDF580A2706D}"/>
                </c:ext>
              </c:extLst>
            </c:dLbl>
            <c:dLbl>
              <c:idx val="178"/>
              <c:tx>
                <c:rich>
                  <a:bodyPr/>
                  <a:lstStyle/>
                  <a:p>
                    <a:fld id="{7E2A8BF4-9121-4726-8DC3-9BD02E4AC441}"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4867-42A3-AD23-EDF580A2706D}"/>
                </c:ext>
              </c:extLst>
            </c:dLbl>
            <c:dLbl>
              <c:idx val="179"/>
              <c:tx>
                <c:rich>
                  <a:bodyPr/>
                  <a:lstStyle/>
                  <a:p>
                    <a:fld id="{F9ECFC46-30D5-48F8-83C0-640DD44EB4A0}"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4867-42A3-AD23-EDF580A2706D}"/>
                </c:ext>
              </c:extLst>
            </c:dLbl>
            <c:dLbl>
              <c:idx val="180"/>
              <c:tx>
                <c:rich>
                  <a:bodyPr/>
                  <a:lstStyle/>
                  <a:p>
                    <a:fld id="{DF8E3D90-AA79-48EE-A521-017FE0029AAE}"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4867-42A3-AD23-EDF580A2706D}"/>
                </c:ext>
              </c:extLst>
            </c:dLbl>
            <c:dLbl>
              <c:idx val="181"/>
              <c:tx>
                <c:rich>
                  <a:bodyPr/>
                  <a:lstStyle/>
                  <a:p>
                    <a:fld id="{04D62D37-C87F-4D71-AEDA-CB5FF2CCCE63}"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4867-42A3-AD23-EDF580A2706D}"/>
                </c:ext>
              </c:extLst>
            </c:dLbl>
            <c:dLbl>
              <c:idx val="182"/>
              <c:tx>
                <c:rich>
                  <a:bodyPr/>
                  <a:lstStyle/>
                  <a:p>
                    <a:fld id="{B68010A0-4DD0-43EA-978E-2144D3C42D99}"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4867-42A3-AD23-EDF580A2706D}"/>
                </c:ext>
              </c:extLst>
            </c:dLbl>
            <c:dLbl>
              <c:idx val="183"/>
              <c:tx>
                <c:rich>
                  <a:bodyPr/>
                  <a:lstStyle/>
                  <a:p>
                    <a:fld id="{99ACB84C-ED1E-4BB9-9374-445E3224CF9F}"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4867-42A3-AD23-EDF580A2706D}"/>
                </c:ext>
              </c:extLst>
            </c:dLbl>
            <c:dLbl>
              <c:idx val="184"/>
              <c:tx>
                <c:rich>
                  <a:bodyPr/>
                  <a:lstStyle/>
                  <a:p>
                    <a:fld id="{B3A36EA6-A1F3-40EB-830E-CB0CB6233C5F}"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4867-42A3-AD23-EDF580A2706D}"/>
                </c:ext>
              </c:extLst>
            </c:dLbl>
            <c:dLbl>
              <c:idx val="185"/>
              <c:tx>
                <c:rich>
                  <a:bodyPr/>
                  <a:lstStyle/>
                  <a:p>
                    <a:fld id="{F35309C1-7E7E-466D-AB4D-8B1B24508F11}"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4867-42A3-AD23-EDF580A2706D}"/>
                </c:ext>
              </c:extLst>
            </c:dLbl>
            <c:dLbl>
              <c:idx val="186"/>
              <c:tx>
                <c:rich>
                  <a:bodyPr/>
                  <a:lstStyle/>
                  <a:p>
                    <a:fld id="{DC775BE3-0C38-4076-8DD5-E3CA92583D3A}"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4867-42A3-AD23-EDF580A2706D}"/>
                </c:ext>
              </c:extLst>
            </c:dLbl>
            <c:dLbl>
              <c:idx val="187"/>
              <c:tx>
                <c:rich>
                  <a:bodyPr/>
                  <a:lstStyle/>
                  <a:p>
                    <a:fld id="{1FB11495-B1BB-4FFB-8B58-1A80E5B7AB7F}"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B-4867-42A3-AD23-EDF580A2706D}"/>
                </c:ext>
              </c:extLst>
            </c:dLbl>
            <c:dLbl>
              <c:idx val="188"/>
              <c:tx>
                <c:rich>
                  <a:bodyPr/>
                  <a:lstStyle/>
                  <a:p>
                    <a:fld id="{1D734C37-72F3-4EF0-BCBE-07344C844737}"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C-4867-42A3-AD23-EDF580A2706D}"/>
                </c:ext>
              </c:extLst>
            </c:dLbl>
            <c:dLbl>
              <c:idx val="189"/>
              <c:tx>
                <c:rich>
                  <a:bodyPr/>
                  <a:lstStyle/>
                  <a:p>
                    <a:fld id="{6000A733-CA44-468F-9500-D50ED7464C1F}"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D-4867-42A3-AD23-EDF580A2706D}"/>
                </c:ext>
              </c:extLst>
            </c:dLbl>
            <c:dLbl>
              <c:idx val="190"/>
              <c:tx>
                <c:rich>
                  <a:bodyPr/>
                  <a:lstStyle/>
                  <a:p>
                    <a:fld id="{043A1A28-5D9E-44E4-9FBD-C28163F6813B}"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4867-42A3-AD23-EDF580A2706D}"/>
                </c:ext>
              </c:extLst>
            </c:dLbl>
            <c:dLbl>
              <c:idx val="191"/>
              <c:tx>
                <c:rich>
                  <a:bodyPr/>
                  <a:lstStyle/>
                  <a:p>
                    <a:fld id="{43D0CC0D-70AF-438D-BB6C-02CFB4F55920}"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F-4867-42A3-AD23-EDF580A2706D}"/>
                </c:ext>
              </c:extLst>
            </c:dLbl>
            <c:dLbl>
              <c:idx val="192"/>
              <c:tx>
                <c:rich>
                  <a:bodyPr/>
                  <a:lstStyle/>
                  <a:p>
                    <a:fld id="{A11357EE-9DD3-4C70-ABC4-02764BE2C272}"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0-4867-42A3-AD23-EDF580A2706D}"/>
                </c:ext>
              </c:extLst>
            </c:dLbl>
            <c:dLbl>
              <c:idx val="193"/>
              <c:tx>
                <c:rich>
                  <a:bodyPr/>
                  <a:lstStyle/>
                  <a:p>
                    <a:fld id="{5E2DC3FE-A799-4ED5-BF5B-E4A1255FF54D}"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1-4867-42A3-AD23-EDF580A2706D}"/>
                </c:ext>
              </c:extLst>
            </c:dLbl>
            <c:dLbl>
              <c:idx val="194"/>
              <c:tx>
                <c:rich>
                  <a:bodyPr/>
                  <a:lstStyle/>
                  <a:p>
                    <a:fld id="{20E18760-EF9B-43A5-9391-3E3F75D4D6A3}"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2-4867-42A3-AD23-EDF580A2706D}"/>
                </c:ext>
              </c:extLst>
            </c:dLbl>
            <c:dLbl>
              <c:idx val="195"/>
              <c:tx>
                <c:rich>
                  <a:bodyPr/>
                  <a:lstStyle/>
                  <a:p>
                    <a:fld id="{199B6FBB-50B9-4800-A981-0040B497FABC}"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3-4867-42A3-AD23-EDF580A2706D}"/>
                </c:ext>
              </c:extLst>
            </c:dLbl>
            <c:dLbl>
              <c:idx val="196"/>
              <c:tx>
                <c:rich>
                  <a:bodyPr/>
                  <a:lstStyle/>
                  <a:p>
                    <a:fld id="{DF0C1290-72AE-42BF-BACF-83831A347E03}"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4-4867-42A3-AD23-EDF580A2706D}"/>
                </c:ext>
              </c:extLst>
            </c:dLbl>
            <c:dLbl>
              <c:idx val="197"/>
              <c:tx>
                <c:rich>
                  <a:bodyPr/>
                  <a:lstStyle/>
                  <a:p>
                    <a:fld id="{2FC7E0B9-1164-4252-872F-9763A8BD4C32}"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5-4867-42A3-AD23-EDF580A2706D}"/>
                </c:ext>
              </c:extLst>
            </c:dLbl>
            <c:dLbl>
              <c:idx val="198"/>
              <c:tx>
                <c:rich>
                  <a:bodyPr/>
                  <a:lstStyle/>
                  <a:p>
                    <a:fld id="{690061B7-9AB5-44D7-B089-AF9FFCA47EB3}"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6-4867-42A3-AD23-EDF580A2706D}"/>
                </c:ext>
              </c:extLst>
            </c:dLbl>
            <c:dLbl>
              <c:idx val="199"/>
              <c:tx>
                <c:rich>
                  <a:bodyPr/>
                  <a:lstStyle/>
                  <a:p>
                    <a:fld id="{29672EB6-668A-4CF0-BAF7-9BA0D4351B5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7-4867-42A3-AD23-EDF580A2706D}"/>
                </c:ext>
              </c:extLst>
            </c:dLbl>
            <c:dLbl>
              <c:idx val="200"/>
              <c:tx>
                <c:rich>
                  <a:bodyPr/>
                  <a:lstStyle/>
                  <a:p>
                    <a:fld id="{53F22780-7BEB-455A-8AAE-9C914E6EC7D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8-4867-42A3-AD23-EDF580A2706D}"/>
                </c:ext>
              </c:extLst>
            </c:dLbl>
            <c:dLbl>
              <c:idx val="201"/>
              <c:tx>
                <c:rich>
                  <a:bodyPr/>
                  <a:lstStyle/>
                  <a:p>
                    <a:fld id="{75FDD408-A1E6-4AE1-A395-F5362276FC0A}"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9-4867-42A3-AD23-EDF580A2706D}"/>
                </c:ext>
              </c:extLst>
            </c:dLbl>
            <c:dLbl>
              <c:idx val="202"/>
              <c:tx>
                <c:rich>
                  <a:bodyPr/>
                  <a:lstStyle/>
                  <a:p>
                    <a:fld id="{13A35DB9-FCB6-4412-8293-F822CF232482}"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A-4867-42A3-AD23-EDF580A2706D}"/>
                </c:ext>
              </c:extLst>
            </c:dLbl>
            <c:dLbl>
              <c:idx val="203"/>
              <c:tx>
                <c:rich>
                  <a:bodyPr/>
                  <a:lstStyle/>
                  <a:p>
                    <a:fld id="{6F3938CB-EAD6-4E7E-9956-A012B9036349}"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B-4867-42A3-AD23-EDF580A2706D}"/>
                </c:ext>
              </c:extLst>
            </c:dLbl>
            <c:dLbl>
              <c:idx val="204"/>
              <c:tx>
                <c:rich>
                  <a:bodyPr/>
                  <a:lstStyle/>
                  <a:p>
                    <a:fld id="{2B540B5A-BF82-4547-9D63-CACBEC24D4A9}"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C-4867-42A3-AD23-EDF580A2706D}"/>
                </c:ext>
              </c:extLst>
            </c:dLbl>
            <c:dLbl>
              <c:idx val="205"/>
              <c:tx>
                <c:rich>
                  <a:bodyPr/>
                  <a:lstStyle/>
                  <a:p>
                    <a:fld id="{8DCF0C0E-5C46-4B71-838C-BFA035D20EB3}"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D-4867-42A3-AD23-EDF580A2706D}"/>
                </c:ext>
              </c:extLst>
            </c:dLbl>
            <c:dLbl>
              <c:idx val="206"/>
              <c:tx>
                <c:rich>
                  <a:bodyPr/>
                  <a:lstStyle/>
                  <a:p>
                    <a:fld id="{197BB2A6-F497-4ED2-B23D-1E5DA63D422A}"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E-4867-42A3-AD23-EDF580A2706D}"/>
                </c:ext>
              </c:extLst>
            </c:dLbl>
            <c:dLbl>
              <c:idx val="207"/>
              <c:tx>
                <c:rich>
                  <a:bodyPr/>
                  <a:lstStyle/>
                  <a:p>
                    <a:fld id="{1F4B80E9-4016-4E39-986F-9A987922FFBE}"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F-4867-42A3-AD23-EDF580A2706D}"/>
                </c:ext>
              </c:extLst>
            </c:dLbl>
            <c:dLbl>
              <c:idx val="208"/>
              <c:tx>
                <c:rich>
                  <a:bodyPr/>
                  <a:lstStyle/>
                  <a:p>
                    <a:fld id="{0442247F-6E31-4699-B7ED-25BFBC14FD67}"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0-4867-42A3-AD23-EDF580A2706D}"/>
                </c:ext>
              </c:extLst>
            </c:dLbl>
            <c:dLbl>
              <c:idx val="209"/>
              <c:tx>
                <c:rich>
                  <a:bodyPr/>
                  <a:lstStyle/>
                  <a:p>
                    <a:fld id="{A85E5059-2438-4EC5-8B3C-F59D9EFAA2A0}"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1-4867-42A3-AD23-EDF580A2706D}"/>
                </c:ext>
              </c:extLst>
            </c:dLbl>
            <c:dLbl>
              <c:idx val="211"/>
              <c:tx>
                <c:rich>
                  <a:bodyPr/>
                  <a:lstStyle/>
                  <a:p>
                    <a:fld id="{D0583A4F-48B6-464F-B456-BDC5A3DF55EE}"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3-4867-42A3-AD23-EDF580A2706D}"/>
                </c:ext>
              </c:extLst>
            </c:dLbl>
            <c:dLbl>
              <c:idx val="212"/>
              <c:tx>
                <c:rich>
                  <a:bodyPr/>
                  <a:lstStyle/>
                  <a:p>
                    <a:fld id="{ACB10981-5804-45EC-9790-809A50CA4065}"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4-4867-42A3-AD23-EDF580A2706D}"/>
                </c:ext>
              </c:extLst>
            </c:dLbl>
            <c:dLbl>
              <c:idx val="213"/>
              <c:tx>
                <c:rich>
                  <a:bodyPr/>
                  <a:lstStyle/>
                  <a:p>
                    <a:fld id="{CF1480BD-A92D-48C1-89AE-B731D17B42CB}"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5-4867-42A3-AD23-EDF580A2706D}"/>
                </c:ext>
              </c:extLst>
            </c:dLbl>
            <c:dLbl>
              <c:idx val="214"/>
              <c:tx>
                <c:rich>
                  <a:bodyPr/>
                  <a:lstStyle/>
                  <a:p>
                    <a:fld id="{938727A9-3F89-471B-A01F-3EE7A72208B1}"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6-4867-42A3-AD23-EDF580A2706D}"/>
                </c:ext>
              </c:extLst>
            </c:dLbl>
            <c:dLbl>
              <c:idx val="215"/>
              <c:tx>
                <c:rich>
                  <a:bodyPr/>
                  <a:lstStyle/>
                  <a:p>
                    <a:fld id="{5F0106AD-9DAA-48B7-B3D8-B187C378FA29}"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7-4867-42A3-AD23-EDF580A2706D}"/>
                </c:ext>
              </c:extLst>
            </c:dLbl>
            <c:dLbl>
              <c:idx val="216"/>
              <c:tx>
                <c:rich>
                  <a:bodyPr/>
                  <a:lstStyle/>
                  <a:p>
                    <a:fld id="{3D4DC17B-174B-41AF-BB7B-27B1A50680A2}"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8-4867-42A3-AD23-EDF580A2706D}"/>
                </c:ext>
              </c:extLst>
            </c:dLbl>
            <c:dLbl>
              <c:idx val="217"/>
              <c:tx>
                <c:rich>
                  <a:bodyPr/>
                  <a:lstStyle/>
                  <a:p>
                    <a:fld id="{1DC7992C-CDD4-41D0-B042-AF116C24BDF3}"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9-4867-42A3-AD23-EDF580A2706D}"/>
                </c:ext>
              </c:extLst>
            </c:dLbl>
            <c:dLbl>
              <c:idx val="218"/>
              <c:tx>
                <c:rich>
                  <a:bodyPr/>
                  <a:lstStyle/>
                  <a:p>
                    <a:fld id="{A1A1F575-34A8-4673-913D-ED0761E23B10}"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A-4867-42A3-AD23-EDF580A2706D}"/>
                </c:ext>
              </c:extLst>
            </c:dLbl>
            <c:dLbl>
              <c:idx val="219"/>
              <c:tx>
                <c:rich>
                  <a:bodyPr/>
                  <a:lstStyle/>
                  <a:p>
                    <a:fld id="{F19C9BE5-141A-4DE4-B0E1-49FAB71A60CB}"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B-4867-42A3-AD23-EDF580A2706D}"/>
                </c:ext>
              </c:extLst>
            </c:dLbl>
            <c:dLbl>
              <c:idx val="220"/>
              <c:tx>
                <c:rich>
                  <a:bodyPr/>
                  <a:lstStyle/>
                  <a:p>
                    <a:fld id="{F6A30246-154F-49F3-B6FE-C19D6FDD98A7}"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C-4867-42A3-AD23-EDF580A2706D}"/>
                </c:ext>
              </c:extLst>
            </c:dLbl>
            <c:dLbl>
              <c:idx val="221"/>
              <c:tx>
                <c:rich>
                  <a:bodyPr/>
                  <a:lstStyle/>
                  <a:p>
                    <a:fld id="{3E4FA616-175A-49D2-9012-71BD1904DAB6}"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D-4867-42A3-AD23-EDF580A2706D}"/>
                </c:ext>
              </c:extLst>
            </c:dLbl>
            <c:dLbl>
              <c:idx val="222"/>
              <c:tx>
                <c:rich>
                  <a:bodyPr/>
                  <a:lstStyle/>
                  <a:p>
                    <a:fld id="{F2DFB1FD-7952-47EF-B5E9-4C1B568BFF6F}"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E-4867-42A3-AD23-EDF580A2706D}"/>
                </c:ext>
              </c:extLst>
            </c:dLbl>
            <c:dLbl>
              <c:idx val="223"/>
              <c:tx>
                <c:rich>
                  <a:bodyPr/>
                  <a:lstStyle/>
                  <a:p>
                    <a:fld id="{49097916-8D83-46FC-98BF-B5C4F26B2CBE}"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F-4867-42A3-AD23-EDF580A2706D}"/>
                </c:ext>
              </c:extLst>
            </c:dLbl>
            <c:dLbl>
              <c:idx val="224"/>
              <c:tx>
                <c:rich>
                  <a:bodyPr/>
                  <a:lstStyle/>
                  <a:p>
                    <a:fld id="{7468BD91-DE3A-4138-A249-2AE4F888D02D}"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0-4867-42A3-AD23-EDF580A2706D}"/>
                </c:ext>
              </c:extLst>
            </c:dLbl>
            <c:dLbl>
              <c:idx val="225"/>
              <c:tx>
                <c:rich>
                  <a:bodyPr/>
                  <a:lstStyle/>
                  <a:p>
                    <a:fld id="{B3DF9A5D-EE94-4EB9-AFAB-68289337F2F7}"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1-4867-42A3-AD23-EDF580A2706D}"/>
                </c:ext>
              </c:extLst>
            </c:dLbl>
            <c:dLbl>
              <c:idx val="226"/>
              <c:tx>
                <c:rich>
                  <a:bodyPr/>
                  <a:lstStyle/>
                  <a:p>
                    <a:fld id="{31386621-80DF-4055-A1B2-0709D1737731}"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2-4867-42A3-AD23-EDF580A2706D}"/>
                </c:ext>
              </c:extLst>
            </c:dLbl>
            <c:dLbl>
              <c:idx val="227"/>
              <c:tx>
                <c:rich>
                  <a:bodyPr/>
                  <a:lstStyle/>
                  <a:p>
                    <a:fld id="{A942BDB2-AE43-4A83-BA01-2CAF2B501FE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3-4867-42A3-AD23-EDF580A2706D}"/>
                </c:ext>
              </c:extLst>
            </c:dLbl>
            <c:dLbl>
              <c:idx val="228"/>
              <c:tx>
                <c:rich>
                  <a:bodyPr/>
                  <a:lstStyle/>
                  <a:p>
                    <a:fld id="{8E234CBF-9516-4305-BF87-A535FAF70078}"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4-4867-42A3-AD23-EDF580A2706D}"/>
                </c:ext>
              </c:extLst>
            </c:dLbl>
            <c:dLbl>
              <c:idx val="229"/>
              <c:tx>
                <c:rich>
                  <a:bodyPr/>
                  <a:lstStyle/>
                  <a:p>
                    <a:fld id="{F587CA1F-D051-4F1C-8FB3-9BC2793E28C5}"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5-4867-42A3-AD23-EDF580A2706D}"/>
                </c:ext>
              </c:extLst>
            </c:dLbl>
            <c:dLbl>
              <c:idx val="230"/>
              <c:tx>
                <c:rich>
                  <a:bodyPr/>
                  <a:lstStyle/>
                  <a:p>
                    <a:fld id="{D44AD60B-D3A7-4D5A-91FE-6B9200BE29A0}"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6-4867-42A3-AD23-EDF580A2706D}"/>
                </c:ext>
              </c:extLst>
            </c:dLbl>
            <c:dLbl>
              <c:idx val="231"/>
              <c:tx>
                <c:rich>
                  <a:bodyPr/>
                  <a:lstStyle/>
                  <a:p>
                    <a:fld id="{DC7EDFB2-C27B-459E-B280-DD389B9F4C43}"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7-4867-42A3-AD23-EDF580A2706D}"/>
                </c:ext>
              </c:extLst>
            </c:dLbl>
            <c:dLbl>
              <c:idx val="232"/>
              <c:tx>
                <c:rich>
                  <a:bodyPr/>
                  <a:lstStyle/>
                  <a:p>
                    <a:fld id="{0D8910B4-AE0D-4DE5-9C6F-25982583AB16}"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8-4867-42A3-AD23-EDF580A2706D}"/>
                </c:ext>
              </c:extLst>
            </c:dLbl>
            <c:dLbl>
              <c:idx val="233"/>
              <c:tx>
                <c:rich>
                  <a:bodyPr/>
                  <a:lstStyle/>
                  <a:p>
                    <a:fld id="{629D3F46-A9A7-4ED3-8345-BEA9F63AA1DD}"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9-4867-42A3-AD23-EDF580A2706D}"/>
                </c:ext>
              </c:extLst>
            </c:dLbl>
            <c:dLbl>
              <c:idx val="234"/>
              <c:tx>
                <c:rich>
                  <a:bodyPr/>
                  <a:lstStyle/>
                  <a:p>
                    <a:fld id="{9CC638FA-9A26-460D-9577-6648C195F89A}"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A-4867-42A3-AD23-EDF580A2706D}"/>
                </c:ext>
              </c:extLst>
            </c:dLbl>
            <c:dLbl>
              <c:idx val="235"/>
              <c:tx>
                <c:rich>
                  <a:bodyPr/>
                  <a:lstStyle/>
                  <a:p>
                    <a:fld id="{D685BA2C-718D-4B43-B796-142D410BF159}"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B-4867-42A3-AD23-EDF580A2706D}"/>
                </c:ext>
              </c:extLst>
            </c:dLbl>
            <c:dLbl>
              <c:idx val="236"/>
              <c:tx>
                <c:rich>
                  <a:bodyPr/>
                  <a:lstStyle/>
                  <a:p>
                    <a:fld id="{3681D476-38A5-4A36-BBC3-7B6236E7B399}"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C-4867-42A3-AD23-EDF580A2706D}"/>
                </c:ext>
              </c:extLst>
            </c:dLbl>
            <c:dLbl>
              <c:idx val="237"/>
              <c:tx>
                <c:rich>
                  <a:bodyPr/>
                  <a:lstStyle/>
                  <a:p>
                    <a:fld id="{E434EBA7-A2D1-41A5-BAE9-146358D8938A}"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D-4867-42A3-AD23-EDF580A2706D}"/>
                </c:ext>
              </c:extLst>
            </c:dLbl>
            <c:dLbl>
              <c:idx val="238"/>
              <c:tx>
                <c:rich>
                  <a:bodyPr/>
                  <a:lstStyle/>
                  <a:p>
                    <a:fld id="{4A81E184-B65A-4FC2-B775-E7DE153A1665}"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E-4867-42A3-AD23-EDF580A2706D}"/>
                </c:ext>
              </c:extLst>
            </c:dLbl>
            <c:dLbl>
              <c:idx val="239"/>
              <c:tx>
                <c:rich>
                  <a:bodyPr/>
                  <a:lstStyle/>
                  <a:p>
                    <a:fld id="{C9EED2EE-FB04-4A9E-9D6D-D31B476CF3F2}"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F-4867-42A3-AD23-EDF580A2706D}"/>
                </c:ext>
              </c:extLst>
            </c:dLbl>
            <c:dLbl>
              <c:idx val="240"/>
              <c:tx>
                <c:rich>
                  <a:bodyPr/>
                  <a:lstStyle/>
                  <a:p>
                    <a:fld id="{2E275D3D-5177-44E1-8934-CDB80B9A5B49}"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40-4867-42A3-AD23-EDF580A2706D}"/>
                </c:ext>
              </c:extLst>
            </c:dLbl>
            <c:dLbl>
              <c:idx val="241"/>
              <c:tx>
                <c:rich>
                  <a:bodyPr/>
                  <a:lstStyle/>
                  <a:p>
                    <a:fld id="{1BD84AF5-E59C-4A89-B106-C22D15510262}"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41-4867-42A3-AD23-EDF580A2706D}"/>
                </c:ext>
              </c:extLst>
            </c:dLbl>
            <c:dLbl>
              <c:idx val="242"/>
              <c:tx>
                <c:rich>
                  <a:bodyPr/>
                  <a:lstStyle/>
                  <a:p>
                    <a:fld id="{42469D49-3312-479D-972A-0FCA3A1CD59C}"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42-4867-42A3-AD23-EDF580A2706D}"/>
                </c:ext>
              </c:extLst>
            </c:dLbl>
            <c:dLbl>
              <c:idx val="243"/>
              <c:tx>
                <c:rich>
                  <a:bodyPr/>
                  <a:lstStyle/>
                  <a:p>
                    <a:fld id="{D8FB95B0-4D66-42B5-B209-360B2C3F565D}"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43-4867-42A3-AD23-EDF580A2706D}"/>
                </c:ext>
              </c:extLst>
            </c:dLbl>
            <c:dLbl>
              <c:idx val="245"/>
              <c:tx>
                <c:rich>
                  <a:bodyPr/>
                  <a:lstStyle/>
                  <a:p>
                    <a:fld id="{AEA54422-797C-4C4B-8992-1268013107E3}"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45-4867-42A3-AD23-EDF580A2706D}"/>
                </c:ext>
              </c:extLst>
            </c:dLbl>
            <c:dLbl>
              <c:idx val="246"/>
              <c:tx>
                <c:rich>
                  <a:bodyPr/>
                  <a:lstStyle/>
                  <a:p>
                    <a:fld id="{89C9A08C-791D-4E57-A827-B6D2311E1CE9}"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46-4867-42A3-AD23-EDF580A2706D}"/>
                </c:ext>
              </c:extLst>
            </c:dLbl>
            <c:dLbl>
              <c:idx val="247"/>
              <c:tx>
                <c:rich>
                  <a:bodyPr/>
                  <a:lstStyle/>
                  <a:p>
                    <a:fld id="{A9062C54-E017-4E8D-8556-7C982005E606}"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47-4867-42A3-AD23-EDF580A2706D}"/>
                </c:ext>
              </c:extLst>
            </c:dLbl>
            <c:dLbl>
              <c:idx val="248"/>
              <c:tx>
                <c:rich>
                  <a:bodyPr/>
                  <a:lstStyle/>
                  <a:p>
                    <a:fld id="{30CEBAFF-CFF9-4929-9042-C7F4755E8693}"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48-4867-42A3-AD23-EDF580A2706D}"/>
                </c:ext>
              </c:extLst>
            </c:dLbl>
            <c:dLbl>
              <c:idx val="249"/>
              <c:tx>
                <c:rich>
                  <a:bodyPr/>
                  <a:lstStyle/>
                  <a:p>
                    <a:fld id="{8DA12EF7-A475-4565-9799-F2593C65F0CE}"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49-4867-42A3-AD23-EDF580A2706D}"/>
                </c:ext>
              </c:extLst>
            </c:dLbl>
            <c:dLbl>
              <c:idx val="250"/>
              <c:tx>
                <c:rich>
                  <a:bodyPr/>
                  <a:lstStyle/>
                  <a:p>
                    <a:fld id="{BD2A9E42-8417-4F3C-8757-440652505D12}"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4A-4867-42A3-AD23-EDF580A2706D}"/>
                </c:ext>
              </c:extLst>
            </c:dLbl>
            <c:dLbl>
              <c:idx val="251"/>
              <c:tx>
                <c:rich>
                  <a:bodyPr/>
                  <a:lstStyle/>
                  <a:p>
                    <a:fld id="{2D060068-A9FA-4817-8950-051790AB8610}"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4B-4867-42A3-AD23-EDF580A2706D}"/>
                </c:ext>
              </c:extLst>
            </c:dLbl>
            <c:dLbl>
              <c:idx val="252"/>
              <c:tx>
                <c:rich>
                  <a:bodyPr/>
                  <a:lstStyle/>
                  <a:p>
                    <a:fld id="{CCDC2F85-60C7-49E3-8782-484E8ABA9CFB}"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4C-4867-42A3-AD23-EDF580A2706D}"/>
                </c:ext>
              </c:extLst>
            </c:dLbl>
            <c:dLbl>
              <c:idx val="253"/>
              <c:tx>
                <c:rich>
                  <a:bodyPr/>
                  <a:lstStyle/>
                  <a:p>
                    <a:fld id="{CA05B083-024B-4E32-B37D-DFA137759D01}"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4D-4867-42A3-AD23-EDF580A2706D}"/>
                </c:ext>
              </c:extLst>
            </c:dLbl>
            <c:dLbl>
              <c:idx val="254"/>
              <c:tx>
                <c:rich>
                  <a:bodyPr/>
                  <a:lstStyle/>
                  <a:p>
                    <a:fld id="{4F099F26-C4FC-435C-9AAD-6DCC1E8E1BC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4E-4867-42A3-AD23-EDF580A2706D}"/>
                </c:ext>
              </c:extLst>
            </c:dLbl>
            <c:dLbl>
              <c:idx val="255"/>
              <c:tx>
                <c:rich>
                  <a:bodyPr/>
                  <a:lstStyle/>
                  <a:p>
                    <a:fld id="{6C299083-E113-4237-9B03-7A4CFB821126}"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4F-4867-42A3-AD23-EDF580A2706D}"/>
                </c:ext>
              </c:extLst>
            </c:dLbl>
            <c:dLbl>
              <c:idx val="256"/>
              <c:tx>
                <c:rich>
                  <a:bodyPr/>
                  <a:lstStyle/>
                  <a:p>
                    <a:fld id="{08DE6C6B-E227-41E3-8130-7B4E9D23468A}"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50-4867-42A3-AD23-EDF580A2706D}"/>
                </c:ext>
              </c:extLst>
            </c:dLbl>
            <c:dLbl>
              <c:idx val="257"/>
              <c:tx>
                <c:rich>
                  <a:bodyPr/>
                  <a:lstStyle/>
                  <a:p>
                    <a:fld id="{A1D4AA92-1ADC-49FA-BA76-8BEBDEDA0847}"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51-4867-42A3-AD23-EDF580A2706D}"/>
                </c:ext>
              </c:extLst>
            </c:dLbl>
            <c:dLbl>
              <c:idx val="258"/>
              <c:tx>
                <c:rich>
                  <a:bodyPr/>
                  <a:lstStyle/>
                  <a:p>
                    <a:fld id="{58F12FFB-762D-4A7E-8CCE-28A34CDBA682}"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52-4867-42A3-AD23-EDF580A2706D}"/>
                </c:ext>
              </c:extLst>
            </c:dLbl>
            <c:dLbl>
              <c:idx val="259"/>
              <c:tx>
                <c:rich>
                  <a:bodyPr/>
                  <a:lstStyle/>
                  <a:p>
                    <a:fld id="{3E5BF80E-ADDA-4AAA-B380-55927D31C747}"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53-4867-42A3-AD23-EDF580A2706D}"/>
                </c:ext>
              </c:extLst>
            </c:dLbl>
            <c:dLbl>
              <c:idx val="260"/>
              <c:tx>
                <c:rich>
                  <a:bodyPr/>
                  <a:lstStyle/>
                  <a:p>
                    <a:fld id="{7ABA542F-A53F-4606-89A0-60462DF011DA}"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54-4867-42A3-AD23-EDF580A2706D}"/>
                </c:ext>
              </c:extLst>
            </c:dLbl>
            <c:dLbl>
              <c:idx val="261"/>
              <c:tx>
                <c:rich>
                  <a:bodyPr/>
                  <a:lstStyle/>
                  <a:p>
                    <a:fld id="{D86FCF81-7E9C-48F7-ACB5-D1A7DA86C326}"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55-4867-42A3-AD23-EDF580A2706D}"/>
                </c:ext>
              </c:extLst>
            </c:dLbl>
            <c:dLbl>
              <c:idx val="263"/>
              <c:tx>
                <c:rich>
                  <a:bodyPr/>
                  <a:lstStyle/>
                  <a:p>
                    <a:fld id="{95D39B14-7EEF-4A80-9C95-2E70CFE5F496}"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57-4867-42A3-AD23-EDF580A2706D}"/>
                </c:ext>
              </c:extLst>
            </c:dLbl>
            <c:dLbl>
              <c:idx val="264"/>
              <c:tx>
                <c:rich>
                  <a:bodyPr/>
                  <a:lstStyle/>
                  <a:p>
                    <a:fld id="{6B40E3F3-1383-41F0-88B8-2A24EFFB34A9}"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58-4867-42A3-AD23-EDF580A2706D}"/>
                </c:ext>
              </c:extLst>
            </c:dLbl>
            <c:dLbl>
              <c:idx val="265"/>
              <c:tx>
                <c:rich>
                  <a:bodyPr/>
                  <a:lstStyle/>
                  <a:p>
                    <a:fld id="{F1E219BB-8B2A-4338-ABE9-961BD2AD3A1B}"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59-4867-42A3-AD23-EDF580A2706D}"/>
                </c:ext>
              </c:extLst>
            </c:dLbl>
            <c:dLbl>
              <c:idx val="266"/>
              <c:tx>
                <c:rich>
                  <a:bodyPr/>
                  <a:lstStyle/>
                  <a:p>
                    <a:fld id="{AC210831-ECDC-4EB1-BCBA-5C4016C8F225}"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5A-4867-42A3-AD23-EDF580A2706D}"/>
                </c:ext>
              </c:extLst>
            </c:dLbl>
            <c:dLbl>
              <c:idx val="267"/>
              <c:tx>
                <c:rich>
                  <a:bodyPr/>
                  <a:lstStyle/>
                  <a:p>
                    <a:fld id="{72F814CE-7AD3-45A9-9298-81D8CA8539AA}"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5B-4867-42A3-AD23-EDF580A2706D}"/>
                </c:ext>
              </c:extLst>
            </c:dLbl>
            <c:dLbl>
              <c:idx val="268"/>
              <c:tx>
                <c:rich>
                  <a:bodyPr/>
                  <a:lstStyle/>
                  <a:p>
                    <a:fld id="{F47DCD09-F51E-4A1F-B65C-9CCE7E09C1E1}"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5C-4867-42A3-AD23-EDF580A2706D}"/>
                </c:ext>
              </c:extLst>
            </c:dLbl>
            <c:dLbl>
              <c:idx val="269"/>
              <c:tx>
                <c:rich>
                  <a:bodyPr/>
                  <a:lstStyle/>
                  <a:p>
                    <a:fld id="{6BD54DA5-D592-4408-8A40-2D604EF7F605}"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5D-4867-42A3-AD23-EDF580A2706D}"/>
                </c:ext>
              </c:extLst>
            </c:dLbl>
            <c:dLbl>
              <c:idx val="270"/>
              <c:tx>
                <c:rich>
                  <a:bodyPr/>
                  <a:lstStyle/>
                  <a:p>
                    <a:fld id="{4FBE4023-079D-4E1C-B699-E0C178C09B8B}"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5E-4867-42A3-AD23-EDF580A2706D}"/>
                </c:ext>
              </c:extLst>
            </c:dLbl>
            <c:dLbl>
              <c:idx val="271"/>
              <c:tx>
                <c:rich>
                  <a:bodyPr/>
                  <a:lstStyle/>
                  <a:p>
                    <a:fld id="{DD600A5A-E6DA-4125-A789-F59F4CB5F2F2}"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5F-4867-42A3-AD23-EDF580A2706D}"/>
                </c:ext>
              </c:extLst>
            </c:dLbl>
            <c:dLbl>
              <c:idx val="272"/>
              <c:tx>
                <c:rich>
                  <a:bodyPr/>
                  <a:lstStyle/>
                  <a:p>
                    <a:fld id="{4C50106E-AE45-42F3-A3A3-30DAD9E7A4B9}"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60-4867-42A3-AD23-EDF580A2706D}"/>
                </c:ext>
              </c:extLst>
            </c:dLbl>
            <c:dLbl>
              <c:idx val="273"/>
              <c:tx>
                <c:rich>
                  <a:bodyPr/>
                  <a:lstStyle/>
                  <a:p>
                    <a:fld id="{52B199A1-40EC-4E57-9E09-EFEF59B2A31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61-4867-42A3-AD23-EDF580A2706D}"/>
                </c:ext>
              </c:extLst>
            </c:dLbl>
            <c:dLbl>
              <c:idx val="274"/>
              <c:tx>
                <c:rich>
                  <a:bodyPr/>
                  <a:lstStyle/>
                  <a:p>
                    <a:fld id="{401C6153-C711-4253-AB14-60091EC73CFB}"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62-4867-42A3-AD23-EDF580A2706D}"/>
                </c:ext>
              </c:extLst>
            </c:dLbl>
            <c:dLbl>
              <c:idx val="275"/>
              <c:tx>
                <c:rich>
                  <a:bodyPr/>
                  <a:lstStyle/>
                  <a:p>
                    <a:fld id="{0A102184-A3CA-4858-8C6B-13681D8CD713}"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63-4867-42A3-AD23-EDF580A2706D}"/>
                </c:ext>
              </c:extLst>
            </c:dLbl>
            <c:dLbl>
              <c:idx val="276"/>
              <c:tx>
                <c:rich>
                  <a:bodyPr/>
                  <a:lstStyle/>
                  <a:p>
                    <a:fld id="{EE48FDD3-3700-46C4-95FD-5E32BB786BC1}"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64-4867-42A3-AD23-EDF580A2706D}"/>
                </c:ext>
              </c:extLst>
            </c:dLbl>
            <c:dLbl>
              <c:idx val="277"/>
              <c:tx>
                <c:rich>
                  <a:bodyPr/>
                  <a:lstStyle/>
                  <a:p>
                    <a:fld id="{F9DB0744-AACF-4907-BEE9-FD4C78D08F02}"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65-4867-42A3-AD23-EDF580A2706D}"/>
                </c:ext>
              </c:extLst>
            </c:dLbl>
            <c:dLbl>
              <c:idx val="278"/>
              <c:tx>
                <c:rich>
                  <a:bodyPr/>
                  <a:lstStyle/>
                  <a:p>
                    <a:fld id="{49FF35B3-D1DD-4479-8DEA-D9470DCE3052}"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66-4867-42A3-AD23-EDF580A2706D}"/>
                </c:ext>
              </c:extLst>
            </c:dLbl>
            <c:dLbl>
              <c:idx val="279"/>
              <c:tx>
                <c:rich>
                  <a:bodyPr/>
                  <a:lstStyle/>
                  <a:p>
                    <a:fld id="{329981E6-ADC7-422A-BA70-5FB641D84D86}"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67-4867-42A3-AD23-EDF580A2706D}"/>
                </c:ext>
              </c:extLst>
            </c:dLbl>
            <c:dLbl>
              <c:idx val="280"/>
              <c:tx>
                <c:rich>
                  <a:bodyPr/>
                  <a:lstStyle/>
                  <a:p>
                    <a:fld id="{C7F52BE0-D300-4121-8E4E-63D84BF538E0}"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68-4867-42A3-AD23-EDF580A2706D}"/>
                </c:ext>
              </c:extLst>
            </c:dLbl>
            <c:dLbl>
              <c:idx val="281"/>
              <c:tx>
                <c:rich>
                  <a:bodyPr/>
                  <a:lstStyle/>
                  <a:p>
                    <a:fld id="{0E34BC97-976C-40E2-B18C-03F769E4A203}"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69-4867-42A3-AD23-EDF580A2706D}"/>
                </c:ext>
              </c:extLst>
            </c:dLbl>
            <c:dLbl>
              <c:idx val="282"/>
              <c:tx>
                <c:rich>
                  <a:bodyPr/>
                  <a:lstStyle/>
                  <a:p>
                    <a:fld id="{AD0DD104-9374-426C-847C-A626D04D0A3D}"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6A-4867-42A3-AD23-EDF580A2706D}"/>
                </c:ext>
              </c:extLst>
            </c:dLbl>
            <c:dLbl>
              <c:idx val="283"/>
              <c:tx>
                <c:rich>
                  <a:bodyPr/>
                  <a:lstStyle/>
                  <a:p>
                    <a:fld id="{3EF2A11F-4D2B-4C2C-84DE-4A3DC40EE201}"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6B-4867-42A3-AD23-EDF580A2706D}"/>
                </c:ext>
              </c:extLst>
            </c:dLbl>
            <c:dLbl>
              <c:idx val="284"/>
              <c:tx>
                <c:rich>
                  <a:bodyPr/>
                  <a:lstStyle/>
                  <a:p>
                    <a:fld id="{60735498-D341-4F4D-9811-B70BC046CDE0}"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6C-4867-42A3-AD23-EDF580A2706D}"/>
                </c:ext>
              </c:extLst>
            </c:dLbl>
            <c:dLbl>
              <c:idx val="285"/>
              <c:tx>
                <c:rich>
                  <a:bodyPr/>
                  <a:lstStyle/>
                  <a:p>
                    <a:fld id="{5A16CCB2-9474-46BE-9A72-1DFDCB0AB7BE}"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6D-4867-42A3-AD23-EDF580A2706D}"/>
                </c:ext>
              </c:extLst>
            </c:dLbl>
            <c:dLbl>
              <c:idx val="286"/>
              <c:tx>
                <c:rich>
                  <a:bodyPr/>
                  <a:lstStyle/>
                  <a:p>
                    <a:fld id="{8A8C7313-AF62-4E77-BB84-3A5DD44A86A3}"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6E-4867-42A3-AD23-EDF580A2706D}"/>
                </c:ext>
              </c:extLst>
            </c:dLbl>
            <c:dLbl>
              <c:idx val="287"/>
              <c:tx>
                <c:rich>
                  <a:bodyPr/>
                  <a:lstStyle/>
                  <a:p>
                    <a:fld id="{63433327-DF87-429F-9386-8112C24FF196}"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6F-4867-42A3-AD23-EDF580A2706D}"/>
                </c:ext>
              </c:extLst>
            </c:dLbl>
            <c:dLbl>
              <c:idx val="288"/>
              <c:tx>
                <c:rich>
                  <a:bodyPr/>
                  <a:lstStyle/>
                  <a:p>
                    <a:fld id="{3A681AF0-552B-4BD3-8EF7-23CE56AE53CF}"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70-4867-42A3-AD23-EDF580A2706D}"/>
                </c:ext>
              </c:extLst>
            </c:dLbl>
            <c:dLbl>
              <c:idx val="289"/>
              <c:tx>
                <c:rich>
                  <a:bodyPr/>
                  <a:lstStyle/>
                  <a:p>
                    <a:fld id="{DE394EBF-30AD-4956-B382-C07BBBCDF2BB}"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71-4867-42A3-AD23-EDF580A2706D}"/>
                </c:ext>
              </c:extLst>
            </c:dLbl>
            <c:dLbl>
              <c:idx val="290"/>
              <c:tx>
                <c:rich>
                  <a:bodyPr/>
                  <a:lstStyle/>
                  <a:p>
                    <a:fld id="{5D025372-5D63-4ACE-8877-CAC95B4B8E5D}"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72-4867-42A3-AD23-EDF580A2706D}"/>
                </c:ext>
              </c:extLst>
            </c:dLbl>
            <c:dLbl>
              <c:idx val="291"/>
              <c:tx>
                <c:rich>
                  <a:bodyPr/>
                  <a:lstStyle/>
                  <a:p>
                    <a:fld id="{8F717834-46BA-4CB2-884E-8CBE4B652C5E}"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73-4867-42A3-AD23-EDF580A2706D}"/>
                </c:ext>
              </c:extLst>
            </c:dLbl>
            <c:dLbl>
              <c:idx val="292"/>
              <c:tx>
                <c:rich>
                  <a:bodyPr/>
                  <a:lstStyle/>
                  <a:p>
                    <a:fld id="{9C2B63E3-317A-45A1-9CB2-B589200A3BAB}"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8E-4867-42A3-AD23-EDF580A2706D}"/>
                </c:ext>
              </c:extLst>
            </c:dLbl>
            <c:dLbl>
              <c:idx val="293"/>
              <c:tx>
                <c:rich>
                  <a:bodyPr/>
                  <a:lstStyle/>
                  <a:p>
                    <a:fld id="{63212B61-7FA6-45CC-B07D-FC32FCEA496E}"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8F-4867-42A3-AD23-EDF580A2706D}"/>
                </c:ext>
              </c:extLst>
            </c:dLbl>
            <c:dLbl>
              <c:idx val="294"/>
              <c:tx>
                <c:rich>
                  <a:bodyPr/>
                  <a:lstStyle/>
                  <a:p>
                    <a:fld id="{5B2A32C4-6FDA-44FD-A6AC-9535B2C833F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90-4867-42A3-AD23-EDF580A2706D}"/>
                </c:ext>
              </c:extLst>
            </c:dLbl>
            <c:dLbl>
              <c:idx val="295"/>
              <c:tx>
                <c:rich>
                  <a:bodyPr/>
                  <a:lstStyle/>
                  <a:p>
                    <a:fld id="{0EB50CA9-8230-499D-BF23-E1DC57270BE0}"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91-4867-42A3-AD23-EDF580A2706D}"/>
                </c:ext>
              </c:extLst>
            </c:dLbl>
            <c:dLbl>
              <c:idx val="296"/>
              <c:tx>
                <c:rich>
                  <a:bodyPr/>
                  <a:lstStyle/>
                  <a:p>
                    <a:fld id="{2CD2DCB4-4ED7-49FB-92A8-4CC15F6B08EA}"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92-4867-42A3-AD23-EDF580A2706D}"/>
                </c:ext>
              </c:extLst>
            </c:dLbl>
            <c:dLbl>
              <c:idx val="297"/>
              <c:tx>
                <c:rich>
                  <a:bodyPr/>
                  <a:lstStyle/>
                  <a:p>
                    <a:fld id="{1CC97706-6D5B-4F07-9A91-7EEAC8944D86}"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93-4867-42A3-AD23-EDF580A2706D}"/>
                </c:ext>
              </c:extLst>
            </c:dLbl>
            <c:dLbl>
              <c:idx val="298"/>
              <c:tx>
                <c:rich>
                  <a:bodyPr/>
                  <a:lstStyle/>
                  <a:p>
                    <a:fld id="{54D4C1B3-E6E7-492A-8013-50AC9FAE546E}"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94-4867-42A3-AD23-EDF580A2706D}"/>
                </c:ext>
              </c:extLst>
            </c:dLbl>
            <c:dLbl>
              <c:idx val="299"/>
              <c:tx>
                <c:rich>
                  <a:bodyPr/>
                  <a:lstStyle/>
                  <a:p>
                    <a:fld id="{825587B0-724D-416F-9D01-88A42C03F2BB}"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95-4867-42A3-AD23-EDF580A2706D}"/>
                </c:ext>
              </c:extLst>
            </c:dLbl>
            <c:dLbl>
              <c:idx val="300"/>
              <c:tx>
                <c:rich>
                  <a:bodyPr/>
                  <a:lstStyle/>
                  <a:p>
                    <a:fld id="{0A636D6B-C02A-43B4-8396-61396978476D}"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96-4867-42A3-AD23-EDF580A2706D}"/>
                </c:ext>
              </c:extLst>
            </c:dLbl>
            <c:dLbl>
              <c:idx val="301"/>
              <c:tx>
                <c:rich>
                  <a:bodyPr/>
                  <a:lstStyle/>
                  <a:p>
                    <a:fld id="{FCA9E915-14C3-4315-AE17-F0C7D51DA450}"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97-4867-42A3-AD23-EDF580A2706D}"/>
                </c:ext>
              </c:extLst>
            </c:dLbl>
            <c:dLbl>
              <c:idx val="302"/>
              <c:tx>
                <c:rich>
                  <a:bodyPr/>
                  <a:lstStyle/>
                  <a:p>
                    <a:fld id="{03A761F3-F850-45E1-AFE5-5D11206E8A88}"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98-4867-42A3-AD23-EDF580A2706D}"/>
                </c:ext>
              </c:extLst>
            </c:dLbl>
            <c:dLbl>
              <c:idx val="303"/>
              <c:tx>
                <c:rich>
                  <a:bodyPr/>
                  <a:lstStyle/>
                  <a:p>
                    <a:fld id="{572EC7A5-1A42-46FD-9E66-DD4716C5DAFD}"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99-4867-42A3-AD23-EDF580A2706D}"/>
                </c:ext>
              </c:extLst>
            </c:dLbl>
            <c:dLbl>
              <c:idx val="304"/>
              <c:tx>
                <c:rich>
                  <a:bodyPr/>
                  <a:lstStyle/>
                  <a:p>
                    <a:fld id="{1CB912BA-01BC-4396-B68F-43B456F723E5}"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9A-4867-42A3-AD23-EDF580A2706D}"/>
                </c:ext>
              </c:extLst>
            </c:dLbl>
            <c:dLbl>
              <c:idx val="305"/>
              <c:tx>
                <c:rich>
                  <a:bodyPr/>
                  <a:lstStyle/>
                  <a:p>
                    <a:fld id="{2678BFB4-77AE-4E6E-BFA4-559E3F9374BA}"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9B-4867-42A3-AD23-EDF580A2706D}"/>
                </c:ext>
              </c:extLst>
            </c:dLbl>
            <c:dLbl>
              <c:idx val="306"/>
              <c:tx>
                <c:rich>
                  <a:bodyPr/>
                  <a:lstStyle/>
                  <a:p>
                    <a:fld id="{F3EB324C-529A-4EB1-A073-E71440FC0823}"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9C-4867-42A3-AD23-EDF580A2706D}"/>
                </c:ext>
              </c:extLst>
            </c:dLbl>
            <c:dLbl>
              <c:idx val="307"/>
              <c:tx>
                <c:rich>
                  <a:bodyPr/>
                  <a:lstStyle/>
                  <a:p>
                    <a:fld id="{ACFD9424-2CFA-4D57-8785-7C61B4AD9107}"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9D-4867-42A3-AD23-EDF580A2706D}"/>
                </c:ext>
              </c:extLst>
            </c:dLbl>
            <c:dLbl>
              <c:idx val="308"/>
              <c:tx>
                <c:rich>
                  <a:bodyPr/>
                  <a:lstStyle/>
                  <a:p>
                    <a:fld id="{288FEFC9-9938-4790-83AB-CA4F79B93456}"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9E-4867-42A3-AD23-EDF580A2706D}"/>
                </c:ext>
              </c:extLst>
            </c:dLbl>
            <c:dLbl>
              <c:idx val="309"/>
              <c:tx>
                <c:rich>
                  <a:bodyPr/>
                  <a:lstStyle/>
                  <a:p>
                    <a:fld id="{502BBECE-B0F7-402D-86EF-F3CFF8F007C6}"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9F-4867-42A3-AD23-EDF580A2706D}"/>
                </c:ext>
              </c:extLst>
            </c:dLbl>
            <c:dLbl>
              <c:idx val="310"/>
              <c:tx>
                <c:rich>
                  <a:bodyPr/>
                  <a:lstStyle/>
                  <a:p>
                    <a:fld id="{9798C3CD-64D3-47C1-8EE8-54A12E5713E9}"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A0-4867-42A3-AD23-EDF580A2706D}"/>
                </c:ext>
              </c:extLst>
            </c:dLbl>
            <c:dLbl>
              <c:idx val="311"/>
              <c:tx>
                <c:rich>
                  <a:bodyPr/>
                  <a:lstStyle/>
                  <a:p>
                    <a:fld id="{9BA2E468-83AB-42E7-B1E1-962542741863}"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A1-4867-42A3-AD23-EDF580A2706D}"/>
                </c:ext>
              </c:extLst>
            </c:dLbl>
            <c:dLbl>
              <c:idx val="312"/>
              <c:tx>
                <c:rich>
                  <a:bodyPr/>
                  <a:lstStyle/>
                  <a:p>
                    <a:fld id="{438C221A-D3B5-455A-9688-02A78A25EFBF}"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A2-4867-42A3-AD23-EDF580A2706D}"/>
                </c:ext>
              </c:extLst>
            </c:dLbl>
            <c:dLbl>
              <c:idx val="313"/>
              <c:tx>
                <c:rich>
                  <a:bodyPr/>
                  <a:lstStyle/>
                  <a:p>
                    <a:fld id="{7A94EEC8-D640-45CA-A440-378CB0B2C89C}"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A3-4867-42A3-AD23-EDF580A2706D}"/>
                </c:ext>
              </c:extLst>
            </c:dLbl>
            <c:dLbl>
              <c:idx val="314"/>
              <c:tx>
                <c:rich>
                  <a:bodyPr/>
                  <a:lstStyle/>
                  <a:p>
                    <a:fld id="{A77692A3-7C6C-46F1-A7AD-017A7791FCA3}"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A4-4867-42A3-AD23-EDF580A2706D}"/>
                </c:ext>
              </c:extLst>
            </c:dLbl>
            <c:dLbl>
              <c:idx val="315"/>
              <c:tx>
                <c:rich>
                  <a:bodyPr/>
                  <a:lstStyle/>
                  <a:p>
                    <a:fld id="{C5E76D12-F9D8-4F26-B4A2-D6E1C4CD5F3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A5-4867-42A3-AD23-EDF580A2706D}"/>
                </c:ext>
              </c:extLst>
            </c:dLbl>
            <c:dLbl>
              <c:idx val="316"/>
              <c:tx>
                <c:rich>
                  <a:bodyPr/>
                  <a:lstStyle/>
                  <a:p>
                    <a:fld id="{1A9EB3F6-BB5D-4753-904B-8548B4F722DC}"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A6-4867-42A3-AD23-EDF580A2706D}"/>
                </c:ext>
              </c:extLst>
            </c:dLbl>
            <c:dLbl>
              <c:idx val="317"/>
              <c:tx>
                <c:rich>
                  <a:bodyPr/>
                  <a:lstStyle/>
                  <a:p>
                    <a:fld id="{9E1837A4-7F5C-4674-95DA-6390255CC376}"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A7-4867-42A3-AD23-EDF580A2706D}"/>
                </c:ext>
              </c:extLst>
            </c:dLbl>
            <c:dLbl>
              <c:idx val="319"/>
              <c:tx>
                <c:rich>
                  <a:bodyPr/>
                  <a:lstStyle/>
                  <a:p>
                    <a:fld id="{315E2F11-857D-4538-8714-5CDB0B97FF4D}"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A8-4867-42A3-AD23-EDF580A2706D}"/>
                </c:ext>
              </c:extLst>
            </c:dLbl>
            <c:dLbl>
              <c:idx val="320"/>
              <c:tx>
                <c:rich>
                  <a:bodyPr/>
                  <a:lstStyle/>
                  <a:p>
                    <a:fld id="{F305FEB0-D1AA-4EAB-8E60-8617AE3A301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A9-4867-42A3-AD23-EDF580A2706D}"/>
                </c:ext>
              </c:extLst>
            </c:dLbl>
            <c:dLbl>
              <c:idx val="321"/>
              <c:tx>
                <c:rich>
                  <a:bodyPr/>
                  <a:lstStyle/>
                  <a:p>
                    <a:fld id="{2321FDE8-DD08-49E0-A61E-D44FB0EDCC9A}"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AA-4867-42A3-AD23-EDF580A2706D}"/>
                </c:ext>
              </c:extLst>
            </c:dLbl>
            <c:dLbl>
              <c:idx val="322"/>
              <c:tx>
                <c:rich>
                  <a:bodyPr/>
                  <a:lstStyle/>
                  <a:p>
                    <a:fld id="{548A700C-9318-458D-BEED-8FEF202B0D0F}"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AB-4867-42A3-AD23-EDF580A2706D}"/>
                </c:ext>
              </c:extLst>
            </c:dLbl>
            <c:dLbl>
              <c:idx val="323"/>
              <c:tx>
                <c:rich>
                  <a:bodyPr/>
                  <a:lstStyle/>
                  <a:p>
                    <a:fld id="{5E3EE13C-769C-4B6E-9561-19A4A1065D61}"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AC-4867-42A3-AD23-EDF580A2706D}"/>
                </c:ext>
              </c:extLst>
            </c:dLbl>
            <c:dLbl>
              <c:idx val="324"/>
              <c:tx>
                <c:rich>
                  <a:bodyPr/>
                  <a:lstStyle/>
                  <a:p>
                    <a:fld id="{CCB11A8F-5E33-4830-9C36-ACCDA165CEAC}"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AD-4867-42A3-AD23-EDF580A2706D}"/>
                </c:ext>
              </c:extLst>
            </c:dLbl>
            <c:dLbl>
              <c:idx val="325"/>
              <c:tx>
                <c:rich>
                  <a:bodyPr/>
                  <a:lstStyle/>
                  <a:p>
                    <a:fld id="{AF0CF468-3BC8-4F1A-9681-09EEB1E18687}"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AE-4867-42A3-AD23-EDF580A2706D}"/>
                </c:ext>
              </c:extLst>
            </c:dLbl>
            <c:dLbl>
              <c:idx val="326"/>
              <c:tx>
                <c:rich>
                  <a:bodyPr/>
                  <a:lstStyle/>
                  <a:p>
                    <a:fld id="{E6E846F5-469B-4F1A-B18C-16502B43495B}"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AF-4867-42A3-AD23-EDF580A2706D}"/>
                </c:ext>
              </c:extLst>
            </c:dLbl>
            <c:dLbl>
              <c:idx val="327"/>
              <c:tx>
                <c:rich>
                  <a:bodyPr/>
                  <a:lstStyle/>
                  <a:p>
                    <a:fld id="{65B8D5E3-28D5-42A1-AF7C-70E7C541102A}"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B0-4867-42A3-AD23-EDF580A2706D}"/>
                </c:ext>
              </c:extLst>
            </c:dLbl>
            <c:dLbl>
              <c:idx val="328"/>
              <c:tx>
                <c:rich>
                  <a:bodyPr/>
                  <a:lstStyle/>
                  <a:p>
                    <a:fld id="{93880A94-3AFC-45BD-958E-981899C44EBB}"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B1-4867-42A3-AD23-EDF580A2706D}"/>
                </c:ext>
              </c:extLst>
            </c:dLbl>
            <c:dLbl>
              <c:idx val="329"/>
              <c:tx>
                <c:rich>
                  <a:bodyPr/>
                  <a:lstStyle/>
                  <a:p>
                    <a:fld id="{3B676687-EFC0-4E3E-A3B4-1D8E355E5A25}"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B2-4867-42A3-AD23-EDF580A2706D}"/>
                </c:ext>
              </c:extLst>
            </c:dLbl>
            <c:dLbl>
              <c:idx val="330"/>
              <c:tx>
                <c:rich>
                  <a:bodyPr/>
                  <a:lstStyle/>
                  <a:p>
                    <a:fld id="{CEC60B9A-5227-41B9-A58A-574A68B05DBF}"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B3-4867-42A3-AD23-EDF580A2706D}"/>
                </c:ext>
              </c:extLst>
            </c:dLbl>
            <c:dLbl>
              <c:idx val="331"/>
              <c:tx>
                <c:rich>
                  <a:bodyPr/>
                  <a:lstStyle/>
                  <a:p>
                    <a:fld id="{EB5A2B6E-6971-498A-B7A4-4812670D066F}"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B4-4867-42A3-AD23-EDF580A2706D}"/>
                </c:ext>
              </c:extLst>
            </c:dLbl>
            <c:dLbl>
              <c:idx val="332"/>
              <c:tx>
                <c:rich>
                  <a:bodyPr/>
                  <a:lstStyle/>
                  <a:p>
                    <a:fld id="{218A6F5F-6BBF-481C-B98F-C9AB31F34012}"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B5-4867-42A3-AD23-EDF580A2706D}"/>
                </c:ext>
              </c:extLst>
            </c:dLbl>
            <c:dLbl>
              <c:idx val="333"/>
              <c:tx>
                <c:rich>
                  <a:bodyPr/>
                  <a:lstStyle/>
                  <a:p>
                    <a:fld id="{C86F8CF4-EC2B-46AE-94ED-BC3F7A02B37A}"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B6-4867-42A3-AD23-EDF580A2706D}"/>
                </c:ext>
              </c:extLst>
            </c:dLbl>
            <c:dLbl>
              <c:idx val="334"/>
              <c:tx>
                <c:rich>
                  <a:bodyPr/>
                  <a:lstStyle/>
                  <a:p>
                    <a:fld id="{3D112A94-D8B4-4CCC-AB21-462BBCD54A3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B7-4867-42A3-AD23-EDF580A2706D}"/>
                </c:ext>
              </c:extLst>
            </c:dLbl>
            <c:dLbl>
              <c:idx val="335"/>
              <c:tx>
                <c:rich>
                  <a:bodyPr/>
                  <a:lstStyle/>
                  <a:p>
                    <a:fld id="{6A626816-D5C9-4FD9-B6C8-B0D1DB1B663F}"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B8-4867-42A3-AD23-EDF580A2706D}"/>
                </c:ext>
              </c:extLst>
            </c:dLbl>
            <c:dLbl>
              <c:idx val="336"/>
              <c:tx>
                <c:rich>
                  <a:bodyPr/>
                  <a:lstStyle/>
                  <a:p>
                    <a:fld id="{460343D0-8330-4299-B239-E9AD1CD9432B}"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B9-4867-42A3-AD23-EDF580A2706D}"/>
                </c:ext>
              </c:extLst>
            </c:dLbl>
            <c:dLbl>
              <c:idx val="337"/>
              <c:tx>
                <c:rich>
                  <a:bodyPr/>
                  <a:lstStyle/>
                  <a:p>
                    <a:fld id="{79B4DB29-B372-4B71-B82E-5207CD927CA0}"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BA-4867-42A3-AD23-EDF580A2706D}"/>
                </c:ext>
              </c:extLst>
            </c:dLbl>
            <c:dLbl>
              <c:idx val="338"/>
              <c:tx>
                <c:rich>
                  <a:bodyPr/>
                  <a:lstStyle/>
                  <a:p>
                    <a:fld id="{CC782284-78E1-4434-B04E-57CC4413D7EC}"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BB-4867-42A3-AD23-EDF580A2706D}"/>
                </c:ext>
              </c:extLst>
            </c:dLbl>
            <c:dLbl>
              <c:idx val="339"/>
              <c:tx>
                <c:rich>
                  <a:bodyPr/>
                  <a:lstStyle/>
                  <a:p>
                    <a:fld id="{CC6C842F-0546-4FD8-BE72-15815E1E79FE}"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BC-4867-42A3-AD23-EDF580A2706D}"/>
                </c:ext>
              </c:extLst>
            </c:dLbl>
            <c:dLbl>
              <c:idx val="340"/>
              <c:tx>
                <c:rich>
                  <a:bodyPr/>
                  <a:lstStyle/>
                  <a:p>
                    <a:fld id="{BC231ADB-372D-4453-BED7-8EA0BC24A269}"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BD-4867-42A3-AD23-EDF580A2706D}"/>
                </c:ext>
              </c:extLst>
            </c:dLbl>
            <c:dLbl>
              <c:idx val="341"/>
              <c:tx>
                <c:rich>
                  <a:bodyPr/>
                  <a:lstStyle/>
                  <a:p>
                    <a:fld id="{B4C42878-891D-4A41-B162-B779E6C5158C}"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BE-4867-42A3-AD23-EDF580A2706D}"/>
                </c:ext>
              </c:extLst>
            </c:dLbl>
            <c:dLbl>
              <c:idx val="342"/>
              <c:tx>
                <c:rich>
                  <a:bodyPr/>
                  <a:lstStyle/>
                  <a:p>
                    <a:fld id="{0749051C-3EDA-414D-B413-7B364BE25D68}"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BF-4867-42A3-AD23-EDF580A2706D}"/>
                </c:ext>
              </c:extLst>
            </c:dLbl>
            <c:dLbl>
              <c:idx val="343"/>
              <c:tx>
                <c:rich>
                  <a:bodyPr/>
                  <a:lstStyle/>
                  <a:p>
                    <a:fld id="{AD6AD146-EF6B-47BE-99FC-534095BAD76F}"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C0-4867-42A3-AD23-EDF580A2706D}"/>
                </c:ext>
              </c:extLst>
            </c:dLbl>
            <c:dLbl>
              <c:idx val="344"/>
              <c:tx>
                <c:rich>
                  <a:bodyPr/>
                  <a:lstStyle/>
                  <a:p>
                    <a:fld id="{06335B99-4389-46FE-B958-B00968D24F51}"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C1-4867-42A3-AD23-EDF580A2706D}"/>
                </c:ext>
              </c:extLst>
            </c:dLbl>
            <c:dLbl>
              <c:idx val="345"/>
              <c:tx>
                <c:rich>
                  <a:bodyPr/>
                  <a:lstStyle/>
                  <a:p>
                    <a:fld id="{D0579DD4-63F3-4976-93E2-C1D4F08AABA2}"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C2-4867-42A3-AD23-EDF580A2706D}"/>
                </c:ext>
              </c:extLst>
            </c:dLbl>
            <c:dLbl>
              <c:idx val="346"/>
              <c:tx>
                <c:rich>
                  <a:bodyPr/>
                  <a:lstStyle/>
                  <a:p>
                    <a:fld id="{BB468B44-B45F-4CEC-BE39-6B432F365B22}"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C3-4867-42A3-AD23-EDF580A2706D}"/>
                </c:ext>
              </c:extLst>
            </c:dLbl>
            <c:dLbl>
              <c:idx val="347"/>
              <c:tx>
                <c:rich>
                  <a:bodyPr/>
                  <a:lstStyle/>
                  <a:p>
                    <a:fld id="{A145A732-C86D-457B-B36F-5F9E9EBFC5A3}"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C4-4867-42A3-AD23-EDF580A2706D}"/>
                </c:ext>
              </c:extLst>
            </c:dLbl>
            <c:dLbl>
              <c:idx val="348"/>
              <c:tx>
                <c:rich>
                  <a:bodyPr/>
                  <a:lstStyle/>
                  <a:p>
                    <a:fld id="{FAB3E52F-1587-4890-9BF4-2D5B50449CEC}"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C5-4867-42A3-AD23-EDF580A2706D}"/>
                </c:ext>
              </c:extLst>
            </c:dLbl>
            <c:dLbl>
              <c:idx val="349"/>
              <c:tx>
                <c:rich>
                  <a:bodyPr/>
                  <a:lstStyle/>
                  <a:p>
                    <a:fld id="{4F3C172E-7851-403B-B94C-278771CFFF2E}"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C6-4867-42A3-AD23-EDF580A2706D}"/>
                </c:ext>
              </c:extLst>
            </c:dLbl>
            <c:dLbl>
              <c:idx val="350"/>
              <c:tx>
                <c:rich>
                  <a:bodyPr/>
                  <a:lstStyle/>
                  <a:p>
                    <a:fld id="{10AB9706-9CD4-4228-8AD3-743ECB045D4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C7-4867-42A3-AD23-EDF580A2706D}"/>
                </c:ext>
              </c:extLst>
            </c:dLbl>
            <c:dLbl>
              <c:idx val="351"/>
              <c:tx>
                <c:rich>
                  <a:bodyPr/>
                  <a:lstStyle/>
                  <a:p>
                    <a:fld id="{C87AEF19-0A53-4376-879E-AB7F0BDFACCA}"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C8-4867-42A3-AD23-EDF580A2706D}"/>
                </c:ext>
              </c:extLst>
            </c:dLbl>
            <c:dLbl>
              <c:idx val="352"/>
              <c:tx>
                <c:rich>
                  <a:bodyPr/>
                  <a:lstStyle/>
                  <a:p>
                    <a:fld id="{FE589E36-C6DF-49F2-BB62-495CD5FCA122}"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C9-4867-42A3-AD23-EDF580A2706D}"/>
                </c:ext>
              </c:extLst>
            </c:dLbl>
            <c:dLbl>
              <c:idx val="354"/>
              <c:tx>
                <c:rich>
                  <a:bodyPr/>
                  <a:lstStyle/>
                  <a:p>
                    <a:fld id="{64BE8C67-2D9C-4AED-B13E-6AA52CFA1107}"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CA-4867-42A3-AD23-EDF580A2706D}"/>
                </c:ext>
              </c:extLst>
            </c:dLbl>
            <c:dLbl>
              <c:idx val="355"/>
              <c:tx>
                <c:rich>
                  <a:bodyPr/>
                  <a:lstStyle/>
                  <a:p>
                    <a:fld id="{64C2EB1E-C55D-4D15-8E33-0FA9A767C506}"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CB-4867-42A3-AD23-EDF580A2706D}"/>
                </c:ext>
              </c:extLst>
            </c:dLbl>
            <c:dLbl>
              <c:idx val="356"/>
              <c:tx>
                <c:rich>
                  <a:bodyPr/>
                  <a:lstStyle/>
                  <a:p>
                    <a:fld id="{0D2D4532-3F66-402A-9B8D-501FC24CAFA7}"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CC-4867-42A3-AD23-EDF580A2706D}"/>
                </c:ext>
              </c:extLst>
            </c:dLbl>
            <c:dLbl>
              <c:idx val="357"/>
              <c:tx>
                <c:rich>
                  <a:bodyPr/>
                  <a:lstStyle/>
                  <a:p>
                    <a:fld id="{4A05C201-CF6E-4C8B-BBC7-29651087173C}"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CD-4867-42A3-AD23-EDF580A2706D}"/>
                </c:ext>
              </c:extLst>
            </c:dLbl>
            <c:dLbl>
              <c:idx val="358"/>
              <c:tx>
                <c:rich>
                  <a:bodyPr/>
                  <a:lstStyle/>
                  <a:p>
                    <a:fld id="{27B57405-1D59-4A1D-AF4D-490F216110F8}"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CE-4867-42A3-AD23-EDF580A2706D}"/>
                </c:ext>
              </c:extLst>
            </c:dLbl>
            <c:dLbl>
              <c:idx val="359"/>
              <c:tx>
                <c:rich>
                  <a:bodyPr/>
                  <a:lstStyle/>
                  <a:p>
                    <a:fld id="{D5AFF5F6-A5AE-41B9-96C0-F442F67FB7E1}"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CF-4867-42A3-AD23-EDF580A2706D}"/>
                </c:ext>
              </c:extLst>
            </c:dLbl>
            <c:dLbl>
              <c:idx val="360"/>
              <c:tx>
                <c:rich>
                  <a:bodyPr/>
                  <a:lstStyle/>
                  <a:p>
                    <a:fld id="{FA158DAD-610C-4C4F-8662-EAD6BBD969D0}"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D0-4867-42A3-AD23-EDF580A2706D}"/>
                </c:ext>
              </c:extLst>
            </c:dLbl>
            <c:dLbl>
              <c:idx val="361"/>
              <c:tx>
                <c:rich>
                  <a:bodyPr/>
                  <a:lstStyle/>
                  <a:p>
                    <a:fld id="{DB09D594-487C-4405-89AA-9088BD89F220}"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D1-4867-42A3-AD23-EDF580A2706D}"/>
                </c:ext>
              </c:extLst>
            </c:dLbl>
            <c:dLbl>
              <c:idx val="362"/>
              <c:tx>
                <c:rich>
                  <a:bodyPr/>
                  <a:lstStyle/>
                  <a:p>
                    <a:fld id="{1408C510-587E-4F02-93F5-02E06876118E}"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D2-4867-42A3-AD23-EDF580A2706D}"/>
                </c:ext>
              </c:extLst>
            </c:dLbl>
            <c:dLbl>
              <c:idx val="363"/>
              <c:tx>
                <c:rich>
                  <a:bodyPr/>
                  <a:lstStyle/>
                  <a:p>
                    <a:fld id="{B2230139-DA69-4AA3-8EFD-72748424915E}"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D3-4867-42A3-AD23-EDF580A2706D}"/>
                </c:ext>
              </c:extLst>
            </c:dLbl>
            <c:dLbl>
              <c:idx val="364"/>
              <c:tx>
                <c:rich>
                  <a:bodyPr/>
                  <a:lstStyle/>
                  <a:p>
                    <a:fld id="{E7FC91E9-D28C-4315-AEA2-15F3DC9F4979}"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D4-4867-42A3-AD23-EDF580A2706D}"/>
                </c:ext>
              </c:extLst>
            </c:dLbl>
            <c:dLbl>
              <c:idx val="365"/>
              <c:tx>
                <c:rich>
                  <a:bodyPr/>
                  <a:lstStyle/>
                  <a:p>
                    <a:fld id="{EE6A0436-6783-48D9-A428-107094BEA38F}"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D5-4867-42A3-AD23-EDF580A2706D}"/>
                </c:ext>
              </c:extLst>
            </c:dLbl>
            <c:dLbl>
              <c:idx val="366"/>
              <c:tx>
                <c:rich>
                  <a:bodyPr/>
                  <a:lstStyle/>
                  <a:p>
                    <a:fld id="{DFC4EE4E-FC78-4A04-8EDA-502F655DD13A}"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D6-4867-42A3-AD23-EDF580A2706D}"/>
                </c:ext>
              </c:extLst>
            </c:dLbl>
            <c:dLbl>
              <c:idx val="368"/>
              <c:tx>
                <c:rich>
                  <a:bodyPr/>
                  <a:lstStyle/>
                  <a:p>
                    <a:fld id="{A495D383-FEF7-433B-8C20-4075A55ABB51}"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D7-4867-42A3-AD23-EDF580A2706D}"/>
                </c:ext>
              </c:extLst>
            </c:dLbl>
            <c:dLbl>
              <c:idx val="369"/>
              <c:tx>
                <c:rich>
                  <a:bodyPr/>
                  <a:lstStyle/>
                  <a:p>
                    <a:fld id="{8953E311-63CD-4B8A-9E59-33E750F8ADFA}"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D8-4867-42A3-AD23-EDF580A2706D}"/>
                </c:ext>
              </c:extLst>
            </c:dLbl>
            <c:dLbl>
              <c:idx val="370"/>
              <c:tx>
                <c:rich>
                  <a:bodyPr/>
                  <a:lstStyle/>
                  <a:p>
                    <a:fld id="{1E00D0EA-6814-4A6A-A8ED-1F7940680BBE}"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D9-4867-42A3-AD23-EDF580A2706D}"/>
                </c:ext>
              </c:extLst>
            </c:dLbl>
            <c:dLbl>
              <c:idx val="371"/>
              <c:tx>
                <c:rich>
                  <a:bodyPr/>
                  <a:lstStyle/>
                  <a:p>
                    <a:fld id="{698ED09A-DA8F-4B09-B763-F23A11FBFF18}"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DA-4867-42A3-AD23-EDF580A2706D}"/>
                </c:ext>
              </c:extLst>
            </c:dLbl>
            <c:dLbl>
              <c:idx val="373"/>
              <c:tx>
                <c:rich>
                  <a:bodyPr/>
                  <a:lstStyle/>
                  <a:p>
                    <a:fld id="{283F2174-DDEA-4805-BD32-D84212830B6A}"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DB-4867-42A3-AD23-EDF580A2706D}"/>
                </c:ext>
              </c:extLst>
            </c:dLbl>
            <c:dLbl>
              <c:idx val="374"/>
              <c:tx>
                <c:rich>
                  <a:bodyPr/>
                  <a:lstStyle/>
                  <a:p>
                    <a:fld id="{2B48F2FD-C873-4517-A6AD-1747BAE0A11D}"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DC-4867-42A3-AD23-EDF580A2706D}"/>
                </c:ext>
              </c:extLst>
            </c:dLbl>
            <c:dLbl>
              <c:idx val="375"/>
              <c:tx>
                <c:rich>
                  <a:bodyPr/>
                  <a:lstStyle/>
                  <a:p>
                    <a:fld id="{3001EFE8-573F-484D-A153-712DFAFDF187}"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DD-4867-42A3-AD23-EDF580A2706D}"/>
                </c:ext>
              </c:extLst>
            </c:dLbl>
            <c:dLbl>
              <c:idx val="376"/>
              <c:tx>
                <c:rich>
                  <a:bodyPr/>
                  <a:lstStyle/>
                  <a:p>
                    <a:fld id="{9F9BF03A-4906-48CD-9C2B-34E83E6E84C0}"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DE-4867-42A3-AD23-EDF580A2706D}"/>
                </c:ext>
              </c:extLst>
            </c:dLbl>
            <c:dLbl>
              <c:idx val="377"/>
              <c:tx>
                <c:rich>
                  <a:bodyPr/>
                  <a:lstStyle/>
                  <a:p>
                    <a:fld id="{E3E18B60-4240-4331-93D2-AB9B17B43FCD}"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DF-4867-42A3-AD23-EDF580A2706D}"/>
                </c:ext>
              </c:extLst>
            </c:dLbl>
            <c:dLbl>
              <c:idx val="378"/>
              <c:tx>
                <c:rich>
                  <a:bodyPr/>
                  <a:lstStyle/>
                  <a:p>
                    <a:fld id="{A95E0956-431D-4D8D-AD26-086DE144C4DF}"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E0-4867-42A3-AD23-EDF580A2706D}"/>
                </c:ext>
              </c:extLst>
            </c:dLbl>
            <c:dLbl>
              <c:idx val="379"/>
              <c:tx>
                <c:rich>
                  <a:bodyPr/>
                  <a:lstStyle/>
                  <a:p>
                    <a:fld id="{6E62F0EF-1AA0-47F7-BBF6-E1F6F6963A31}"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E1-4867-42A3-AD23-EDF580A2706D}"/>
                </c:ext>
              </c:extLst>
            </c:dLbl>
            <c:dLbl>
              <c:idx val="380"/>
              <c:tx>
                <c:rich>
                  <a:bodyPr/>
                  <a:lstStyle/>
                  <a:p>
                    <a:fld id="{DC15C1BB-24A7-4EAC-8833-B3C19AA940B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E2-4867-42A3-AD23-EDF580A2706D}"/>
                </c:ext>
              </c:extLst>
            </c:dLbl>
            <c:dLbl>
              <c:idx val="381"/>
              <c:tx>
                <c:rich>
                  <a:bodyPr/>
                  <a:lstStyle/>
                  <a:p>
                    <a:fld id="{A9246D84-EA9B-40B6-BF84-134348EC1021}"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E3-4867-42A3-AD23-EDF580A2706D}"/>
                </c:ext>
              </c:extLst>
            </c:dLbl>
            <c:dLbl>
              <c:idx val="382"/>
              <c:tx>
                <c:rich>
                  <a:bodyPr/>
                  <a:lstStyle/>
                  <a:p>
                    <a:fld id="{19F3B7C9-C019-4490-957F-6CD9503B7E7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E4-4867-42A3-AD23-EDF580A2706D}"/>
                </c:ext>
              </c:extLst>
            </c:dLbl>
            <c:dLbl>
              <c:idx val="383"/>
              <c:tx>
                <c:rich>
                  <a:bodyPr/>
                  <a:lstStyle/>
                  <a:p>
                    <a:fld id="{8B44268A-2172-4E71-BD6F-FAB1788684E3}"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E5-4867-42A3-AD23-EDF580A2706D}"/>
                </c:ext>
              </c:extLst>
            </c:dLbl>
            <c:dLbl>
              <c:idx val="384"/>
              <c:tx>
                <c:rich>
                  <a:bodyPr/>
                  <a:lstStyle/>
                  <a:p>
                    <a:fld id="{798EB9FC-AC80-4469-8FB1-1E00A65BD80E}"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E6-4867-42A3-AD23-EDF580A2706D}"/>
                </c:ext>
              </c:extLst>
            </c:dLbl>
            <c:dLbl>
              <c:idx val="385"/>
              <c:tx>
                <c:rich>
                  <a:bodyPr/>
                  <a:lstStyle/>
                  <a:p>
                    <a:fld id="{17B64A7E-9968-4302-AEF6-C76F91FFECD0}"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E7-4867-42A3-AD23-EDF580A2706D}"/>
                </c:ext>
              </c:extLst>
            </c:dLbl>
            <c:dLbl>
              <c:idx val="386"/>
              <c:tx>
                <c:rich>
                  <a:bodyPr/>
                  <a:lstStyle/>
                  <a:p>
                    <a:fld id="{A9DF0650-126E-4D32-B6B8-03D94FC639BF}"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E8-4867-42A3-AD23-EDF580A2706D}"/>
                </c:ext>
              </c:extLst>
            </c:dLbl>
            <c:dLbl>
              <c:idx val="387"/>
              <c:tx>
                <c:rich>
                  <a:bodyPr/>
                  <a:lstStyle/>
                  <a:p>
                    <a:fld id="{F887018C-4A0B-4092-B1CA-EFB23F246B5A}"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E9-4867-42A3-AD23-EDF580A2706D}"/>
                </c:ext>
              </c:extLst>
            </c:dLbl>
            <c:dLbl>
              <c:idx val="388"/>
              <c:tx>
                <c:rich>
                  <a:bodyPr/>
                  <a:lstStyle/>
                  <a:p>
                    <a:fld id="{BAB1131E-BE9C-41C9-83E5-E65606BA828F}"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EA-4867-42A3-AD23-EDF580A2706D}"/>
                </c:ext>
              </c:extLst>
            </c:dLbl>
            <c:dLbl>
              <c:idx val="389"/>
              <c:tx>
                <c:rich>
                  <a:bodyPr/>
                  <a:lstStyle/>
                  <a:p>
                    <a:fld id="{273347C0-C70E-4782-9E29-DFF8E94A6881}"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EB-4867-42A3-AD23-EDF580A2706D}"/>
                </c:ext>
              </c:extLst>
            </c:dLbl>
            <c:dLbl>
              <c:idx val="390"/>
              <c:tx>
                <c:rich>
                  <a:bodyPr/>
                  <a:lstStyle/>
                  <a:p>
                    <a:fld id="{0AD1C762-A965-4B26-8A2C-FBCFB86A2ED1}"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EC-4867-42A3-AD23-EDF580A2706D}"/>
                </c:ext>
              </c:extLst>
            </c:dLbl>
            <c:dLbl>
              <c:idx val="391"/>
              <c:tx>
                <c:rich>
                  <a:bodyPr/>
                  <a:lstStyle/>
                  <a:p>
                    <a:fld id="{ECA6587A-64D1-4239-A075-440FD1942815}"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ED-4867-42A3-AD23-EDF580A2706D}"/>
                </c:ext>
              </c:extLst>
            </c:dLbl>
            <c:dLbl>
              <c:idx val="392"/>
              <c:tx>
                <c:rich>
                  <a:bodyPr/>
                  <a:lstStyle/>
                  <a:p>
                    <a:fld id="{23AF3176-8A95-4C5A-A4B7-3E4B571FC2F7}"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EE-4867-42A3-AD23-EDF580A2706D}"/>
                </c:ext>
              </c:extLst>
            </c:dLbl>
            <c:dLbl>
              <c:idx val="393"/>
              <c:tx>
                <c:rich>
                  <a:bodyPr/>
                  <a:lstStyle/>
                  <a:p>
                    <a:fld id="{897929E1-E901-4B55-AA80-A782FE294ECE}"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EF-4867-42A3-AD23-EDF580A2706D}"/>
                </c:ext>
              </c:extLst>
            </c:dLbl>
            <c:dLbl>
              <c:idx val="394"/>
              <c:tx>
                <c:rich>
                  <a:bodyPr/>
                  <a:lstStyle/>
                  <a:p>
                    <a:fld id="{FDD217D7-2A3C-4D9C-B8A2-C3E809B24336}"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F0-4867-42A3-AD23-EDF580A2706D}"/>
                </c:ext>
              </c:extLst>
            </c:dLbl>
            <c:dLbl>
              <c:idx val="395"/>
              <c:tx>
                <c:rich>
                  <a:bodyPr/>
                  <a:lstStyle/>
                  <a:p>
                    <a:fld id="{C5BD33D6-7E01-48FC-9643-C413A18F1455}"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F1-4867-42A3-AD23-EDF580A2706D}"/>
                </c:ext>
              </c:extLst>
            </c:dLbl>
            <c:dLbl>
              <c:idx val="396"/>
              <c:tx>
                <c:rich>
                  <a:bodyPr/>
                  <a:lstStyle/>
                  <a:p>
                    <a:fld id="{22C27AD1-3C77-42F0-A48C-22E9F152F575}"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F2-4867-42A3-AD23-EDF580A2706D}"/>
                </c:ext>
              </c:extLst>
            </c:dLbl>
            <c:dLbl>
              <c:idx val="397"/>
              <c:tx>
                <c:rich>
                  <a:bodyPr/>
                  <a:lstStyle/>
                  <a:p>
                    <a:fld id="{9A0BA939-5E6B-4B1E-938F-D1F694D0B60B}"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F3-4867-42A3-AD23-EDF580A2706D}"/>
                </c:ext>
              </c:extLst>
            </c:dLbl>
            <c:dLbl>
              <c:idx val="398"/>
              <c:tx>
                <c:rich>
                  <a:bodyPr/>
                  <a:lstStyle/>
                  <a:p>
                    <a:fld id="{DDE99756-CB4E-47E9-B2C3-8E00BECAA1AE}"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F4-4867-42A3-AD23-EDF580A2706D}"/>
                </c:ext>
              </c:extLst>
            </c:dLbl>
            <c:dLbl>
              <c:idx val="399"/>
              <c:tx>
                <c:rich>
                  <a:bodyPr/>
                  <a:lstStyle/>
                  <a:p>
                    <a:fld id="{60A99936-E355-4825-A36A-85C61EE38BBC}"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F5-4867-42A3-AD23-EDF580A2706D}"/>
                </c:ext>
              </c:extLst>
            </c:dLbl>
            <c:dLbl>
              <c:idx val="400"/>
              <c:tx>
                <c:rich>
                  <a:bodyPr/>
                  <a:lstStyle/>
                  <a:p>
                    <a:fld id="{79553ABE-7062-4604-AA43-B6C36BDC479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F6-4867-42A3-AD23-EDF580A2706D}"/>
                </c:ext>
              </c:extLst>
            </c:dLbl>
            <c:dLbl>
              <c:idx val="401"/>
              <c:tx>
                <c:rich>
                  <a:bodyPr/>
                  <a:lstStyle/>
                  <a:p>
                    <a:fld id="{C4FA05E3-248F-4E5F-A632-AA6D242467A1}"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F7-4867-42A3-AD23-EDF580A2706D}"/>
                </c:ext>
              </c:extLst>
            </c:dLbl>
            <c:dLbl>
              <c:idx val="402"/>
              <c:tx>
                <c:rich>
                  <a:bodyPr/>
                  <a:lstStyle/>
                  <a:p>
                    <a:fld id="{70EEDC12-CF3D-4553-A059-06820DC0DB40}"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F8-4867-42A3-AD23-EDF580A2706D}"/>
                </c:ext>
              </c:extLst>
            </c:dLbl>
            <c:dLbl>
              <c:idx val="403"/>
              <c:tx>
                <c:rich>
                  <a:bodyPr/>
                  <a:lstStyle/>
                  <a:p>
                    <a:fld id="{412688BB-3369-4500-8225-E8CB0E894E2F}"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F9-4867-42A3-AD23-EDF580A2706D}"/>
                </c:ext>
              </c:extLst>
            </c:dLbl>
            <c:dLbl>
              <c:idx val="404"/>
              <c:tx>
                <c:rich>
                  <a:bodyPr/>
                  <a:lstStyle/>
                  <a:p>
                    <a:fld id="{A5778F4B-B73C-4581-B92A-87204A3D2DA7}"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FA-4867-42A3-AD23-EDF580A2706D}"/>
                </c:ext>
              </c:extLst>
            </c:dLbl>
            <c:dLbl>
              <c:idx val="405"/>
              <c:tx>
                <c:rich>
                  <a:bodyPr/>
                  <a:lstStyle/>
                  <a:p>
                    <a:fld id="{1B3C9980-938E-4952-A8BB-E84E8ED561BB}"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FB-4867-42A3-AD23-EDF580A2706D}"/>
                </c:ext>
              </c:extLst>
            </c:dLbl>
            <c:dLbl>
              <c:idx val="406"/>
              <c:tx>
                <c:rich>
                  <a:bodyPr/>
                  <a:lstStyle/>
                  <a:p>
                    <a:fld id="{2525E5FD-114D-4D54-9F82-510622F1C8E7}"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FC-4867-42A3-AD23-EDF580A2706D}"/>
                </c:ext>
              </c:extLst>
            </c:dLbl>
            <c:dLbl>
              <c:idx val="407"/>
              <c:tx>
                <c:rich>
                  <a:bodyPr/>
                  <a:lstStyle/>
                  <a:p>
                    <a:fld id="{971D0D8F-70E6-4764-9E05-077BD6F9C166}"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FD-4867-42A3-AD23-EDF580A2706D}"/>
                </c:ext>
              </c:extLst>
            </c:dLbl>
            <c:dLbl>
              <c:idx val="408"/>
              <c:tx>
                <c:rich>
                  <a:bodyPr/>
                  <a:lstStyle/>
                  <a:p>
                    <a:fld id="{40A2F934-1751-4796-9FAF-B3129819D2DF}"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FE-4867-42A3-AD23-EDF580A2706D}"/>
                </c:ext>
              </c:extLst>
            </c:dLbl>
            <c:dLbl>
              <c:idx val="409"/>
              <c:tx>
                <c:rich>
                  <a:bodyPr/>
                  <a:lstStyle/>
                  <a:p>
                    <a:fld id="{21CFF283-A7B3-446E-85E3-6287AB58A0CE}"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FF-4867-42A3-AD23-EDF580A2706D}"/>
                </c:ext>
              </c:extLst>
            </c:dLbl>
            <c:dLbl>
              <c:idx val="410"/>
              <c:tx>
                <c:rich>
                  <a:bodyPr/>
                  <a:lstStyle/>
                  <a:p>
                    <a:fld id="{278EE459-346A-4A33-B381-369B216792A8}"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100-4867-42A3-AD23-EDF580A2706D}"/>
                </c:ext>
              </c:extLst>
            </c:dLbl>
            <c:dLbl>
              <c:idx val="411"/>
              <c:tx>
                <c:rich>
                  <a:bodyPr/>
                  <a:lstStyle/>
                  <a:p>
                    <a:fld id="{F6DACE51-4077-457A-ACA1-E9F2910B6690}"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101-4867-42A3-AD23-EDF580A2706D}"/>
                </c:ext>
              </c:extLst>
            </c:dLbl>
            <c:dLbl>
              <c:idx val="412"/>
              <c:tx>
                <c:rich>
                  <a:bodyPr/>
                  <a:lstStyle/>
                  <a:p>
                    <a:fld id="{9739B315-EC3C-461E-9C76-FFBA7E91B8A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102-4867-42A3-AD23-EDF580A2706D}"/>
                </c:ext>
              </c:extLst>
            </c:dLbl>
            <c:dLbl>
              <c:idx val="413"/>
              <c:tx>
                <c:rich>
                  <a:bodyPr/>
                  <a:lstStyle/>
                  <a:p>
                    <a:fld id="{FCEDB3F8-6715-4505-8407-35A6B29288F0}"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103-4867-42A3-AD23-EDF580A2706D}"/>
                </c:ext>
              </c:extLst>
            </c:dLbl>
            <c:dLbl>
              <c:idx val="414"/>
              <c:tx>
                <c:rich>
                  <a:bodyPr/>
                  <a:lstStyle/>
                  <a:p>
                    <a:fld id="{918DBF33-00D2-4921-AF0B-D0A40F87A1DA}"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104-4867-42A3-AD23-EDF580A2706D}"/>
                </c:ext>
              </c:extLst>
            </c:dLbl>
            <c:dLbl>
              <c:idx val="416"/>
              <c:tx>
                <c:rich>
                  <a:bodyPr/>
                  <a:lstStyle/>
                  <a:p>
                    <a:fld id="{027C292C-C4F3-47C7-B737-6435CA5A73F0}"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105-4867-42A3-AD23-EDF580A2706D}"/>
                </c:ext>
              </c:extLst>
            </c:dLbl>
            <c:dLbl>
              <c:idx val="417"/>
              <c:tx>
                <c:rich>
                  <a:bodyPr/>
                  <a:lstStyle/>
                  <a:p>
                    <a:fld id="{BBA50548-667A-4861-A933-A4E8BA68C55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106-4867-42A3-AD23-EDF580A2706D}"/>
                </c:ext>
              </c:extLst>
            </c:dLbl>
            <c:dLbl>
              <c:idx val="418"/>
              <c:tx>
                <c:rich>
                  <a:bodyPr/>
                  <a:lstStyle/>
                  <a:p>
                    <a:fld id="{5A7C69E8-934A-4A99-99A3-3588A696B299}"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107-4867-42A3-AD23-EDF580A2706D}"/>
                </c:ext>
              </c:extLst>
            </c:dLbl>
            <c:dLbl>
              <c:idx val="419"/>
              <c:tx>
                <c:rich>
                  <a:bodyPr/>
                  <a:lstStyle/>
                  <a:p>
                    <a:fld id="{C9D419B6-D9E9-4816-9A26-C5F97A31551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108-4867-42A3-AD23-EDF580A2706D}"/>
                </c:ext>
              </c:extLst>
            </c:dLbl>
            <c:dLbl>
              <c:idx val="420"/>
              <c:tx>
                <c:rich>
                  <a:bodyPr/>
                  <a:lstStyle/>
                  <a:p>
                    <a:fld id="{D3C560F7-1A44-4744-BEFE-EAACD5BB3B35}"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109-4867-42A3-AD23-EDF580A2706D}"/>
                </c:ext>
              </c:extLst>
            </c:dLbl>
            <c:dLbl>
              <c:idx val="421"/>
              <c:tx>
                <c:rich>
                  <a:bodyPr/>
                  <a:lstStyle/>
                  <a:p>
                    <a:fld id="{FEBB1D6F-1E0A-4A0E-9582-F0051326835B}"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10A-4867-42A3-AD23-EDF580A2706D}"/>
                </c:ext>
              </c:extLst>
            </c:dLbl>
            <c:dLbl>
              <c:idx val="422"/>
              <c:tx>
                <c:rich>
                  <a:bodyPr/>
                  <a:lstStyle/>
                  <a:p>
                    <a:fld id="{215121D4-5FB5-42C6-AF35-0181E3AC0265}"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10B-4867-42A3-AD23-EDF580A2706D}"/>
                </c:ext>
              </c:extLst>
            </c:dLbl>
            <c:dLbl>
              <c:idx val="423"/>
              <c:tx>
                <c:rich>
                  <a:bodyPr/>
                  <a:lstStyle/>
                  <a:p>
                    <a:fld id="{DB691CFA-5D88-426E-A943-82E283933E5C}"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10C-4867-42A3-AD23-EDF580A2706D}"/>
                </c:ext>
              </c:extLst>
            </c:dLbl>
            <c:dLbl>
              <c:idx val="424"/>
              <c:tx>
                <c:rich>
                  <a:bodyPr/>
                  <a:lstStyle/>
                  <a:p>
                    <a:fld id="{084C027A-40E5-4172-A76D-A1D7AE231172}"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10D-4867-42A3-AD23-EDF580A2706D}"/>
                </c:ext>
              </c:extLst>
            </c:dLbl>
            <c:dLbl>
              <c:idx val="425"/>
              <c:tx>
                <c:rich>
                  <a:bodyPr/>
                  <a:lstStyle/>
                  <a:p>
                    <a:fld id="{6C6B0DA3-3A8A-43CA-9AB0-13BC0819B1B1}"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10E-4867-42A3-AD23-EDF580A2706D}"/>
                </c:ext>
              </c:extLst>
            </c:dLbl>
            <c:dLbl>
              <c:idx val="426"/>
              <c:tx>
                <c:rich>
                  <a:bodyPr/>
                  <a:lstStyle/>
                  <a:p>
                    <a:fld id="{109D99A2-DD83-4429-9F8E-EA13F4813CB7}"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10F-4867-42A3-AD23-EDF580A2706D}"/>
                </c:ext>
              </c:extLst>
            </c:dLbl>
            <c:dLbl>
              <c:idx val="427"/>
              <c:tx>
                <c:rich>
                  <a:bodyPr/>
                  <a:lstStyle/>
                  <a:p>
                    <a:fld id="{FA4AF110-15A9-432D-9C00-D325591247A9}"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110-4867-42A3-AD23-EDF580A2706D}"/>
                </c:ext>
              </c:extLst>
            </c:dLbl>
            <c:dLbl>
              <c:idx val="428"/>
              <c:tx>
                <c:rich>
                  <a:bodyPr/>
                  <a:lstStyle/>
                  <a:p>
                    <a:fld id="{A2332148-BD05-4A9C-A03A-863C18163AF6}"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111-4867-42A3-AD23-EDF580A2706D}"/>
                </c:ext>
              </c:extLst>
            </c:dLbl>
            <c:dLbl>
              <c:idx val="429"/>
              <c:tx>
                <c:rich>
                  <a:bodyPr/>
                  <a:lstStyle/>
                  <a:p>
                    <a:fld id="{6D8A4B02-FFEA-486C-8342-5DA02D467D2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112-4867-42A3-AD23-EDF580A2706D}"/>
                </c:ext>
              </c:extLst>
            </c:dLbl>
            <c:dLbl>
              <c:idx val="430"/>
              <c:tx>
                <c:rich>
                  <a:bodyPr/>
                  <a:lstStyle/>
                  <a:p>
                    <a:fld id="{0168709A-5FA7-41AF-9EEF-145507BFA17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113-4867-42A3-AD23-EDF580A2706D}"/>
                </c:ext>
              </c:extLst>
            </c:dLbl>
            <c:dLbl>
              <c:idx val="431"/>
              <c:tx>
                <c:rich>
                  <a:bodyPr/>
                  <a:lstStyle/>
                  <a:p>
                    <a:fld id="{B888173C-C860-407A-B337-420B4201DC76}"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114-4867-42A3-AD23-EDF580A2706D}"/>
                </c:ext>
              </c:extLst>
            </c:dLbl>
            <c:dLbl>
              <c:idx val="432"/>
              <c:tx>
                <c:rich>
                  <a:bodyPr/>
                  <a:lstStyle/>
                  <a:p>
                    <a:fld id="{9660EC45-1700-48C8-A2F7-7CC4F9E7BDCF}"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115-4867-42A3-AD23-EDF580A2706D}"/>
                </c:ext>
              </c:extLst>
            </c:dLbl>
            <c:dLbl>
              <c:idx val="433"/>
              <c:tx>
                <c:rich>
                  <a:bodyPr/>
                  <a:lstStyle/>
                  <a:p>
                    <a:fld id="{5F6ED413-7AA9-49E2-A4F9-F3F766EB0F32}"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116-4867-42A3-AD23-EDF580A2706D}"/>
                </c:ext>
              </c:extLst>
            </c:dLbl>
            <c:dLbl>
              <c:idx val="434"/>
              <c:tx>
                <c:rich>
                  <a:bodyPr/>
                  <a:lstStyle/>
                  <a:p>
                    <a:fld id="{EDA3212B-E8A0-4939-ADD6-DF742C9E8CA8}"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117-4867-42A3-AD23-EDF580A2706D}"/>
                </c:ext>
              </c:extLst>
            </c:dLbl>
            <c:dLbl>
              <c:idx val="435"/>
              <c:tx>
                <c:rich>
                  <a:bodyPr/>
                  <a:lstStyle/>
                  <a:p>
                    <a:fld id="{751BC46F-C2FC-411B-92EE-EF1970691977}"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118-4867-42A3-AD23-EDF580A2706D}"/>
                </c:ext>
              </c:extLst>
            </c:dLbl>
            <c:dLbl>
              <c:idx val="436"/>
              <c:tx>
                <c:rich>
                  <a:bodyPr/>
                  <a:lstStyle/>
                  <a:p>
                    <a:fld id="{EE9055C8-66CD-4388-97D7-B39ACB58C53E}"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119-4867-42A3-AD23-EDF580A2706D}"/>
                </c:ext>
              </c:extLst>
            </c:dLbl>
            <c:dLbl>
              <c:idx val="437"/>
              <c:tx>
                <c:rich>
                  <a:bodyPr/>
                  <a:lstStyle/>
                  <a:p>
                    <a:fld id="{8E51D4B1-139B-4CDD-AAB3-4D6826111F0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11A-4867-42A3-AD23-EDF580A2706D}"/>
                </c:ext>
              </c:extLst>
            </c:dLbl>
            <c:dLbl>
              <c:idx val="438"/>
              <c:tx>
                <c:rich>
                  <a:bodyPr/>
                  <a:lstStyle/>
                  <a:p>
                    <a:fld id="{E3D54E79-7C7C-406B-8839-935DB41E7DFF}"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11B-4867-42A3-AD23-EDF580A2706D}"/>
                </c:ext>
              </c:extLst>
            </c:dLbl>
            <c:dLbl>
              <c:idx val="439"/>
              <c:tx>
                <c:rich>
                  <a:bodyPr/>
                  <a:lstStyle/>
                  <a:p>
                    <a:fld id="{8C214150-F040-4F2B-9DB7-3A857FBAC191}"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11C-4867-42A3-AD23-EDF580A2706D}"/>
                </c:ext>
              </c:extLst>
            </c:dLbl>
            <c:dLbl>
              <c:idx val="440"/>
              <c:tx>
                <c:rich>
                  <a:bodyPr/>
                  <a:lstStyle/>
                  <a:p>
                    <a:fld id="{C5E763AD-C73D-4A56-8B23-7109F601DB82}"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11D-4867-42A3-AD23-EDF580A2706D}"/>
                </c:ext>
              </c:extLst>
            </c:dLbl>
            <c:dLbl>
              <c:idx val="441"/>
              <c:tx>
                <c:rich>
                  <a:bodyPr/>
                  <a:lstStyle/>
                  <a:p>
                    <a:fld id="{3A49CA9D-B390-42C4-A51D-F6C079FC2851}"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11E-4867-42A3-AD23-EDF580A2706D}"/>
                </c:ext>
              </c:extLst>
            </c:dLbl>
            <c:dLbl>
              <c:idx val="442"/>
              <c:tx>
                <c:rich>
                  <a:bodyPr/>
                  <a:lstStyle/>
                  <a:p>
                    <a:fld id="{60094A15-2B06-4C68-B2E9-A7C8C5227B91}"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11F-4867-42A3-AD23-EDF580A2706D}"/>
                </c:ext>
              </c:extLst>
            </c:dLbl>
            <c:dLbl>
              <c:idx val="443"/>
              <c:tx>
                <c:rich>
                  <a:bodyPr/>
                  <a:lstStyle/>
                  <a:p>
                    <a:fld id="{E336675E-A135-4C1A-A420-A24FADA7A667}"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120-4867-42A3-AD23-EDF580A2706D}"/>
                </c:ext>
              </c:extLst>
            </c:dLbl>
            <c:dLbl>
              <c:idx val="444"/>
              <c:tx>
                <c:rich>
                  <a:bodyPr/>
                  <a:lstStyle/>
                  <a:p>
                    <a:fld id="{48FAA97E-E363-41BB-BD44-6D377D5235D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121-4867-42A3-AD23-EDF580A2706D}"/>
                </c:ext>
              </c:extLst>
            </c:dLbl>
            <c:dLbl>
              <c:idx val="445"/>
              <c:tx>
                <c:rich>
                  <a:bodyPr/>
                  <a:lstStyle/>
                  <a:p>
                    <a:fld id="{D4032531-1D09-40DC-B7E2-7C2DDC473CDE}"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122-4867-42A3-AD23-EDF580A2706D}"/>
                </c:ext>
              </c:extLst>
            </c:dLbl>
            <c:dLbl>
              <c:idx val="446"/>
              <c:tx>
                <c:rich>
                  <a:bodyPr/>
                  <a:lstStyle/>
                  <a:p>
                    <a:fld id="{FC472ECC-7D97-421C-9519-42111BEE4B8B}"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123-4867-42A3-AD23-EDF580A2706D}"/>
                </c:ext>
              </c:extLst>
            </c:dLbl>
            <c:dLbl>
              <c:idx val="447"/>
              <c:tx>
                <c:rich>
                  <a:bodyPr/>
                  <a:lstStyle/>
                  <a:p>
                    <a:fld id="{FD68A1B0-1ECF-4726-A529-8BE65BDD47A3}"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124-4867-42A3-AD23-EDF580A2706D}"/>
                </c:ext>
              </c:extLst>
            </c:dLbl>
            <c:dLbl>
              <c:idx val="448"/>
              <c:tx>
                <c:rich>
                  <a:bodyPr/>
                  <a:lstStyle/>
                  <a:p>
                    <a:fld id="{5C23C5CB-6732-4ACA-8324-9013CA5D59B7}"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125-4867-42A3-AD23-EDF580A2706D}"/>
                </c:ext>
              </c:extLst>
            </c:dLbl>
            <c:dLbl>
              <c:idx val="449"/>
              <c:tx>
                <c:rich>
                  <a:bodyPr/>
                  <a:lstStyle/>
                  <a:p>
                    <a:fld id="{B11D1D6B-2B29-4562-93F9-AF3930BDFBB6}"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126-4867-42A3-AD23-EDF580A2706D}"/>
                </c:ext>
              </c:extLst>
            </c:dLbl>
            <c:dLbl>
              <c:idx val="450"/>
              <c:tx>
                <c:rich>
                  <a:bodyPr/>
                  <a:lstStyle/>
                  <a:p>
                    <a:fld id="{0B6CD677-44C5-4CBB-9370-592F1D323FCF}"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127-4867-42A3-AD23-EDF580A2706D}"/>
                </c:ext>
              </c:extLst>
            </c:dLbl>
            <c:dLbl>
              <c:idx val="451"/>
              <c:tx>
                <c:rich>
                  <a:bodyPr/>
                  <a:lstStyle/>
                  <a:p>
                    <a:fld id="{393E9FA8-0C49-4A57-AAE4-C44CA28803BC}"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128-4867-42A3-AD23-EDF580A2706D}"/>
                </c:ext>
              </c:extLst>
            </c:dLbl>
            <c:dLbl>
              <c:idx val="452"/>
              <c:tx>
                <c:rich>
                  <a:bodyPr/>
                  <a:lstStyle/>
                  <a:p>
                    <a:fld id="{94184544-E6A4-4E6F-BBEF-643F5B1720AD}"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129-4867-42A3-AD23-EDF580A2706D}"/>
                </c:ext>
              </c:extLst>
            </c:dLbl>
            <c:dLbl>
              <c:idx val="453"/>
              <c:tx>
                <c:rich>
                  <a:bodyPr/>
                  <a:lstStyle/>
                  <a:p>
                    <a:fld id="{0EF29DCF-78BD-4830-96FA-C3534C55E218}"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12A-4867-42A3-AD23-EDF580A2706D}"/>
                </c:ext>
              </c:extLst>
            </c:dLbl>
            <c:dLbl>
              <c:idx val="454"/>
              <c:tx>
                <c:rich>
                  <a:bodyPr/>
                  <a:lstStyle/>
                  <a:p>
                    <a:fld id="{D7C01E88-C569-45E8-B820-E763FED63C85}"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12B-4867-42A3-AD23-EDF580A2706D}"/>
                </c:ext>
              </c:extLst>
            </c:dLbl>
            <c:dLbl>
              <c:idx val="455"/>
              <c:tx>
                <c:rich>
                  <a:bodyPr/>
                  <a:lstStyle/>
                  <a:p>
                    <a:fld id="{CA30DBE3-A182-40AD-AED5-D229C175511E}"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12C-4867-42A3-AD23-EDF580A2706D}"/>
                </c:ext>
              </c:extLst>
            </c:dLbl>
            <c:dLbl>
              <c:idx val="457"/>
              <c:tx>
                <c:rich>
                  <a:bodyPr/>
                  <a:lstStyle/>
                  <a:p>
                    <a:fld id="{5A9DD92D-0833-4B27-83A1-2F7873341B0E}"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12D-4867-42A3-AD23-EDF580A2706D}"/>
                </c:ext>
              </c:extLst>
            </c:dLbl>
            <c:dLbl>
              <c:idx val="458"/>
              <c:tx>
                <c:rich>
                  <a:bodyPr/>
                  <a:lstStyle/>
                  <a:p>
                    <a:fld id="{3645A3CB-9BAF-47D3-A0DD-5F89D7025FC0}"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12E-4867-42A3-AD23-EDF580A2706D}"/>
                </c:ext>
              </c:extLst>
            </c:dLbl>
            <c:dLbl>
              <c:idx val="459"/>
              <c:tx>
                <c:rich>
                  <a:bodyPr/>
                  <a:lstStyle/>
                  <a:p>
                    <a:fld id="{862FFFEF-00C8-4A61-863A-DFA057DC37D3}"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12F-4867-42A3-AD23-EDF580A2706D}"/>
                </c:ext>
              </c:extLst>
            </c:dLbl>
            <c:dLbl>
              <c:idx val="460"/>
              <c:tx>
                <c:rich>
                  <a:bodyPr/>
                  <a:lstStyle/>
                  <a:p>
                    <a:fld id="{8FB5DBC2-376F-4988-8A8A-33DB2A6D2DE7}"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130-4867-42A3-AD23-EDF580A2706D}"/>
                </c:ext>
              </c:extLst>
            </c:dLbl>
            <c:dLbl>
              <c:idx val="461"/>
              <c:tx>
                <c:rich>
                  <a:bodyPr/>
                  <a:lstStyle/>
                  <a:p>
                    <a:fld id="{C39D5898-384B-4DCF-9857-90E5D9AD9E50}"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131-4867-42A3-AD23-EDF580A2706D}"/>
                </c:ext>
              </c:extLst>
            </c:dLbl>
            <c:dLbl>
              <c:idx val="462"/>
              <c:tx>
                <c:rich>
                  <a:bodyPr/>
                  <a:lstStyle/>
                  <a:p>
                    <a:fld id="{142B314D-2FC8-4A89-8327-27ABFA8681C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132-4867-42A3-AD23-EDF580A2706D}"/>
                </c:ext>
              </c:extLst>
            </c:dLbl>
            <c:dLbl>
              <c:idx val="463"/>
              <c:tx>
                <c:rich>
                  <a:bodyPr/>
                  <a:lstStyle/>
                  <a:p>
                    <a:fld id="{A2F4FCFB-D4F7-4AA8-848E-4AEB2F2CA27D}"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133-4867-42A3-AD23-EDF580A2706D}"/>
                </c:ext>
              </c:extLst>
            </c:dLbl>
            <c:dLbl>
              <c:idx val="464"/>
              <c:tx>
                <c:rich>
                  <a:bodyPr/>
                  <a:lstStyle/>
                  <a:p>
                    <a:fld id="{EFB564FA-09D3-4A3E-B547-E181984FABB5}"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134-4867-42A3-AD23-EDF580A2706D}"/>
                </c:ext>
              </c:extLst>
            </c:dLbl>
            <c:dLbl>
              <c:idx val="465"/>
              <c:tx>
                <c:rich>
                  <a:bodyPr/>
                  <a:lstStyle/>
                  <a:p>
                    <a:fld id="{EC75D0FD-05ED-48B1-AACA-C335A54485A6}"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135-4867-42A3-AD23-EDF580A2706D}"/>
                </c:ext>
              </c:extLst>
            </c:dLbl>
            <c:dLbl>
              <c:idx val="466"/>
              <c:tx>
                <c:rich>
                  <a:bodyPr/>
                  <a:lstStyle/>
                  <a:p>
                    <a:fld id="{A595A31B-64B0-4606-9A4C-94FC9481BD77}"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136-4867-42A3-AD23-EDF580A2706D}"/>
                </c:ext>
              </c:extLst>
            </c:dLbl>
            <c:dLbl>
              <c:idx val="467"/>
              <c:tx>
                <c:rich>
                  <a:bodyPr/>
                  <a:lstStyle/>
                  <a:p>
                    <a:fld id="{FCAD65B2-80F1-4185-9E45-EAC3BFBB2950}"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137-4867-42A3-AD23-EDF580A2706D}"/>
                </c:ext>
              </c:extLst>
            </c:dLbl>
            <c:dLbl>
              <c:idx val="468"/>
              <c:tx>
                <c:rich>
                  <a:bodyPr/>
                  <a:lstStyle/>
                  <a:p>
                    <a:fld id="{20A5103E-02C9-4A30-BB99-841BB09C7313}"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7A-4867-42A3-AD23-EDF580A2706D}"/>
                </c:ext>
              </c:extLst>
            </c:dLbl>
            <c:dLbl>
              <c:idx val="469"/>
              <c:tx>
                <c:rich>
                  <a:bodyPr/>
                  <a:lstStyle/>
                  <a:p>
                    <a:fld id="{2CCBFF22-0D21-40D9-B7EB-790ECFD3CB1B}"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7B-4867-42A3-AD23-EDF580A2706D}"/>
                </c:ext>
              </c:extLst>
            </c:dLbl>
            <c:dLbl>
              <c:idx val="470"/>
              <c:tx>
                <c:rich>
                  <a:bodyPr/>
                  <a:lstStyle/>
                  <a:p>
                    <a:fld id="{BE489C14-2694-4B36-85E8-78A13A33456B}"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7C-4867-42A3-AD23-EDF580A2706D}"/>
                </c:ext>
              </c:extLst>
            </c:dLbl>
            <c:dLbl>
              <c:idx val="471"/>
              <c:tx>
                <c:rich>
                  <a:bodyPr/>
                  <a:lstStyle/>
                  <a:p>
                    <a:fld id="{DE9DCFAA-56BD-4D69-BB44-D965471E207A}"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7D-4867-42A3-AD23-EDF580A2706D}"/>
                </c:ext>
              </c:extLst>
            </c:dLbl>
            <c:dLbl>
              <c:idx val="472"/>
              <c:tx>
                <c:rich>
                  <a:bodyPr/>
                  <a:lstStyle/>
                  <a:p>
                    <a:fld id="{EFFB57D9-F07A-4979-BA93-0CAC3B389069}"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7E-4867-42A3-AD23-EDF580A2706D}"/>
                </c:ext>
              </c:extLst>
            </c:dLbl>
            <c:dLbl>
              <c:idx val="473"/>
              <c:tx>
                <c:rich>
                  <a:bodyPr/>
                  <a:lstStyle/>
                  <a:p>
                    <a:fld id="{43336935-EE18-4AD2-93DB-F9C6B9C3CC65}"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7F-4867-42A3-AD23-EDF580A2706D}"/>
                </c:ext>
              </c:extLst>
            </c:dLbl>
            <c:dLbl>
              <c:idx val="474"/>
              <c:tx>
                <c:rich>
                  <a:bodyPr/>
                  <a:lstStyle/>
                  <a:p>
                    <a:fld id="{0E3AC110-5195-41A2-9740-6A1E475EF722}"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80-4867-42A3-AD23-EDF580A2706D}"/>
                </c:ext>
              </c:extLst>
            </c:dLbl>
            <c:dLbl>
              <c:idx val="475"/>
              <c:tx>
                <c:rich>
                  <a:bodyPr/>
                  <a:lstStyle/>
                  <a:p>
                    <a:fld id="{BFDB63D2-3B2B-43F8-8182-512E7DF92671}"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81-4867-42A3-AD23-EDF580A2706D}"/>
                </c:ext>
              </c:extLst>
            </c:dLbl>
            <c:dLbl>
              <c:idx val="476"/>
              <c:tx>
                <c:rich>
                  <a:bodyPr/>
                  <a:lstStyle/>
                  <a:p>
                    <a:fld id="{F45B34AD-9A43-4016-B879-77B6D96CAA02}"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82-4867-42A3-AD23-EDF580A2706D}"/>
                </c:ext>
              </c:extLst>
            </c:dLbl>
            <c:dLbl>
              <c:idx val="477"/>
              <c:tx>
                <c:rich>
                  <a:bodyPr/>
                  <a:lstStyle/>
                  <a:p>
                    <a:fld id="{BA7EDDF8-5A3A-4D51-B1B5-EFFEB46CE843}"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83-4867-42A3-AD23-EDF580A2706D}"/>
                </c:ext>
              </c:extLst>
            </c:dLbl>
            <c:dLbl>
              <c:idx val="478"/>
              <c:tx>
                <c:rich>
                  <a:bodyPr/>
                  <a:lstStyle/>
                  <a:p>
                    <a:fld id="{5DAC648C-30C5-4B0E-B3FF-2CED0E53FB73}"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84-4867-42A3-AD23-EDF580A2706D}"/>
                </c:ext>
              </c:extLst>
            </c:dLbl>
            <c:dLbl>
              <c:idx val="479"/>
              <c:tx>
                <c:rich>
                  <a:bodyPr/>
                  <a:lstStyle/>
                  <a:p>
                    <a:fld id="{AD0E1071-0E2C-4D38-A811-01A24AF0C951}"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85-4867-42A3-AD23-EDF580A2706D}"/>
                </c:ext>
              </c:extLst>
            </c:dLbl>
            <c:dLbl>
              <c:idx val="480"/>
              <c:tx>
                <c:rich>
                  <a:bodyPr/>
                  <a:lstStyle/>
                  <a:p>
                    <a:fld id="{E5FB48C7-00A6-4925-992D-3FE7E1E409A6}"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86-4867-42A3-AD23-EDF580A2706D}"/>
                </c:ext>
              </c:extLst>
            </c:dLbl>
            <c:dLbl>
              <c:idx val="481"/>
              <c:tx>
                <c:rich>
                  <a:bodyPr/>
                  <a:lstStyle/>
                  <a:p>
                    <a:fld id="{C208F0B6-B20C-4A35-9954-50DB04346A70}"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87-4867-42A3-AD23-EDF580A2706D}"/>
                </c:ext>
              </c:extLst>
            </c:dLbl>
            <c:dLbl>
              <c:idx val="482"/>
              <c:tx>
                <c:rich>
                  <a:bodyPr/>
                  <a:lstStyle/>
                  <a:p>
                    <a:fld id="{1C5960C4-D305-4C89-A75B-44C205413780}"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88-4867-42A3-AD23-EDF580A2706D}"/>
                </c:ext>
              </c:extLst>
            </c:dLbl>
            <c:dLbl>
              <c:idx val="483"/>
              <c:tx>
                <c:rich>
                  <a:bodyPr/>
                  <a:lstStyle/>
                  <a:p>
                    <a:fld id="{F727438B-9EF3-4493-80F8-89F6EDCCB2BA}"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89-4867-42A3-AD23-EDF580A2706D}"/>
                </c:ext>
              </c:extLst>
            </c:dLbl>
            <c:dLbl>
              <c:idx val="484"/>
              <c:tx>
                <c:rich>
                  <a:bodyPr/>
                  <a:lstStyle/>
                  <a:p>
                    <a:fld id="{99829F39-0C2C-4081-84E8-42E558CB8648}"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8A-4867-42A3-AD23-EDF580A2706D}"/>
                </c:ext>
              </c:extLst>
            </c:dLbl>
            <c:dLbl>
              <c:idx val="485"/>
              <c:tx>
                <c:rich>
                  <a:bodyPr/>
                  <a:lstStyle/>
                  <a:p>
                    <a:fld id="{84B6264B-B045-4300-829C-068EA4023F7A}"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8B-4867-42A3-AD23-EDF580A2706D}"/>
                </c:ext>
              </c:extLst>
            </c:dLbl>
            <c:dLbl>
              <c:idx val="486"/>
              <c:tx>
                <c:rich>
                  <a:bodyPr/>
                  <a:lstStyle/>
                  <a:p>
                    <a:fld id="{3FA54D85-77EF-4B62-8967-5855D55E1508}"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8C-4867-42A3-AD23-EDF580A2706D}"/>
                </c:ext>
              </c:extLst>
            </c:dLbl>
            <c:dLbl>
              <c:idx val="487"/>
              <c:tx>
                <c:rich>
                  <a:bodyPr/>
                  <a:lstStyle/>
                  <a:p>
                    <a:fld id="{C7BD3531-3030-4E8D-82F0-3109258A1659}"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8D-4867-42A3-AD23-EDF580A2706D}"/>
                </c:ext>
              </c:extLst>
            </c:dLbl>
            <c:dLbl>
              <c:idx val="488"/>
              <c:tx>
                <c:rich>
                  <a:bodyPr/>
                  <a:lstStyle/>
                  <a:p>
                    <a:fld id="{7C14E676-8E7B-428A-9DDF-4A46827209FE}"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D5B5-400C-B418-FE5EE3BC292F}"/>
                </c:ext>
              </c:extLst>
            </c:dLbl>
            <c:dLbl>
              <c:idx val="489"/>
              <c:tx>
                <c:rich>
                  <a:bodyPr/>
                  <a:lstStyle/>
                  <a:p>
                    <a:fld id="{E227D0F5-3307-4D9F-BBBD-53864FBF3DBB}"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D5B5-400C-B418-FE5EE3BC292F}"/>
                </c:ext>
              </c:extLst>
            </c:dLbl>
            <c:dLbl>
              <c:idx val="490"/>
              <c:tx>
                <c:rich>
                  <a:bodyPr/>
                  <a:lstStyle/>
                  <a:p>
                    <a:fld id="{457B84AA-8171-47CA-A4A7-6FD9061FC7D8}"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D5B5-400C-B418-FE5EE3BC292F}"/>
                </c:ext>
              </c:extLst>
            </c:dLbl>
            <c:dLbl>
              <c:idx val="491"/>
              <c:tx>
                <c:rich>
                  <a:bodyPr/>
                  <a:lstStyle/>
                  <a:p>
                    <a:fld id="{38B143F4-4069-434B-86F5-3A9D1AF71559}"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D5B5-400C-B418-FE5EE3BC292F}"/>
                </c:ext>
              </c:extLst>
            </c:dLbl>
            <c:dLbl>
              <c:idx val="492"/>
              <c:tx>
                <c:rich>
                  <a:bodyPr/>
                  <a:lstStyle/>
                  <a:p>
                    <a:fld id="{169513AC-CF54-439C-AFF2-0F9E1DFBA160}"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D5B5-400C-B418-FE5EE3BC292F}"/>
                </c:ext>
              </c:extLst>
            </c:dLbl>
            <c:dLbl>
              <c:idx val="493"/>
              <c:tx>
                <c:rich>
                  <a:bodyPr/>
                  <a:lstStyle/>
                  <a:p>
                    <a:fld id="{DB844FE8-2B0D-41F4-96B5-762BA9EF1888}"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D5B5-400C-B418-FE5EE3BC292F}"/>
                </c:ext>
              </c:extLst>
            </c:dLbl>
            <c:dLbl>
              <c:idx val="494"/>
              <c:tx>
                <c:rich>
                  <a:bodyPr/>
                  <a:lstStyle/>
                  <a:p>
                    <a:fld id="{8C1425D0-B52C-4F16-8213-BD9A874D50FA}"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D5B5-400C-B418-FE5EE3BC292F}"/>
                </c:ext>
              </c:extLst>
            </c:dLbl>
            <c:dLbl>
              <c:idx val="495"/>
              <c:tx>
                <c:rich>
                  <a:bodyPr/>
                  <a:lstStyle/>
                  <a:p>
                    <a:fld id="{F0545662-5B78-46DA-865C-0C16C6C619FC}"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D5B5-400C-B418-FE5EE3BC292F}"/>
                </c:ext>
              </c:extLst>
            </c:dLbl>
            <c:dLbl>
              <c:idx val="496"/>
              <c:tx>
                <c:rich>
                  <a:bodyPr/>
                  <a:lstStyle/>
                  <a:p>
                    <a:fld id="{261B6EB9-488B-499C-B6B3-F1359AA5F4B8}"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D5B5-400C-B418-FE5EE3BC292F}"/>
                </c:ext>
              </c:extLst>
            </c:dLbl>
            <c:dLbl>
              <c:idx val="497"/>
              <c:tx>
                <c:rich>
                  <a:bodyPr/>
                  <a:lstStyle/>
                  <a:p>
                    <a:fld id="{634A3A65-3062-4C34-A420-BCE775C882FB}"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D5B5-400C-B418-FE5EE3BC292F}"/>
                </c:ext>
              </c:extLst>
            </c:dLbl>
            <c:dLbl>
              <c:idx val="498"/>
              <c:tx>
                <c:rich>
                  <a:bodyPr/>
                  <a:lstStyle/>
                  <a:p>
                    <a:fld id="{F5A13F34-5880-4C57-8C50-FD6394BBB8B9}"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D5B5-400C-B418-FE5EE3BC292F}"/>
                </c:ext>
              </c:extLst>
            </c:dLbl>
            <c:dLbl>
              <c:idx val="499"/>
              <c:tx>
                <c:rich>
                  <a:bodyPr/>
                  <a:lstStyle/>
                  <a:p>
                    <a:fld id="{ABE98A7B-B9A6-4103-8BB3-9AA5F73930A2}"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B-D5B5-400C-B418-FE5EE3BC292F}"/>
                </c:ext>
              </c:extLst>
            </c:dLbl>
            <c:dLbl>
              <c:idx val="501"/>
              <c:tx>
                <c:rich>
                  <a:bodyPr/>
                  <a:lstStyle/>
                  <a:p>
                    <a:fld id="{1CFA37CA-8AF2-412B-BCC2-0F4D5359D858}"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27E5-4E17-855B-08FD339238DA}"/>
                </c:ext>
              </c:extLst>
            </c:dLbl>
            <c:dLbl>
              <c:idx val="502"/>
              <c:tx>
                <c:rich>
                  <a:bodyPr/>
                  <a:lstStyle/>
                  <a:p>
                    <a:fld id="{8A64507F-C872-4F1F-8DB1-2B4631631A85}"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27E5-4E17-855B-08FD339238DA}"/>
                </c:ext>
              </c:extLst>
            </c:dLbl>
            <c:dLbl>
              <c:idx val="503"/>
              <c:tx>
                <c:rich>
                  <a:bodyPr/>
                  <a:lstStyle/>
                  <a:p>
                    <a:fld id="{D5082126-04EB-45C3-8829-3DD417963828}"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27E5-4E17-855B-08FD339238DA}"/>
                </c:ext>
              </c:extLst>
            </c:dLbl>
            <c:dLbl>
              <c:idx val="504"/>
              <c:tx>
                <c:rich>
                  <a:bodyPr/>
                  <a:lstStyle/>
                  <a:p>
                    <a:fld id="{F118E748-4645-4C71-9AB8-855B9BF474FB}"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27E5-4E17-855B-08FD339238DA}"/>
                </c:ext>
              </c:extLst>
            </c:dLbl>
            <c:dLbl>
              <c:idx val="505"/>
              <c:tx>
                <c:rich>
                  <a:bodyPr/>
                  <a:lstStyle/>
                  <a:p>
                    <a:fld id="{0F97F5AA-1A2B-44D7-97B6-0C7CC5468BB5}"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27E5-4E17-855B-08FD339238DA}"/>
                </c:ext>
              </c:extLst>
            </c:dLbl>
            <c:dLbl>
              <c:idx val="506"/>
              <c:tx>
                <c:rich>
                  <a:bodyPr/>
                  <a:lstStyle/>
                  <a:p>
                    <a:fld id="{2D1C19B9-BA8F-4708-9213-3CD8B3BFC919}"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27E5-4E17-855B-08FD339238DA}"/>
                </c:ext>
              </c:extLst>
            </c:dLbl>
            <c:dLbl>
              <c:idx val="507"/>
              <c:tx>
                <c:rich>
                  <a:bodyPr/>
                  <a:lstStyle/>
                  <a:p>
                    <a:fld id="{9D77DCC4-FAAB-4766-A805-F6735A1EFA17}"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27E5-4E17-855B-08FD339238DA}"/>
                </c:ext>
              </c:extLst>
            </c:dLbl>
            <c:dLbl>
              <c:idx val="508"/>
              <c:tx>
                <c:rich>
                  <a:bodyPr/>
                  <a:lstStyle/>
                  <a:p>
                    <a:fld id="{F4DA1958-1041-4AC9-9457-C60363BEB3E7}"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27E5-4E17-855B-08FD339238DA}"/>
                </c:ext>
              </c:extLst>
            </c:dLbl>
            <c:dLbl>
              <c:idx val="509"/>
              <c:tx>
                <c:rich>
                  <a:bodyPr/>
                  <a:lstStyle/>
                  <a:p>
                    <a:fld id="{3345E9EB-6804-48A0-B9C2-BD4BF5BD278D}"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6E69-4F2E-9736-5F7E956EA00E}"/>
                </c:ext>
              </c:extLst>
            </c:dLbl>
            <c:dLbl>
              <c:idx val="510"/>
              <c:tx>
                <c:rich>
                  <a:bodyPr/>
                  <a:lstStyle/>
                  <a:p>
                    <a:fld id="{EEF4D5B7-7A77-445E-8A93-FA6FDBD8643C}"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6E69-4F2E-9736-5F7E956EA00E}"/>
                </c:ext>
              </c:extLst>
            </c:dLbl>
            <c:dLbl>
              <c:idx val="511"/>
              <c:tx>
                <c:rich>
                  <a:bodyPr/>
                  <a:lstStyle/>
                  <a:p>
                    <a:fld id="{DE873D3E-09B3-417B-9476-FC67F0390C83}"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6E69-4F2E-9736-5F7E956EA00E}"/>
                </c:ext>
              </c:extLst>
            </c:dLbl>
            <c:dLbl>
              <c:idx val="512"/>
              <c:tx>
                <c:rich>
                  <a:bodyPr/>
                  <a:lstStyle/>
                  <a:p>
                    <a:fld id="{E41E8B6A-C61D-4E6A-AC2E-FB407437ED25}"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6E69-4F2E-9736-5F7E956EA00E}"/>
                </c:ext>
              </c:extLst>
            </c:dLbl>
            <c:dLbl>
              <c:idx val="513"/>
              <c:tx>
                <c:rich>
                  <a:bodyPr/>
                  <a:lstStyle/>
                  <a:p>
                    <a:fld id="{128CB075-FEA3-492D-A7C7-7ED7856F13C8}"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6E69-4F2E-9736-5F7E956EA00E}"/>
                </c:ext>
              </c:extLst>
            </c:dLbl>
            <c:dLbl>
              <c:idx val="514"/>
              <c:tx>
                <c:rich>
                  <a:bodyPr/>
                  <a:lstStyle/>
                  <a:p>
                    <a:fld id="{C24244FE-B9FB-4716-A156-912EAA51A72F}"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6E69-4F2E-9736-5F7E956EA00E}"/>
                </c:ext>
              </c:extLst>
            </c:dLbl>
            <c:dLbl>
              <c:idx val="515"/>
              <c:tx>
                <c:rich>
                  <a:bodyPr/>
                  <a:lstStyle/>
                  <a:p>
                    <a:fld id="{D5EE09DA-8A34-43F2-8DEC-E4603D712396}"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6E69-4F2E-9736-5F7E956EA00E}"/>
                </c:ext>
              </c:extLst>
            </c:dLbl>
            <c:dLbl>
              <c:idx val="516"/>
              <c:tx>
                <c:rich>
                  <a:bodyPr/>
                  <a:lstStyle/>
                  <a:p>
                    <a:fld id="{254D5F6C-BDAE-4BBC-8D4F-B5054B60F299}"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6E69-4F2E-9736-5F7E956EA00E}"/>
                </c:ext>
              </c:extLst>
            </c:dLbl>
            <c:dLbl>
              <c:idx val="517"/>
              <c:tx>
                <c:rich>
                  <a:bodyPr/>
                  <a:lstStyle/>
                  <a:p>
                    <a:fld id="{2F6628F3-15ED-4B0F-9158-17642605EEC6}"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6E69-4F2E-9736-5F7E956EA00E}"/>
                </c:ext>
              </c:extLst>
            </c:dLbl>
            <c:dLbl>
              <c:idx val="518"/>
              <c:tx>
                <c:rich>
                  <a:bodyPr/>
                  <a:lstStyle/>
                  <a:p>
                    <a:fld id="{21F4626F-842E-4F6F-90ED-5FB829E2507E}"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6E69-4F2E-9736-5F7E956EA00E}"/>
                </c:ext>
              </c:extLst>
            </c:dLbl>
            <c:dLbl>
              <c:idx val="519"/>
              <c:tx>
                <c:rich>
                  <a:bodyPr/>
                  <a:lstStyle/>
                  <a:p>
                    <a:fld id="{AF371E40-F6F4-4F3E-A2C3-00ED6BBCF262}"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6E69-4F2E-9736-5F7E956EA00E}"/>
                </c:ext>
              </c:extLst>
            </c:dLbl>
            <c:dLbl>
              <c:idx val="520"/>
              <c:tx>
                <c:rich>
                  <a:bodyPr/>
                  <a:lstStyle/>
                  <a:p>
                    <a:fld id="{676FA09D-CCF8-4B17-A3CC-3AE5BA05B877}"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B-6E69-4F2E-9736-5F7E956EA00E}"/>
                </c:ext>
              </c:extLst>
            </c:dLbl>
            <c:dLbl>
              <c:idx val="521"/>
              <c:tx>
                <c:rich>
                  <a:bodyPr/>
                  <a:lstStyle/>
                  <a:p>
                    <a:fld id="{78EBE6CD-7DC8-4A14-955B-770B68391392}"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C-6E69-4F2E-9736-5F7E956EA00E}"/>
                </c:ext>
              </c:extLst>
            </c:dLbl>
            <c:dLbl>
              <c:idx val="522"/>
              <c:tx>
                <c:rich>
                  <a:bodyPr/>
                  <a:lstStyle/>
                  <a:p>
                    <a:fld id="{3C5E2825-9CCB-4389-934B-433656D1FE36}"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D-6E69-4F2E-9736-5F7E956EA00E}"/>
                </c:ext>
              </c:extLst>
            </c:dLbl>
            <c:dLbl>
              <c:idx val="523"/>
              <c:tx>
                <c:rich>
                  <a:bodyPr/>
                  <a:lstStyle/>
                  <a:p>
                    <a:fld id="{DFF6675C-DE08-45E7-8E3F-D63687DD237F}"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6E69-4F2E-9736-5F7E956EA00E}"/>
                </c:ext>
              </c:extLst>
            </c:dLbl>
            <c:dLbl>
              <c:idx val="524"/>
              <c:tx>
                <c:rich>
                  <a:bodyPr/>
                  <a:lstStyle/>
                  <a:p>
                    <a:fld id="{5F3BDFB8-220D-459E-AE25-F2E4E192CC26}"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F-6E69-4F2E-9736-5F7E956EA00E}"/>
                </c:ext>
              </c:extLst>
            </c:dLbl>
            <c:dLbl>
              <c:idx val="525"/>
              <c:tx>
                <c:rich>
                  <a:bodyPr/>
                  <a:lstStyle/>
                  <a:p>
                    <a:fld id="{AE841FD0-ADC6-458D-B66C-6436E8D53639}"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0-6E69-4F2E-9736-5F7E956EA00E}"/>
                </c:ext>
              </c:extLst>
            </c:dLbl>
            <c:dLbl>
              <c:idx val="526"/>
              <c:tx>
                <c:rich>
                  <a:bodyPr/>
                  <a:lstStyle/>
                  <a:p>
                    <a:fld id="{5400AA88-A36A-4383-AE5C-F354A710EECA}"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1-6E69-4F2E-9736-5F7E956EA00E}"/>
                </c:ext>
              </c:extLst>
            </c:dLbl>
            <c:dLbl>
              <c:idx val="527"/>
              <c:tx>
                <c:rich>
                  <a:bodyPr/>
                  <a:lstStyle/>
                  <a:p>
                    <a:fld id="{7136CAB9-DFFF-4992-940F-62B78B78C0FC}"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2-6E69-4F2E-9736-5F7E956EA00E}"/>
                </c:ext>
              </c:extLst>
            </c:dLbl>
            <c:dLbl>
              <c:idx val="528"/>
              <c:tx>
                <c:rich>
                  <a:bodyPr/>
                  <a:lstStyle/>
                  <a:p>
                    <a:fld id="{6A310DE6-B8FA-4CFD-B7BA-D813CBD9F9ED}"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F7EF-4B6E-9DE5-72662B8C14FA}"/>
                </c:ext>
              </c:extLst>
            </c:dLbl>
            <c:dLbl>
              <c:idx val="529"/>
              <c:tx>
                <c:rich>
                  <a:bodyPr/>
                  <a:lstStyle/>
                  <a:p>
                    <a:fld id="{3C53C9BB-6C61-4324-812C-24D2DD92421E}"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F7EF-4B6E-9DE5-72662B8C14FA}"/>
                </c:ext>
              </c:extLst>
            </c:dLbl>
            <c:dLbl>
              <c:idx val="530"/>
              <c:tx>
                <c:rich>
                  <a:bodyPr/>
                  <a:lstStyle/>
                  <a:p>
                    <a:fld id="{44B60B95-A3F4-46D4-9D22-D20DCDAFE017}"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F7EF-4B6E-9DE5-72662B8C14FA}"/>
                </c:ext>
              </c:extLst>
            </c:dLbl>
            <c:dLbl>
              <c:idx val="531"/>
              <c:tx>
                <c:rich>
                  <a:bodyPr/>
                  <a:lstStyle/>
                  <a:p>
                    <a:fld id="{EB0F1C00-1739-4C66-93EE-022C6640FA67}"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F7EF-4B6E-9DE5-72662B8C14FA}"/>
                </c:ext>
              </c:extLst>
            </c:dLbl>
            <c:dLbl>
              <c:idx val="532"/>
              <c:tx>
                <c:rich>
                  <a:bodyPr/>
                  <a:lstStyle/>
                  <a:p>
                    <a:fld id="{DDFAA98D-3EB5-4D0D-ABF6-0D81BA1A7048}"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F7EF-4B6E-9DE5-72662B8C14FA}"/>
                </c:ext>
              </c:extLst>
            </c:dLbl>
            <c:dLbl>
              <c:idx val="533"/>
              <c:tx>
                <c:rich>
                  <a:bodyPr/>
                  <a:lstStyle/>
                  <a:p>
                    <a:fld id="{B8036215-1E08-4EB9-B997-3BD3AFA54B77}"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F7EF-4B6E-9DE5-72662B8C14FA}"/>
                </c:ext>
              </c:extLst>
            </c:dLbl>
            <c:dLbl>
              <c:idx val="534"/>
              <c:tx>
                <c:rich>
                  <a:bodyPr/>
                  <a:lstStyle/>
                  <a:p>
                    <a:fld id="{C2D5AD19-641F-461C-ADDD-6514F8BF6488}"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F7EF-4B6E-9DE5-72662B8C14FA}"/>
                </c:ext>
              </c:extLst>
            </c:dLbl>
            <c:dLbl>
              <c:idx val="535"/>
              <c:tx>
                <c:rich>
                  <a:bodyPr/>
                  <a:lstStyle/>
                  <a:p>
                    <a:fld id="{CF6E3E0B-8496-4337-B00C-E5CFB9A9E6AD}"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F7EF-4B6E-9DE5-72662B8C14FA}"/>
                </c:ext>
              </c:extLst>
            </c:dLbl>
            <c:dLbl>
              <c:idx val="536"/>
              <c:tx>
                <c:rich>
                  <a:bodyPr/>
                  <a:lstStyle/>
                  <a:p>
                    <a:fld id="{369D6F21-9FC3-425B-93D8-AC7142C66E9D}"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77EB-4B43-803A-9D5B7BB40B92}"/>
                </c:ext>
              </c:extLst>
            </c:dLbl>
            <c:dLbl>
              <c:idx val="537"/>
              <c:tx>
                <c:rich>
                  <a:bodyPr/>
                  <a:lstStyle/>
                  <a:p>
                    <a:fld id="{BE52A5A7-09BB-4BE4-BFFA-951CB3337A9D}"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77EB-4B43-803A-9D5B7BB40B92}"/>
                </c:ext>
              </c:extLst>
            </c:dLbl>
            <c:dLbl>
              <c:idx val="538"/>
              <c:tx>
                <c:rich>
                  <a:bodyPr/>
                  <a:lstStyle/>
                  <a:p>
                    <a:fld id="{6994FBF3-EFB6-46EA-BA29-F09E5451CAB9}"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77EB-4B43-803A-9D5B7BB40B92}"/>
                </c:ext>
              </c:extLst>
            </c:dLbl>
            <c:dLbl>
              <c:idx val="539"/>
              <c:tx>
                <c:rich>
                  <a:bodyPr/>
                  <a:lstStyle/>
                  <a:p>
                    <a:fld id="{499D395C-752F-4458-92BD-42639CDB028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77EB-4B43-803A-9D5B7BB40B92}"/>
                </c:ext>
              </c:extLst>
            </c:dLbl>
            <c:dLbl>
              <c:idx val="540"/>
              <c:tx>
                <c:rich>
                  <a:bodyPr/>
                  <a:lstStyle/>
                  <a:p>
                    <a:fld id="{0FB8A874-D7DC-48A9-B969-732A2C77856E}"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77EB-4B43-803A-9D5B7BB40B92}"/>
                </c:ext>
              </c:extLst>
            </c:dLbl>
            <c:dLbl>
              <c:idx val="541"/>
              <c:tx>
                <c:rich>
                  <a:bodyPr/>
                  <a:lstStyle/>
                  <a:p>
                    <a:fld id="{E96151B1-065A-4BFA-8933-2AD00A670ADA}"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77EB-4B43-803A-9D5B7BB40B92}"/>
                </c:ext>
              </c:extLst>
            </c:dLbl>
            <c:dLbl>
              <c:idx val="542"/>
              <c:tx>
                <c:rich>
                  <a:bodyPr/>
                  <a:lstStyle/>
                  <a:p>
                    <a:fld id="{6D84F039-F216-4ED8-890C-4BA6F1C1BF39}"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77EB-4B43-803A-9D5B7BB40B92}"/>
                </c:ext>
              </c:extLst>
            </c:dLbl>
            <c:dLbl>
              <c:idx val="543"/>
              <c:tx>
                <c:rich>
                  <a:bodyPr/>
                  <a:lstStyle/>
                  <a:p>
                    <a:fld id="{81E6F230-D4B3-4946-9144-223F68BB46BB}"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77EB-4B43-803A-9D5B7BB40B92}"/>
                </c:ext>
              </c:extLst>
            </c:dLbl>
            <c:dLbl>
              <c:idx val="544"/>
              <c:tx>
                <c:rich>
                  <a:bodyPr/>
                  <a:lstStyle/>
                  <a:p>
                    <a:fld id="{40803137-59A2-49C6-9674-40A50A19259A}"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77EB-4B43-803A-9D5B7BB40B92}"/>
                </c:ext>
              </c:extLst>
            </c:dLbl>
            <c:dLbl>
              <c:idx val="545"/>
              <c:tx>
                <c:rich>
                  <a:bodyPr/>
                  <a:lstStyle/>
                  <a:p>
                    <a:fld id="{132D5755-F4A3-402D-84F1-46AD89A087B7}"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77EB-4B43-803A-9D5B7BB40B92}"/>
                </c:ext>
              </c:extLst>
            </c:dLbl>
            <c:dLbl>
              <c:idx val="546"/>
              <c:tx>
                <c:rich>
                  <a:bodyPr/>
                  <a:lstStyle/>
                  <a:p>
                    <a:fld id="{48B63AA2-72D0-4C44-966C-7277309B48BA}"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77EB-4B43-803A-9D5B7BB40B92}"/>
                </c:ext>
              </c:extLst>
            </c:dLbl>
            <c:dLbl>
              <c:idx val="547"/>
              <c:tx>
                <c:rich>
                  <a:bodyPr/>
                  <a:lstStyle/>
                  <a:p>
                    <a:fld id="{76E28402-0FB6-4F6F-9C40-CC40A74F0C17}"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B-77EB-4B43-803A-9D5B7BB40B92}"/>
                </c:ext>
              </c:extLst>
            </c:dLbl>
            <c:dLbl>
              <c:idx val="548"/>
              <c:tx>
                <c:rich>
                  <a:bodyPr/>
                  <a:lstStyle/>
                  <a:p>
                    <a:fld id="{808C19C5-C1DA-494F-A702-2A479B88D626}"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22D8-4551-956C-6C244E234BAF}"/>
                </c:ext>
              </c:extLst>
            </c:dLbl>
            <c:dLbl>
              <c:idx val="549"/>
              <c:tx>
                <c:rich>
                  <a:bodyPr/>
                  <a:lstStyle/>
                  <a:p>
                    <a:fld id="{4525A94C-FF08-41D8-9956-290A5932A6CA}"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22D8-4551-956C-6C244E234BAF}"/>
                </c:ext>
              </c:extLst>
            </c:dLbl>
            <c:dLbl>
              <c:idx val="550"/>
              <c:tx>
                <c:rich>
                  <a:bodyPr/>
                  <a:lstStyle/>
                  <a:p>
                    <a:fld id="{3EFFF4B3-67A0-4C47-98BB-40FDFD437F4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22D8-4551-956C-6C244E234BAF}"/>
                </c:ext>
              </c:extLst>
            </c:dLbl>
            <c:dLbl>
              <c:idx val="551"/>
              <c:tx>
                <c:rich>
                  <a:bodyPr/>
                  <a:lstStyle/>
                  <a:p>
                    <a:fld id="{5F8EF491-9AEB-49AB-892E-FFA2188E7336}"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22D8-4551-956C-6C244E234BAF}"/>
                </c:ext>
              </c:extLst>
            </c:dLbl>
            <c:dLbl>
              <c:idx val="552"/>
              <c:tx>
                <c:rich>
                  <a:bodyPr/>
                  <a:lstStyle/>
                  <a:p>
                    <a:fld id="{E165B0C3-D78A-4511-8514-44E457B27B27}"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22D8-4551-956C-6C244E234BAF}"/>
                </c:ext>
              </c:extLst>
            </c:dLbl>
            <c:dLbl>
              <c:idx val="553"/>
              <c:tx>
                <c:rich>
                  <a:bodyPr/>
                  <a:lstStyle/>
                  <a:p>
                    <a:fld id="{8D293B4E-E3EE-484E-83B5-A21F41B3754D}"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22D8-4551-956C-6C244E234BAF}"/>
                </c:ext>
              </c:extLst>
            </c:dLbl>
            <c:dLbl>
              <c:idx val="554"/>
              <c:tx>
                <c:rich>
                  <a:bodyPr/>
                  <a:lstStyle/>
                  <a:p>
                    <a:fld id="{A904F556-D7EE-40E4-ADCF-38976BFB2246}"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22D8-4551-956C-6C244E234BAF}"/>
                </c:ext>
              </c:extLst>
            </c:dLbl>
            <c:dLbl>
              <c:idx val="555"/>
              <c:tx>
                <c:rich>
                  <a:bodyPr/>
                  <a:lstStyle/>
                  <a:p>
                    <a:fld id="{CFEA6FDF-C16D-45E6-89E7-D9E5C6918F8D}"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22D8-4551-956C-6C244E234BAF}"/>
                </c:ext>
              </c:extLst>
            </c:dLbl>
            <c:dLbl>
              <c:idx val="556"/>
              <c:tx>
                <c:rich>
                  <a:bodyPr/>
                  <a:lstStyle/>
                  <a:p>
                    <a:fld id="{C96C36D6-A85B-492A-BA65-E52EE8F16F0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22D8-4551-956C-6C244E234BAF}"/>
                </c:ext>
              </c:extLst>
            </c:dLbl>
            <c:dLbl>
              <c:idx val="557"/>
              <c:tx>
                <c:rich>
                  <a:bodyPr/>
                  <a:lstStyle/>
                  <a:p>
                    <a:fld id="{9C236829-34B9-425D-B1A2-79ABC73EA295}"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22D8-4551-956C-6C244E234BAF}"/>
                </c:ext>
              </c:extLst>
            </c:dLbl>
            <c:dLbl>
              <c:idx val="559"/>
              <c:tx>
                <c:rich>
                  <a:bodyPr/>
                  <a:lstStyle/>
                  <a:p>
                    <a:fld id="{D3BAB99A-7119-4545-ABA7-6481DAC22BF2}"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7278-4F43-AC59-8FEE4BFBED47}"/>
                </c:ext>
              </c:extLst>
            </c:dLbl>
            <c:dLbl>
              <c:idx val="560"/>
              <c:tx>
                <c:rich>
                  <a:bodyPr/>
                  <a:lstStyle/>
                  <a:p>
                    <a:fld id="{B51E90E3-06FD-44EA-A89A-EDCE9ECE0032}"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7278-4F43-AC59-8FEE4BFBED47}"/>
                </c:ext>
              </c:extLst>
            </c:dLbl>
            <c:dLbl>
              <c:idx val="561"/>
              <c:tx>
                <c:rich>
                  <a:bodyPr/>
                  <a:lstStyle/>
                  <a:p>
                    <a:fld id="{8FE4DA3C-9665-473F-9F2E-2817D9D8B56D}"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7278-4F43-AC59-8FEE4BFBED47}"/>
                </c:ext>
              </c:extLst>
            </c:dLbl>
            <c:dLbl>
              <c:idx val="562"/>
              <c:tx>
                <c:rich>
                  <a:bodyPr/>
                  <a:lstStyle/>
                  <a:p>
                    <a:fld id="{4C9B1B6C-1F3B-4331-A255-1558D073995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7278-4F43-AC59-8FEE4BFBED47}"/>
                </c:ext>
              </c:extLst>
            </c:dLbl>
            <c:dLbl>
              <c:idx val="563"/>
              <c:tx>
                <c:rich>
                  <a:bodyPr/>
                  <a:lstStyle/>
                  <a:p>
                    <a:fld id="{568EFAA9-E8C0-4060-B6B6-230E5956F023}"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7278-4F43-AC59-8FEE4BFBED47}"/>
                </c:ext>
              </c:extLst>
            </c:dLbl>
            <c:dLbl>
              <c:idx val="564"/>
              <c:tx>
                <c:rich>
                  <a:bodyPr/>
                  <a:lstStyle/>
                  <a:p>
                    <a:fld id="{8F4E4D94-7343-40D4-8324-52E423B8094B}"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7278-4F43-AC59-8FEE4BFBED47}"/>
                </c:ext>
              </c:extLst>
            </c:dLbl>
            <c:dLbl>
              <c:idx val="565"/>
              <c:tx>
                <c:rich>
                  <a:bodyPr/>
                  <a:lstStyle/>
                  <a:p>
                    <a:fld id="{DE096E86-EF65-43C5-A550-38160131DE0E}"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7278-4F43-AC59-8FEE4BFBED47}"/>
                </c:ext>
              </c:extLst>
            </c:dLbl>
            <c:dLbl>
              <c:idx val="566"/>
              <c:tx>
                <c:rich>
                  <a:bodyPr/>
                  <a:lstStyle/>
                  <a:p>
                    <a:fld id="{90B43EBD-7E0A-470A-9C08-50C20FA83A3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7278-4F43-AC59-8FEE4BFBED47}"/>
                </c:ext>
              </c:extLst>
            </c:dLbl>
            <c:dLbl>
              <c:idx val="567"/>
              <c:tx>
                <c:rich>
                  <a:bodyPr/>
                  <a:lstStyle/>
                  <a:p>
                    <a:fld id="{9EE1E2CA-CCC5-4109-8AF5-183F2FD6F66C}"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7278-4F43-AC59-8FEE4BFBED47}"/>
                </c:ext>
              </c:extLst>
            </c:dLbl>
            <c:dLbl>
              <c:idx val="568"/>
              <c:tx>
                <c:rich>
                  <a:bodyPr/>
                  <a:lstStyle/>
                  <a:p>
                    <a:fld id="{C8F7F5DE-8192-454C-AD64-33FC9F4D65E2}"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7278-4F43-AC59-8FEE4BFBED47}"/>
                </c:ext>
              </c:extLst>
            </c:dLbl>
            <c:dLbl>
              <c:idx val="569"/>
              <c:tx>
                <c:rich>
                  <a:bodyPr/>
                  <a:lstStyle/>
                  <a:p>
                    <a:fld id="{D317C7A4-5F31-4A41-80A8-DBD8B3771F1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7278-4F43-AC59-8FEE4BFBED47}"/>
                </c:ext>
              </c:extLst>
            </c:dLbl>
            <c:dLbl>
              <c:idx val="570"/>
              <c:tx>
                <c:rich>
                  <a:bodyPr/>
                  <a:lstStyle/>
                  <a:p>
                    <a:fld id="{B32CB3C9-D0B9-439C-A2C2-04926738C29C}"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B-7278-4F43-AC59-8FEE4BFBED47}"/>
                </c:ext>
              </c:extLst>
            </c:dLbl>
            <c:dLbl>
              <c:idx val="571"/>
              <c:tx>
                <c:rich>
                  <a:bodyPr/>
                  <a:lstStyle/>
                  <a:p>
                    <a:fld id="{1E0D36E8-506D-4264-BB2F-8F1CD1A55DF0}"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C-7278-4F43-AC59-8FEE4BFBED47}"/>
                </c:ext>
              </c:extLst>
            </c:dLbl>
            <c:dLbl>
              <c:idx val="572"/>
              <c:tx>
                <c:rich>
                  <a:bodyPr/>
                  <a:lstStyle/>
                  <a:p>
                    <a:fld id="{373D845E-99ED-4630-9A49-99668B1E008D}"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D-7278-4F43-AC59-8FEE4BFBED47}"/>
                </c:ext>
              </c:extLst>
            </c:dLbl>
            <c:dLbl>
              <c:idx val="573"/>
              <c:tx>
                <c:rich>
                  <a:bodyPr/>
                  <a:lstStyle/>
                  <a:p>
                    <a:fld id="{6F528AA0-E609-404F-AB49-EFF0051F238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7278-4F43-AC59-8FEE4BFBED47}"/>
                </c:ext>
              </c:extLst>
            </c:dLbl>
            <c:dLbl>
              <c:idx val="574"/>
              <c:tx>
                <c:rich>
                  <a:bodyPr/>
                  <a:lstStyle/>
                  <a:p>
                    <a:fld id="{238E90C4-BAE7-44A8-BDB6-985F22B2E2D5}"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F-7278-4F43-AC59-8FEE4BFBED47}"/>
                </c:ext>
              </c:extLst>
            </c:dLbl>
            <c:dLbl>
              <c:idx val="575"/>
              <c:tx>
                <c:rich>
                  <a:bodyPr/>
                  <a:lstStyle/>
                  <a:p>
                    <a:fld id="{71FF0D4D-2641-49B2-B54C-223527AB983B}"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078C-480C-88F1-068A083C794A}"/>
                </c:ext>
              </c:extLst>
            </c:dLbl>
            <c:dLbl>
              <c:idx val="576"/>
              <c:tx>
                <c:rich>
                  <a:bodyPr/>
                  <a:lstStyle/>
                  <a:p>
                    <a:fld id="{124CFE38-E825-49F1-BDD5-01D5DEF25C8F}"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078C-480C-88F1-068A083C794A}"/>
                </c:ext>
              </c:extLst>
            </c:dLbl>
            <c:dLbl>
              <c:idx val="577"/>
              <c:tx>
                <c:rich>
                  <a:bodyPr/>
                  <a:lstStyle/>
                  <a:p>
                    <a:fld id="{21AA8E59-6BBF-42DC-9E7E-ED7B73B10BEF}"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078C-480C-88F1-068A083C794A}"/>
                </c:ext>
              </c:extLst>
            </c:dLbl>
            <c:dLbl>
              <c:idx val="578"/>
              <c:tx>
                <c:rich>
                  <a:bodyPr/>
                  <a:lstStyle/>
                  <a:p>
                    <a:fld id="{C2BF9A3E-193D-45E8-AE6D-0C0491E6D982}"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078C-480C-88F1-068A083C794A}"/>
                </c:ext>
              </c:extLst>
            </c:dLbl>
            <c:dLbl>
              <c:idx val="579"/>
              <c:tx>
                <c:rich>
                  <a:bodyPr/>
                  <a:lstStyle/>
                  <a:p>
                    <a:fld id="{239D63DA-1312-45C5-A9DF-F70C5A1A6430}"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078C-480C-88F1-068A083C794A}"/>
                </c:ext>
              </c:extLst>
            </c:dLbl>
            <c:dLbl>
              <c:idx val="580"/>
              <c:tx>
                <c:rich>
                  <a:bodyPr/>
                  <a:lstStyle/>
                  <a:p>
                    <a:fld id="{B1AAB9AF-09B1-4A52-96C2-1985F481F395}"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078C-480C-88F1-068A083C794A}"/>
                </c:ext>
              </c:extLst>
            </c:dLbl>
            <c:dLbl>
              <c:idx val="581"/>
              <c:tx>
                <c:rich>
                  <a:bodyPr/>
                  <a:lstStyle/>
                  <a:p>
                    <a:fld id="{764CE938-BD51-44E5-B093-E1D88D43B48B}"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078C-480C-88F1-068A083C794A}"/>
                </c:ext>
              </c:extLst>
            </c:dLbl>
            <c:dLbl>
              <c:idx val="582"/>
              <c:tx>
                <c:rich>
                  <a:bodyPr/>
                  <a:lstStyle/>
                  <a:p>
                    <a:fld id="{4653420A-9C95-48CD-A7B7-0948CA75AD8D}"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078C-480C-88F1-068A083C794A}"/>
                </c:ext>
              </c:extLst>
            </c:dLbl>
            <c:dLbl>
              <c:idx val="583"/>
              <c:tx>
                <c:rich>
                  <a:bodyPr/>
                  <a:lstStyle/>
                  <a:p>
                    <a:fld id="{E4B48660-6259-4A81-9F0D-D28EF88C50DB}"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078C-480C-88F1-068A083C794A}"/>
                </c:ext>
              </c:extLst>
            </c:dLbl>
            <c:dLbl>
              <c:idx val="584"/>
              <c:tx>
                <c:rich>
                  <a:bodyPr/>
                  <a:lstStyle/>
                  <a:p>
                    <a:fld id="{D433E75A-930C-40EB-92F4-3C6DCA882417}"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078C-480C-88F1-068A083C794A}"/>
                </c:ext>
              </c:extLst>
            </c:dLbl>
            <c:dLbl>
              <c:idx val="585"/>
              <c:tx>
                <c:rich>
                  <a:bodyPr/>
                  <a:lstStyle/>
                  <a:p>
                    <a:fld id="{44C7611F-4624-4E4D-B983-FC4D263A7631}"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078C-480C-88F1-068A083C794A}"/>
                </c:ext>
              </c:extLst>
            </c:dLbl>
            <c:dLbl>
              <c:idx val="586"/>
              <c:tx>
                <c:rich>
                  <a:bodyPr/>
                  <a:lstStyle/>
                  <a:p>
                    <a:fld id="{45880C06-A181-4BD7-BE05-E96DEA79CC0B}"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B-078C-480C-88F1-068A083C794A}"/>
                </c:ext>
              </c:extLst>
            </c:dLbl>
            <c:dLbl>
              <c:idx val="587"/>
              <c:tx>
                <c:rich>
                  <a:bodyPr/>
                  <a:lstStyle/>
                  <a:p>
                    <a:fld id="{59CF439E-33F4-4673-81EE-CBF2DFD064A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C-078C-480C-88F1-068A083C794A}"/>
                </c:ext>
              </c:extLst>
            </c:dLbl>
            <c:dLbl>
              <c:idx val="588"/>
              <c:tx>
                <c:rich>
                  <a:bodyPr/>
                  <a:lstStyle/>
                  <a:p>
                    <a:fld id="{3BD91AB0-8B6E-4FBF-859F-AF39DF103BC0}"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D-078C-480C-88F1-068A083C794A}"/>
                </c:ext>
              </c:extLst>
            </c:dLbl>
            <c:dLbl>
              <c:idx val="589"/>
              <c:tx>
                <c:rich>
                  <a:bodyPr/>
                  <a:lstStyle/>
                  <a:p>
                    <a:fld id="{5E92B0B6-26E8-44D0-BA5C-511F389271EF}"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078C-480C-88F1-068A083C794A}"/>
                </c:ext>
              </c:extLst>
            </c:dLbl>
            <c:dLbl>
              <c:idx val="591"/>
              <c:tx>
                <c:rich>
                  <a:bodyPr/>
                  <a:lstStyle/>
                  <a:p>
                    <a:fld id="{1ED13656-07F3-4D8A-96D8-31CEF6D1252D}"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CE87-4FFA-8B73-104D738AE4EA}"/>
                </c:ext>
              </c:extLst>
            </c:dLbl>
            <c:dLbl>
              <c:idx val="592"/>
              <c:tx>
                <c:rich>
                  <a:bodyPr/>
                  <a:lstStyle/>
                  <a:p>
                    <a:fld id="{89451819-DB4A-478A-BB12-3D502263DC1D}"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CE87-4FFA-8B73-104D738AE4EA}"/>
                </c:ext>
              </c:extLst>
            </c:dLbl>
            <c:dLbl>
              <c:idx val="593"/>
              <c:tx>
                <c:rich>
                  <a:bodyPr/>
                  <a:lstStyle/>
                  <a:p>
                    <a:fld id="{6C45C092-099F-4E2B-B9B9-EF628EFAA88B}"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CE87-4FFA-8B73-104D738AE4EA}"/>
                </c:ext>
              </c:extLst>
            </c:dLbl>
            <c:dLbl>
              <c:idx val="594"/>
              <c:tx>
                <c:rich>
                  <a:bodyPr/>
                  <a:lstStyle/>
                  <a:p>
                    <a:fld id="{94CB66C7-B20F-4EE9-A8E4-CC29E2401EE3}"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CE87-4FFA-8B73-104D738AE4EA}"/>
                </c:ext>
              </c:extLst>
            </c:dLbl>
            <c:dLbl>
              <c:idx val="595"/>
              <c:tx>
                <c:rich>
                  <a:bodyPr/>
                  <a:lstStyle/>
                  <a:p>
                    <a:fld id="{4A31CD3D-6B0B-4869-9061-86AB4938D2B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CE87-4FFA-8B73-104D738AE4EA}"/>
                </c:ext>
              </c:extLst>
            </c:dLbl>
            <c:dLbl>
              <c:idx val="596"/>
              <c:tx>
                <c:rich>
                  <a:bodyPr/>
                  <a:lstStyle/>
                  <a:p>
                    <a:fld id="{3A770860-4B83-4358-87ED-9A7306C38BCA}"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CE87-4FFA-8B73-104D738AE4EA}"/>
                </c:ext>
              </c:extLst>
            </c:dLbl>
            <c:dLbl>
              <c:idx val="597"/>
              <c:tx>
                <c:rich>
                  <a:bodyPr/>
                  <a:lstStyle/>
                  <a:p>
                    <a:fld id="{CAADA5CD-EEE1-4363-8EBB-C802B93969DF}"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CE87-4FFA-8B73-104D738AE4EA}"/>
                </c:ext>
              </c:extLst>
            </c:dLbl>
            <c:dLbl>
              <c:idx val="598"/>
              <c:tx>
                <c:rich>
                  <a:bodyPr/>
                  <a:lstStyle/>
                  <a:p>
                    <a:fld id="{4526005C-237B-4A65-A790-8E230E54C701}"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CE87-4FFA-8B73-104D738AE4EA}"/>
                </c:ext>
              </c:extLst>
            </c:dLbl>
            <c:dLbl>
              <c:idx val="599"/>
              <c:tx>
                <c:rich>
                  <a:bodyPr/>
                  <a:lstStyle/>
                  <a:p>
                    <a:fld id="{3C3CE360-C9F9-48EC-93AE-E722EB858772}"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CE87-4FFA-8B73-104D738AE4EA}"/>
                </c:ext>
              </c:extLst>
            </c:dLbl>
            <c:dLbl>
              <c:idx val="600"/>
              <c:tx>
                <c:rich>
                  <a:bodyPr/>
                  <a:lstStyle/>
                  <a:p>
                    <a:fld id="{B4F93583-4FE2-42CC-A1E9-E8EF5C353B58}"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CE87-4FFA-8B73-104D738AE4EA}"/>
                </c:ext>
              </c:extLst>
            </c:dLbl>
            <c:dLbl>
              <c:idx val="601"/>
              <c:tx>
                <c:rich>
                  <a:bodyPr/>
                  <a:lstStyle/>
                  <a:p>
                    <a:fld id="{FE2A5F55-2E4B-4B9E-858C-A3822E959F2A}"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CE87-4FFA-8B73-104D738AE4EA}"/>
                </c:ext>
              </c:extLst>
            </c:dLbl>
            <c:dLbl>
              <c:idx val="602"/>
              <c:tx>
                <c:rich>
                  <a:bodyPr/>
                  <a:lstStyle/>
                  <a:p>
                    <a:fld id="{3C0551B8-3C2E-4FB6-B6E6-C1EAA995B32A}"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B-CE87-4FFA-8B73-104D738AE4EA}"/>
                </c:ext>
              </c:extLst>
            </c:dLbl>
            <c:dLbl>
              <c:idx val="603"/>
              <c:tx>
                <c:rich>
                  <a:bodyPr/>
                  <a:lstStyle/>
                  <a:p>
                    <a:fld id="{82309CD4-A908-4CEE-A28E-2BCF190D4657}"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C-CE87-4FFA-8B73-104D738AE4EA}"/>
                </c:ext>
              </c:extLst>
            </c:dLbl>
            <c:dLbl>
              <c:idx val="604"/>
              <c:tx>
                <c:rich>
                  <a:bodyPr/>
                  <a:lstStyle/>
                  <a:p>
                    <a:fld id="{B0E75E86-8124-402B-951B-A82A547627BD}"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D-CE87-4FFA-8B73-104D738AE4EA}"/>
                </c:ext>
              </c:extLst>
            </c:dLbl>
            <c:dLbl>
              <c:idx val="605"/>
              <c:tx>
                <c:rich>
                  <a:bodyPr/>
                  <a:lstStyle/>
                  <a:p>
                    <a:fld id="{8B8D09C2-0AA8-478F-84A2-C0CB081FDCDC}"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CE87-4FFA-8B73-104D738AE4EA}"/>
                </c:ext>
              </c:extLst>
            </c:dLbl>
            <c:dLbl>
              <c:idx val="606"/>
              <c:tx>
                <c:rich>
                  <a:bodyPr/>
                  <a:lstStyle/>
                  <a:p>
                    <a:fld id="{8B7502A0-5303-4FF8-AD1B-81DED83AB81C}"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F-CE87-4FFA-8B73-104D738AE4EA}"/>
                </c:ext>
              </c:extLst>
            </c:dLbl>
            <c:dLbl>
              <c:idx val="607"/>
              <c:tx>
                <c:rich>
                  <a:bodyPr/>
                  <a:lstStyle/>
                  <a:p>
                    <a:fld id="{C4DC4F4B-2D13-4EBE-96EA-CB97E1262670}"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0-CE87-4FFA-8B73-104D738AE4EA}"/>
                </c:ext>
              </c:extLst>
            </c:dLbl>
            <c:dLbl>
              <c:idx val="608"/>
              <c:tx>
                <c:rich>
                  <a:bodyPr/>
                  <a:lstStyle/>
                  <a:p>
                    <a:fld id="{71A0751E-AACF-43CC-A422-B63450B24ADC}"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1041-4E2C-90A9-BE2FE2578598}"/>
                </c:ext>
              </c:extLst>
            </c:dLbl>
            <c:dLbl>
              <c:idx val="609"/>
              <c:tx>
                <c:rich>
                  <a:bodyPr/>
                  <a:lstStyle/>
                  <a:p>
                    <a:fld id="{C6F7C178-C3D1-44EC-9298-10A7A595ACCC}"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1041-4E2C-90A9-BE2FE2578598}"/>
                </c:ext>
              </c:extLst>
            </c:dLbl>
            <c:dLbl>
              <c:idx val="610"/>
              <c:tx>
                <c:rich>
                  <a:bodyPr/>
                  <a:lstStyle/>
                  <a:p>
                    <a:fld id="{D7BBB76B-A91E-4217-ACE7-46E826AAA8C2}"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1041-4E2C-90A9-BE2FE2578598}"/>
                </c:ext>
              </c:extLst>
            </c:dLbl>
            <c:dLbl>
              <c:idx val="611"/>
              <c:tx>
                <c:rich>
                  <a:bodyPr/>
                  <a:lstStyle/>
                  <a:p>
                    <a:fld id="{A6C6218F-4220-4E7D-B194-C8EB753D345C}"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1041-4E2C-90A9-BE2FE2578598}"/>
                </c:ext>
              </c:extLst>
            </c:dLbl>
            <c:dLbl>
              <c:idx val="612"/>
              <c:tx>
                <c:rich>
                  <a:bodyPr/>
                  <a:lstStyle/>
                  <a:p>
                    <a:fld id="{558DE561-7D50-44E3-99C6-AA7AE309C1C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1041-4E2C-90A9-BE2FE2578598}"/>
                </c:ext>
              </c:extLst>
            </c:dLbl>
            <c:dLbl>
              <c:idx val="613"/>
              <c:tx>
                <c:rich>
                  <a:bodyPr/>
                  <a:lstStyle/>
                  <a:p>
                    <a:fld id="{99013D6F-7DB7-42E2-8758-179D153CF15A}"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1041-4E2C-90A9-BE2FE2578598}"/>
                </c:ext>
              </c:extLst>
            </c:dLbl>
            <c:dLbl>
              <c:idx val="614"/>
              <c:tx>
                <c:rich>
                  <a:bodyPr/>
                  <a:lstStyle/>
                  <a:p>
                    <a:fld id="{C1C55B77-FDB3-422F-AE18-67BF1475F95F}"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1041-4E2C-90A9-BE2FE2578598}"/>
                </c:ext>
              </c:extLst>
            </c:dLbl>
            <c:dLbl>
              <c:idx val="615"/>
              <c:tx>
                <c:rich>
                  <a:bodyPr/>
                  <a:lstStyle/>
                  <a:p>
                    <a:fld id="{8EDCB831-1452-4D91-87C1-D36BFB94128B}"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1041-4E2C-90A9-BE2FE2578598}"/>
                </c:ext>
              </c:extLst>
            </c:dLbl>
            <c:dLbl>
              <c:idx val="616"/>
              <c:tx>
                <c:rich>
                  <a:bodyPr/>
                  <a:lstStyle/>
                  <a:p>
                    <a:fld id="{A3714B55-A616-459C-8CC3-5D3B8F5CC4F1}"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1041-4E2C-90A9-BE2FE2578598}"/>
                </c:ext>
              </c:extLst>
            </c:dLbl>
            <c:dLbl>
              <c:idx val="617"/>
              <c:tx>
                <c:rich>
                  <a:bodyPr/>
                  <a:lstStyle/>
                  <a:p>
                    <a:fld id="{D127ACB5-428A-4BEE-BED9-C12F517C85DD}"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1041-4E2C-90A9-BE2FE2578598}"/>
                </c:ext>
              </c:extLst>
            </c:dLbl>
            <c:dLbl>
              <c:idx val="618"/>
              <c:tx>
                <c:rich>
                  <a:bodyPr/>
                  <a:lstStyle/>
                  <a:p>
                    <a:fld id="{B8B4ED81-1208-43DC-83DE-3869CEC7F99C}"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1041-4E2C-90A9-BE2FE2578598}"/>
                </c:ext>
              </c:extLst>
            </c:dLbl>
            <c:dLbl>
              <c:idx val="619"/>
              <c:tx>
                <c:rich>
                  <a:bodyPr/>
                  <a:lstStyle/>
                  <a:p>
                    <a:fld id="{3D5AEC87-4FE3-4A12-AF9A-F0731231DD11}"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B-1041-4E2C-90A9-BE2FE2578598}"/>
                </c:ext>
              </c:extLst>
            </c:dLbl>
            <c:dLbl>
              <c:idx val="620"/>
              <c:tx>
                <c:rich>
                  <a:bodyPr/>
                  <a:lstStyle/>
                  <a:p>
                    <a:fld id="{05BCC786-6C11-4CC3-8AD1-78B2425CBE3A}"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C-1041-4E2C-90A9-BE2FE2578598}"/>
                </c:ext>
              </c:extLst>
            </c:dLbl>
            <c:dLbl>
              <c:idx val="621"/>
              <c:tx>
                <c:rich>
                  <a:bodyPr/>
                  <a:lstStyle/>
                  <a:p>
                    <a:fld id="{958DBC92-F712-4570-B2C6-336D74461175}"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1F92-4044-9D66-EE7101E5AAC5}"/>
                </c:ext>
              </c:extLst>
            </c:dLbl>
            <c:dLbl>
              <c:idx val="622"/>
              <c:tx>
                <c:rich>
                  <a:bodyPr/>
                  <a:lstStyle/>
                  <a:p>
                    <a:fld id="{3096F05C-DCD7-48E7-84B4-8B6827ADD85C}"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1F92-4044-9D66-EE7101E5AAC5}"/>
                </c:ext>
              </c:extLst>
            </c:dLbl>
            <c:dLbl>
              <c:idx val="623"/>
              <c:tx>
                <c:rich>
                  <a:bodyPr/>
                  <a:lstStyle/>
                  <a:p>
                    <a:fld id="{89BFF055-37E4-455E-80A0-0DB0D2018E49}"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1F92-4044-9D66-EE7101E5AAC5}"/>
                </c:ext>
              </c:extLst>
            </c:dLbl>
            <c:dLbl>
              <c:idx val="624"/>
              <c:tx>
                <c:rich>
                  <a:bodyPr/>
                  <a:lstStyle/>
                  <a:p>
                    <a:fld id="{8EE3300E-3F0D-4788-AF84-2A882F103E43}"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1F92-4044-9D66-EE7101E5AAC5}"/>
                </c:ext>
              </c:extLst>
            </c:dLbl>
            <c:dLbl>
              <c:idx val="625"/>
              <c:tx>
                <c:rich>
                  <a:bodyPr/>
                  <a:lstStyle/>
                  <a:p>
                    <a:fld id="{1026A8E8-50BF-4885-86FB-1D144965F08E}"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1F92-4044-9D66-EE7101E5AAC5}"/>
                </c:ext>
              </c:extLst>
            </c:dLbl>
            <c:dLbl>
              <c:idx val="626"/>
              <c:tx>
                <c:rich>
                  <a:bodyPr/>
                  <a:lstStyle/>
                  <a:p>
                    <a:fld id="{CC5377A6-14AA-4D27-8789-56473976A463}"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1F92-4044-9D66-EE7101E5AAC5}"/>
                </c:ext>
              </c:extLst>
            </c:dLbl>
            <c:dLbl>
              <c:idx val="627"/>
              <c:tx>
                <c:rich>
                  <a:bodyPr/>
                  <a:lstStyle/>
                  <a:p>
                    <a:fld id="{0E750C61-B5C8-4D36-8A44-3D9DB895B918}"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1F92-4044-9D66-EE7101E5AAC5}"/>
                </c:ext>
              </c:extLst>
            </c:dLbl>
            <c:dLbl>
              <c:idx val="628"/>
              <c:tx>
                <c:rich>
                  <a:bodyPr/>
                  <a:lstStyle/>
                  <a:p>
                    <a:fld id="{F837490E-CB9D-4109-8377-9F0AB9AE9CA8}"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FB9D-4EC4-8701-1F706C9ADCF3}"/>
                </c:ext>
              </c:extLst>
            </c:dLbl>
            <c:dLbl>
              <c:idx val="629"/>
              <c:tx>
                <c:rich>
                  <a:bodyPr/>
                  <a:lstStyle/>
                  <a:p>
                    <a:fld id="{B896F347-CEB5-4FEF-B65F-FF4B2C082E4E}"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FB9D-4EC4-8701-1F706C9ADCF3}"/>
                </c:ext>
              </c:extLst>
            </c:dLbl>
            <c:dLbl>
              <c:idx val="630"/>
              <c:tx>
                <c:rich>
                  <a:bodyPr/>
                  <a:lstStyle/>
                  <a:p>
                    <a:fld id="{B0268C5D-7E90-4A8D-9563-FEACFF98119D}"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FB9D-4EC4-8701-1F706C9ADCF3}"/>
                </c:ext>
              </c:extLst>
            </c:dLbl>
            <c:dLbl>
              <c:idx val="631"/>
              <c:tx>
                <c:rich>
                  <a:bodyPr/>
                  <a:lstStyle/>
                  <a:p>
                    <a:fld id="{E330D5E2-2C1B-4281-94C1-3C9ECC875395}"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FB9D-4EC4-8701-1F706C9ADCF3}"/>
                </c:ext>
              </c:extLst>
            </c:dLbl>
            <c:dLbl>
              <c:idx val="632"/>
              <c:tx>
                <c:rich>
                  <a:bodyPr/>
                  <a:lstStyle/>
                  <a:p>
                    <a:fld id="{DA0E5815-183E-44DD-BE29-88E3606789C5}"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FB9D-4EC4-8701-1F706C9ADCF3}"/>
                </c:ext>
              </c:extLst>
            </c:dLbl>
            <c:dLbl>
              <c:idx val="633"/>
              <c:tx>
                <c:rich>
                  <a:bodyPr/>
                  <a:lstStyle/>
                  <a:p>
                    <a:fld id="{D8028FC9-29FF-4D41-8AB7-098258429F2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FB9D-4EC4-8701-1F706C9ADCF3}"/>
                </c:ext>
              </c:extLst>
            </c:dLbl>
            <c:dLbl>
              <c:idx val="634"/>
              <c:tx>
                <c:rich>
                  <a:bodyPr/>
                  <a:lstStyle/>
                  <a:p>
                    <a:fld id="{51B9F470-68D7-4169-91D5-A3EECC99CDF7}"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FB9D-4EC4-8701-1F706C9ADCF3}"/>
                </c:ext>
              </c:extLst>
            </c:dLbl>
            <c:dLbl>
              <c:idx val="635"/>
              <c:tx>
                <c:rich>
                  <a:bodyPr/>
                  <a:lstStyle/>
                  <a:p>
                    <a:fld id="{280E6A17-CC98-4D59-816E-1FA3AA13A56D}"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FB9D-4EC4-8701-1F706C9ADCF3}"/>
                </c:ext>
              </c:extLst>
            </c:dLbl>
            <c:dLbl>
              <c:idx val="636"/>
              <c:tx>
                <c:rich>
                  <a:bodyPr/>
                  <a:lstStyle/>
                  <a:p>
                    <a:fld id="{9A7139ED-951C-414C-9F16-DCA20491F4F1}"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FB9D-4EC4-8701-1F706C9ADCF3}"/>
                </c:ext>
              </c:extLst>
            </c:dLbl>
            <c:dLbl>
              <c:idx val="637"/>
              <c:tx>
                <c:rich>
                  <a:bodyPr/>
                  <a:lstStyle/>
                  <a:p>
                    <a:fld id="{5C532C7B-4473-4D8D-8D15-FD361CEB428C}"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FB9D-4EC4-8701-1F706C9ADCF3}"/>
                </c:ext>
              </c:extLst>
            </c:dLbl>
            <c:dLbl>
              <c:idx val="638"/>
              <c:tx>
                <c:rich>
                  <a:bodyPr/>
                  <a:lstStyle/>
                  <a:p>
                    <a:fld id="{67A81F57-A34D-483C-914F-89F50DD4F5BB}"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E7C9-46FA-B018-5463DB778836}"/>
                </c:ext>
              </c:extLst>
            </c:dLbl>
            <c:dLbl>
              <c:idx val="639"/>
              <c:tx>
                <c:rich>
                  <a:bodyPr/>
                  <a:lstStyle/>
                  <a:p>
                    <a:fld id="{4575BC2E-6AFB-4EF6-8969-175405B5C2A7}"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E7C9-46FA-B018-5463DB778836}"/>
                </c:ext>
              </c:extLst>
            </c:dLbl>
            <c:dLbl>
              <c:idx val="640"/>
              <c:tx>
                <c:rich>
                  <a:bodyPr/>
                  <a:lstStyle/>
                  <a:p>
                    <a:fld id="{E9F666F3-7455-41D2-8788-318CB95721C1}"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E7C9-46FA-B018-5463DB778836}"/>
                </c:ext>
              </c:extLst>
            </c:dLbl>
            <c:dLbl>
              <c:idx val="641"/>
              <c:tx>
                <c:rich>
                  <a:bodyPr/>
                  <a:lstStyle/>
                  <a:p>
                    <a:fld id="{6D93A686-5E70-4687-AEF0-599B4DF4FCFF}"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E7C9-46FA-B018-5463DB778836}"/>
                </c:ext>
              </c:extLst>
            </c:dLbl>
            <c:dLbl>
              <c:idx val="642"/>
              <c:tx>
                <c:rich>
                  <a:bodyPr/>
                  <a:lstStyle/>
                  <a:p>
                    <a:fld id="{337C7826-7917-46CD-B4B5-0542984DE086}"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E7C9-46FA-B018-5463DB778836}"/>
                </c:ext>
              </c:extLst>
            </c:dLbl>
            <c:dLbl>
              <c:idx val="643"/>
              <c:tx>
                <c:rich>
                  <a:bodyPr/>
                  <a:lstStyle/>
                  <a:p>
                    <a:fld id="{2C0E6AD7-EBA9-4B02-8B17-AC20098B18FF}"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E7C9-46FA-B018-5463DB778836}"/>
                </c:ext>
              </c:extLst>
            </c:dLbl>
            <c:dLbl>
              <c:idx val="644"/>
              <c:tx>
                <c:rich>
                  <a:bodyPr/>
                  <a:lstStyle/>
                  <a:p>
                    <a:fld id="{7A405404-9F5C-4D5F-8EC0-5E3EE83C9522}"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E7C9-46FA-B018-5463DB778836}"/>
                </c:ext>
              </c:extLst>
            </c:dLbl>
            <c:dLbl>
              <c:idx val="645"/>
              <c:tx>
                <c:rich>
                  <a:bodyPr/>
                  <a:lstStyle/>
                  <a:p>
                    <a:fld id="{23669547-3C62-4D81-AC34-3DFA698A21E5}"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E7C9-46FA-B018-5463DB778836}"/>
                </c:ext>
              </c:extLst>
            </c:dLbl>
            <c:dLbl>
              <c:idx val="646"/>
              <c:tx>
                <c:rich>
                  <a:bodyPr/>
                  <a:lstStyle/>
                  <a:p>
                    <a:fld id="{4B96B3A5-F1F3-4E94-8565-6ED9D6D47D80}"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E7C9-46FA-B018-5463DB778836}"/>
                </c:ext>
              </c:extLst>
            </c:dLbl>
            <c:dLbl>
              <c:idx val="647"/>
              <c:tx>
                <c:rich>
                  <a:bodyPr/>
                  <a:lstStyle/>
                  <a:p>
                    <a:fld id="{F75B8929-6C32-47B3-9940-C0646C8FFF49}"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E7C9-46FA-B018-5463DB778836}"/>
                </c:ext>
              </c:extLst>
            </c:dLbl>
            <c:dLbl>
              <c:idx val="648"/>
              <c:tx>
                <c:rich>
                  <a:bodyPr/>
                  <a:lstStyle/>
                  <a:p>
                    <a:fld id="{9A350EE5-4693-4E34-A7D8-B1D4CFDC4121}"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E7C9-46FA-B018-5463DB778836}"/>
                </c:ext>
              </c:extLst>
            </c:dLbl>
            <c:dLbl>
              <c:idx val="649"/>
              <c:tx>
                <c:rich>
                  <a:bodyPr/>
                  <a:lstStyle/>
                  <a:p>
                    <a:fld id="{C5B2F268-ADB2-4A85-A955-1FD951C3EF3D}"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B-E7C9-46FA-B018-5463DB778836}"/>
                </c:ext>
              </c:extLst>
            </c:dLbl>
            <c:dLbl>
              <c:idx val="650"/>
              <c:tx>
                <c:rich>
                  <a:bodyPr/>
                  <a:lstStyle/>
                  <a:p>
                    <a:fld id="{CFDAA8FA-C1B6-4BE5-9CE5-F011BA4BD45D}"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C-E7C9-46FA-B018-5463DB778836}"/>
                </c:ext>
              </c:extLst>
            </c:dLbl>
            <c:dLbl>
              <c:idx val="651"/>
              <c:tx>
                <c:rich>
                  <a:bodyPr/>
                  <a:lstStyle/>
                  <a:p>
                    <a:fld id="{FBF18AF2-34A2-400D-AFDC-75CD2F70474E}"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D-E7C9-46FA-B018-5463DB778836}"/>
                </c:ext>
              </c:extLst>
            </c:dLbl>
            <c:dLbl>
              <c:idx val="652"/>
              <c:tx>
                <c:rich>
                  <a:bodyPr/>
                  <a:lstStyle/>
                  <a:p>
                    <a:fld id="{67B4884D-59AC-402D-BB41-6BF3054142B2}"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E7C9-46FA-B018-5463DB778836}"/>
                </c:ext>
              </c:extLst>
            </c:dLbl>
            <c:dLbl>
              <c:idx val="653"/>
              <c:tx>
                <c:rich>
                  <a:bodyPr/>
                  <a:lstStyle/>
                  <a:p>
                    <a:fld id="{1A542706-25B7-4C23-842D-137C8DADC8DC}"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F-E7C9-46FA-B018-5463DB778836}"/>
                </c:ext>
              </c:extLst>
            </c:dLbl>
            <c:dLbl>
              <c:idx val="654"/>
              <c:tx>
                <c:rich>
                  <a:bodyPr/>
                  <a:lstStyle/>
                  <a:p>
                    <a:fld id="{670CDE9A-7C2E-4E6F-8F40-24398CC16006}"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60CA-46BF-B16E-5A25F5279F7E}"/>
                </c:ext>
              </c:extLst>
            </c:dLbl>
            <c:dLbl>
              <c:idx val="655"/>
              <c:tx>
                <c:rich>
                  <a:bodyPr/>
                  <a:lstStyle/>
                  <a:p>
                    <a:fld id="{62B7322A-4EEC-4024-B891-458BC452FD13}"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60CA-46BF-B16E-5A25F5279F7E}"/>
                </c:ext>
              </c:extLst>
            </c:dLbl>
            <c:dLbl>
              <c:idx val="656"/>
              <c:tx>
                <c:rich>
                  <a:bodyPr/>
                  <a:lstStyle/>
                  <a:p>
                    <a:fld id="{15941E2A-5BC7-48E8-95EE-9EA3657E7F9E}"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60CA-46BF-B16E-5A25F5279F7E}"/>
                </c:ext>
              </c:extLst>
            </c:dLbl>
            <c:dLbl>
              <c:idx val="657"/>
              <c:tx>
                <c:rich>
                  <a:bodyPr/>
                  <a:lstStyle/>
                  <a:p>
                    <a:fld id="{1B57CF28-31F2-4CEF-A8D0-BA7B577F3E53}"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60CA-46BF-B16E-5A25F5279F7E}"/>
                </c:ext>
              </c:extLst>
            </c:dLbl>
            <c:dLbl>
              <c:idx val="658"/>
              <c:tx>
                <c:rich>
                  <a:bodyPr/>
                  <a:lstStyle/>
                  <a:p>
                    <a:fld id="{08BE5620-BFC1-494D-B4F9-DB52A9B0770A}"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60CA-46BF-B16E-5A25F5279F7E}"/>
                </c:ext>
              </c:extLst>
            </c:dLbl>
            <c:dLbl>
              <c:idx val="659"/>
              <c:tx>
                <c:rich>
                  <a:bodyPr/>
                  <a:lstStyle/>
                  <a:p>
                    <a:fld id="{11D81D1C-2135-4140-933D-5744A83A601B}"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60CA-46BF-B16E-5A25F5279F7E}"/>
                </c:ext>
              </c:extLst>
            </c:dLbl>
            <c:dLbl>
              <c:idx val="660"/>
              <c:tx>
                <c:rich>
                  <a:bodyPr/>
                  <a:lstStyle/>
                  <a:p>
                    <a:fld id="{3CD6807F-71E9-4D0E-B3B9-E41F523665D3}"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60CA-46BF-B16E-5A25F5279F7E}"/>
                </c:ext>
              </c:extLst>
            </c:dLbl>
            <c:dLbl>
              <c:idx val="661"/>
              <c:tx>
                <c:rich>
                  <a:bodyPr/>
                  <a:lstStyle/>
                  <a:p>
                    <a:fld id="{EA661F24-2A14-4A92-9B96-D36CC87554D6}"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60CA-46BF-B16E-5A25F5279F7E}"/>
                </c:ext>
              </c:extLst>
            </c:dLbl>
            <c:dLbl>
              <c:idx val="662"/>
              <c:tx>
                <c:rich>
                  <a:bodyPr/>
                  <a:lstStyle/>
                  <a:p>
                    <a:fld id="{8BF297F0-D37E-4603-B9F1-A7102E30DA62}"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60CA-46BF-B16E-5A25F5279F7E}"/>
                </c:ext>
              </c:extLst>
            </c:dLbl>
            <c:dLbl>
              <c:idx val="663"/>
              <c:tx>
                <c:rich>
                  <a:bodyPr/>
                  <a:lstStyle/>
                  <a:p>
                    <a:fld id="{D01C8902-2709-4615-8A5D-8E27F468FEA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6AB3-405B-A390-BD348190D1DC}"/>
                </c:ext>
              </c:extLst>
            </c:dLbl>
            <c:dLbl>
              <c:idx val="664"/>
              <c:tx>
                <c:rich>
                  <a:bodyPr/>
                  <a:lstStyle/>
                  <a:p>
                    <a:fld id="{9202BD46-0BF8-49D0-8E25-6D1ABB55D2F2}"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6AB3-405B-A390-BD348190D1DC}"/>
                </c:ext>
              </c:extLst>
            </c:dLbl>
            <c:dLbl>
              <c:idx val="665"/>
              <c:tx>
                <c:rich>
                  <a:bodyPr/>
                  <a:lstStyle/>
                  <a:p>
                    <a:fld id="{608C1869-6687-4933-9C2F-6C89196DD339}"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6AB3-405B-A390-BD348190D1DC}"/>
                </c:ext>
              </c:extLst>
            </c:dLbl>
            <c:dLbl>
              <c:idx val="666"/>
              <c:tx>
                <c:rich>
                  <a:bodyPr/>
                  <a:lstStyle/>
                  <a:p>
                    <a:fld id="{6A8FA1D0-3BFF-45D3-85D3-4E8A5A740597}"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6AB3-405B-A390-BD348190D1DC}"/>
                </c:ext>
              </c:extLst>
            </c:dLbl>
            <c:dLbl>
              <c:idx val="667"/>
              <c:tx>
                <c:rich>
                  <a:bodyPr/>
                  <a:lstStyle/>
                  <a:p>
                    <a:fld id="{C97CD988-4309-48DE-8477-18273C9224F5}"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6AB3-405B-A390-BD348190D1DC}"/>
                </c:ext>
              </c:extLst>
            </c:dLbl>
            <c:dLbl>
              <c:idx val="668"/>
              <c:tx>
                <c:rich>
                  <a:bodyPr/>
                  <a:lstStyle/>
                  <a:p>
                    <a:fld id="{FFE66C25-2E5F-4B84-8C39-F870478C84A2}"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6AB3-405B-A390-BD348190D1DC}"/>
                </c:ext>
              </c:extLst>
            </c:dLbl>
            <c:dLbl>
              <c:idx val="669"/>
              <c:tx>
                <c:rich>
                  <a:bodyPr/>
                  <a:lstStyle/>
                  <a:p>
                    <a:fld id="{7407B5CF-C372-4712-A1AB-3BD57E052BD7}"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6AB3-405B-A390-BD348190D1DC}"/>
                </c:ext>
              </c:extLst>
            </c:dLbl>
            <c:dLbl>
              <c:idx val="670"/>
              <c:tx>
                <c:rich>
                  <a:bodyPr/>
                  <a:lstStyle/>
                  <a:p>
                    <a:fld id="{1A219E96-D5EC-49BF-8DBB-A15DAB70B276}"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6AB3-405B-A390-BD348190D1DC}"/>
                </c:ext>
              </c:extLst>
            </c:dLbl>
            <c:dLbl>
              <c:idx val="671"/>
              <c:tx>
                <c:rich>
                  <a:bodyPr/>
                  <a:lstStyle/>
                  <a:p>
                    <a:fld id="{94BFB0EC-B28A-4D6D-A0C6-9898D5C7E53E}"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6AB3-405B-A390-BD348190D1DC}"/>
                </c:ext>
              </c:extLst>
            </c:dLbl>
            <c:dLbl>
              <c:idx val="672"/>
              <c:tx>
                <c:rich>
                  <a:bodyPr/>
                  <a:lstStyle/>
                  <a:p>
                    <a:fld id="{D31AA657-1EE0-4E42-9055-D5E97F2010FE}"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6AB3-405B-A390-BD348190D1DC}"/>
                </c:ext>
              </c:extLst>
            </c:dLbl>
            <c:dLbl>
              <c:idx val="673"/>
              <c:tx>
                <c:rich>
                  <a:bodyPr/>
                  <a:lstStyle/>
                  <a:p>
                    <a:fld id="{02602E6E-DA5F-4A9D-89C9-BE0171CC164C}"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6AB3-405B-A390-BD348190D1DC}"/>
                </c:ext>
              </c:extLst>
            </c:dLbl>
            <c:dLbl>
              <c:idx val="674"/>
              <c:tx>
                <c:rich>
                  <a:bodyPr/>
                  <a:lstStyle/>
                  <a:p>
                    <a:fld id="{0ABC3FF0-F0E8-4B79-812F-A23FDB4144C8}"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B-6AB3-405B-A390-BD348190D1DC}"/>
                </c:ext>
              </c:extLst>
            </c:dLbl>
            <c:dLbl>
              <c:idx val="675"/>
              <c:tx>
                <c:rich>
                  <a:bodyPr/>
                  <a:lstStyle/>
                  <a:p>
                    <a:fld id="{D4352BCE-B62B-46A8-8683-958C47010748}"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C-6AB3-405B-A390-BD348190D1DC}"/>
                </c:ext>
              </c:extLst>
            </c:dLbl>
            <c:dLbl>
              <c:idx val="676"/>
              <c:tx>
                <c:rich>
                  <a:bodyPr/>
                  <a:lstStyle/>
                  <a:p>
                    <a:fld id="{49C4BF96-B7F5-41DF-82FE-373F6ED56F0A}"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D-6AB3-405B-A390-BD348190D1DC}"/>
                </c:ext>
              </c:extLst>
            </c:dLbl>
            <c:dLbl>
              <c:idx val="677"/>
              <c:tx>
                <c:rich>
                  <a:bodyPr/>
                  <a:lstStyle/>
                  <a:p>
                    <a:fld id="{88DFD8BA-F618-456D-BF45-88DB173599CA}"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6AB3-405B-A390-BD348190D1DC}"/>
                </c:ext>
              </c:extLst>
            </c:dLbl>
            <c:dLbl>
              <c:idx val="678"/>
              <c:tx>
                <c:rich>
                  <a:bodyPr/>
                  <a:lstStyle/>
                  <a:p>
                    <a:fld id="{04ED7EC4-CE43-442F-ACA2-3981D7D37ABA}"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F-6AB3-405B-A390-BD348190D1DC}"/>
                </c:ext>
              </c:extLst>
            </c:dLbl>
            <c:dLbl>
              <c:idx val="680"/>
              <c:tx>
                <c:rich>
                  <a:bodyPr/>
                  <a:lstStyle/>
                  <a:p>
                    <a:fld id="{2E9FF3C1-D844-4D3D-B935-A32B83FB8D07}"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B010-4E07-8DED-964B4BF02544}"/>
                </c:ext>
              </c:extLst>
            </c:dLbl>
            <c:dLbl>
              <c:idx val="681"/>
              <c:tx>
                <c:rich>
                  <a:bodyPr/>
                  <a:lstStyle/>
                  <a:p>
                    <a:fld id="{DD812D44-1E61-46A6-B0B4-39737B0AA337}"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B010-4E07-8DED-964B4BF02544}"/>
                </c:ext>
              </c:extLst>
            </c:dLbl>
            <c:dLbl>
              <c:idx val="682"/>
              <c:tx>
                <c:rich>
                  <a:bodyPr/>
                  <a:lstStyle/>
                  <a:p>
                    <a:fld id="{242CF067-F3FC-412B-B8FF-A1CC35CDCA1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B010-4E07-8DED-964B4BF02544}"/>
                </c:ext>
              </c:extLst>
            </c:dLbl>
            <c:dLbl>
              <c:idx val="683"/>
              <c:tx>
                <c:rich>
                  <a:bodyPr/>
                  <a:lstStyle/>
                  <a:p>
                    <a:fld id="{A72BD6AA-F6D1-4F94-B46A-7FAA3E04CD05}"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B010-4E07-8DED-964B4BF02544}"/>
                </c:ext>
              </c:extLst>
            </c:dLbl>
            <c:dLbl>
              <c:idx val="684"/>
              <c:tx>
                <c:rich>
                  <a:bodyPr/>
                  <a:lstStyle/>
                  <a:p>
                    <a:fld id="{A7EC48C9-59BB-471B-B16E-DF6EF576C326}"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B010-4E07-8DED-964B4BF02544}"/>
                </c:ext>
              </c:extLst>
            </c:dLbl>
            <c:dLbl>
              <c:idx val="685"/>
              <c:tx>
                <c:rich>
                  <a:bodyPr/>
                  <a:lstStyle/>
                  <a:p>
                    <a:fld id="{775CE9AA-734B-4779-8F2D-F9F03F4691A5}"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B010-4E07-8DED-964B4BF02544}"/>
                </c:ext>
              </c:extLst>
            </c:dLbl>
            <c:dLbl>
              <c:idx val="686"/>
              <c:tx>
                <c:rich>
                  <a:bodyPr/>
                  <a:lstStyle/>
                  <a:p>
                    <a:fld id="{A9BE51EC-BF9A-4F4A-92D1-9A9E09FFD9EB}"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B010-4E07-8DED-964B4BF02544}"/>
                </c:ext>
              </c:extLst>
            </c:dLbl>
            <c:dLbl>
              <c:idx val="687"/>
              <c:tx>
                <c:rich>
                  <a:bodyPr/>
                  <a:lstStyle/>
                  <a:p>
                    <a:fld id="{6A879DB5-1824-43FA-92ED-583DCC121181}"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B010-4E07-8DED-964B4BF02544}"/>
                </c:ext>
              </c:extLst>
            </c:dLbl>
            <c:dLbl>
              <c:idx val="688"/>
              <c:tx>
                <c:rich>
                  <a:bodyPr/>
                  <a:lstStyle/>
                  <a:p>
                    <a:fld id="{A8DBDD21-7918-49D1-BC5E-FC321293F6AE}"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B010-4E07-8DED-964B4BF02544}"/>
                </c:ext>
              </c:extLst>
            </c:dLbl>
            <c:dLbl>
              <c:idx val="689"/>
              <c:tx>
                <c:rich>
                  <a:bodyPr/>
                  <a:lstStyle/>
                  <a:p>
                    <a:fld id="{0CB3D9E5-97CB-4BF9-9E5C-4CA6263E4F0C}"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B010-4E07-8DED-964B4BF02544}"/>
                </c:ext>
              </c:extLst>
            </c:dLbl>
            <c:dLbl>
              <c:idx val="690"/>
              <c:tx>
                <c:rich>
                  <a:bodyPr/>
                  <a:lstStyle/>
                  <a:p>
                    <a:fld id="{2FA76A4F-EA8B-4768-B959-30D19BEBC61D}"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B-B010-4E07-8DED-964B4BF02544}"/>
                </c:ext>
              </c:extLst>
            </c:dLbl>
            <c:dLbl>
              <c:idx val="691"/>
              <c:tx>
                <c:rich>
                  <a:bodyPr/>
                  <a:lstStyle/>
                  <a:p>
                    <a:fld id="{53A55E52-BE6B-4320-BD66-FD82EC869188}"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2B05-49A6-82FF-432C0207B137}"/>
                </c:ext>
              </c:extLst>
            </c:dLbl>
            <c:dLbl>
              <c:idx val="692"/>
              <c:tx>
                <c:rich>
                  <a:bodyPr/>
                  <a:lstStyle/>
                  <a:p>
                    <a:fld id="{31DA3F8B-EF5B-43BE-8AE5-2B7199449311}"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2B05-49A6-82FF-432C0207B137}"/>
                </c:ext>
              </c:extLst>
            </c:dLbl>
            <c:dLbl>
              <c:idx val="693"/>
              <c:tx>
                <c:rich>
                  <a:bodyPr/>
                  <a:lstStyle/>
                  <a:p>
                    <a:fld id="{88C4EF84-7DDB-4586-96AF-B6B7B821DF4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2B05-49A6-82FF-432C0207B137}"/>
                </c:ext>
              </c:extLst>
            </c:dLbl>
            <c:dLbl>
              <c:idx val="694"/>
              <c:tx>
                <c:rich>
                  <a:bodyPr/>
                  <a:lstStyle/>
                  <a:p>
                    <a:fld id="{0125ED4B-B43D-443E-9EC4-6493227940BA}"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2B05-49A6-82FF-432C0207B137}"/>
                </c:ext>
              </c:extLst>
            </c:dLbl>
            <c:dLbl>
              <c:idx val="695"/>
              <c:tx>
                <c:rich>
                  <a:bodyPr/>
                  <a:lstStyle/>
                  <a:p>
                    <a:fld id="{BCB9E8FE-FB1C-449E-BCA3-F7DF16E06CCB}"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2B05-49A6-82FF-432C0207B137}"/>
                </c:ext>
              </c:extLst>
            </c:dLbl>
            <c:dLbl>
              <c:idx val="696"/>
              <c:tx>
                <c:rich>
                  <a:bodyPr/>
                  <a:lstStyle/>
                  <a:p>
                    <a:fld id="{244598B9-96C7-4A02-A976-73EE8FBA518D}"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2B05-49A6-82FF-432C0207B137}"/>
                </c:ext>
              </c:extLst>
            </c:dLbl>
            <c:dLbl>
              <c:idx val="697"/>
              <c:tx>
                <c:rich>
                  <a:bodyPr/>
                  <a:lstStyle/>
                  <a:p>
                    <a:fld id="{FBFAD349-137F-489A-9822-810D96940B4B}"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2B05-49A6-82FF-432C0207B137}"/>
                </c:ext>
              </c:extLst>
            </c:dLbl>
            <c:dLbl>
              <c:idx val="698"/>
              <c:tx>
                <c:rich>
                  <a:bodyPr/>
                  <a:lstStyle/>
                  <a:p>
                    <a:fld id="{F0CB2821-BD0E-4A04-8740-330635DD9053}"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2B05-49A6-82FF-432C0207B137}"/>
                </c:ext>
              </c:extLst>
            </c:dLbl>
            <c:dLbl>
              <c:idx val="699"/>
              <c:tx>
                <c:rich>
                  <a:bodyPr/>
                  <a:lstStyle/>
                  <a:p>
                    <a:fld id="{1A05401B-9BEB-4FA1-9090-310AAA44EA12}"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2B05-49A6-82FF-432C0207B137}"/>
                </c:ext>
              </c:extLst>
            </c:dLbl>
            <c:dLbl>
              <c:idx val="700"/>
              <c:tx>
                <c:rich>
                  <a:bodyPr/>
                  <a:lstStyle/>
                  <a:p>
                    <a:fld id="{2C856E53-9A49-491F-B20A-B71D23DDDBEF}"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2B05-49A6-82FF-432C0207B137}"/>
                </c:ext>
              </c:extLst>
            </c:dLbl>
            <c:dLbl>
              <c:idx val="701"/>
              <c:tx>
                <c:rich>
                  <a:bodyPr/>
                  <a:lstStyle/>
                  <a:p>
                    <a:fld id="{F988D74A-3182-4785-8CF8-5DE21C80CE27}"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2B05-49A6-82FF-432C0207B137}"/>
                </c:ext>
              </c:extLst>
            </c:dLbl>
            <c:dLbl>
              <c:idx val="702"/>
              <c:tx>
                <c:rich>
                  <a:bodyPr/>
                  <a:lstStyle/>
                  <a:p>
                    <a:fld id="{E1FA4A15-3635-4D59-83F1-30577A09D039}"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B-2B05-49A6-82FF-432C0207B137}"/>
                </c:ext>
              </c:extLst>
            </c:dLbl>
            <c:dLbl>
              <c:idx val="703"/>
              <c:tx>
                <c:rich>
                  <a:bodyPr/>
                  <a:lstStyle/>
                  <a:p>
                    <a:fld id="{3A357B13-6A34-44B9-A8BC-74498543741D}"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C-2B05-49A6-82FF-432C0207B137}"/>
                </c:ext>
              </c:extLst>
            </c:dLbl>
            <c:dLbl>
              <c:idx val="704"/>
              <c:tx>
                <c:rich>
                  <a:bodyPr/>
                  <a:lstStyle/>
                  <a:p>
                    <a:fld id="{45334057-1F69-4D5C-A546-E10A8F898718}"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D-2B05-49A6-82FF-432C0207B137}"/>
                </c:ext>
              </c:extLst>
            </c:dLbl>
            <c:dLbl>
              <c:idx val="705"/>
              <c:tx>
                <c:rich>
                  <a:bodyPr/>
                  <a:lstStyle/>
                  <a:p>
                    <a:fld id="{3751E821-DB7D-4546-9A2A-13325BBE440B}"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2B05-49A6-82FF-432C0207B137}"/>
                </c:ext>
              </c:extLst>
            </c:dLbl>
            <c:dLbl>
              <c:idx val="706"/>
              <c:tx>
                <c:rich>
                  <a:bodyPr/>
                  <a:lstStyle/>
                  <a:p>
                    <a:fld id="{DE5D0EF6-6BD7-4147-B798-9C55B7CF008C}"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F-2B05-49A6-82FF-432C0207B137}"/>
                </c:ext>
              </c:extLst>
            </c:dLbl>
            <c:dLbl>
              <c:idx val="707"/>
              <c:tx>
                <c:rich>
                  <a:bodyPr/>
                  <a:lstStyle/>
                  <a:p>
                    <a:fld id="{3A3E548E-B198-4617-BC69-CC7CE8529032}"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0-2B05-49A6-82FF-432C0207B13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entury Gothic" panose="020B05020202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strRef>
              <c:f>FCS!$H$11:$H$825</c:f>
              <c:strCache>
                <c:ptCount val="708"/>
                <c:pt idx="0">
                  <c:v>1+845.17</c:v>
                </c:pt>
                <c:pt idx="1">
                  <c:v>1+845.17</c:v>
                </c:pt>
                <c:pt idx="2">
                  <c:v>1+769.33</c:v>
                </c:pt>
                <c:pt idx="3">
                  <c:v>1+700.27</c:v>
                </c:pt>
                <c:pt idx="4">
                  <c:v>1+723.48</c:v>
                </c:pt>
                <c:pt idx="5">
                  <c:v>1+801.93</c:v>
                </c:pt>
                <c:pt idx="6">
                  <c:v>1+886.67</c:v>
                </c:pt>
                <c:pt idx="7">
                  <c:v>1+827.54</c:v>
                </c:pt>
                <c:pt idx="8">
                  <c:v>1+761.91</c:v>
                </c:pt>
                <c:pt idx="9">
                  <c:v>1+614.85</c:v>
                </c:pt>
                <c:pt idx="10">
                  <c:v>1+618.50</c:v>
                </c:pt>
                <c:pt idx="11">
                  <c:v>0+661.66</c:v>
                </c:pt>
                <c:pt idx="12">
                  <c:v>0+661.66</c:v>
                </c:pt>
                <c:pt idx="13">
                  <c:v>1+548.05</c:v>
                </c:pt>
                <c:pt idx="14">
                  <c:v>1+470.97</c:v>
                </c:pt>
                <c:pt idx="15">
                  <c:v>1+475.25</c:v>
                </c:pt>
                <c:pt idx="16">
                  <c:v>1+541.25</c:v>
                </c:pt>
                <c:pt idx="17">
                  <c:v>1+571.96</c:v>
                </c:pt>
                <c:pt idx="18">
                  <c:v>1+764.30</c:v>
                </c:pt>
                <c:pt idx="19">
                  <c:v>0+661.38</c:v>
                </c:pt>
                <c:pt idx="20">
                  <c:v>0+661.00</c:v>
                </c:pt>
                <c:pt idx="21">
                  <c:v>0+660.94</c:v>
                </c:pt>
                <c:pt idx="22">
                  <c:v>0+818.24</c:v>
                </c:pt>
                <c:pt idx="23">
                  <c:v>0+818.24</c:v>
                </c:pt>
                <c:pt idx="24">
                  <c:v>0+810.70</c:v>
                </c:pt>
                <c:pt idx="25">
                  <c:v>0+998.80</c:v>
                </c:pt>
                <c:pt idx="26">
                  <c:v>1+135.97</c:v>
                </c:pt>
                <c:pt idx="27">
                  <c:v>1+244.03</c:v>
                </c:pt>
                <c:pt idx="28">
                  <c:v>1+245.53</c:v>
                </c:pt>
                <c:pt idx="29">
                  <c:v>1+568.63</c:v>
                </c:pt>
                <c:pt idx="30">
                  <c:v>1+932.20</c:v>
                </c:pt>
                <c:pt idx="31">
                  <c:v>1+310.39</c:v>
                </c:pt>
                <c:pt idx="32">
                  <c:v>1+392.10</c:v>
                </c:pt>
                <c:pt idx="33">
                  <c:v>1+478.91</c:v>
                </c:pt>
                <c:pt idx="34">
                  <c:v>1+478.91</c:v>
                </c:pt>
                <c:pt idx="35">
                  <c:v>1+573.76</c:v>
                </c:pt>
                <c:pt idx="36">
                  <c:v>1+419.68</c:v>
                </c:pt>
                <c:pt idx="37">
                  <c:v>1+300.73</c:v>
                </c:pt>
                <c:pt idx="38">
                  <c:v>0+648.45</c:v>
                </c:pt>
                <c:pt idx="39">
                  <c:v>0+940.81</c:v>
                </c:pt>
                <c:pt idx="40">
                  <c:v>0+935.35</c:v>
                </c:pt>
                <c:pt idx="41">
                  <c:v>1+007.68</c:v>
                </c:pt>
                <c:pt idx="42">
                  <c:v>1+035.22</c:v>
                </c:pt>
                <c:pt idx="43">
                  <c:v>1+118.90</c:v>
                </c:pt>
                <c:pt idx="44">
                  <c:v>1+085.92</c:v>
                </c:pt>
                <c:pt idx="45">
                  <c:v>1+085.92</c:v>
                </c:pt>
                <c:pt idx="46">
                  <c:v>1+190.18</c:v>
                </c:pt>
                <c:pt idx="47">
                  <c:v>1+249.41</c:v>
                </c:pt>
                <c:pt idx="48">
                  <c:v>1+152.47</c:v>
                </c:pt>
                <c:pt idx="49">
                  <c:v>1+252.08</c:v>
                </c:pt>
                <c:pt idx="50">
                  <c:v>1+163.88</c:v>
                </c:pt>
                <c:pt idx="51">
                  <c:v>1+228.66</c:v>
                </c:pt>
                <c:pt idx="52">
                  <c:v>1+303.57</c:v>
                </c:pt>
                <c:pt idx="53">
                  <c:v>1+330.53</c:v>
                </c:pt>
                <c:pt idx="54">
                  <c:v>1+171.00</c:v>
                </c:pt>
                <c:pt idx="55">
                  <c:v>1+249.73</c:v>
                </c:pt>
                <c:pt idx="56">
                  <c:v>1+249.73</c:v>
                </c:pt>
                <c:pt idx="57">
                  <c:v>1+256.35</c:v>
                </c:pt>
                <c:pt idx="58">
                  <c:v>1+183.50</c:v>
                </c:pt>
                <c:pt idx="59">
                  <c:v>1+114.80</c:v>
                </c:pt>
                <c:pt idx="60">
                  <c:v>1+113.07</c:v>
                </c:pt>
                <c:pt idx="61">
                  <c:v>1+172.48</c:v>
                </c:pt>
                <c:pt idx="62">
                  <c:v>1+237.13</c:v>
                </c:pt>
                <c:pt idx="63">
                  <c:v>0+649.46</c:v>
                </c:pt>
                <c:pt idx="64">
                  <c:v>1+089.42</c:v>
                </c:pt>
                <c:pt idx="65">
                  <c:v>1+023.47</c:v>
                </c:pt>
                <c:pt idx="66">
                  <c:v>0+972.92</c:v>
                </c:pt>
                <c:pt idx="67">
                  <c:v>0+972.92</c:v>
                </c:pt>
                <c:pt idx="68">
                  <c:v>0+983.55</c:v>
                </c:pt>
                <c:pt idx="69">
                  <c:v>1+001.28</c:v>
                </c:pt>
                <c:pt idx="70">
                  <c:v>1+073.38</c:v>
                </c:pt>
                <c:pt idx="71">
                  <c:v>1+088.78</c:v>
                </c:pt>
                <c:pt idx="72">
                  <c:v>1+072.94</c:v>
                </c:pt>
                <c:pt idx="73">
                  <c:v>0+945.07</c:v>
                </c:pt>
                <c:pt idx="74">
                  <c:v>0+935.02</c:v>
                </c:pt>
                <c:pt idx="75">
                  <c:v>0+935.19</c:v>
                </c:pt>
                <c:pt idx="76">
                  <c:v>1+575.23</c:v>
                </c:pt>
                <c:pt idx="77">
                  <c:v>1+056.45</c:v>
                </c:pt>
                <c:pt idx="78">
                  <c:v>1+543.86</c:v>
                </c:pt>
                <c:pt idx="79">
                  <c:v>1+543.86</c:v>
                </c:pt>
                <c:pt idx="80">
                  <c:v>1+544.20</c:v>
                </c:pt>
                <c:pt idx="81">
                  <c:v>0+884.28</c:v>
                </c:pt>
                <c:pt idx="82">
                  <c:v>0+793.60</c:v>
                </c:pt>
                <c:pt idx="83">
                  <c:v>0+739.73</c:v>
                </c:pt>
                <c:pt idx="84">
                  <c:v>0+872.28</c:v>
                </c:pt>
                <c:pt idx="85">
                  <c:v>0+912.23</c:v>
                </c:pt>
                <c:pt idx="86">
                  <c:v>0+848.96</c:v>
                </c:pt>
                <c:pt idx="87">
                  <c:v>0+846.95</c:v>
                </c:pt>
                <c:pt idx="88">
                  <c:v>0+915.60</c:v>
                </c:pt>
                <c:pt idx="89">
                  <c:v>0+883.10</c:v>
                </c:pt>
                <c:pt idx="90">
                  <c:v>0+883.10</c:v>
                </c:pt>
                <c:pt idx="91">
                  <c:v>0+648.70</c:v>
                </c:pt>
                <c:pt idx="92">
                  <c:v>0+792.57</c:v>
                </c:pt>
                <c:pt idx="93">
                  <c:v>0+728.72</c:v>
                </c:pt>
                <c:pt idx="94">
                  <c:v>0+667.51</c:v>
                </c:pt>
                <c:pt idx="95">
                  <c:v>0+607.28</c:v>
                </c:pt>
                <c:pt idx="96">
                  <c:v>0+617.69</c:v>
                </c:pt>
                <c:pt idx="97">
                  <c:v>0+666.50</c:v>
                </c:pt>
                <c:pt idx="98">
                  <c:v>0+727.19</c:v>
                </c:pt>
                <c:pt idx="99">
                  <c:v>0+789.84</c:v>
                </c:pt>
                <c:pt idx="100">
                  <c:v>0+565.53</c:v>
                </c:pt>
                <c:pt idx="101">
                  <c:v>0+565.53</c:v>
                </c:pt>
                <c:pt idx="102">
                  <c:v>0+424.12</c:v>
                </c:pt>
                <c:pt idx="103">
                  <c:v>0+483.66</c:v>
                </c:pt>
                <c:pt idx="104">
                  <c:v>0+582.34</c:v>
                </c:pt>
                <c:pt idx="105">
                  <c:v>0+514.18</c:v>
                </c:pt>
                <c:pt idx="106">
                  <c:v>0+420.79</c:v>
                </c:pt>
                <c:pt idx="107">
                  <c:v>0+768.88</c:v>
                </c:pt>
                <c:pt idx="108">
                  <c:v>0+672.16</c:v>
                </c:pt>
                <c:pt idx="109">
                  <c:v>0+598.14</c:v>
                </c:pt>
                <c:pt idx="110">
                  <c:v>0+598.18</c:v>
                </c:pt>
                <c:pt idx="111">
                  <c:v>0+676.36</c:v>
                </c:pt>
                <c:pt idx="112">
                  <c:v>0+676.36</c:v>
                </c:pt>
                <c:pt idx="113">
                  <c:v>0+778.70</c:v>
                </c:pt>
                <c:pt idx="114">
                  <c:v>0+031.46</c:v>
                </c:pt>
                <c:pt idx="115">
                  <c:v>0+033.46</c:v>
                </c:pt>
                <c:pt idx="116">
                  <c:v>0+320.15</c:v>
                </c:pt>
                <c:pt idx="117">
                  <c:v>0+033.28</c:v>
                </c:pt>
                <c:pt idx="118">
                  <c:v>0+080.94</c:v>
                </c:pt>
                <c:pt idx="119">
                  <c:v>0+173.47</c:v>
                </c:pt>
                <c:pt idx="120">
                  <c:v>0+295.41</c:v>
                </c:pt>
                <c:pt idx="121">
                  <c:v>0+357.12</c:v>
                </c:pt>
                <c:pt idx="122">
                  <c:v>0+432.55</c:v>
                </c:pt>
                <c:pt idx="123">
                  <c:v>0+242.40</c:v>
                </c:pt>
                <c:pt idx="124">
                  <c:v>0+242.40</c:v>
                </c:pt>
                <c:pt idx="125">
                  <c:v>0+065.36</c:v>
                </c:pt>
                <c:pt idx="126">
                  <c:v>0+343.08</c:v>
                </c:pt>
                <c:pt idx="127">
                  <c:v>1+821.24</c:v>
                </c:pt>
                <c:pt idx="128">
                  <c:v>0+028.28</c:v>
                </c:pt>
                <c:pt idx="129">
                  <c:v>0+219.98</c:v>
                </c:pt>
                <c:pt idx="130">
                  <c:v>0+525.62</c:v>
                </c:pt>
                <c:pt idx="131">
                  <c:v>0+517.29</c:v>
                </c:pt>
                <c:pt idx="132">
                  <c:v>1+874.82</c:v>
                </c:pt>
                <c:pt idx="133">
                  <c:v>1+774.99</c:v>
                </c:pt>
                <c:pt idx="134">
                  <c:v>1+731.83</c:v>
                </c:pt>
                <c:pt idx="135">
                  <c:v>1+814.40</c:v>
                </c:pt>
                <c:pt idx="136">
                  <c:v>1+814.40</c:v>
                </c:pt>
                <c:pt idx="137">
                  <c:v>1+877.49</c:v>
                </c:pt>
                <c:pt idx="138">
                  <c:v>1+623.79</c:v>
                </c:pt>
                <c:pt idx="139">
                  <c:v>1+552.29</c:v>
                </c:pt>
                <c:pt idx="140">
                  <c:v>1+482.07</c:v>
                </c:pt>
                <c:pt idx="141">
                  <c:v>1+474.59</c:v>
                </c:pt>
                <c:pt idx="142">
                  <c:v>1+597.64</c:v>
                </c:pt>
                <c:pt idx="143">
                  <c:v>1+560.61</c:v>
                </c:pt>
                <c:pt idx="144">
                  <c:v>1+413.16</c:v>
                </c:pt>
                <c:pt idx="145">
                  <c:v>1+341.47</c:v>
                </c:pt>
                <c:pt idx="146">
                  <c:v>1+274.97</c:v>
                </c:pt>
                <c:pt idx="147">
                  <c:v>1+274.97</c:v>
                </c:pt>
                <c:pt idx="148">
                  <c:v>1+264.22</c:v>
                </c:pt>
                <c:pt idx="149">
                  <c:v>1+335.09</c:v>
                </c:pt>
                <c:pt idx="150">
                  <c:v>1+410.21</c:v>
                </c:pt>
                <c:pt idx="151">
                  <c:v>1+331.20</c:v>
                </c:pt>
                <c:pt idx="152">
                  <c:v>0+487.09</c:v>
                </c:pt>
                <c:pt idx="153">
                  <c:v>0+032.37</c:v>
                </c:pt>
                <c:pt idx="154">
                  <c:v>0+131.67</c:v>
                </c:pt>
                <c:pt idx="155">
                  <c:v>0+374.40</c:v>
                </c:pt>
                <c:pt idx="156">
                  <c:v>0+476.90</c:v>
                </c:pt>
                <c:pt idx="157">
                  <c:v>1+559.26</c:v>
                </c:pt>
                <c:pt idx="158">
                  <c:v>1+559.26</c:v>
                </c:pt>
                <c:pt idx="159">
                  <c:v>1+629.62</c:v>
                </c:pt>
                <c:pt idx="160">
                  <c:v>1+468.65</c:v>
                </c:pt>
                <c:pt idx="161">
                  <c:v>1+473.81</c:v>
                </c:pt>
                <c:pt idx="162">
                  <c:v>1+526.35</c:v>
                </c:pt>
                <c:pt idx="163">
                  <c:v>1+580.83</c:v>
                </c:pt>
                <c:pt idx="164">
                  <c:v>1+634.34</c:v>
                </c:pt>
                <c:pt idx="165">
                  <c:v>1+425.15</c:v>
                </c:pt>
                <c:pt idx="166">
                  <c:v>1+417.34</c:v>
                </c:pt>
                <c:pt idx="167">
                  <c:v>1+357.54</c:v>
                </c:pt>
                <c:pt idx="168">
                  <c:v>1+283.60</c:v>
                </c:pt>
                <c:pt idx="169">
                  <c:v>1+283.60</c:v>
                </c:pt>
                <c:pt idx="170">
                  <c:v>1+274.98</c:v>
                </c:pt>
                <c:pt idx="171">
                  <c:v>1+345.62</c:v>
                </c:pt>
                <c:pt idx="172">
                  <c:v>1+364.05</c:v>
                </c:pt>
                <c:pt idx="173">
                  <c:v>1+719.41</c:v>
                </c:pt>
                <c:pt idx="174">
                  <c:v>0+033.12</c:v>
                </c:pt>
                <c:pt idx="175">
                  <c:v>1+694.27</c:v>
                </c:pt>
                <c:pt idx="176">
                  <c:v>1+928.22</c:v>
                </c:pt>
                <c:pt idx="177">
                  <c:v>1+819.25</c:v>
                </c:pt>
                <c:pt idx="178">
                  <c:v>1+948.52</c:v>
                </c:pt>
                <c:pt idx="179">
                  <c:v>2+023.03</c:v>
                </c:pt>
                <c:pt idx="180">
                  <c:v>2+105.98</c:v>
                </c:pt>
                <c:pt idx="181">
                  <c:v>2+105.98</c:v>
                </c:pt>
                <c:pt idx="182">
                  <c:v>2+115.42</c:v>
                </c:pt>
                <c:pt idx="183">
                  <c:v>2+034.52</c:v>
                </c:pt>
                <c:pt idx="184">
                  <c:v>1+973.77</c:v>
                </c:pt>
                <c:pt idx="185">
                  <c:v>2+053.88</c:v>
                </c:pt>
                <c:pt idx="186">
                  <c:v>1+663.35</c:v>
                </c:pt>
                <c:pt idx="187">
                  <c:v>0+033.10</c:v>
                </c:pt>
                <c:pt idx="188">
                  <c:v>0+034.24</c:v>
                </c:pt>
                <c:pt idx="189">
                  <c:v>1+869.66</c:v>
                </c:pt>
                <c:pt idx="190">
                  <c:v>2+040.06</c:v>
                </c:pt>
                <c:pt idx="191">
                  <c:v>1+237.25</c:v>
                </c:pt>
                <c:pt idx="192">
                  <c:v>1+237.25</c:v>
                </c:pt>
                <c:pt idx="193">
                  <c:v>1+179.44</c:v>
                </c:pt>
                <c:pt idx="194">
                  <c:v>1+101.65</c:v>
                </c:pt>
                <c:pt idx="195">
                  <c:v>1+097.10</c:v>
                </c:pt>
                <c:pt idx="196">
                  <c:v>1+174.38</c:v>
                </c:pt>
                <c:pt idx="197">
                  <c:v>1+235.85</c:v>
                </c:pt>
                <c:pt idx="198">
                  <c:v>1+089.85</c:v>
                </c:pt>
                <c:pt idx="199">
                  <c:v>1+079.55</c:v>
                </c:pt>
                <c:pt idx="200">
                  <c:v>1+025.69</c:v>
                </c:pt>
                <c:pt idx="201">
                  <c:v>0+959.99</c:v>
                </c:pt>
                <c:pt idx="202">
                  <c:v>0+951.17</c:v>
                </c:pt>
                <c:pt idx="203">
                  <c:v>0+951.17</c:v>
                </c:pt>
                <c:pt idx="204">
                  <c:v>1+006.28</c:v>
                </c:pt>
                <c:pt idx="205">
                  <c:v>1+054.59</c:v>
                </c:pt>
                <c:pt idx="206">
                  <c:v>1+036.41</c:v>
                </c:pt>
                <c:pt idx="207">
                  <c:v>1+787.07</c:v>
                </c:pt>
                <c:pt idx="208">
                  <c:v>2+050.34</c:v>
                </c:pt>
                <c:pt idx="209">
                  <c:v>2+125.81</c:v>
                </c:pt>
                <c:pt idx="210">
                  <c:v>0+863.17</c:v>
                </c:pt>
                <c:pt idx="211">
                  <c:v>1+877.95</c:v>
                </c:pt>
                <c:pt idx="212">
                  <c:v>1+242.82</c:v>
                </c:pt>
                <c:pt idx="213">
                  <c:v>1+169.46</c:v>
                </c:pt>
                <c:pt idx="214">
                  <c:v>1+021.06</c:v>
                </c:pt>
                <c:pt idx="215">
                  <c:v>1+021.06</c:v>
                </c:pt>
                <c:pt idx="216">
                  <c:v>1+097.83</c:v>
                </c:pt>
                <c:pt idx="217">
                  <c:v>0+937.04</c:v>
                </c:pt>
                <c:pt idx="218">
                  <c:v>0+928.36</c:v>
                </c:pt>
                <c:pt idx="219">
                  <c:v>1+012.08</c:v>
                </c:pt>
                <c:pt idx="220">
                  <c:v>1+093.68</c:v>
                </c:pt>
                <c:pt idx="221">
                  <c:v>1+164.51</c:v>
                </c:pt>
                <c:pt idx="222">
                  <c:v>1+236.55</c:v>
                </c:pt>
                <c:pt idx="223">
                  <c:v>1+185.01</c:v>
                </c:pt>
                <c:pt idx="224">
                  <c:v>1+031.48</c:v>
                </c:pt>
                <c:pt idx="225">
                  <c:v>0+754.68</c:v>
                </c:pt>
                <c:pt idx="226">
                  <c:v>0+754.68</c:v>
                </c:pt>
                <c:pt idx="227">
                  <c:v>0+704.69</c:v>
                </c:pt>
                <c:pt idx="228">
                  <c:v>0+633.47</c:v>
                </c:pt>
                <c:pt idx="229">
                  <c:v>0+717.71</c:v>
                </c:pt>
                <c:pt idx="230">
                  <c:v>0+803.52</c:v>
                </c:pt>
                <c:pt idx="231">
                  <c:v>0+875.63</c:v>
                </c:pt>
                <c:pt idx="232">
                  <c:v>0+982.19</c:v>
                </c:pt>
                <c:pt idx="233">
                  <c:v>1+725.54</c:v>
                </c:pt>
                <c:pt idx="234">
                  <c:v>0+916.34</c:v>
                </c:pt>
                <c:pt idx="235">
                  <c:v>0+843.68</c:v>
                </c:pt>
                <c:pt idx="236">
                  <c:v>0+827.83</c:v>
                </c:pt>
                <c:pt idx="237">
                  <c:v>0+827.83</c:v>
                </c:pt>
                <c:pt idx="238">
                  <c:v>0+787.05</c:v>
                </c:pt>
                <c:pt idx="239">
                  <c:v>0+863.52</c:v>
                </c:pt>
                <c:pt idx="240">
                  <c:v>0+789.28</c:v>
                </c:pt>
                <c:pt idx="241">
                  <c:v>0+755.08</c:v>
                </c:pt>
                <c:pt idx="242">
                  <c:v>0+680.01</c:v>
                </c:pt>
                <c:pt idx="243">
                  <c:v>0+690.81</c:v>
                </c:pt>
                <c:pt idx="244">
                  <c:v>0+675.18</c:v>
                </c:pt>
                <c:pt idx="245">
                  <c:v>0+615.75</c:v>
                </c:pt>
                <c:pt idx="246">
                  <c:v>0+909.66</c:v>
                </c:pt>
                <c:pt idx="247">
                  <c:v>0+838.07</c:v>
                </c:pt>
                <c:pt idx="248">
                  <c:v>0+773.89</c:v>
                </c:pt>
                <c:pt idx="249">
                  <c:v>0+773.89</c:v>
                </c:pt>
                <c:pt idx="250">
                  <c:v>0+843.96</c:v>
                </c:pt>
                <c:pt idx="251">
                  <c:v>0+921.00</c:v>
                </c:pt>
                <c:pt idx="252">
                  <c:v>0+852.96</c:v>
                </c:pt>
                <c:pt idx="253">
                  <c:v>0+774.13</c:v>
                </c:pt>
                <c:pt idx="254">
                  <c:v>0+736.54</c:v>
                </c:pt>
                <c:pt idx="255">
                  <c:v>0+675.99</c:v>
                </c:pt>
                <c:pt idx="256">
                  <c:v>0+605.45</c:v>
                </c:pt>
                <c:pt idx="257">
                  <c:v>0+597.48</c:v>
                </c:pt>
                <c:pt idx="258">
                  <c:v>0+650.99</c:v>
                </c:pt>
                <c:pt idx="259">
                  <c:v>0+697.41</c:v>
                </c:pt>
                <c:pt idx="260">
                  <c:v>0+697.41</c:v>
                </c:pt>
                <c:pt idx="261">
                  <c:v>0+633.59</c:v>
                </c:pt>
                <c:pt idx="262">
                  <c:v>1+580.20</c:v>
                </c:pt>
                <c:pt idx="263">
                  <c:v>1+005.01</c:v>
                </c:pt>
                <c:pt idx="264">
                  <c:v>0+561.00</c:v>
                </c:pt>
                <c:pt idx="265">
                  <c:v>0+494.28</c:v>
                </c:pt>
                <c:pt idx="266">
                  <c:v>0+444.04</c:v>
                </c:pt>
                <c:pt idx="267">
                  <c:v>0+413.69</c:v>
                </c:pt>
                <c:pt idx="268">
                  <c:v>0+480.62</c:v>
                </c:pt>
                <c:pt idx="269">
                  <c:v>0+538.21</c:v>
                </c:pt>
                <c:pt idx="270">
                  <c:v>0+513.21</c:v>
                </c:pt>
                <c:pt idx="271">
                  <c:v>1+091.55</c:v>
                </c:pt>
                <c:pt idx="272">
                  <c:v>1+091.55</c:v>
                </c:pt>
                <c:pt idx="273">
                  <c:v>0+883.84</c:v>
                </c:pt>
                <c:pt idx="274">
                  <c:v>1+606.92</c:v>
                </c:pt>
                <c:pt idx="275">
                  <c:v>1+463.91</c:v>
                </c:pt>
                <c:pt idx="276">
                  <c:v>1+621.33</c:v>
                </c:pt>
                <c:pt idx="277">
                  <c:v>1+552.18</c:v>
                </c:pt>
                <c:pt idx="278">
                  <c:v>1+477.09</c:v>
                </c:pt>
                <c:pt idx="279">
                  <c:v>1+905.47</c:v>
                </c:pt>
                <c:pt idx="280">
                  <c:v>0+839.49</c:v>
                </c:pt>
                <c:pt idx="281">
                  <c:v>0+679.04</c:v>
                </c:pt>
                <c:pt idx="282">
                  <c:v>1+836.33</c:v>
                </c:pt>
                <c:pt idx="283">
                  <c:v>1+836.33</c:v>
                </c:pt>
                <c:pt idx="284">
                  <c:v>1+754.05</c:v>
                </c:pt>
                <c:pt idx="285">
                  <c:v>1+761.25</c:v>
                </c:pt>
                <c:pt idx="286">
                  <c:v>1+865.27</c:v>
                </c:pt>
                <c:pt idx="287">
                  <c:v>1+855.67</c:v>
                </c:pt>
                <c:pt idx="288">
                  <c:v>1+072.37</c:v>
                </c:pt>
                <c:pt idx="289">
                  <c:v>0+892.51</c:v>
                </c:pt>
                <c:pt idx="290">
                  <c:v>0+897.35</c:v>
                </c:pt>
                <c:pt idx="291">
                  <c:v>0+855.04</c:v>
                </c:pt>
                <c:pt idx="292">
                  <c:v>1+283.67</c:v>
                </c:pt>
                <c:pt idx="293">
                  <c:v>1+278.24</c:v>
                </c:pt>
                <c:pt idx="294">
                  <c:v>1+278.24</c:v>
                </c:pt>
                <c:pt idx="295">
                  <c:v>1+357.43</c:v>
                </c:pt>
                <c:pt idx="296">
                  <c:v>1+348.65</c:v>
                </c:pt>
                <c:pt idx="297">
                  <c:v>1+323.04</c:v>
                </c:pt>
                <c:pt idx="298">
                  <c:v>1+405.51</c:v>
                </c:pt>
                <c:pt idx="299">
                  <c:v>1+416.03</c:v>
                </c:pt>
                <c:pt idx="300">
                  <c:v>1+451.74</c:v>
                </c:pt>
                <c:pt idx="301">
                  <c:v>1+447.72</c:v>
                </c:pt>
                <c:pt idx="302">
                  <c:v>1+512.10</c:v>
                </c:pt>
                <c:pt idx="303">
                  <c:v>1+496.12</c:v>
                </c:pt>
                <c:pt idx="304">
                  <c:v>1+475.88</c:v>
                </c:pt>
                <c:pt idx="305">
                  <c:v>1+475.88</c:v>
                </c:pt>
                <c:pt idx="306">
                  <c:v>1+549.34</c:v>
                </c:pt>
                <c:pt idx="307">
                  <c:v>1+613.53</c:v>
                </c:pt>
                <c:pt idx="308">
                  <c:v>1+550.21</c:v>
                </c:pt>
                <c:pt idx="309">
                  <c:v>1+277.50</c:v>
                </c:pt>
                <c:pt idx="310">
                  <c:v>1+341.22</c:v>
                </c:pt>
                <c:pt idx="311">
                  <c:v>1+445.57</c:v>
                </c:pt>
                <c:pt idx="312">
                  <c:v>1+444.43</c:v>
                </c:pt>
                <c:pt idx="313">
                  <c:v>1+342.00</c:v>
                </c:pt>
                <c:pt idx="314">
                  <c:v>1+271.02</c:v>
                </c:pt>
                <c:pt idx="315">
                  <c:v>1+263.49</c:v>
                </c:pt>
                <c:pt idx="316">
                  <c:v>1+263.49</c:v>
                </c:pt>
                <c:pt idx="317">
                  <c:v>1+342.93</c:v>
                </c:pt>
                <c:pt idx="318">
                  <c:v>1+124.81</c:v>
                </c:pt>
                <c:pt idx="319">
                  <c:v>1+235.93</c:v>
                </c:pt>
                <c:pt idx="320">
                  <c:v>1+183.53</c:v>
                </c:pt>
                <c:pt idx="321">
                  <c:v>1+121.63</c:v>
                </c:pt>
                <c:pt idx="322">
                  <c:v>1+122.08</c:v>
                </c:pt>
                <c:pt idx="323">
                  <c:v>1+197.60</c:v>
                </c:pt>
                <c:pt idx="324">
                  <c:v>1+217.72</c:v>
                </c:pt>
                <c:pt idx="325">
                  <c:v>1+054.25</c:v>
                </c:pt>
                <c:pt idx="326">
                  <c:v>0+994.80</c:v>
                </c:pt>
                <c:pt idx="327">
                  <c:v>0+931.78</c:v>
                </c:pt>
                <c:pt idx="328">
                  <c:v>0+931.78</c:v>
                </c:pt>
                <c:pt idx="329">
                  <c:v>1+047.54</c:v>
                </c:pt>
                <c:pt idx="330">
                  <c:v>0+984.34</c:v>
                </c:pt>
                <c:pt idx="331">
                  <c:v>1+014.56</c:v>
                </c:pt>
                <c:pt idx="332">
                  <c:v>1+116.20</c:v>
                </c:pt>
                <c:pt idx="333">
                  <c:v>1+179.42</c:v>
                </c:pt>
                <c:pt idx="334">
                  <c:v>1+258.17</c:v>
                </c:pt>
                <c:pt idx="335">
                  <c:v>1+254.54</c:v>
                </c:pt>
                <c:pt idx="336">
                  <c:v>1+183.34</c:v>
                </c:pt>
                <c:pt idx="337">
                  <c:v>1+116.26</c:v>
                </c:pt>
                <c:pt idx="338">
                  <c:v>1+256.59</c:v>
                </c:pt>
                <c:pt idx="339">
                  <c:v>1+256.59</c:v>
                </c:pt>
                <c:pt idx="340">
                  <c:v>0+890.94</c:v>
                </c:pt>
                <c:pt idx="341">
                  <c:v>0+797.97</c:v>
                </c:pt>
                <c:pt idx="342">
                  <c:v>0+797.86</c:v>
                </c:pt>
                <c:pt idx="343">
                  <c:v>0+884.52</c:v>
                </c:pt>
                <c:pt idx="344">
                  <c:v>0+933.99</c:v>
                </c:pt>
                <c:pt idx="345">
                  <c:v>1+025.27</c:v>
                </c:pt>
                <c:pt idx="346">
                  <c:v>1+084.55</c:v>
                </c:pt>
                <c:pt idx="347">
                  <c:v>1+091.47</c:v>
                </c:pt>
                <c:pt idx="348">
                  <c:v>1+017.88</c:v>
                </c:pt>
                <c:pt idx="349">
                  <c:v>0+926.65</c:v>
                </c:pt>
                <c:pt idx="350">
                  <c:v>0+926.65</c:v>
                </c:pt>
                <c:pt idx="351">
                  <c:v>0+981.32</c:v>
                </c:pt>
                <c:pt idx="352">
                  <c:v>1+043.97</c:v>
                </c:pt>
                <c:pt idx="353">
                  <c:v>1+661.24</c:v>
                </c:pt>
                <c:pt idx="354">
                  <c:v>1+920.39</c:v>
                </c:pt>
                <c:pt idx="355">
                  <c:v>1+865.86</c:v>
                </c:pt>
                <c:pt idx="356">
                  <c:v>1+807.30</c:v>
                </c:pt>
                <c:pt idx="357">
                  <c:v>1+756.42</c:v>
                </c:pt>
                <c:pt idx="358">
                  <c:v>1+683.81</c:v>
                </c:pt>
                <c:pt idx="359">
                  <c:v>1+641.78</c:v>
                </c:pt>
                <c:pt idx="360">
                  <c:v>1+706.44</c:v>
                </c:pt>
                <c:pt idx="361">
                  <c:v>1+873.25</c:v>
                </c:pt>
                <c:pt idx="362">
                  <c:v>1+873.25</c:v>
                </c:pt>
                <c:pt idx="363">
                  <c:v>1+800.78</c:v>
                </c:pt>
                <c:pt idx="364">
                  <c:v>1+953.85</c:v>
                </c:pt>
                <c:pt idx="365">
                  <c:v>1+952.49</c:v>
                </c:pt>
                <c:pt idx="366">
                  <c:v>1+884.11</c:v>
                </c:pt>
                <c:pt idx="367">
                  <c:v>1+495.65</c:v>
                </c:pt>
                <c:pt idx="368">
                  <c:v>2+151.91</c:v>
                </c:pt>
                <c:pt idx="369">
                  <c:v>2+075.79</c:v>
                </c:pt>
                <c:pt idx="370">
                  <c:v>1+989.70</c:v>
                </c:pt>
                <c:pt idx="371">
                  <c:v>1+966.84</c:v>
                </c:pt>
                <c:pt idx="372">
                  <c:v>0+902.21</c:v>
                </c:pt>
                <c:pt idx="373">
                  <c:v>1+147.60</c:v>
                </c:pt>
                <c:pt idx="374">
                  <c:v>1+347.77</c:v>
                </c:pt>
                <c:pt idx="375">
                  <c:v>1+347.77</c:v>
                </c:pt>
                <c:pt idx="376">
                  <c:v>0+464.14</c:v>
                </c:pt>
                <c:pt idx="377">
                  <c:v>0+528.18</c:v>
                </c:pt>
                <c:pt idx="378">
                  <c:v>0+576.75</c:v>
                </c:pt>
                <c:pt idx="379">
                  <c:v>0+570.64</c:v>
                </c:pt>
                <c:pt idx="380">
                  <c:v>0+523.52</c:v>
                </c:pt>
                <c:pt idx="381">
                  <c:v>0+442.96</c:v>
                </c:pt>
                <c:pt idx="382">
                  <c:v>0+463.61</c:v>
                </c:pt>
                <c:pt idx="383">
                  <c:v>0+538.18</c:v>
                </c:pt>
                <c:pt idx="384">
                  <c:v>1+492.62</c:v>
                </c:pt>
                <c:pt idx="385">
                  <c:v>1+509.76</c:v>
                </c:pt>
                <c:pt idx="386">
                  <c:v>1+509.76</c:v>
                </c:pt>
                <c:pt idx="387">
                  <c:v>1+207.47</c:v>
                </c:pt>
                <c:pt idx="388">
                  <c:v>0+609.86</c:v>
                </c:pt>
                <c:pt idx="389">
                  <c:v>0+685.29</c:v>
                </c:pt>
                <c:pt idx="390">
                  <c:v>0+784.85</c:v>
                </c:pt>
                <c:pt idx="391">
                  <c:v>0+890.38</c:v>
                </c:pt>
                <c:pt idx="392">
                  <c:v>0+914.51</c:v>
                </c:pt>
                <c:pt idx="393">
                  <c:v>0+819.49</c:v>
                </c:pt>
                <c:pt idx="394">
                  <c:v>0+716.45</c:v>
                </c:pt>
                <c:pt idx="395">
                  <c:v>0+619.78</c:v>
                </c:pt>
                <c:pt idx="396">
                  <c:v>0+736.67</c:v>
                </c:pt>
                <c:pt idx="397">
                  <c:v>0+736.67</c:v>
                </c:pt>
                <c:pt idx="398">
                  <c:v>0+825.02</c:v>
                </c:pt>
                <c:pt idx="399">
                  <c:v>0+912.34</c:v>
                </c:pt>
                <c:pt idx="400">
                  <c:v>0+855.61</c:v>
                </c:pt>
                <c:pt idx="401">
                  <c:v>0+026.73</c:v>
                </c:pt>
                <c:pt idx="402">
                  <c:v>0+027.76</c:v>
                </c:pt>
                <c:pt idx="403">
                  <c:v>0+432.58</c:v>
                </c:pt>
                <c:pt idx="404">
                  <c:v>0+396.33</c:v>
                </c:pt>
                <c:pt idx="405">
                  <c:v>0+421.06</c:v>
                </c:pt>
                <c:pt idx="406">
                  <c:v>0+564.60</c:v>
                </c:pt>
                <c:pt idx="407">
                  <c:v>0+463.91</c:v>
                </c:pt>
                <c:pt idx="408">
                  <c:v>0+463.91</c:v>
                </c:pt>
                <c:pt idx="409">
                  <c:v>0+506.40</c:v>
                </c:pt>
                <c:pt idx="410">
                  <c:v>0+500.33</c:v>
                </c:pt>
                <c:pt idx="411">
                  <c:v>0+541.90</c:v>
                </c:pt>
                <c:pt idx="412">
                  <c:v>0+759.55</c:v>
                </c:pt>
                <c:pt idx="413">
                  <c:v>0+776.75</c:v>
                </c:pt>
                <c:pt idx="414">
                  <c:v>0+804.67</c:v>
                </c:pt>
                <c:pt idx="415">
                  <c:v>1+700.25</c:v>
                </c:pt>
                <c:pt idx="416">
                  <c:v>0+699.71</c:v>
                </c:pt>
                <c:pt idx="417">
                  <c:v>0+661.82</c:v>
                </c:pt>
                <c:pt idx="418">
                  <c:v>0+630.76</c:v>
                </c:pt>
                <c:pt idx="419">
                  <c:v>0+693.25</c:v>
                </c:pt>
                <c:pt idx="420">
                  <c:v>0+693.25</c:v>
                </c:pt>
                <c:pt idx="421">
                  <c:v>0+724.75</c:v>
                </c:pt>
                <c:pt idx="422">
                  <c:v>0+739.70</c:v>
                </c:pt>
                <c:pt idx="423">
                  <c:v>0+646.18</c:v>
                </c:pt>
                <c:pt idx="424">
                  <c:v>1+761.33</c:v>
                </c:pt>
                <c:pt idx="425">
                  <c:v>1+688.41</c:v>
                </c:pt>
                <c:pt idx="426">
                  <c:v>1+616.87</c:v>
                </c:pt>
                <c:pt idx="427">
                  <c:v>1+611.72</c:v>
                </c:pt>
                <c:pt idx="428">
                  <c:v>1+678.46</c:v>
                </c:pt>
                <c:pt idx="429">
                  <c:v>1+745.21</c:v>
                </c:pt>
                <c:pt idx="430">
                  <c:v>1+372.06</c:v>
                </c:pt>
                <c:pt idx="431">
                  <c:v>1+372.06</c:v>
                </c:pt>
                <c:pt idx="432">
                  <c:v>0+027.44</c:v>
                </c:pt>
                <c:pt idx="433">
                  <c:v>1+291.62</c:v>
                </c:pt>
                <c:pt idx="434">
                  <c:v>1+487.72</c:v>
                </c:pt>
                <c:pt idx="435">
                  <c:v>1+569.07</c:v>
                </c:pt>
                <c:pt idx="436">
                  <c:v>1+560.30</c:v>
                </c:pt>
                <c:pt idx="437">
                  <c:v>1+485.41</c:v>
                </c:pt>
                <c:pt idx="438">
                  <c:v>1+369.46</c:v>
                </c:pt>
                <c:pt idx="439">
                  <c:v>1+289.69</c:v>
                </c:pt>
                <c:pt idx="440">
                  <c:v>1+416.39</c:v>
                </c:pt>
                <c:pt idx="441">
                  <c:v>1+565.37</c:v>
                </c:pt>
                <c:pt idx="442">
                  <c:v>1+565.37</c:v>
                </c:pt>
                <c:pt idx="443">
                  <c:v>1+454.51</c:v>
                </c:pt>
                <c:pt idx="444">
                  <c:v>1+520.34</c:v>
                </c:pt>
                <c:pt idx="445">
                  <c:v>1+590.54</c:v>
                </c:pt>
                <c:pt idx="446">
                  <c:v>1+609.23</c:v>
                </c:pt>
                <c:pt idx="447">
                  <c:v>1+531.51</c:v>
                </c:pt>
                <c:pt idx="448">
                  <c:v>1+449.86</c:v>
                </c:pt>
                <c:pt idx="449">
                  <c:v>1+422.58</c:v>
                </c:pt>
                <c:pt idx="450">
                  <c:v>1+427.92</c:v>
                </c:pt>
                <c:pt idx="451">
                  <c:v>1+562.75</c:v>
                </c:pt>
                <c:pt idx="452">
                  <c:v>1+167.68</c:v>
                </c:pt>
                <c:pt idx="453">
                  <c:v>1+167.68</c:v>
                </c:pt>
                <c:pt idx="454">
                  <c:v>0+050.15</c:v>
                </c:pt>
                <c:pt idx="455">
                  <c:v>0+022.64</c:v>
                </c:pt>
                <c:pt idx="456">
                  <c:v>0+580.21</c:v>
                </c:pt>
                <c:pt idx="457">
                  <c:v>0+049.52</c:v>
                </c:pt>
                <c:pt idx="458">
                  <c:v>0+595.31</c:v>
                </c:pt>
                <c:pt idx="459">
                  <c:v>0+598.99</c:v>
                </c:pt>
                <c:pt idx="460">
                  <c:v>1+334.23</c:v>
                </c:pt>
                <c:pt idx="461">
                  <c:v>1+348.47</c:v>
                </c:pt>
                <c:pt idx="462">
                  <c:v>1+291.09</c:v>
                </c:pt>
                <c:pt idx="463">
                  <c:v>1+284.66</c:v>
                </c:pt>
                <c:pt idx="464">
                  <c:v>1+348.77</c:v>
                </c:pt>
                <c:pt idx="465">
                  <c:v>1+348.77</c:v>
                </c:pt>
                <c:pt idx="466">
                  <c:v>1+293.96</c:v>
                </c:pt>
                <c:pt idx="467">
                  <c:v>1+685.50</c:v>
                </c:pt>
                <c:pt idx="468">
                  <c:v>0+558.84</c:v>
                </c:pt>
                <c:pt idx="469">
                  <c:v>0+503.32</c:v>
                </c:pt>
                <c:pt idx="470">
                  <c:v>0+445.29</c:v>
                </c:pt>
                <c:pt idx="471">
                  <c:v>0+492.57</c:v>
                </c:pt>
                <c:pt idx="472">
                  <c:v>0+551.78</c:v>
                </c:pt>
                <c:pt idx="473">
                  <c:v>0+565.00</c:v>
                </c:pt>
                <c:pt idx="474">
                  <c:v>0+470.16</c:v>
                </c:pt>
                <c:pt idx="475">
                  <c:v>0+403.04</c:v>
                </c:pt>
                <c:pt idx="476">
                  <c:v>0+403.04</c:v>
                </c:pt>
                <c:pt idx="477">
                  <c:v>0+395.72</c:v>
                </c:pt>
                <c:pt idx="478">
                  <c:v>0+460.38</c:v>
                </c:pt>
                <c:pt idx="479">
                  <c:v>0+393.96</c:v>
                </c:pt>
                <c:pt idx="480">
                  <c:v>0+047.64</c:v>
                </c:pt>
                <c:pt idx="481">
                  <c:v>2+089.01</c:v>
                </c:pt>
                <c:pt idx="482">
                  <c:v>2+060.04</c:v>
                </c:pt>
                <c:pt idx="483">
                  <c:v>1+856.55</c:v>
                </c:pt>
                <c:pt idx="484">
                  <c:v>1+701.90</c:v>
                </c:pt>
                <c:pt idx="485">
                  <c:v>1+756.11</c:v>
                </c:pt>
                <c:pt idx="486">
                  <c:v>1+813.10</c:v>
                </c:pt>
                <c:pt idx="487">
                  <c:v>1+813.10</c:v>
                </c:pt>
                <c:pt idx="488">
                  <c:v>0+133.02</c:v>
                </c:pt>
                <c:pt idx="489">
                  <c:v>0+145.44</c:v>
                </c:pt>
                <c:pt idx="490">
                  <c:v>0+193.05</c:v>
                </c:pt>
                <c:pt idx="491">
                  <c:v>0+271.13</c:v>
                </c:pt>
                <c:pt idx="492">
                  <c:v>0+223.27</c:v>
                </c:pt>
                <c:pt idx="493">
                  <c:v>0+314.75</c:v>
                </c:pt>
                <c:pt idx="494">
                  <c:v>0+339.34</c:v>
                </c:pt>
                <c:pt idx="495">
                  <c:v>0+276.71</c:v>
                </c:pt>
                <c:pt idx="496">
                  <c:v>0+051.75</c:v>
                </c:pt>
                <c:pt idx="497">
                  <c:v>1+104.37</c:v>
                </c:pt>
                <c:pt idx="498">
                  <c:v>1+104.37</c:v>
                </c:pt>
                <c:pt idx="499">
                  <c:v>1+099.20</c:v>
                </c:pt>
                <c:pt idx="500">
                  <c:v>1+041.55</c:v>
                </c:pt>
                <c:pt idx="501">
                  <c:v>1+984.11</c:v>
                </c:pt>
                <c:pt idx="502">
                  <c:v>1+035.34</c:v>
                </c:pt>
                <c:pt idx="503">
                  <c:v>0+969.17</c:v>
                </c:pt>
                <c:pt idx="504">
                  <c:v>0+914.81</c:v>
                </c:pt>
                <c:pt idx="505">
                  <c:v>0+948.90</c:v>
                </c:pt>
                <c:pt idx="506">
                  <c:v>1+024.24</c:v>
                </c:pt>
                <c:pt idx="507">
                  <c:v>0+984.30</c:v>
                </c:pt>
                <c:pt idx="508">
                  <c:v>0+049.36</c:v>
                </c:pt>
                <c:pt idx="509">
                  <c:v>1+137.74</c:v>
                </c:pt>
                <c:pt idx="510">
                  <c:v>1+137.74</c:v>
                </c:pt>
                <c:pt idx="511">
                  <c:v>1+189.94</c:v>
                </c:pt>
                <c:pt idx="512">
                  <c:v>1+249.98</c:v>
                </c:pt>
                <c:pt idx="513">
                  <c:v>1+263.22</c:v>
                </c:pt>
                <c:pt idx="514">
                  <c:v>1+208.54</c:v>
                </c:pt>
                <c:pt idx="515">
                  <c:v>1+142.08</c:v>
                </c:pt>
                <c:pt idx="516">
                  <c:v>1+105.59</c:v>
                </c:pt>
                <c:pt idx="517">
                  <c:v>0+994.34</c:v>
                </c:pt>
                <c:pt idx="518">
                  <c:v>0+915.14</c:v>
                </c:pt>
                <c:pt idx="519">
                  <c:v>1+092.26</c:v>
                </c:pt>
                <c:pt idx="520">
                  <c:v>1+021.01</c:v>
                </c:pt>
                <c:pt idx="521">
                  <c:v>1+021.01</c:v>
                </c:pt>
                <c:pt idx="522">
                  <c:v>0+950.19</c:v>
                </c:pt>
                <c:pt idx="523">
                  <c:v>0+969.30</c:v>
                </c:pt>
                <c:pt idx="524">
                  <c:v>0+054.34</c:v>
                </c:pt>
                <c:pt idx="525">
                  <c:v>0+112.80</c:v>
                </c:pt>
                <c:pt idx="526">
                  <c:v>0+155.15</c:v>
                </c:pt>
                <c:pt idx="527">
                  <c:v>0+107.66</c:v>
                </c:pt>
                <c:pt idx="528">
                  <c:v>0+074.69</c:v>
                </c:pt>
                <c:pt idx="529">
                  <c:v>1+274.21</c:v>
                </c:pt>
                <c:pt idx="530">
                  <c:v>1+199.96</c:v>
                </c:pt>
                <c:pt idx="531">
                  <c:v>1+194.11</c:v>
                </c:pt>
                <c:pt idx="532">
                  <c:v>1+194.11</c:v>
                </c:pt>
                <c:pt idx="533">
                  <c:v>1+272.07</c:v>
                </c:pt>
                <c:pt idx="534">
                  <c:v>1+263.20</c:v>
                </c:pt>
                <c:pt idx="535">
                  <c:v>1+187.39</c:v>
                </c:pt>
                <c:pt idx="536">
                  <c:v>1+142.92</c:v>
                </c:pt>
                <c:pt idx="537">
                  <c:v>1+130.47</c:v>
                </c:pt>
                <c:pt idx="538">
                  <c:v>1+119.04</c:v>
                </c:pt>
                <c:pt idx="539">
                  <c:v>1+960.58</c:v>
                </c:pt>
                <c:pt idx="540">
                  <c:v>1+988.92</c:v>
                </c:pt>
                <c:pt idx="541">
                  <c:v>2+033.56</c:v>
                </c:pt>
                <c:pt idx="542">
                  <c:v>2+094.97</c:v>
                </c:pt>
                <c:pt idx="543">
                  <c:v>2+094.97</c:v>
                </c:pt>
                <c:pt idx="544">
                  <c:v>2+073.19</c:v>
                </c:pt>
                <c:pt idx="545">
                  <c:v>2+115.66</c:v>
                </c:pt>
                <c:pt idx="546">
                  <c:v>2+159.71</c:v>
                </c:pt>
                <c:pt idx="547">
                  <c:v>2+124.14</c:v>
                </c:pt>
                <c:pt idx="548">
                  <c:v>1+892.68</c:v>
                </c:pt>
                <c:pt idx="549">
                  <c:v>1+838.57</c:v>
                </c:pt>
                <c:pt idx="550">
                  <c:v>1+776.59</c:v>
                </c:pt>
                <c:pt idx="551">
                  <c:v>1+836.89</c:v>
                </c:pt>
                <c:pt idx="552">
                  <c:v>1+887.22</c:v>
                </c:pt>
                <c:pt idx="553">
                  <c:v>1+992.73</c:v>
                </c:pt>
                <c:pt idx="554">
                  <c:v>1+992.73</c:v>
                </c:pt>
                <c:pt idx="555">
                  <c:v>1+938.48</c:v>
                </c:pt>
                <c:pt idx="556">
                  <c:v>1+928.48</c:v>
                </c:pt>
                <c:pt idx="557">
                  <c:v>1+897.27</c:v>
                </c:pt>
                <c:pt idx="558">
                  <c:v>0+900.10</c:v>
                </c:pt>
                <c:pt idx="559">
                  <c:v>0+937.88</c:v>
                </c:pt>
                <c:pt idx="560">
                  <c:v>0+946.71</c:v>
                </c:pt>
                <c:pt idx="561">
                  <c:v>0+866.80</c:v>
                </c:pt>
                <c:pt idx="562">
                  <c:v>0+873.93</c:v>
                </c:pt>
                <c:pt idx="563">
                  <c:v>0+891.53</c:v>
                </c:pt>
                <c:pt idx="564">
                  <c:v>0+790.12</c:v>
                </c:pt>
                <c:pt idx="565">
                  <c:v>0+821.27</c:v>
                </c:pt>
                <c:pt idx="566">
                  <c:v>0+821.27</c:v>
                </c:pt>
                <c:pt idx="567">
                  <c:v>0+792.95</c:v>
                </c:pt>
                <c:pt idx="568">
                  <c:v>1+760.00</c:v>
                </c:pt>
                <c:pt idx="569">
                  <c:v>1+713.38</c:v>
                </c:pt>
                <c:pt idx="570">
                  <c:v>1+636.00</c:v>
                </c:pt>
                <c:pt idx="571">
                  <c:v>1+645.76</c:v>
                </c:pt>
                <c:pt idx="572">
                  <c:v>1+704.84</c:v>
                </c:pt>
                <c:pt idx="573">
                  <c:v>1+824.89</c:v>
                </c:pt>
                <c:pt idx="574">
                  <c:v>1+870.67</c:v>
                </c:pt>
                <c:pt idx="575">
                  <c:v>0+472.39</c:v>
                </c:pt>
                <c:pt idx="576">
                  <c:v>0+539.21</c:v>
                </c:pt>
                <c:pt idx="577">
                  <c:v>0+539.21</c:v>
                </c:pt>
                <c:pt idx="578">
                  <c:v>0+538.95</c:v>
                </c:pt>
                <c:pt idx="579">
                  <c:v>0+473.57</c:v>
                </c:pt>
                <c:pt idx="580">
                  <c:v>0+495.66</c:v>
                </c:pt>
                <c:pt idx="581">
                  <c:v>0+588.29</c:v>
                </c:pt>
                <c:pt idx="582">
                  <c:v>0+667.96</c:v>
                </c:pt>
                <c:pt idx="583">
                  <c:v>0+729.87</c:v>
                </c:pt>
                <c:pt idx="584">
                  <c:v>0+756.95</c:v>
                </c:pt>
                <c:pt idx="585">
                  <c:v>0+695.03</c:v>
                </c:pt>
                <c:pt idx="586">
                  <c:v>0+606.02</c:v>
                </c:pt>
                <c:pt idx="587">
                  <c:v>0+653.20</c:v>
                </c:pt>
                <c:pt idx="588">
                  <c:v>0+653.20</c:v>
                </c:pt>
                <c:pt idx="589">
                  <c:v>0+743.10</c:v>
                </c:pt>
                <c:pt idx="590">
                  <c:v>1+780.35</c:v>
                </c:pt>
                <c:pt idx="591">
                  <c:v>1+457.21</c:v>
                </c:pt>
                <c:pt idx="592">
                  <c:v>1+384.49</c:v>
                </c:pt>
                <c:pt idx="593">
                  <c:v>1+294.69</c:v>
                </c:pt>
                <c:pt idx="594">
                  <c:v>1+289.51</c:v>
                </c:pt>
                <c:pt idx="595">
                  <c:v>1+373.10</c:v>
                </c:pt>
                <c:pt idx="596">
                  <c:v>1+451.89</c:v>
                </c:pt>
                <c:pt idx="597">
                  <c:v>1+841.54</c:v>
                </c:pt>
                <c:pt idx="598">
                  <c:v>1+794.11</c:v>
                </c:pt>
                <c:pt idx="599">
                  <c:v>1+827.52</c:v>
                </c:pt>
                <c:pt idx="600">
                  <c:v>1+827.52</c:v>
                </c:pt>
                <c:pt idx="601">
                  <c:v>1+719.21</c:v>
                </c:pt>
                <c:pt idx="602">
                  <c:v>1+659.25</c:v>
                </c:pt>
                <c:pt idx="603">
                  <c:v>1+743.27</c:v>
                </c:pt>
                <c:pt idx="604">
                  <c:v>1+661.04</c:v>
                </c:pt>
                <c:pt idx="605">
                  <c:v>1+696.48</c:v>
                </c:pt>
                <c:pt idx="606">
                  <c:v>1+625.96</c:v>
                </c:pt>
                <c:pt idx="607">
                  <c:v>1+622.03</c:v>
                </c:pt>
                <c:pt idx="608">
                  <c:v>1+553.60</c:v>
                </c:pt>
                <c:pt idx="609">
                  <c:v>1+461.50</c:v>
                </c:pt>
                <c:pt idx="610">
                  <c:v>1+372.64</c:v>
                </c:pt>
                <c:pt idx="611">
                  <c:v>1+372.64</c:v>
                </c:pt>
                <c:pt idx="612">
                  <c:v>1+290.52</c:v>
                </c:pt>
                <c:pt idx="613">
                  <c:v>1+285.26</c:v>
                </c:pt>
                <c:pt idx="614">
                  <c:v>1+370.73</c:v>
                </c:pt>
                <c:pt idx="615">
                  <c:v>1+450.59</c:v>
                </c:pt>
                <c:pt idx="616">
                  <c:v>1+553.79</c:v>
                </c:pt>
                <c:pt idx="617">
                  <c:v>1+564.30</c:v>
                </c:pt>
                <c:pt idx="618">
                  <c:v>1+425.66</c:v>
                </c:pt>
                <c:pt idx="619">
                  <c:v>1+286.23</c:v>
                </c:pt>
                <c:pt idx="620">
                  <c:v>0+040.22</c:v>
                </c:pt>
                <c:pt idx="621">
                  <c:v>1+616.19</c:v>
                </c:pt>
                <c:pt idx="622">
                  <c:v>1+616.19</c:v>
                </c:pt>
                <c:pt idx="623">
                  <c:v>1+556.38</c:v>
                </c:pt>
                <c:pt idx="624">
                  <c:v>1+477.46</c:v>
                </c:pt>
                <c:pt idx="625">
                  <c:v>1+446.01</c:v>
                </c:pt>
                <c:pt idx="626">
                  <c:v>1+532.53</c:v>
                </c:pt>
                <c:pt idx="627">
                  <c:v>1+617.51</c:v>
                </c:pt>
                <c:pt idx="628">
                  <c:v>0+469.25</c:v>
                </c:pt>
                <c:pt idx="629">
                  <c:v>0+432.59</c:v>
                </c:pt>
                <c:pt idx="630">
                  <c:v>0+353.09</c:v>
                </c:pt>
                <c:pt idx="631">
                  <c:v>0+253.08</c:v>
                </c:pt>
                <c:pt idx="632">
                  <c:v>0+137.87</c:v>
                </c:pt>
                <c:pt idx="633">
                  <c:v>0+137.87</c:v>
                </c:pt>
                <c:pt idx="634">
                  <c:v>0+042.47</c:v>
                </c:pt>
                <c:pt idx="635">
                  <c:v>0+122.67</c:v>
                </c:pt>
                <c:pt idx="636">
                  <c:v>1+469.85</c:v>
                </c:pt>
                <c:pt idx="637">
                  <c:v>1+568.23</c:v>
                </c:pt>
                <c:pt idx="638">
                  <c:v>0+928.36</c:v>
                </c:pt>
                <c:pt idx="639">
                  <c:v>1+000.65</c:v>
                </c:pt>
                <c:pt idx="640">
                  <c:v>1+064.06</c:v>
                </c:pt>
                <c:pt idx="641">
                  <c:v>1+139.98</c:v>
                </c:pt>
                <c:pt idx="642">
                  <c:v>1+214.24</c:v>
                </c:pt>
                <c:pt idx="643">
                  <c:v>1+109.72</c:v>
                </c:pt>
                <c:pt idx="644">
                  <c:v>1+109.72</c:v>
                </c:pt>
                <c:pt idx="645">
                  <c:v>1+258.60</c:v>
                </c:pt>
                <c:pt idx="646">
                  <c:v>1+183.38</c:v>
                </c:pt>
                <c:pt idx="647">
                  <c:v>1+029.27</c:v>
                </c:pt>
                <c:pt idx="648">
                  <c:v>0+932.16</c:v>
                </c:pt>
                <c:pt idx="649">
                  <c:v>0+978.95</c:v>
                </c:pt>
                <c:pt idx="650">
                  <c:v>1+049.62</c:v>
                </c:pt>
                <c:pt idx="651">
                  <c:v>1+132.74</c:v>
                </c:pt>
                <c:pt idx="652">
                  <c:v>1+226.75</c:v>
                </c:pt>
                <c:pt idx="653">
                  <c:v>0+045.82</c:v>
                </c:pt>
                <c:pt idx="654">
                  <c:v>1+248.45</c:v>
                </c:pt>
                <c:pt idx="655">
                  <c:v>1+248.45</c:v>
                </c:pt>
                <c:pt idx="656">
                  <c:v>1+186.48</c:v>
                </c:pt>
                <c:pt idx="657">
                  <c:v>1+123.96</c:v>
                </c:pt>
                <c:pt idx="658">
                  <c:v>1+121.74</c:v>
                </c:pt>
                <c:pt idx="659">
                  <c:v>1+184.52</c:v>
                </c:pt>
                <c:pt idx="660">
                  <c:v>1+246.07</c:v>
                </c:pt>
                <c:pt idx="661">
                  <c:v>1+213.13</c:v>
                </c:pt>
                <c:pt idx="662">
                  <c:v>1+128.41</c:v>
                </c:pt>
                <c:pt idx="663">
                  <c:v>1+092.31</c:v>
                </c:pt>
                <c:pt idx="664">
                  <c:v>1+036.05</c:v>
                </c:pt>
                <c:pt idx="665">
                  <c:v>0+967.99</c:v>
                </c:pt>
                <c:pt idx="666">
                  <c:v>0+967.99</c:v>
                </c:pt>
                <c:pt idx="667">
                  <c:v>0+962.70</c:v>
                </c:pt>
                <c:pt idx="668">
                  <c:v>1+029.98</c:v>
                </c:pt>
                <c:pt idx="669">
                  <c:v>1+093.47</c:v>
                </c:pt>
                <c:pt idx="670">
                  <c:v>1+063.83</c:v>
                </c:pt>
                <c:pt idx="671">
                  <c:v>0+978.03</c:v>
                </c:pt>
                <c:pt idx="672">
                  <c:v>0+912.86</c:v>
                </c:pt>
                <c:pt idx="673">
                  <c:v>0+852.76</c:v>
                </c:pt>
                <c:pt idx="674">
                  <c:v>0+771.12</c:v>
                </c:pt>
                <c:pt idx="675">
                  <c:v>0+773.39</c:v>
                </c:pt>
                <c:pt idx="676">
                  <c:v>0+312.96</c:v>
                </c:pt>
                <c:pt idx="677">
                  <c:v>0+312.96</c:v>
                </c:pt>
                <c:pt idx="678">
                  <c:v>0+485.18</c:v>
                </c:pt>
                <c:pt idx="679">
                  <c:v>0+720.36</c:v>
                </c:pt>
                <c:pt idx="680">
                  <c:v>0+078.28</c:v>
                </c:pt>
                <c:pt idx="681">
                  <c:v>0+168.89</c:v>
                </c:pt>
                <c:pt idx="682">
                  <c:v>0+330.17</c:v>
                </c:pt>
                <c:pt idx="683">
                  <c:v>0+524.20</c:v>
                </c:pt>
                <c:pt idx="684">
                  <c:v>0+805.96</c:v>
                </c:pt>
                <c:pt idx="685">
                  <c:v>0+862.46</c:v>
                </c:pt>
                <c:pt idx="686">
                  <c:v>0+914.09</c:v>
                </c:pt>
                <c:pt idx="687">
                  <c:v>0+881.58</c:v>
                </c:pt>
                <c:pt idx="688">
                  <c:v>0+652.55</c:v>
                </c:pt>
                <c:pt idx="689">
                  <c:v>0+652.55</c:v>
                </c:pt>
                <c:pt idx="690">
                  <c:v>0+727.34</c:v>
                </c:pt>
                <c:pt idx="691">
                  <c:v>0+611.45</c:v>
                </c:pt>
                <c:pt idx="692">
                  <c:v>0+613.02</c:v>
                </c:pt>
                <c:pt idx="693">
                  <c:v>0+675.40</c:v>
                </c:pt>
                <c:pt idx="694">
                  <c:v>0+747.24</c:v>
                </c:pt>
                <c:pt idx="695">
                  <c:v>0+744.66</c:v>
                </c:pt>
                <c:pt idx="696">
                  <c:v>0+697.92</c:v>
                </c:pt>
                <c:pt idx="697">
                  <c:v>0+565.80</c:v>
                </c:pt>
                <c:pt idx="698">
                  <c:v>0+508.09</c:v>
                </c:pt>
                <c:pt idx="699">
                  <c:v>0+443.32</c:v>
                </c:pt>
                <c:pt idx="700">
                  <c:v>0+443.32</c:v>
                </c:pt>
                <c:pt idx="701">
                  <c:v>0+423.37</c:v>
                </c:pt>
                <c:pt idx="702">
                  <c:v>0+506.93</c:v>
                </c:pt>
                <c:pt idx="703">
                  <c:v>0+565.79</c:v>
                </c:pt>
                <c:pt idx="704">
                  <c:v>0+456.30</c:v>
                </c:pt>
                <c:pt idx="705">
                  <c:v>0+231.19</c:v>
                </c:pt>
                <c:pt idx="706">
                  <c:v>0+367.50</c:v>
                </c:pt>
                <c:pt idx="707">
                  <c:v>0+502.23</c:v>
                </c:pt>
              </c:strCache>
            </c:strRef>
          </c:xVal>
          <c:yVal>
            <c:numRef>
              <c:f>FCS!$I$11:$I$825</c:f>
              <c:numCache>
                <c:formatCode>0\+000.00</c:formatCode>
                <c:ptCount val="815"/>
                <c:pt idx="0">
                  <c:v>98.61</c:v>
                </c:pt>
                <c:pt idx="1">
                  <c:v>98.61</c:v>
                </c:pt>
                <c:pt idx="2">
                  <c:v>111.15</c:v>
                </c:pt>
                <c:pt idx="3">
                  <c:v>129.83000000000001</c:v>
                </c:pt>
                <c:pt idx="4">
                  <c:v>209.82</c:v>
                </c:pt>
                <c:pt idx="5">
                  <c:v>190.9</c:v>
                </c:pt>
                <c:pt idx="6">
                  <c:v>167.36</c:v>
                </c:pt>
                <c:pt idx="7">
                  <c:v>252.76</c:v>
                </c:pt>
                <c:pt idx="8">
                  <c:v>252.76</c:v>
                </c:pt>
                <c:pt idx="9">
                  <c:v>155.49</c:v>
                </c:pt>
                <c:pt idx="10">
                  <c:v>238.34</c:v>
                </c:pt>
                <c:pt idx="11">
                  <c:v>45.54</c:v>
                </c:pt>
                <c:pt idx="12">
                  <c:v>45.54</c:v>
                </c:pt>
                <c:pt idx="13">
                  <c:v>138.03</c:v>
                </c:pt>
                <c:pt idx="14">
                  <c:v>109.77</c:v>
                </c:pt>
                <c:pt idx="15">
                  <c:v>190.77</c:v>
                </c:pt>
                <c:pt idx="16">
                  <c:v>219.06</c:v>
                </c:pt>
                <c:pt idx="17">
                  <c:v>262.55</c:v>
                </c:pt>
                <c:pt idx="18">
                  <c:v>-45.39</c:v>
                </c:pt>
                <c:pt idx="19">
                  <c:v>24.75</c:v>
                </c:pt>
                <c:pt idx="20">
                  <c:v>18.190000000000001</c:v>
                </c:pt>
                <c:pt idx="21">
                  <c:v>84.9</c:v>
                </c:pt>
                <c:pt idx="22">
                  <c:v>19.36</c:v>
                </c:pt>
                <c:pt idx="23">
                  <c:v>19.36</c:v>
                </c:pt>
                <c:pt idx="24">
                  <c:v>25.16</c:v>
                </c:pt>
                <c:pt idx="25">
                  <c:v>-30.77</c:v>
                </c:pt>
                <c:pt idx="26">
                  <c:v>62.23</c:v>
                </c:pt>
                <c:pt idx="27">
                  <c:v>54.69</c:v>
                </c:pt>
                <c:pt idx="28">
                  <c:v>120.8</c:v>
                </c:pt>
                <c:pt idx="29">
                  <c:v>497.41</c:v>
                </c:pt>
                <c:pt idx="30">
                  <c:v>-156.69999999999999</c:v>
                </c:pt>
                <c:pt idx="31">
                  <c:v>33.1</c:v>
                </c:pt>
                <c:pt idx="32">
                  <c:v>48.5</c:v>
                </c:pt>
                <c:pt idx="33">
                  <c:v>48.98</c:v>
                </c:pt>
                <c:pt idx="34">
                  <c:v>48.98</c:v>
                </c:pt>
                <c:pt idx="35">
                  <c:v>34.65</c:v>
                </c:pt>
                <c:pt idx="36">
                  <c:v>116.49</c:v>
                </c:pt>
                <c:pt idx="37">
                  <c:v>114.06</c:v>
                </c:pt>
                <c:pt idx="38">
                  <c:v>61.48</c:v>
                </c:pt>
                <c:pt idx="39">
                  <c:v>389.14</c:v>
                </c:pt>
                <c:pt idx="40">
                  <c:v>510.87</c:v>
                </c:pt>
                <c:pt idx="41">
                  <c:v>427.05</c:v>
                </c:pt>
                <c:pt idx="42">
                  <c:v>570.42999999999995</c:v>
                </c:pt>
                <c:pt idx="43">
                  <c:v>439.21</c:v>
                </c:pt>
                <c:pt idx="44">
                  <c:v>590.98</c:v>
                </c:pt>
                <c:pt idx="45">
                  <c:v>590.98</c:v>
                </c:pt>
                <c:pt idx="46">
                  <c:v>416.6</c:v>
                </c:pt>
                <c:pt idx="47">
                  <c:v>390.98</c:v>
                </c:pt>
                <c:pt idx="48">
                  <c:v>531.83000000000004</c:v>
                </c:pt>
                <c:pt idx="49">
                  <c:v>531.59</c:v>
                </c:pt>
                <c:pt idx="50">
                  <c:v>-29.34</c:v>
                </c:pt>
                <c:pt idx="51">
                  <c:v>-25.66</c:v>
                </c:pt>
                <c:pt idx="52">
                  <c:v>19.5</c:v>
                </c:pt>
                <c:pt idx="53">
                  <c:v>-3.27</c:v>
                </c:pt>
                <c:pt idx="54">
                  <c:v>-2.73</c:v>
                </c:pt>
                <c:pt idx="55">
                  <c:v>24.13</c:v>
                </c:pt>
                <c:pt idx="56">
                  <c:v>24.13</c:v>
                </c:pt>
                <c:pt idx="57">
                  <c:v>203.83</c:v>
                </c:pt>
                <c:pt idx="58">
                  <c:v>231.38</c:v>
                </c:pt>
                <c:pt idx="59">
                  <c:v>256.33</c:v>
                </c:pt>
                <c:pt idx="60">
                  <c:v>340.75</c:v>
                </c:pt>
                <c:pt idx="61">
                  <c:v>329.98</c:v>
                </c:pt>
                <c:pt idx="62">
                  <c:v>346</c:v>
                </c:pt>
                <c:pt idx="63">
                  <c:v>61.67</c:v>
                </c:pt>
                <c:pt idx="64">
                  <c:v>270.45999999999998</c:v>
                </c:pt>
                <c:pt idx="65">
                  <c:v>257.88</c:v>
                </c:pt>
                <c:pt idx="66">
                  <c:v>228.97</c:v>
                </c:pt>
                <c:pt idx="67">
                  <c:v>228.97</c:v>
                </c:pt>
                <c:pt idx="68">
                  <c:v>390.05</c:v>
                </c:pt>
                <c:pt idx="69">
                  <c:v>339.79</c:v>
                </c:pt>
                <c:pt idx="70">
                  <c:v>329.1</c:v>
                </c:pt>
                <c:pt idx="71">
                  <c:v>425.41</c:v>
                </c:pt>
                <c:pt idx="72">
                  <c:v>488.03</c:v>
                </c:pt>
                <c:pt idx="73">
                  <c:v>233.58</c:v>
                </c:pt>
                <c:pt idx="74">
                  <c:v>293.83999999999997</c:v>
                </c:pt>
                <c:pt idx="75">
                  <c:v>382.2</c:v>
                </c:pt>
                <c:pt idx="76">
                  <c:v>-2.89</c:v>
                </c:pt>
                <c:pt idx="77">
                  <c:v>264.16999999999996</c:v>
                </c:pt>
                <c:pt idx="78">
                  <c:v>-25.24</c:v>
                </c:pt>
                <c:pt idx="79">
                  <c:v>-25.24</c:v>
                </c:pt>
                <c:pt idx="80">
                  <c:v>-29.59</c:v>
                </c:pt>
                <c:pt idx="81">
                  <c:v>236.13</c:v>
                </c:pt>
                <c:pt idx="82">
                  <c:v>215.5</c:v>
                </c:pt>
                <c:pt idx="83">
                  <c:v>306.61</c:v>
                </c:pt>
                <c:pt idx="84">
                  <c:v>316.54000000000002</c:v>
                </c:pt>
                <c:pt idx="85">
                  <c:v>429.7</c:v>
                </c:pt>
                <c:pt idx="86">
                  <c:v>410.1</c:v>
                </c:pt>
                <c:pt idx="87">
                  <c:v>516.82000000000005</c:v>
                </c:pt>
                <c:pt idx="88">
                  <c:v>536.03</c:v>
                </c:pt>
                <c:pt idx="89">
                  <c:v>612.91999999999996</c:v>
                </c:pt>
                <c:pt idx="90">
                  <c:v>612.91999999999996</c:v>
                </c:pt>
                <c:pt idx="91">
                  <c:v>60.65</c:v>
                </c:pt>
                <c:pt idx="92">
                  <c:v>431.62</c:v>
                </c:pt>
                <c:pt idx="93">
                  <c:v>436.65</c:v>
                </c:pt>
                <c:pt idx="94">
                  <c:v>413.32</c:v>
                </c:pt>
                <c:pt idx="95">
                  <c:v>396.62</c:v>
                </c:pt>
                <c:pt idx="96">
                  <c:v>504.71</c:v>
                </c:pt>
                <c:pt idx="97">
                  <c:v>532.79</c:v>
                </c:pt>
                <c:pt idx="98">
                  <c:v>528.34</c:v>
                </c:pt>
                <c:pt idx="99">
                  <c:v>497.08</c:v>
                </c:pt>
                <c:pt idx="100">
                  <c:v>298.68</c:v>
                </c:pt>
                <c:pt idx="101">
                  <c:v>298.68</c:v>
                </c:pt>
                <c:pt idx="102">
                  <c:v>235.82</c:v>
                </c:pt>
                <c:pt idx="103">
                  <c:v>304.12</c:v>
                </c:pt>
                <c:pt idx="104">
                  <c:v>425.64</c:v>
                </c:pt>
                <c:pt idx="105">
                  <c:v>374.13</c:v>
                </c:pt>
                <c:pt idx="106">
                  <c:v>373.19</c:v>
                </c:pt>
                <c:pt idx="107">
                  <c:v>227.58</c:v>
                </c:pt>
                <c:pt idx="108">
                  <c:v>240.06</c:v>
                </c:pt>
                <c:pt idx="109">
                  <c:v>234.34</c:v>
                </c:pt>
                <c:pt idx="110">
                  <c:v>307.2</c:v>
                </c:pt>
                <c:pt idx="111">
                  <c:v>321.32</c:v>
                </c:pt>
                <c:pt idx="112">
                  <c:v>321.32</c:v>
                </c:pt>
                <c:pt idx="113">
                  <c:v>349.88</c:v>
                </c:pt>
                <c:pt idx="114">
                  <c:v>-26.63</c:v>
                </c:pt>
                <c:pt idx="115">
                  <c:v>-25.17</c:v>
                </c:pt>
                <c:pt idx="116">
                  <c:v>64.7</c:v>
                </c:pt>
                <c:pt idx="117">
                  <c:v>-25.31</c:v>
                </c:pt>
                <c:pt idx="118">
                  <c:v>54.08</c:v>
                </c:pt>
                <c:pt idx="119">
                  <c:v>96.44</c:v>
                </c:pt>
                <c:pt idx="120">
                  <c:v>106.96</c:v>
                </c:pt>
                <c:pt idx="121">
                  <c:v>125.01</c:v>
                </c:pt>
                <c:pt idx="122">
                  <c:v>106.87</c:v>
                </c:pt>
                <c:pt idx="123">
                  <c:v>59.97</c:v>
                </c:pt>
                <c:pt idx="124">
                  <c:v>59.97</c:v>
                </c:pt>
                <c:pt idx="125">
                  <c:v>8.83</c:v>
                </c:pt>
                <c:pt idx="126">
                  <c:v>62.01</c:v>
                </c:pt>
                <c:pt idx="127">
                  <c:v>199.45</c:v>
                </c:pt>
                <c:pt idx="128">
                  <c:v>-26.06</c:v>
                </c:pt>
                <c:pt idx="129">
                  <c:v>39.15</c:v>
                </c:pt>
                <c:pt idx="130">
                  <c:v>67.989999999999995</c:v>
                </c:pt>
                <c:pt idx="131">
                  <c:v>68.62</c:v>
                </c:pt>
                <c:pt idx="132">
                  <c:v>145.31</c:v>
                </c:pt>
                <c:pt idx="133">
                  <c:v>141.80000000000001</c:v>
                </c:pt>
                <c:pt idx="134">
                  <c:v>186.88</c:v>
                </c:pt>
                <c:pt idx="135">
                  <c:v>255.33</c:v>
                </c:pt>
                <c:pt idx="136">
                  <c:v>255.33</c:v>
                </c:pt>
                <c:pt idx="137">
                  <c:v>239.55</c:v>
                </c:pt>
                <c:pt idx="138">
                  <c:v>348.21</c:v>
                </c:pt>
                <c:pt idx="139">
                  <c:v>322.11</c:v>
                </c:pt>
                <c:pt idx="140">
                  <c:v>289.18</c:v>
                </c:pt>
                <c:pt idx="141">
                  <c:v>366.51</c:v>
                </c:pt>
                <c:pt idx="142">
                  <c:v>403.68</c:v>
                </c:pt>
                <c:pt idx="143">
                  <c:v>462.45</c:v>
                </c:pt>
                <c:pt idx="144">
                  <c:v>253.49</c:v>
                </c:pt>
                <c:pt idx="145">
                  <c:v>228.02</c:v>
                </c:pt>
                <c:pt idx="146">
                  <c:v>203.96</c:v>
                </c:pt>
                <c:pt idx="147">
                  <c:v>203.96</c:v>
                </c:pt>
                <c:pt idx="148">
                  <c:v>286.26</c:v>
                </c:pt>
                <c:pt idx="149">
                  <c:v>303.69</c:v>
                </c:pt>
                <c:pt idx="150">
                  <c:v>364.43</c:v>
                </c:pt>
                <c:pt idx="151">
                  <c:v>399.5</c:v>
                </c:pt>
                <c:pt idx="152">
                  <c:v>43.74</c:v>
                </c:pt>
                <c:pt idx="153">
                  <c:v>-24.95</c:v>
                </c:pt>
                <c:pt idx="154">
                  <c:v>55.49</c:v>
                </c:pt>
                <c:pt idx="155">
                  <c:v>92.13</c:v>
                </c:pt>
                <c:pt idx="156">
                  <c:v>90.36</c:v>
                </c:pt>
                <c:pt idx="157">
                  <c:v>145.94999999999999</c:v>
                </c:pt>
                <c:pt idx="158">
                  <c:v>145.94999999999999</c:v>
                </c:pt>
                <c:pt idx="159">
                  <c:v>169.5</c:v>
                </c:pt>
                <c:pt idx="160">
                  <c:v>116.35</c:v>
                </c:pt>
                <c:pt idx="161">
                  <c:v>200.29</c:v>
                </c:pt>
                <c:pt idx="162">
                  <c:v>276.07</c:v>
                </c:pt>
                <c:pt idx="163">
                  <c:v>240.7</c:v>
                </c:pt>
                <c:pt idx="164">
                  <c:v>296.26</c:v>
                </c:pt>
                <c:pt idx="165">
                  <c:v>498.79</c:v>
                </c:pt>
                <c:pt idx="166">
                  <c:v>592.70000000000005</c:v>
                </c:pt>
                <c:pt idx="167">
                  <c:v>458.75</c:v>
                </c:pt>
                <c:pt idx="168">
                  <c:v>416.04</c:v>
                </c:pt>
                <c:pt idx="169">
                  <c:v>416.04</c:v>
                </c:pt>
                <c:pt idx="170">
                  <c:v>516.91</c:v>
                </c:pt>
                <c:pt idx="171">
                  <c:v>546.49</c:v>
                </c:pt>
                <c:pt idx="172">
                  <c:v>634.92999999999995</c:v>
                </c:pt>
                <c:pt idx="173">
                  <c:v>35.64</c:v>
                </c:pt>
                <c:pt idx="174">
                  <c:v>-25.45</c:v>
                </c:pt>
                <c:pt idx="175">
                  <c:v>18.899999999999999</c:v>
                </c:pt>
                <c:pt idx="176">
                  <c:v>-116.35</c:v>
                </c:pt>
                <c:pt idx="177">
                  <c:v>-62.86</c:v>
                </c:pt>
                <c:pt idx="178">
                  <c:v>-136.27000000000001</c:v>
                </c:pt>
                <c:pt idx="179">
                  <c:v>-143.18</c:v>
                </c:pt>
                <c:pt idx="180">
                  <c:v>-158.47</c:v>
                </c:pt>
                <c:pt idx="181">
                  <c:v>-158.47</c:v>
                </c:pt>
                <c:pt idx="182">
                  <c:v>-77.41</c:v>
                </c:pt>
                <c:pt idx="183">
                  <c:v>-69.040000000000006</c:v>
                </c:pt>
                <c:pt idx="184">
                  <c:v>-74.98</c:v>
                </c:pt>
                <c:pt idx="185">
                  <c:v>-20.420000000000002</c:v>
                </c:pt>
                <c:pt idx="186">
                  <c:v>-4.8899999999999997</c:v>
                </c:pt>
                <c:pt idx="187">
                  <c:v>0.54</c:v>
                </c:pt>
                <c:pt idx="188">
                  <c:v>-25.32</c:v>
                </c:pt>
                <c:pt idx="189">
                  <c:v>-162.91</c:v>
                </c:pt>
                <c:pt idx="190">
                  <c:v>-191.98</c:v>
                </c:pt>
                <c:pt idx="191">
                  <c:v>204.35</c:v>
                </c:pt>
                <c:pt idx="192">
                  <c:v>204.35</c:v>
                </c:pt>
                <c:pt idx="193">
                  <c:v>234.95</c:v>
                </c:pt>
                <c:pt idx="194">
                  <c:v>267.49</c:v>
                </c:pt>
                <c:pt idx="195">
                  <c:v>340.83</c:v>
                </c:pt>
                <c:pt idx="196">
                  <c:v>315</c:v>
                </c:pt>
                <c:pt idx="197">
                  <c:v>279.11</c:v>
                </c:pt>
                <c:pt idx="198">
                  <c:v>413</c:v>
                </c:pt>
                <c:pt idx="199">
                  <c:v>270.45</c:v>
                </c:pt>
                <c:pt idx="200">
                  <c:v>257.51</c:v>
                </c:pt>
                <c:pt idx="201">
                  <c:v>247.06</c:v>
                </c:pt>
                <c:pt idx="202">
                  <c:v>326.85000000000002</c:v>
                </c:pt>
                <c:pt idx="203">
                  <c:v>326.85000000000002</c:v>
                </c:pt>
                <c:pt idx="204">
                  <c:v>345.91</c:v>
                </c:pt>
                <c:pt idx="205">
                  <c:v>353.69</c:v>
                </c:pt>
                <c:pt idx="206">
                  <c:v>399.26</c:v>
                </c:pt>
                <c:pt idx="207">
                  <c:v>-55.84</c:v>
                </c:pt>
                <c:pt idx="208">
                  <c:v>-219.98</c:v>
                </c:pt>
                <c:pt idx="209">
                  <c:v>-71.47</c:v>
                </c:pt>
                <c:pt idx="210">
                  <c:v>44.4</c:v>
                </c:pt>
                <c:pt idx="211">
                  <c:v>-182.78</c:v>
                </c:pt>
                <c:pt idx="212">
                  <c:v>422.09</c:v>
                </c:pt>
                <c:pt idx="213">
                  <c:v>456.99</c:v>
                </c:pt>
                <c:pt idx="214">
                  <c:v>449.63</c:v>
                </c:pt>
                <c:pt idx="215">
                  <c:v>449.63</c:v>
                </c:pt>
                <c:pt idx="216">
                  <c:v>470.73</c:v>
                </c:pt>
                <c:pt idx="217">
                  <c:v>426.81</c:v>
                </c:pt>
                <c:pt idx="218">
                  <c:v>518.08000000000004</c:v>
                </c:pt>
                <c:pt idx="219">
                  <c:v>526.25</c:v>
                </c:pt>
                <c:pt idx="220">
                  <c:v>569.37</c:v>
                </c:pt>
                <c:pt idx="221">
                  <c:v>526.41</c:v>
                </c:pt>
                <c:pt idx="222">
                  <c:v>520.32000000000005</c:v>
                </c:pt>
                <c:pt idx="223">
                  <c:v>621.04</c:v>
                </c:pt>
                <c:pt idx="224">
                  <c:v>607.79</c:v>
                </c:pt>
                <c:pt idx="225">
                  <c:v>43</c:v>
                </c:pt>
                <c:pt idx="226">
                  <c:v>43</c:v>
                </c:pt>
                <c:pt idx="227">
                  <c:v>77.44</c:v>
                </c:pt>
                <c:pt idx="228">
                  <c:v>121.54</c:v>
                </c:pt>
                <c:pt idx="229">
                  <c:v>153.59</c:v>
                </c:pt>
                <c:pt idx="230">
                  <c:v>66.11</c:v>
                </c:pt>
                <c:pt idx="231">
                  <c:v>70.760000000000005</c:v>
                </c:pt>
                <c:pt idx="232">
                  <c:v>52.74</c:v>
                </c:pt>
                <c:pt idx="233">
                  <c:v>-10.54</c:v>
                </c:pt>
                <c:pt idx="234">
                  <c:v>470.43</c:v>
                </c:pt>
                <c:pt idx="235">
                  <c:v>413.55</c:v>
                </c:pt>
                <c:pt idx="236">
                  <c:v>593.96</c:v>
                </c:pt>
                <c:pt idx="237">
                  <c:v>593.96</c:v>
                </c:pt>
                <c:pt idx="238">
                  <c:v>390.33</c:v>
                </c:pt>
                <c:pt idx="239">
                  <c:v>508.43</c:v>
                </c:pt>
                <c:pt idx="240">
                  <c:v>529.74</c:v>
                </c:pt>
                <c:pt idx="241">
                  <c:v>566.95000000000005</c:v>
                </c:pt>
                <c:pt idx="242">
                  <c:v>414.22</c:v>
                </c:pt>
                <c:pt idx="243">
                  <c:v>538.19000000000005</c:v>
                </c:pt>
                <c:pt idx="244">
                  <c:v>477.8</c:v>
                </c:pt>
                <c:pt idx="245">
                  <c:v>396.95</c:v>
                </c:pt>
                <c:pt idx="246">
                  <c:v>258.5</c:v>
                </c:pt>
                <c:pt idx="247">
                  <c:v>231.5</c:v>
                </c:pt>
                <c:pt idx="248">
                  <c:v>237.27</c:v>
                </c:pt>
                <c:pt idx="249">
                  <c:v>237.27</c:v>
                </c:pt>
                <c:pt idx="250">
                  <c:v>296.44</c:v>
                </c:pt>
                <c:pt idx="251">
                  <c:v>337.52</c:v>
                </c:pt>
                <c:pt idx="252">
                  <c:v>365.38</c:v>
                </c:pt>
                <c:pt idx="253">
                  <c:v>337.41</c:v>
                </c:pt>
                <c:pt idx="254">
                  <c:v>269.42</c:v>
                </c:pt>
                <c:pt idx="255">
                  <c:v>250.35</c:v>
                </c:pt>
                <c:pt idx="256">
                  <c:v>212.3</c:v>
                </c:pt>
                <c:pt idx="257">
                  <c:v>346.49</c:v>
                </c:pt>
                <c:pt idx="258">
                  <c:v>372.96</c:v>
                </c:pt>
                <c:pt idx="259">
                  <c:v>328.28</c:v>
                </c:pt>
                <c:pt idx="260">
                  <c:v>328.28</c:v>
                </c:pt>
                <c:pt idx="261">
                  <c:v>308.64999999999998</c:v>
                </c:pt>
                <c:pt idx="262">
                  <c:v>160.21</c:v>
                </c:pt>
                <c:pt idx="263">
                  <c:v>42.6</c:v>
                </c:pt>
                <c:pt idx="264">
                  <c:v>289.76</c:v>
                </c:pt>
                <c:pt idx="265">
                  <c:v>289.57</c:v>
                </c:pt>
                <c:pt idx="266">
                  <c:v>252.92</c:v>
                </c:pt>
                <c:pt idx="267">
                  <c:v>371.78</c:v>
                </c:pt>
                <c:pt idx="268">
                  <c:v>413.57</c:v>
                </c:pt>
                <c:pt idx="269">
                  <c:v>398</c:v>
                </c:pt>
                <c:pt idx="270">
                  <c:v>447.8</c:v>
                </c:pt>
                <c:pt idx="271">
                  <c:v>-8.01</c:v>
                </c:pt>
                <c:pt idx="272">
                  <c:v>-8.01</c:v>
                </c:pt>
                <c:pt idx="273">
                  <c:v>-26.95</c:v>
                </c:pt>
                <c:pt idx="274">
                  <c:v>116.93</c:v>
                </c:pt>
                <c:pt idx="275">
                  <c:v>83.8</c:v>
                </c:pt>
                <c:pt idx="276">
                  <c:v>269.77999999999997</c:v>
                </c:pt>
                <c:pt idx="277">
                  <c:v>211.36</c:v>
                </c:pt>
                <c:pt idx="278">
                  <c:v>206.95</c:v>
                </c:pt>
                <c:pt idx="279">
                  <c:v>185.85</c:v>
                </c:pt>
                <c:pt idx="280">
                  <c:v>-10.16</c:v>
                </c:pt>
                <c:pt idx="281">
                  <c:v>29.33</c:v>
                </c:pt>
                <c:pt idx="282">
                  <c:v>188.01</c:v>
                </c:pt>
                <c:pt idx="283">
                  <c:v>188.01</c:v>
                </c:pt>
                <c:pt idx="284">
                  <c:v>190.9</c:v>
                </c:pt>
                <c:pt idx="285">
                  <c:v>280.32</c:v>
                </c:pt>
                <c:pt idx="286">
                  <c:v>275.42</c:v>
                </c:pt>
                <c:pt idx="287">
                  <c:v>334.78</c:v>
                </c:pt>
                <c:pt idx="288">
                  <c:v>-29.77</c:v>
                </c:pt>
                <c:pt idx="289">
                  <c:v>25.14</c:v>
                </c:pt>
                <c:pt idx="290">
                  <c:v>-21.15</c:v>
                </c:pt>
                <c:pt idx="291">
                  <c:v>415.77</c:v>
                </c:pt>
                <c:pt idx="292">
                  <c:v>204.33</c:v>
                </c:pt>
                <c:pt idx="293">
                  <c:v>331.44</c:v>
                </c:pt>
                <c:pt idx="294">
                  <c:v>331.44</c:v>
                </c:pt>
                <c:pt idx="295">
                  <c:v>219.49</c:v>
                </c:pt>
                <c:pt idx="296">
                  <c:v>386.56</c:v>
                </c:pt>
                <c:pt idx="297">
                  <c:v>290.16000000000003</c:v>
                </c:pt>
                <c:pt idx="298">
                  <c:v>249.27</c:v>
                </c:pt>
                <c:pt idx="299">
                  <c:v>348.86</c:v>
                </c:pt>
                <c:pt idx="300">
                  <c:v>263.93</c:v>
                </c:pt>
                <c:pt idx="301">
                  <c:v>400.66</c:v>
                </c:pt>
                <c:pt idx="302">
                  <c:v>297.20999999999998</c:v>
                </c:pt>
                <c:pt idx="303">
                  <c:v>444.05</c:v>
                </c:pt>
                <c:pt idx="304">
                  <c:v>324.64999999999998</c:v>
                </c:pt>
                <c:pt idx="305">
                  <c:v>324.64999999999998</c:v>
                </c:pt>
                <c:pt idx="306">
                  <c:v>304.92</c:v>
                </c:pt>
                <c:pt idx="307">
                  <c:v>411.69</c:v>
                </c:pt>
                <c:pt idx="308">
                  <c:v>474.91</c:v>
                </c:pt>
                <c:pt idx="309">
                  <c:v>397.16</c:v>
                </c:pt>
                <c:pt idx="310">
                  <c:v>427.93</c:v>
                </c:pt>
                <c:pt idx="311">
                  <c:v>454.34</c:v>
                </c:pt>
                <c:pt idx="312">
                  <c:v>573.61</c:v>
                </c:pt>
                <c:pt idx="313">
                  <c:v>506.16</c:v>
                </c:pt>
                <c:pt idx="314">
                  <c:v>480.15</c:v>
                </c:pt>
                <c:pt idx="315">
                  <c:v>590.74</c:v>
                </c:pt>
                <c:pt idx="316">
                  <c:v>590.74</c:v>
                </c:pt>
                <c:pt idx="317">
                  <c:v>563.29999999999995</c:v>
                </c:pt>
                <c:pt idx="318">
                  <c:v>476.06</c:v>
                </c:pt>
                <c:pt idx="319">
                  <c:v>425.38</c:v>
                </c:pt>
                <c:pt idx="320">
                  <c:v>438.72</c:v>
                </c:pt>
                <c:pt idx="321">
                  <c:v>459.95</c:v>
                </c:pt>
                <c:pt idx="322">
                  <c:v>601.26</c:v>
                </c:pt>
                <c:pt idx="323">
                  <c:v>534.03</c:v>
                </c:pt>
                <c:pt idx="324">
                  <c:v>603.80999999999995</c:v>
                </c:pt>
                <c:pt idx="325">
                  <c:v>240.39</c:v>
                </c:pt>
                <c:pt idx="326">
                  <c:v>207.84</c:v>
                </c:pt>
                <c:pt idx="327">
                  <c:v>313.88</c:v>
                </c:pt>
                <c:pt idx="328">
                  <c:v>313.88</c:v>
                </c:pt>
                <c:pt idx="329">
                  <c:v>369.24</c:v>
                </c:pt>
                <c:pt idx="330">
                  <c:v>346.54</c:v>
                </c:pt>
                <c:pt idx="331">
                  <c:v>310.91000000000003</c:v>
                </c:pt>
                <c:pt idx="332">
                  <c:v>233.94</c:v>
                </c:pt>
                <c:pt idx="333">
                  <c:v>215.76</c:v>
                </c:pt>
                <c:pt idx="334">
                  <c:v>200.94</c:v>
                </c:pt>
                <c:pt idx="335">
                  <c:v>341.06</c:v>
                </c:pt>
                <c:pt idx="336">
                  <c:v>331.2</c:v>
                </c:pt>
                <c:pt idx="337">
                  <c:v>325.01</c:v>
                </c:pt>
                <c:pt idx="338">
                  <c:v>274.48</c:v>
                </c:pt>
                <c:pt idx="339">
                  <c:v>274.48</c:v>
                </c:pt>
                <c:pt idx="340">
                  <c:v>216.1</c:v>
                </c:pt>
                <c:pt idx="341">
                  <c:v>175.32</c:v>
                </c:pt>
                <c:pt idx="342">
                  <c:v>282.14999999999998</c:v>
                </c:pt>
                <c:pt idx="343">
                  <c:v>318.23</c:v>
                </c:pt>
                <c:pt idx="344">
                  <c:v>399.55</c:v>
                </c:pt>
                <c:pt idx="345">
                  <c:v>421.5</c:v>
                </c:pt>
                <c:pt idx="346">
                  <c:v>448.92</c:v>
                </c:pt>
                <c:pt idx="347">
                  <c:v>549.16999999999996</c:v>
                </c:pt>
                <c:pt idx="348">
                  <c:v>514.22</c:v>
                </c:pt>
                <c:pt idx="349">
                  <c:v>500.76</c:v>
                </c:pt>
                <c:pt idx="350">
                  <c:v>500.76</c:v>
                </c:pt>
                <c:pt idx="351">
                  <c:v>585.12</c:v>
                </c:pt>
                <c:pt idx="352">
                  <c:v>586.07000000000005</c:v>
                </c:pt>
                <c:pt idx="353">
                  <c:v>39.479999999999997</c:v>
                </c:pt>
                <c:pt idx="354">
                  <c:v>-123.62</c:v>
                </c:pt>
                <c:pt idx="355">
                  <c:v>-99.37</c:v>
                </c:pt>
                <c:pt idx="356">
                  <c:v>-58.74</c:v>
                </c:pt>
                <c:pt idx="357">
                  <c:v>-17.350000000000001</c:v>
                </c:pt>
                <c:pt idx="358">
                  <c:v>33.979999999999997</c:v>
                </c:pt>
                <c:pt idx="359">
                  <c:v>89.24</c:v>
                </c:pt>
                <c:pt idx="360">
                  <c:v>108.02</c:v>
                </c:pt>
                <c:pt idx="361">
                  <c:v>30.07</c:v>
                </c:pt>
                <c:pt idx="362">
                  <c:v>30.07</c:v>
                </c:pt>
                <c:pt idx="363">
                  <c:v>61.4</c:v>
                </c:pt>
                <c:pt idx="364">
                  <c:v>-11.92</c:v>
                </c:pt>
                <c:pt idx="365">
                  <c:v>84.72</c:v>
                </c:pt>
                <c:pt idx="366">
                  <c:v>113</c:v>
                </c:pt>
                <c:pt idx="367">
                  <c:v>-3.25</c:v>
                </c:pt>
                <c:pt idx="368">
                  <c:v>-171.88</c:v>
                </c:pt>
                <c:pt idx="369">
                  <c:v>-133.86000000000001</c:v>
                </c:pt>
                <c:pt idx="370">
                  <c:v>-146.97999999999999</c:v>
                </c:pt>
                <c:pt idx="371">
                  <c:v>-57.09</c:v>
                </c:pt>
                <c:pt idx="372">
                  <c:v>0</c:v>
                </c:pt>
                <c:pt idx="373">
                  <c:v>-3.1</c:v>
                </c:pt>
                <c:pt idx="374">
                  <c:v>-5.33</c:v>
                </c:pt>
                <c:pt idx="375">
                  <c:v>-5.33</c:v>
                </c:pt>
                <c:pt idx="376">
                  <c:v>234.27</c:v>
                </c:pt>
                <c:pt idx="377">
                  <c:v>264.72000000000003</c:v>
                </c:pt>
                <c:pt idx="378">
                  <c:v>314.55</c:v>
                </c:pt>
                <c:pt idx="379">
                  <c:v>420.85</c:v>
                </c:pt>
                <c:pt idx="380">
                  <c:v>339.41</c:v>
                </c:pt>
                <c:pt idx="381">
                  <c:v>344.3</c:v>
                </c:pt>
                <c:pt idx="382">
                  <c:v>406.18</c:v>
                </c:pt>
                <c:pt idx="383">
                  <c:v>471.19</c:v>
                </c:pt>
                <c:pt idx="384">
                  <c:v>-3.98</c:v>
                </c:pt>
                <c:pt idx="385">
                  <c:v>26.7</c:v>
                </c:pt>
                <c:pt idx="386">
                  <c:v>26.7</c:v>
                </c:pt>
                <c:pt idx="387">
                  <c:v>-29.44</c:v>
                </c:pt>
                <c:pt idx="388">
                  <c:v>305.8</c:v>
                </c:pt>
                <c:pt idx="389">
                  <c:v>330.64</c:v>
                </c:pt>
                <c:pt idx="390">
                  <c:v>350.36</c:v>
                </c:pt>
                <c:pt idx="391">
                  <c:v>373.41</c:v>
                </c:pt>
                <c:pt idx="392">
                  <c:v>462.29</c:v>
                </c:pt>
                <c:pt idx="393">
                  <c:v>436.38</c:v>
                </c:pt>
                <c:pt idx="394">
                  <c:v>432.89</c:v>
                </c:pt>
                <c:pt idx="395">
                  <c:v>416.58</c:v>
                </c:pt>
                <c:pt idx="396">
                  <c:v>526.92999999999995</c:v>
                </c:pt>
                <c:pt idx="397">
                  <c:v>526.92999999999995</c:v>
                </c:pt>
                <c:pt idx="398">
                  <c:v>533.91999999999996</c:v>
                </c:pt>
                <c:pt idx="399">
                  <c:v>543.95000000000005</c:v>
                </c:pt>
                <c:pt idx="400">
                  <c:v>598.66</c:v>
                </c:pt>
                <c:pt idx="401">
                  <c:v>-22.56</c:v>
                </c:pt>
                <c:pt idx="402">
                  <c:v>-23.08</c:v>
                </c:pt>
                <c:pt idx="403">
                  <c:v>110.87</c:v>
                </c:pt>
                <c:pt idx="404">
                  <c:v>191.7</c:v>
                </c:pt>
                <c:pt idx="405">
                  <c:v>244.07</c:v>
                </c:pt>
                <c:pt idx="406">
                  <c:v>111.98</c:v>
                </c:pt>
                <c:pt idx="407">
                  <c:v>161.04</c:v>
                </c:pt>
                <c:pt idx="408">
                  <c:v>161.04</c:v>
                </c:pt>
                <c:pt idx="409">
                  <c:v>108.42</c:v>
                </c:pt>
                <c:pt idx="410">
                  <c:v>246.12</c:v>
                </c:pt>
                <c:pt idx="411">
                  <c:v>205.65</c:v>
                </c:pt>
                <c:pt idx="412">
                  <c:v>48.93</c:v>
                </c:pt>
                <c:pt idx="413">
                  <c:v>131.37</c:v>
                </c:pt>
                <c:pt idx="414">
                  <c:v>240.48</c:v>
                </c:pt>
                <c:pt idx="415">
                  <c:v>360.01</c:v>
                </c:pt>
                <c:pt idx="416">
                  <c:v>78.81</c:v>
                </c:pt>
                <c:pt idx="417">
                  <c:v>128.19</c:v>
                </c:pt>
                <c:pt idx="418">
                  <c:v>206.99</c:v>
                </c:pt>
                <c:pt idx="419">
                  <c:v>209.34</c:v>
                </c:pt>
                <c:pt idx="420">
                  <c:v>209.34</c:v>
                </c:pt>
                <c:pt idx="421">
                  <c:v>151.13999999999999</c:v>
                </c:pt>
                <c:pt idx="422">
                  <c:v>270.82</c:v>
                </c:pt>
                <c:pt idx="423">
                  <c:v>261.45</c:v>
                </c:pt>
                <c:pt idx="424">
                  <c:v>335.16</c:v>
                </c:pt>
                <c:pt idx="425">
                  <c:v>302.64999999999998</c:v>
                </c:pt>
                <c:pt idx="426">
                  <c:v>302.08999999999997</c:v>
                </c:pt>
                <c:pt idx="427">
                  <c:v>397.48</c:v>
                </c:pt>
                <c:pt idx="428">
                  <c:v>392.19</c:v>
                </c:pt>
                <c:pt idx="429">
                  <c:v>406.67</c:v>
                </c:pt>
                <c:pt idx="430">
                  <c:v>232.42</c:v>
                </c:pt>
                <c:pt idx="431">
                  <c:v>232.42</c:v>
                </c:pt>
                <c:pt idx="432">
                  <c:v>-25.04</c:v>
                </c:pt>
                <c:pt idx="433">
                  <c:v>203.72</c:v>
                </c:pt>
                <c:pt idx="434">
                  <c:v>247</c:v>
                </c:pt>
                <c:pt idx="435">
                  <c:v>294.66000000000003</c:v>
                </c:pt>
                <c:pt idx="436">
                  <c:v>383.01</c:v>
                </c:pt>
                <c:pt idx="437">
                  <c:v>338.51</c:v>
                </c:pt>
                <c:pt idx="438">
                  <c:v>295.88</c:v>
                </c:pt>
                <c:pt idx="439">
                  <c:v>316.44</c:v>
                </c:pt>
                <c:pt idx="440">
                  <c:v>370.81</c:v>
                </c:pt>
                <c:pt idx="441">
                  <c:v>485.67</c:v>
                </c:pt>
                <c:pt idx="442">
                  <c:v>485.67</c:v>
                </c:pt>
                <c:pt idx="443">
                  <c:v>93.36</c:v>
                </c:pt>
                <c:pt idx="444">
                  <c:v>113.52</c:v>
                </c:pt>
                <c:pt idx="445">
                  <c:v>142.16999999999999</c:v>
                </c:pt>
                <c:pt idx="446">
                  <c:v>246.12</c:v>
                </c:pt>
                <c:pt idx="447">
                  <c:v>206.51</c:v>
                </c:pt>
                <c:pt idx="448">
                  <c:v>187.8</c:v>
                </c:pt>
                <c:pt idx="449">
                  <c:v>372.31</c:v>
                </c:pt>
                <c:pt idx="450">
                  <c:v>467.37</c:v>
                </c:pt>
                <c:pt idx="451">
                  <c:v>22.6</c:v>
                </c:pt>
                <c:pt idx="452">
                  <c:v>21.06</c:v>
                </c:pt>
                <c:pt idx="453">
                  <c:v>21.06</c:v>
                </c:pt>
                <c:pt idx="454">
                  <c:v>50.31</c:v>
                </c:pt>
                <c:pt idx="455">
                  <c:v>-28.87</c:v>
                </c:pt>
                <c:pt idx="456">
                  <c:v>340.1</c:v>
                </c:pt>
                <c:pt idx="457">
                  <c:v>49.08</c:v>
                </c:pt>
                <c:pt idx="458">
                  <c:v>326.67</c:v>
                </c:pt>
                <c:pt idx="459">
                  <c:v>401.41</c:v>
                </c:pt>
                <c:pt idx="460">
                  <c:v>-27.18</c:v>
                </c:pt>
                <c:pt idx="461">
                  <c:v>379.02</c:v>
                </c:pt>
                <c:pt idx="462">
                  <c:v>350.38</c:v>
                </c:pt>
                <c:pt idx="463">
                  <c:v>432.04</c:v>
                </c:pt>
                <c:pt idx="464">
                  <c:v>464.72</c:v>
                </c:pt>
                <c:pt idx="465">
                  <c:v>464.72</c:v>
                </c:pt>
                <c:pt idx="466">
                  <c:v>516</c:v>
                </c:pt>
                <c:pt idx="467">
                  <c:v>16.11</c:v>
                </c:pt>
                <c:pt idx="468">
                  <c:v>317.12</c:v>
                </c:pt>
                <c:pt idx="469">
                  <c:v>280.60000000000002</c:v>
                </c:pt>
                <c:pt idx="470">
                  <c:v>290.98</c:v>
                </c:pt>
                <c:pt idx="471">
                  <c:v>359.18</c:v>
                </c:pt>
                <c:pt idx="472">
                  <c:v>417.5</c:v>
                </c:pt>
                <c:pt idx="473">
                  <c:v>515.13</c:v>
                </c:pt>
                <c:pt idx="474">
                  <c:v>114.04</c:v>
                </c:pt>
                <c:pt idx="475">
                  <c:v>108.52</c:v>
                </c:pt>
                <c:pt idx="476">
                  <c:v>108.52</c:v>
                </c:pt>
                <c:pt idx="477">
                  <c:v>189.99</c:v>
                </c:pt>
                <c:pt idx="478">
                  <c:v>185.98</c:v>
                </c:pt>
                <c:pt idx="479">
                  <c:v>276.75</c:v>
                </c:pt>
                <c:pt idx="480">
                  <c:v>41.33</c:v>
                </c:pt>
                <c:pt idx="481">
                  <c:v>-182.45</c:v>
                </c:pt>
                <c:pt idx="482">
                  <c:v>-200.29</c:v>
                </c:pt>
                <c:pt idx="483">
                  <c:v>-157.61000000000001</c:v>
                </c:pt>
                <c:pt idx="484">
                  <c:v>-16.690000000000001</c:v>
                </c:pt>
                <c:pt idx="485">
                  <c:v>-95.63</c:v>
                </c:pt>
                <c:pt idx="486">
                  <c:v>-80.56</c:v>
                </c:pt>
                <c:pt idx="487">
                  <c:v>-80.56</c:v>
                </c:pt>
                <c:pt idx="488">
                  <c:v>142.29</c:v>
                </c:pt>
                <c:pt idx="489">
                  <c:v>198.41</c:v>
                </c:pt>
                <c:pt idx="490">
                  <c:v>98.66</c:v>
                </c:pt>
                <c:pt idx="491">
                  <c:v>99.56</c:v>
                </c:pt>
                <c:pt idx="492">
                  <c:v>276.31</c:v>
                </c:pt>
                <c:pt idx="493">
                  <c:v>101.32</c:v>
                </c:pt>
                <c:pt idx="494">
                  <c:v>192.35</c:v>
                </c:pt>
                <c:pt idx="495">
                  <c:v>234.53</c:v>
                </c:pt>
                <c:pt idx="496">
                  <c:v>58.66</c:v>
                </c:pt>
                <c:pt idx="497">
                  <c:v>237.24</c:v>
                </c:pt>
                <c:pt idx="498">
                  <c:v>237.24</c:v>
                </c:pt>
                <c:pt idx="499">
                  <c:v>374.59</c:v>
                </c:pt>
                <c:pt idx="500">
                  <c:v>304.17</c:v>
                </c:pt>
                <c:pt idx="501">
                  <c:v>-212.03</c:v>
                </c:pt>
                <c:pt idx="502">
                  <c:v>244.53</c:v>
                </c:pt>
                <c:pt idx="503">
                  <c:v>230.94</c:v>
                </c:pt>
                <c:pt idx="504">
                  <c:v>287.63</c:v>
                </c:pt>
                <c:pt idx="505">
                  <c:v>338.4</c:v>
                </c:pt>
                <c:pt idx="506">
                  <c:v>336.74</c:v>
                </c:pt>
                <c:pt idx="507">
                  <c:v>384.46</c:v>
                </c:pt>
                <c:pt idx="508">
                  <c:v>41.61</c:v>
                </c:pt>
                <c:pt idx="509">
                  <c:v>234.38</c:v>
                </c:pt>
                <c:pt idx="510">
                  <c:v>234.38</c:v>
                </c:pt>
                <c:pt idx="511">
                  <c:v>214.09</c:v>
                </c:pt>
                <c:pt idx="512">
                  <c:v>196.74</c:v>
                </c:pt>
                <c:pt idx="513">
                  <c:v>299.82</c:v>
                </c:pt>
                <c:pt idx="514">
                  <c:v>311.45999999999998</c:v>
                </c:pt>
                <c:pt idx="515">
                  <c:v>317.72000000000003</c:v>
                </c:pt>
                <c:pt idx="516">
                  <c:v>426.02</c:v>
                </c:pt>
                <c:pt idx="517">
                  <c:v>420.09</c:v>
                </c:pt>
                <c:pt idx="518">
                  <c:v>389.41</c:v>
                </c:pt>
                <c:pt idx="519">
                  <c:v>538.33000000000004</c:v>
                </c:pt>
                <c:pt idx="520">
                  <c:v>573.19000000000005</c:v>
                </c:pt>
                <c:pt idx="521">
                  <c:v>573.19000000000005</c:v>
                </c:pt>
                <c:pt idx="522">
                  <c:v>494.23</c:v>
                </c:pt>
                <c:pt idx="523">
                  <c:v>614.03</c:v>
                </c:pt>
                <c:pt idx="524">
                  <c:v>48.99</c:v>
                </c:pt>
                <c:pt idx="525">
                  <c:v>74.77</c:v>
                </c:pt>
                <c:pt idx="526">
                  <c:v>124.21</c:v>
                </c:pt>
                <c:pt idx="527">
                  <c:v>149.75</c:v>
                </c:pt>
                <c:pt idx="528">
                  <c:v>105.54</c:v>
                </c:pt>
                <c:pt idx="529">
                  <c:v>351.48</c:v>
                </c:pt>
                <c:pt idx="530">
                  <c:v>334.99</c:v>
                </c:pt>
                <c:pt idx="531">
                  <c:v>430.47</c:v>
                </c:pt>
                <c:pt idx="532">
                  <c:v>430.47</c:v>
                </c:pt>
                <c:pt idx="533">
                  <c:v>464.61</c:v>
                </c:pt>
                <c:pt idx="534">
                  <c:v>593.46</c:v>
                </c:pt>
                <c:pt idx="535">
                  <c:v>581.91</c:v>
                </c:pt>
                <c:pt idx="536">
                  <c:v>368.96</c:v>
                </c:pt>
                <c:pt idx="537">
                  <c:v>474.86</c:v>
                </c:pt>
                <c:pt idx="538">
                  <c:v>620.16</c:v>
                </c:pt>
                <c:pt idx="539">
                  <c:v>-145.72999999999999</c:v>
                </c:pt>
                <c:pt idx="540">
                  <c:v>-33.78</c:v>
                </c:pt>
                <c:pt idx="541">
                  <c:v>-156.87</c:v>
                </c:pt>
                <c:pt idx="542">
                  <c:v>-167.08</c:v>
                </c:pt>
                <c:pt idx="543">
                  <c:v>-167.08</c:v>
                </c:pt>
                <c:pt idx="544">
                  <c:v>-63.85</c:v>
                </c:pt>
                <c:pt idx="545">
                  <c:v>-13.55</c:v>
                </c:pt>
                <c:pt idx="546">
                  <c:v>-169.55</c:v>
                </c:pt>
                <c:pt idx="547">
                  <c:v>-67.63</c:v>
                </c:pt>
                <c:pt idx="548">
                  <c:v>-133.96</c:v>
                </c:pt>
                <c:pt idx="549">
                  <c:v>-91.62</c:v>
                </c:pt>
                <c:pt idx="550">
                  <c:v>-41.14</c:v>
                </c:pt>
                <c:pt idx="551">
                  <c:v>44.52</c:v>
                </c:pt>
                <c:pt idx="552">
                  <c:v>-16.079999999999998</c:v>
                </c:pt>
                <c:pt idx="553">
                  <c:v>51.54</c:v>
                </c:pt>
                <c:pt idx="554">
                  <c:v>51.54</c:v>
                </c:pt>
                <c:pt idx="555">
                  <c:v>-52.84</c:v>
                </c:pt>
                <c:pt idx="556">
                  <c:v>80.12</c:v>
                </c:pt>
                <c:pt idx="557">
                  <c:v>147.87</c:v>
                </c:pt>
                <c:pt idx="558">
                  <c:v>60.26</c:v>
                </c:pt>
                <c:pt idx="559">
                  <c:v>38.340000000000003</c:v>
                </c:pt>
                <c:pt idx="560">
                  <c:v>160.56</c:v>
                </c:pt>
                <c:pt idx="561">
                  <c:v>34.67</c:v>
                </c:pt>
                <c:pt idx="562">
                  <c:v>210.27</c:v>
                </c:pt>
                <c:pt idx="563">
                  <c:v>119.53</c:v>
                </c:pt>
                <c:pt idx="564">
                  <c:v>33.47</c:v>
                </c:pt>
                <c:pt idx="565">
                  <c:v>131.07</c:v>
                </c:pt>
                <c:pt idx="566">
                  <c:v>131.07</c:v>
                </c:pt>
                <c:pt idx="567">
                  <c:v>232.01</c:v>
                </c:pt>
                <c:pt idx="568">
                  <c:v>-23.62</c:v>
                </c:pt>
                <c:pt idx="569">
                  <c:v>14.82</c:v>
                </c:pt>
                <c:pt idx="570">
                  <c:v>40.53</c:v>
                </c:pt>
                <c:pt idx="571">
                  <c:v>169.23</c:v>
                </c:pt>
                <c:pt idx="572">
                  <c:v>134.04</c:v>
                </c:pt>
                <c:pt idx="573">
                  <c:v>57.94</c:v>
                </c:pt>
                <c:pt idx="574">
                  <c:v>133.57</c:v>
                </c:pt>
                <c:pt idx="575">
                  <c:v>111.35</c:v>
                </c:pt>
                <c:pt idx="576">
                  <c:v>119.68</c:v>
                </c:pt>
                <c:pt idx="577">
                  <c:v>119.68</c:v>
                </c:pt>
                <c:pt idx="578">
                  <c:v>211.02</c:v>
                </c:pt>
                <c:pt idx="579">
                  <c:v>202.63</c:v>
                </c:pt>
                <c:pt idx="580">
                  <c:v>302.56</c:v>
                </c:pt>
                <c:pt idx="581">
                  <c:v>111.69</c:v>
                </c:pt>
                <c:pt idx="582">
                  <c:v>86.98</c:v>
                </c:pt>
                <c:pt idx="583">
                  <c:v>44.78</c:v>
                </c:pt>
                <c:pt idx="584">
                  <c:v>132.13</c:v>
                </c:pt>
                <c:pt idx="585">
                  <c:v>158.58000000000001</c:v>
                </c:pt>
                <c:pt idx="586">
                  <c:v>185.3</c:v>
                </c:pt>
                <c:pt idx="587">
                  <c:v>235.45</c:v>
                </c:pt>
                <c:pt idx="588">
                  <c:v>235.45</c:v>
                </c:pt>
                <c:pt idx="589">
                  <c:v>201.69</c:v>
                </c:pt>
                <c:pt idx="590">
                  <c:v>520.01</c:v>
                </c:pt>
                <c:pt idx="591">
                  <c:v>461.98</c:v>
                </c:pt>
                <c:pt idx="592">
                  <c:v>427.55</c:v>
                </c:pt>
                <c:pt idx="593">
                  <c:v>394.15</c:v>
                </c:pt>
                <c:pt idx="594">
                  <c:v>494.19</c:v>
                </c:pt>
                <c:pt idx="595">
                  <c:v>507.67</c:v>
                </c:pt>
                <c:pt idx="596">
                  <c:v>561.38</c:v>
                </c:pt>
                <c:pt idx="597">
                  <c:v>446.48</c:v>
                </c:pt>
                <c:pt idx="598">
                  <c:v>452.71</c:v>
                </c:pt>
                <c:pt idx="599">
                  <c:v>540.16</c:v>
                </c:pt>
                <c:pt idx="600">
                  <c:v>540.16</c:v>
                </c:pt>
                <c:pt idx="601">
                  <c:v>451.39</c:v>
                </c:pt>
                <c:pt idx="602">
                  <c:v>486.88</c:v>
                </c:pt>
                <c:pt idx="603">
                  <c:v>553.96</c:v>
                </c:pt>
                <c:pt idx="604">
                  <c:v>548.54999999999995</c:v>
                </c:pt>
                <c:pt idx="605">
                  <c:v>540.55999999999995</c:v>
                </c:pt>
                <c:pt idx="606">
                  <c:v>324.22000000000003</c:v>
                </c:pt>
                <c:pt idx="607">
                  <c:v>431.25</c:v>
                </c:pt>
                <c:pt idx="608">
                  <c:v>282.77</c:v>
                </c:pt>
                <c:pt idx="609">
                  <c:v>261.5</c:v>
                </c:pt>
                <c:pt idx="610">
                  <c:v>264.48</c:v>
                </c:pt>
                <c:pt idx="611">
                  <c:v>264.48</c:v>
                </c:pt>
                <c:pt idx="612">
                  <c:v>222.7</c:v>
                </c:pt>
                <c:pt idx="613">
                  <c:v>311.19</c:v>
                </c:pt>
                <c:pt idx="614">
                  <c:v>349.71</c:v>
                </c:pt>
                <c:pt idx="615">
                  <c:v>350.81</c:v>
                </c:pt>
                <c:pt idx="616">
                  <c:v>356.28</c:v>
                </c:pt>
                <c:pt idx="617">
                  <c:v>421.72</c:v>
                </c:pt>
                <c:pt idx="618">
                  <c:v>432.43</c:v>
                </c:pt>
                <c:pt idx="619">
                  <c:v>396.53</c:v>
                </c:pt>
                <c:pt idx="620">
                  <c:v>-16.14</c:v>
                </c:pt>
                <c:pt idx="621">
                  <c:v>161.53</c:v>
                </c:pt>
                <c:pt idx="622">
                  <c:v>161.53</c:v>
                </c:pt>
                <c:pt idx="623">
                  <c:v>129.65</c:v>
                </c:pt>
                <c:pt idx="624">
                  <c:v>108.72</c:v>
                </c:pt>
                <c:pt idx="625">
                  <c:v>166.69</c:v>
                </c:pt>
                <c:pt idx="626">
                  <c:v>196.52</c:v>
                </c:pt>
                <c:pt idx="627">
                  <c:v>235.72</c:v>
                </c:pt>
                <c:pt idx="628">
                  <c:v>141.65</c:v>
                </c:pt>
                <c:pt idx="629">
                  <c:v>120.37</c:v>
                </c:pt>
                <c:pt idx="630">
                  <c:v>137.09</c:v>
                </c:pt>
                <c:pt idx="631">
                  <c:v>102.64</c:v>
                </c:pt>
                <c:pt idx="632">
                  <c:v>80.150000000000006</c:v>
                </c:pt>
                <c:pt idx="633">
                  <c:v>80.150000000000006</c:v>
                </c:pt>
                <c:pt idx="634">
                  <c:v>-15.78</c:v>
                </c:pt>
                <c:pt idx="635">
                  <c:v>175.29</c:v>
                </c:pt>
                <c:pt idx="636">
                  <c:v>310.08</c:v>
                </c:pt>
                <c:pt idx="637">
                  <c:v>336.01</c:v>
                </c:pt>
                <c:pt idx="638">
                  <c:v>440.73</c:v>
                </c:pt>
                <c:pt idx="639">
                  <c:v>466.12</c:v>
                </c:pt>
                <c:pt idx="640">
                  <c:v>496.73</c:v>
                </c:pt>
                <c:pt idx="641">
                  <c:v>479.15</c:v>
                </c:pt>
                <c:pt idx="642">
                  <c:v>438.4</c:v>
                </c:pt>
                <c:pt idx="643">
                  <c:v>545.51</c:v>
                </c:pt>
                <c:pt idx="644">
                  <c:v>545.51</c:v>
                </c:pt>
                <c:pt idx="645">
                  <c:v>503.53</c:v>
                </c:pt>
                <c:pt idx="646">
                  <c:v>526.48</c:v>
                </c:pt>
                <c:pt idx="647">
                  <c:v>542.4</c:v>
                </c:pt>
                <c:pt idx="648">
                  <c:v>548.4</c:v>
                </c:pt>
                <c:pt idx="649">
                  <c:v>625.63</c:v>
                </c:pt>
                <c:pt idx="650">
                  <c:v>638.01</c:v>
                </c:pt>
                <c:pt idx="651">
                  <c:v>624.67999999999995</c:v>
                </c:pt>
                <c:pt idx="652">
                  <c:v>610.19000000000005</c:v>
                </c:pt>
                <c:pt idx="653">
                  <c:v>-17.3</c:v>
                </c:pt>
                <c:pt idx="654">
                  <c:v>196.13</c:v>
                </c:pt>
                <c:pt idx="655">
                  <c:v>196.13</c:v>
                </c:pt>
                <c:pt idx="656">
                  <c:v>227.57</c:v>
                </c:pt>
                <c:pt idx="657">
                  <c:v>261.88</c:v>
                </c:pt>
                <c:pt idx="658">
                  <c:v>337.76</c:v>
                </c:pt>
                <c:pt idx="659">
                  <c:v>307.89999999999998</c:v>
                </c:pt>
                <c:pt idx="660">
                  <c:v>331.57</c:v>
                </c:pt>
                <c:pt idx="661">
                  <c:v>372.2</c:v>
                </c:pt>
                <c:pt idx="662">
                  <c:v>415.38</c:v>
                </c:pt>
                <c:pt idx="663">
                  <c:v>258.13</c:v>
                </c:pt>
                <c:pt idx="664">
                  <c:v>243.7</c:v>
                </c:pt>
                <c:pt idx="665">
                  <c:v>228.45</c:v>
                </c:pt>
                <c:pt idx="666">
                  <c:v>228.45</c:v>
                </c:pt>
                <c:pt idx="667">
                  <c:v>304.29000000000002</c:v>
                </c:pt>
                <c:pt idx="668">
                  <c:v>329.22</c:v>
                </c:pt>
                <c:pt idx="669">
                  <c:v>350.26</c:v>
                </c:pt>
                <c:pt idx="670">
                  <c:v>419.46</c:v>
                </c:pt>
                <c:pt idx="671">
                  <c:v>389.05</c:v>
                </c:pt>
                <c:pt idx="672">
                  <c:v>465.72</c:v>
                </c:pt>
                <c:pt idx="673">
                  <c:v>436.2</c:v>
                </c:pt>
                <c:pt idx="674">
                  <c:v>407.24</c:v>
                </c:pt>
                <c:pt idx="675">
                  <c:v>473.51</c:v>
                </c:pt>
                <c:pt idx="676">
                  <c:v>63.42</c:v>
                </c:pt>
                <c:pt idx="677">
                  <c:v>63.42</c:v>
                </c:pt>
                <c:pt idx="678">
                  <c:v>64.19</c:v>
                </c:pt>
                <c:pt idx="679">
                  <c:v>480.01</c:v>
                </c:pt>
                <c:pt idx="680">
                  <c:v>14.63</c:v>
                </c:pt>
                <c:pt idx="681">
                  <c:v>73.45</c:v>
                </c:pt>
                <c:pt idx="682">
                  <c:v>87.28</c:v>
                </c:pt>
                <c:pt idx="683">
                  <c:v>67.510000000000005</c:v>
                </c:pt>
                <c:pt idx="684">
                  <c:v>542.46</c:v>
                </c:pt>
                <c:pt idx="685">
                  <c:v>534.09</c:v>
                </c:pt>
                <c:pt idx="686">
                  <c:v>581.4</c:v>
                </c:pt>
                <c:pt idx="687">
                  <c:v>609.22</c:v>
                </c:pt>
                <c:pt idx="688">
                  <c:v>401.2</c:v>
                </c:pt>
                <c:pt idx="689">
                  <c:v>401.2</c:v>
                </c:pt>
                <c:pt idx="690">
                  <c:v>423.07</c:v>
                </c:pt>
                <c:pt idx="691">
                  <c:v>442.4</c:v>
                </c:pt>
                <c:pt idx="692">
                  <c:v>506.38</c:v>
                </c:pt>
                <c:pt idx="693">
                  <c:v>498.55</c:v>
                </c:pt>
                <c:pt idx="694">
                  <c:v>505.29</c:v>
                </c:pt>
                <c:pt idx="695">
                  <c:v>615.05999999999995</c:v>
                </c:pt>
                <c:pt idx="696">
                  <c:v>565.61</c:v>
                </c:pt>
                <c:pt idx="697">
                  <c:v>361.95</c:v>
                </c:pt>
                <c:pt idx="698">
                  <c:v>334.38</c:v>
                </c:pt>
                <c:pt idx="699">
                  <c:v>314.64999999999998</c:v>
                </c:pt>
                <c:pt idx="700">
                  <c:v>314.64999999999998</c:v>
                </c:pt>
                <c:pt idx="701">
                  <c:v>386.04</c:v>
                </c:pt>
                <c:pt idx="702">
                  <c:v>419.08</c:v>
                </c:pt>
                <c:pt idx="703">
                  <c:v>462.93</c:v>
                </c:pt>
                <c:pt idx="704">
                  <c:v>436.38</c:v>
                </c:pt>
                <c:pt idx="705">
                  <c:v>41.59</c:v>
                </c:pt>
                <c:pt idx="706">
                  <c:v>39.729999999999997</c:v>
                </c:pt>
                <c:pt idx="707">
                  <c:v>43.85</c:v>
                </c:pt>
              </c:numCache>
              <c:extLst xmlns:c15="http://schemas.microsoft.com/office/drawing/2012/chart"/>
            </c:numRef>
          </c:yVal>
          <c:smooth val="0"/>
          <c:extLst xmlns:c15="http://schemas.microsoft.com/office/drawing/2012/chart">
            <c:ext xmlns:c15="http://schemas.microsoft.com/office/drawing/2012/chart" uri="{02D57815-91ED-43cb-92C2-25804820EDAC}">
              <c15:datalabelsRange>
                <c15:f>FCS!$AN$11:$AN$825</c15:f>
                <c15:dlblRangeCache>
                  <c:ptCount val="815"/>
                  <c:pt idx="77">
                    <c:v>-</c:v>
                  </c:pt>
                  <c:pt idx="116">
                    <c:v>-</c:v>
                  </c:pt>
                  <c:pt idx="127">
                    <c:v>-</c:v>
                  </c:pt>
                  <c:pt idx="175">
                    <c:v>-</c:v>
                  </c:pt>
                  <c:pt idx="210">
                    <c:v>-</c:v>
                  </c:pt>
                  <c:pt idx="244">
                    <c:v>-</c:v>
                  </c:pt>
                  <c:pt idx="262">
                    <c:v>-</c:v>
                  </c:pt>
                  <c:pt idx="318">
                    <c:v>-</c:v>
                  </c:pt>
                  <c:pt idx="353">
                    <c:v>-</c:v>
                  </c:pt>
                  <c:pt idx="367">
                    <c:v>-</c:v>
                  </c:pt>
                  <c:pt idx="372">
                    <c:v>-</c:v>
                  </c:pt>
                  <c:pt idx="415">
                    <c:v>-</c:v>
                  </c:pt>
                  <c:pt idx="456">
                    <c:v>-</c:v>
                  </c:pt>
                  <c:pt idx="500">
                    <c:v>-</c:v>
                  </c:pt>
                  <c:pt idx="558">
                    <c:v>-</c:v>
                  </c:pt>
                  <c:pt idx="590">
                    <c:v>-</c:v>
                  </c:pt>
                  <c:pt idx="679">
                    <c:v>-</c:v>
                  </c:pt>
                </c15:dlblRangeCache>
              </c15:datalabelsRange>
            </c:ext>
            <c:ext xmlns:c16="http://schemas.microsoft.com/office/drawing/2014/chart" uri="{C3380CC4-5D6E-409C-BE32-E72D297353CC}">
              <c16:uniqueId val="{0000064B-F133-4C85-A697-0DE7DD632797}"/>
            </c:ext>
          </c:extLst>
        </c:ser>
        <c:ser>
          <c:idx val="4"/>
          <c:order val="5"/>
          <c:tx>
            <c:v>Zona 1</c:v>
          </c:tx>
          <c:spPr>
            <a:ln w="25400" cap="rnd">
              <a:solidFill>
                <a:schemeClr val="tx1"/>
              </a:solidFill>
              <a:round/>
            </a:ln>
            <a:effectLst/>
          </c:spPr>
          <c:marker>
            <c:symbol val="none"/>
          </c:marker>
          <c:xVal>
            <c:numRef>
              <c:f>'R Semanal'!$AO$2:$AO$3</c:f>
              <c:numCache>
                <c:formatCode>0\+000.00</c:formatCode>
                <c:ptCount val="2"/>
                <c:pt idx="0">
                  <c:v>600</c:v>
                </c:pt>
                <c:pt idx="1">
                  <c:v>600</c:v>
                </c:pt>
              </c:numCache>
            </c:numRef>
          </c:xVal>
          <c:yVal>
            <c:numRef>
              <c:f>'R Semanal'!$AP$2:$AP$3</c:f>
              <c:numCache>
                <c:formatCode>0\+000.00</c:formatCode>
                <c:ptCount val="2"/>
                <c:pt idx="0">
                  <c:v>42.91</c:v>
                </c:pt>
                <c:pt idx="1">
                  <c:v>540.22</c:v>
                </c:pt>
              </c:numCache>
            </c:numRef>
          </c:yVal>
          <c:smooth val="0"/>
          <c:extLst>
            <c:ext xmlns:c16="http://schemas.microsoft.com/office/drawing/2014/chart" uri="{C3380CC4-5D6E-409C-BE32-E72D297353CC}">
              <c16:uniqueId val="{0000064C-F133-4C85-A697-0DE7DD632797}"/>
            </c:ext>
          </c:extLst>
        </c:ser>
        <c:ser>
          <c:idx val="5"/>
          <c:order val="6"/>
          <c:tx>
            <c:v>Zona 2</c:v>
          </c:tx>
          <c:spPr>
            <a:ln w="25400" cap="rnd">
              <a:solidFill>
                <a:schemeClr val="tx1"/>
              </a:solidFill>
              <a:round/>
            </a:ln>
            <a:effectLst/>
          </c:spPr>
          <c:marker>
            <c:symbol val="none"/>
          </c:marker>
          <c:xVal>
            <c:numRef>
              <c:f>'R Semanal'!$AO$4:$AO$5</c:f>
              <c:numCache>
                <c:formatCode>0\+000.00</c:formatCode>
                <c:ptCount val="2"/>
                <c:pt idx="0">
                  <c:v>1120</c:v>
                </c:pt>
                <c:pt idx="1">
                  <c:v>1120</c:v>
                </c:pt>
              </c:numCache>
            </c:numRef>
          </c:xVal>
          <c:yVal>
            <c:numRef>
              <c:f>'R Semanal'!$AP$4:$AP$5</c:f>
              <c:numCache>
                <c:formatCode>0\+000.00</c:formatCode>
                <c:ptCount val="2"/>
                <c:pt idx="0">
                  <c:v>-32.33</c:v>
                </c:pt>
                <c:pt idx="1">
                  <c:v>833.77</c:v>
                </c:pt>
              </c:numCache>
            </c:numRef>
          </c:yVal>
          <c:smooth val="0"/>
          <c:extLst>
            <c:ext xmlns:c16="http://schemas.microsoft.com/office/drawing/2014/chart" uri="{C3380CC4-5D6E-409C-BE32-E72D297353CC}">
              <c16:uniqueId val="{0000064D-F133-4C85-A697-0DE7DD632797}"/>
            </c:ext>
          </c:extLst>
        </c:ser>
        <c:ser>
          <c:idx val="6"/>
          <c:order val="7"/>
          <c:tx>
            <c:v>Zona 3</c:v>
          </c:tx>
          <c:spPr>
            <a:ln w="25400" cap="rnd">
              <a:solidFill>
                <a:schemeClr val="tx1"/>
              </a:solidFill>
              <a:round/>
            </a:ln>
            <a:effectLst/>
          </c:spPr>
          <c:marker>
            <c:symbol val="none"/>
          </c:marker>
          <c:xVal>
            <c:numRef>
              <c:f>'R Semanal'!$AO$6:$AO$7</c:f>
              <c:numCache>
                <c:formatCode>0\+000.00</c:formatCode>
                <c:ptCount val="2"/>
                <c:pt idx="0">
                  <c:v>1640</c:v>
                </c:pt>
                <c:pt idx="1">
                  <c:v>1640</c:v>
                </c:pt>
              </c:numCache>
            </c:numRef>
          </c:xVal>
          <c:yVal>
            <c:numRef>
              <c:f>'R Semanal'!$AP$6:$AP$7</c:f>
              <c:numCache>
                <c:formatCode>0\+000.00</c:formatCode>
                <c:ptCount val="2"/>
                <c:pt idx="0">
                  <c:v>-29.33</c:v>
                </c:pt>
                <c:pt idx="1">
                  <c:v>424.19</c:v>
                </c:pt>
              </c:numCache>
            </c:numRef>
          </c:yVal>
          <c:smooth val="0"/>
          <c:extLst>
            <c:ext xmlns:c16="http://schemas.microsoft.com/office/drawing/2014/chart" uri="{C3380CC4-5D6E-409C-BE32-E72D297353CC}">
              <c16:uniqueId val="{0000064E-F133-4C85-A697-0DE7DD632797}"/>
            </c:ext>
          </c:extLst>
        </c:ser>
        <c:ser>
          <c:idx val="8"/>
          <c:order val="8"/>
          <c:tx>
            <c:v>Zona 1-1</c:v>
          </c:tx>
          <c:spPr>
            <a:ln w="12700" cap="rnd">
              <a:solidFill>
                <a:schemeClr val="accent3">
                  <a:lumMod val="60000"/>
                </a:schemeClr>
              </a:solidFill>
              <a:prstDash val="dash"/>
              <a:round/>
            </a:ln>
            <a:effectLst/>
          </c:spPr>
          <c:marker>
            <c:symbol val="none"/>
          </c:marker>
          <c:xVal>
            <c:numRef>
              <c:f>'R Semanal'!$AS$2:$AS$3</c:f>
              <c:numCache>
                <c:formatCode>0\+000.00</c:formatCode>
                <c:ptCount val="2"/>
                <c:pt idx="0">
                  <c:v>280</c:v>
                </c:pt>
                <c:pt idx="1">
                  <c:v>280</c:v>
                </c:pt>
              </c:numCache>
              <c:extLst xmlns:c15="http://schemas.microsoft.com/office/drawing/2012/chart"/>
            </c:numRef>
          </c:xVal>
          <c:yVal>
            <c:numRef>
              <c:f>'R Semanal'!$AT$2:$AT$3</c:f>
              <c:numCache>
                <c:formatCode>0\+000.00</c:formatCode>
                <c:ptCount val="2"/>
                <c:pt idx="0">
                  <c:v>35.43</c:v>
                </c:pt>
                <c:pt idx="1">
                  <c:v>340.96</c:v>
                </c:pt>
              </c:numCache>
              <c:extLst xmlns:c15="http://schemas.microsoft.com/office/drawing/2012/chart"/>
            </c:numRef>
          </c:yVal>
          <c:smooth val="0"/>
          <c:extLst xmlns:c15="http://schemas.microsoft.com/office/drawing/2012/chart">
            <c:ext xmlns:c16="http://schemas.microsoft.com/office/drawing/2014/chart" uri="{C3380CC4-5D6E-409C-BE32-E72D297353CC}">
              <c16:uniqueId val="{0000064F-F133-4C85-A697-0DE7DD632797}"/>
            </c:ext>
          </c:extLst>
        </c:ser>
        <c:ser>
          <c:idx val="9"/>
          <c:order val="9"/>
          <c:tx>
            <c:v>Zona 1-2</c:v>
          </c:tx>
          <c:spPr>
            <a:ln w="12700" cap="rnd">
              <a:solidFill>
                <a:schemeClr val="tx1"/>
              </a:solidFill>
              <a:prstDash val="dash"/>
              <a:round/>
            </a:ln>
            <a:effectLst/>
          </c:spPr>
          <c:marker>
            <c:symbol val="none"/>
          </c:marker>
          <c:xVal>
            <c:numRef>
              <c:f>'R Semanal'!$AS$4:$AS$5</c:f>
              <c:numCache>
                <c:formatCode>0\+000.00</c:formatCode>
                <c:ptCount val="2"/>
                <c:pt idx="0">
                  <c:v>450</c:v>
                </c:pt>
                <c:pt idx="1">
                  <c:v>450</c:v>
                </c:pt>
              </c:numCache>
              <c:extLst xmlns:c15="http://schemas.microsoft.com/office/drawing/2012/chart"/>
            </c:numRef>
          </c:xVal>
          <c:yVal>
            <c:numRef>
              <c:f>'R Semanal'!$AT$4:$AT$5</c:f>
              <c:numCache>
                <c:formatCode>0\+000.00</c:formatCode>
                <c:ptCount val="2"/>
                <c:pt idx="0">
                  <c:v>39.42</c:v>
                </c:pt>
                <c:pt idx="1">
                  <c:v>461.69</c:v>
                </c:pt>
              </c:numCache>
              <c:extLst xmlns:c15="http://schemas.microsoft.com/office/drawing/2012/chart"/>
            </c:numRef>
          </c:yVal>
          <c:smooth val="0"/>
          <c:extLst xmlns:c15="http://schemas.microsoft.com/office/drawing/2012/chart">
            <c:ext xmlns:c16="http://schemas.microsoft.com/office/drawing/2014/chart" uri="{C3380CC4-5D6E-409C-BE32-E72D297353CC}">
              <c16:uniqueId val="{00000650-F133-4C85-A697-0DE7DD632797}"/>
            </c:ext>
          </c:extLst>
        </c:ser>
        <c:ser>
          <c:idx val="10"/>
          <c:order val="10"/>
          <c:tx>
            <c:v>Zona 2-1</c:v>
          </c:tx>
          <c:spPr>
            <a:ln w="12700" cap="rnd">
              <a:solidFill>
                <a:schemeClr val="tx1"/>
              </a:solidFill>
              <a:prstDash val="dash"/>
              <a:round/>
            </a:ln>
            <a:effectLst/>
          </c:spPr>
          <c:marker>
            <c:symbol val="none"/>
          </c:marker>
          <c:xVal>
            <c:numRef>
              <c:f>'R Semanal'!$AS$6:$AS$7</c:f>
              <c:numCache>
                <c:formatCode>0\+000.00</c:formatCode>
                <c:ptCount val="2"/>
                <c:pt idx="0">
                  <c:v>780</c:v>
                </c:pt>
                <c:pt idx="1">
                  <c:v>780</c:v>
                </c:pt>
              </c:numCache>
              <c:extLst xmlns:c15="http://schemas.microsoft.com/office/drawing/2012/chart"/>
            </c:numRef>
          </c:xVal>
          <c:yVal>
            <c:numRef>
              <c:f>'R Semanal'!$AT$6:$AT$7</c:f>
              <c:numCache>
                <c:formatCode>0\+000.00</c:formatCode>
                <c:ptCount val="2"/>
                <c:pt idx="0">
                  <c:v>-18</c:v>
                </c:pt>
                <c:pt idx="1">
                  <c:v>620</c:v>
                </c:pt>
              </c:numCache>
              <c:extLst xmlns:c15="http://schemas.microsoft.com/office/drawing/2012/chart"/>
            </c:numRef>
          </c:yVal>
          <c:smooth val="0"/>
          <c:extLst xmlns:c15="http://schemas.microsoft.com/office/drawing/2012/chart">
            <c:ext xmlns:c16="http://schemas.microsoft.com/office/drawing/2014/chart" uri="{C3380CC4-5D6E-409C-BE32-E72D297353CC}">
              <c16:uniqueId val="{00000651-F133-4C85-A697-0DE7DD632797}"/>
            </c:ext>
          </c:extLst>
        </c:ser>
        <c:ser>
          <c:idx val="11"/>
          <c:order val="11"/>
          <c:tx>
            <c:v>Zona 2-2</c:v>
          </c:tx>
          <c:spPr>
            <a:ln w="12700" cap="rnd">
              <a:solidFill>
                <a:schemeClr val="tx1"/>
              </a:solidFill>
              <a:prstDash val="dash"/>
              <a:round/>
            </a:ln>
            <a:effectLst/>
          </c:spPr>
          <c:marker>
            <c:symbol val="none"/>
          </c:marker>
          <c:xVal>
            <c:numRef>
              <c:f>'R Semanal'!$AS$8:$AS$9</c:f>
              <c:numCache>
                <c:formatCode>0\+000.00</c:formatCode>
                <c:ptCount val="2"/>
                <c:pt idx="0">
                  <c:v>940</c:v>
                </c:pt>
                <c:pt idx="1">
                  <c:v>940</c:v>
                </c:pt>
              </c:numCache>
              <c:extLst xmlns:c15="http://schemas.microsoft.com/office/drawing/2012/chart"/>
            </c:numRef>
          </c:xVal>
          <c:yVal>
            <c:numRef>
              <c:f>'R Semanal'!$AT$8:$AT$9</c:f>
              <c:numCache>
                <c:formatCode>0\+000.00</c:formatCode>
                <c:ptCount val="2"/>
                <c:pt idx="0">
                  <c:v>-18</c:v>
                </c:pt>
                <c:pt idx="1">
                  <c:v>720</c:v>
                </c:pt>
              </c:numCache>
              <c:extLst xmlns:c15="http://schemas.microsoft.com/office/drawing/2012/chart"/>
            </c:numRef>
          </c:yVal>
          <c:smooth val="0"/>
          <c:extLst xmlns:c15="http://schemas.microsoft.com/office/drawing/2012/chart">
            <c:ext xmlns:c16="http://schemas.microsoft.com/office/drawing/2014/chart" uri="{C3380CC4-5D6E-409C-BE32-E72D297353CC}">
              <c16:uniqueId val="{00000652-F133-4C85-A697-0DE7DD632797}"/>
            </c:ext>
          </c:extLst>
        </c:ser>
        <c:ser>
          <c:idx val="12"/>
          <c:order val="12"/>
          <c:tx>
            <c:v>Zona 3-1</c:v>
          </c:tx>
          <c:spPr>
            <a:ln w="12700" cap="rnd">
              <a:solidFill>
                <a:schemeClr val="tx1"/>
              </a:solidFill>
              <a:prstDash val="dash"/>
              <a:round/>
            </a:ln>
            <a:effectLst/>
          </c:spPr>
          <c:marker>
            <c:symbol val="none"/>
          </c:marker>
          <c:xVal>
            <c:numRef>
              <c:f>'R Semanal'!$AS$10:$AS$11</c:f>
              <c:numCache>
                <c:formatCode>0\+000.00</c:formatCode>
                <c:ptCount val="2"/>
                <c:pt idx="0">
                  <c:v>1280</c:v>
                </c:pt>
                <c:pt idx="1">
                  <c:v>1280</c:v>
                </c:pt>
              </c:numCache>
              <c:extLst xmlns:c15="http://schemas.microsoft.com/office/drawing/2012/chart"/>
            </c:numRef>
          </c:xVal>
          <c:yVal>
            <c:numRef>
              <c:f>'R Semanal'!$AT$10:$AT$11</c:f>
              <c:numCache>
                <c:formatCode>0\+000.00</c:formatCode>
                <c:ptCount val="2"/>
                <c:pt idx="0">
                  <c:v>-31.16</c:v>
                </c:pt>
                <c:pt idx="1">
                  <c:v>1006.71</c:v>
                </c:pt>
              </c:numCache>
              <c:extLst xmlns:c15="http://schemas.microsoft.com/office/drawing/2012/chart"/>
            </c:numRef>
          </c:yVal>
          <c:smooth val="0"/>
          <c:extLst xmlns:c15="http://schemas.microsoft.com/office/drawing/2012/chart">
            <c:ext xmlns:c16="http://schemas.microsoft.com/office/drawing/2014/chart" uri="{C3380CC4-5D6E-409C-BE32-E72D297353CC}">
              <c16:uniqueId val="{00000653-F133-4C85-A697-0DE7DD632797}"/>
            </c:ext>
          </c:extLst>
        </c:ser>
        <c:ser>
          <c:idx val="13"/>
          <c:order val="13"/>
          <c:tx>
            <c:v>Zona 3-2</c:v>
          </c:tx>
          <c:spPr>
            <a:ln w="12700" cap="rnd">
              <a:solidFill>
                <a:schemeClr val="tx1"/>
              </a:solidFill>
              <a:prstDash val="dash"/>
              <a:round/>
            </a:ln>
            <a:effectLst/>
          </c:spPr>
          <c:marker>
            <c:symbol val="none"/>
          </c:marker>
          <c:xVal>
            <c:numRef>
              <c:f>'R Semanal'!$AS$12:$AS$13</c:f>
              <c:numCache>
                <c:formatCode>0\+000.00</c:formatCode>
                <c:ptCount val="2"/>
                <c:pt idx="0">
                  <c:v>1460</c:v>
                </c:pt>
                <c:pt idx="1">
                  <c:v>1460</c:v>
                </c:pt>
              </c:numCache>
              <c:extLst xmlns:c15="http://schemas.microsoft.com/office/drawing/2012/chart"/>
            </c:numRef>
          </c:xVal>
          <c:yVal>
            <c:numRef>
              <c:f>'R Semanal'!$AT$12:$AT$13</c:f>
              <c:numCache>
                <c:formatCode>0\+000.00</c:formatCode>
                <c:ptCount val="2"/>
                <c:pt idx="0">
                  <c:v>-18</c:v>
                </c:pt>
                <c:pt idx="1">
                  <c:v>780</c:v>
                </c:pt>
              </c:numCache>
              <c:extLst xmlns:c15="http://schemas.microsoft.com/office/drawing/2012/chart"/>
            </c:numRef>
          </c:yVal>
          <c:smooth val="0"/>
          <c:extLst xmlns:c15="http://schemas.microsoft.com/office/drawing/2012/chart">
            <c:ext xmlns:c16="http://schemas.microsoft.com/office/drawing/2014/chart" uri="{C3380CC4-5D6E-409C-BE32-E72D297353CC}">
              <c16:uniqueId val="{00000654-F133-4C85-A697-0DE7DD632797}"/>
            </c:ext>
          </c:extLst>
        </c:ser>
        <c:ser>
          <c:idx val="14"/>
          <c:order val="14"/>
          <c:tx>
            <c:v>Zona 4-1</c:v>
          </c:tx>
          <c:spPr>
            <a:ln w="12700" cap="rnd">
              <a:solidFill>
                <a:schemeClr val="tx1"/>
              </a:solidFill>
              <a:prstDash val="dash"/>
              <a:round/>
            </a:ln>
            <a:effectLst/>
          </c:spPr>
          <c:marker>
            <c:symbol val="none"/>
          </c:marker>
          <c:xVal>
            <c:numRef>
              <c:f>'R Semanal'!$AS$14:$AS$15</c:f>
              <c:numCache>
                <c:formatCode>0\+000.00</c:formatCode>
                <c:ptCount val="2"/>
                <c:pt idx="0">
                  <c:v>1760</c:v>
                </c:pt>
                <c:pt idx="1">
                  <c:v>1760</c:v>
                </c:pt>
              </c:numCache>
              <c:extLst xmlns:c15="http://schemas.microsoft.com/office/drawing/2012/chart"/>
            </c:numRef>
          </c:xVal>
          <c:yVal>
            <c:numRef>
              <c:f>'R Semanal'!$AT$14:$AT$15</c:f>
              <c:numCache>
                <c:formatCode>0\+000.00</c:formatCode>
                <c:ptCount val="2"/>
                <c:pt idx="0">
                  <c:v>-120</c:v>
                </c:pt>
                <c:pt idx="1">
                  <c:v>400</c:v>
                </c:pt>
              </c:numCache>
              <c:extLst xmlns:c15="http://schemas.microsoft.com/office/drawing/2012/chart"/>
            </c:numRef>
          </c:yVal>
          <c:smooth val="0"/>
          <c:extLst xmlns:c15="http://schemas.microsoft.com/office/drawing/2012/chart">
            <c:ext xmlns:c16="http://schemas.microsoft.com/office/drawing/2014/chart" uri="{C3380CC4-5D6E-409C-BE32-E72D297353CC}">
              <c16:uniqueId val="{00000655-F133-4C85-A697-0DE7DD632797}"/>
            </c:ext>
          </c:extLst>
        </c:ser>
        <c:ser>
          <c:idx val="15"/>
          <c:order val="15"/>
          <c:tx>
            <c:v>Zona 4-2</c:v>
          </c:tx>
          <c:spPr>
            <a:ln w="12700" cap="rnd">
              <a:solidFill>
                <a:schemeClr val="tx1"/>
              </a:solidFill>
              <a:prstDash val="dash"/>
              <a:round/>
            </a:ln>
            <a:effectLst/>
          </c:spPr>
          <c:marker>
            <c:symbol val="none"/>
          </c:marker>
          <c:xVal>
            <c:numRef>
              <c:f>'R Semanal'!$AS$16:$AS$17</c:f>
              <c:numCache>
                <c:formatCode>0\+000.00</c:formatCode>
                <c:ptCount val="2"/>
                <c:pt idx="0">
                  <c:v>1920</c:v>
                </c:pt>
                <c:pt idx="1">
                  <c:v>1920</c:v>
                </c:pt>
              </c:numCache>
              <c:extLst xmlns:c15="http://schemas.microsoft.com/office/drawing/2012/chart"/>
            </c:numRef>
          </c:xVal>
          <c:yVal>
            <c:numRef>
              <c:f>'R Semanal'!$AT$16:$AT$17</c:f>
              <c:numCache>
                <c:formatCode>0\+000.00</c:formatCode>
                <c:ptCount val="2"/>
                <c:pt idx="0">
                  <c:v>-200</c:v>
                </c:pt>
                <c:pt idx="1">
                  <c:v>310</c:v>
                </c:pt>
              </c:numCache>
              <c:extLst xmlns:c15="http://schemas.microsoft.com/office/drawing/2012/chart"/>
            </c:numRef>
          </c:yVal>
          <c:smooth val="0"/>
          <c:extLst xmlns:c15="http://schemas.microsoft.com/office/drawing/2012/chart">
            <c:ext xmlns:c16="http://schemas.microsoft.com/office/drawing/2014/chart" uri="{C3380CC4-5D6E-409C-BE32-E72D297353CC}">
              <c16:uniqueId val="{00000656-F133-4C85-A697-0DE7DD632797}"/>
            </c:ext>
          </c:extLst>
        </c:ser>
        <c:ser>
          <c:idx val="16"/>
          <c:order val="16"/>
          <c:tx>
            <c:strRef>
              <c:f>'R Semanal'!$AZ$1:$BB$1</c:f>
              <c:strCache>
                <c:ptCount val="1"/>
                <c:pt idx="0">
                  <c:v>CONTORNO INTERNO C7 - JULIO 2025</c:v>
                </c:pt>
              </c:strCache>
            </c:strRef>
          </c:tx>
          <c:spPr>
            <a:ln w="12700" cap="rnd">
              <a:solidFill>
                <a:sysClr val="windowText" lastClr="000000"/>
              </a:solidFill>
              <a:round/>
            </a:ln>
            <a:effectLst/>
          </c:spPr>
          <c:marker>
            <c:symbol val="none"/>
          </c:marker>
          <c:dLbls>
            <c:dLbl>
              <c:idx val="228"/>
              <c:layout>
                <c:manualLayout>
                  <c:x val="-3.1629069948442584E-2"/>
                  <c:y val="0"/>
                </c:manualLayout>
              </c:layout>
              <c:tx>
                <c:rich>
                  <a:bodyPr/>
                  <a:lstStyle/>
                  <a:p>
                    <a:r>
                      <a:rPr lang="en-US"/>
                      <a:t>C9</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657-F133-4C85-A697-0DE7DD63279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entury Gothic" panose="020B0502020202020204" pitchFamily="34" charset="0"/>
                    <a:ea typeface="+mn-ea"/>
                    <a:cs typeface="+mn-cs"/>
                  </a:defRPr>
                </a:pPr>
                <a:endParaRPr lang="es-PE"/>
              </a:p>
            </c:txPr>
            <c:dLblPos val="l"/>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'R Semanal'!$AZ$2:$AZ$330</c:f>
              <c:numCache>
                <c:formatCode>General</c:formatCode>
                <c:ptCount val="329"/>
                <c:pt idx="0">
                  <c:v>1523.8</c:v>
                </c:pt>
                <c:pt idx="1">
                  <c:v>1521.25</c:v>
                </c:pt>
                <c:pt idx="2">
                  <c:v>1519.23</c:v>
                </c:pt>
                <c:pt idx="3">
                  <c:v>1518.16</c:v>
                </c:pt>
                <c:pt idx="4">
                  <c:v>1517.41</c:v>
                </c:pt>
                <c:pt idx="5">
                  <c:v>1516.76</c:v>
                </c:pt>
                <c:pt idx="6">
                  <c:v>1516.77</c:v>
                </c:pt>
                <c:pt idx="7">
                  <c:v>1517.11</c:v>
                </c:pt>
                <c:pt idx="8">
                  <c:v>1517.01</c:v>
                </c:pt>
                <c:pt idx="9">
                  <c:v>1517.9</c:v>
                </c:pt>
                <c:pt idx="10">
                  <c:v>1519.48</c:v>
                </c:pt>
                <c:pt idx="11">
                  <c:v>1521.01</c:v>
                </c:pt>
                <c:pt idx="12">
                  <c:v>1521.97</c:v>
                </c:pt>
                <c:pt idx="13">
                  <c:v>1522.65</c:v>
                </c:pt>
                <c:pt idx="14">
                  <c:v>1521.02</c:v>
                </c:pt>
                <c:pt idx="15">
                  <c:v>1518.89</c:v>
                </c:pt>
                <c:pt idx="16">
                  <c:v>1518.06</c:v>
                </c:pt>
                <c:pt idx="17">
                  <c:v>1517.78</c:v>
                </c:pt>
                <c:pt idx="18">
                  <c:v>1517.38</c:v>
                </c:pt>
                <c:pt idx="19">
                  <c:v>1517.6</c:v>
                </c:pt>
                <c:pt idx="20">
                  <c:v>1517.57</c:v>
                </c:pt>
                <c:pt idx="21">
                  <c:v>1518.91</c:v>
                </c:pt>
                <c:pt idx="22">
                  <c:v>1520.29</c:v>
                </c:pt>
                <c:pt idx="23">
                  <c:v>1520.3</c:v>
                </c:pt>
                <c:pt idx="24">
                  <c:v>1520.25</c:v>
                </c:pt>
                <c:pt idx="25">
                  <c:v>1521.3</c:v>
                </c:pt>
                <c:pt idx="26">
                  <c:v>1521.13</c:v>
                </c:pt>
                <c:pt idx="27">
                  <c:v>1519.77</c:v>
                </c:pt>
                <c:pt idx="28">
                  <c:v>1519.08</c:v>
                </c:pt>
                <c:pt idx="29">
                  <c:v>1517.72</c:v>
                </c:pt>
                <c:pt idx="30">
                  <c:v>1515.28</c:v>
                </c:pt>
                <c:pt idx="31">
                  <c:v>1513.08</c:v>
                </c:pt>
                <c:pt idx="32">
                  <c:v>1511.17</c:v>
                </c:pt>
                <c:pt idx="33">
                  <c:v>1509.46</c:v>
                </c:pt>
                <c:pt idx="34">
                  <c:v>1506.24</c:v>
                </c:pt>
                <c:pt idx="35">
                  <c:v>1502.55</c:v>
                </c:pt>
                <c:pt idx="36">
                  <c:v>1499.88</c:v>
                </c:pt>
                <c:pt idx="37">
                  <c:v>1495.48</c:v>
                </c:pt>
                <c:pt idx="38">
                  <c:v>1494.05</c:v>
                </c:pt>
                <c:pt idx="39">
                  <c:v>1493.05</c:v>
                </c:pt>
                <c:pt idx="40">
                  <c:v>1488.69</c:v>
                </c:pt>
                <c:pt idx="41">
                  <c:v>1485.46</c:v>
                </c:pt>
                <c:pt idx="42">
                  <c:v>1481.01</c:v>
                </c:pt>
                <c:pt idx="43">
                  <c:v>1481.69</c:v>
                </c:pt>
                <c:pt idx="44">
                  <c:v>1483.17</c:v>
                </c:pt>
                <c:pt idx="45">
                  <c:v>1485.18</c:v>
                </c:pt>
                <c:pt idx="46">
                  <c:v>1488.55</c:v>
                </c:pt>
                <c:pt idx="47">
                  <c:v>1492.57</c:v>
                </c:pt>
                <c:pt idx="48">
                  <c:v>1497.07</c:v>
                </c:pt>
                <c:pt idx="49">
                  <c:v>1500.4</c:v>
                </c:pt>
                <c:pt idx="50">
                  <c:v>1503.11</c:v>
                </c:pt>
                <c:pt idx="51">
                  <c:v>1504.68</c:v>
                </c:pt>
                <c:pt idx="52">
                  <c:v>1505.11</c:v>
                </c:pt>
                <c:pt idx="53">
                  <c:v>1505.09</c:v>
                </c:pt>
                <c:pt idx="54">
                  <c:v>1505.64</c:v>
                </c:pt>
                <c:pt idx="55">
                  <c:v>1506.7</c:v>
                </c:pt>
                <c:pt idx="56">
                  <c:v>1508.33</c:v>
                </c:pt>
                <c:pt idx="57">
                  <c:v>1509.4</c:v>
                </c:pt>
                <c:pt idx="58">
                  <c:v>1510.15</c:v>
                </c:pt>
                <c:pt idx="59">
                  <c:v>1509.01</c:v>
                </c:pt>
                <c:pt idx="60">
                  <c:v>1507.61</c:v>
                </c:pt>
                <c:pt idx="61">
                  <c:v>1504.96</c:v>
                </c:pt>
                <c:pt idx="62">
                  <c:v>1502.05</c:v>
                </c:pt>
                <c:pt idx="63">
                  <c:v>1499.95</c:v>
                </c:pt>
                <c:pt idx="64">
                  <c:v>1497.15</c:v>
                </c:pt>
                <c:pt idx="65">
                  <c:v>1494.85</c:v>
                </c:pt>
                <c:pt idx="66">
                  <c:v>1492.32</c:v>
                </c:pt>
                <c:pt idx="67">
                  <c:v>1489.57</c:v>
                </c:pt>
                <c:pt idx="68">
                  <c:v>1485.13</c:v>
                </c:pt>
                <c:pt idx="69">
                  <c:v>1481.39</c:v>
                </c:pt>
                <c:pt idx="70">
                  <c:v>1476.84</c:v>
                </c:pt>
                <c:pt idx="71">
                  <c:v>1471.71</c:v>
                </c:pt>
                <c:pt idx="72">
                  <c:v>1467.2</c:v>
                </c:pt>
                <c:pt idx="73">
                  <c:v>1462.4</c:v>
                </c:pt>
                <c:pt idx="74">
                  <c:v>1457.38</c:v>
                </c:pt>
                <c:pt idx="75">
                  <c:v>1452.54</c:v>
                </c:pt>
                <c:pt idx="76">
                  <c:v>1449.46</c:v>
                </c:pt>
                <c:pt idx="77">
                  <c:v>1443.81</c:v>
                </c:pt>
                <c:pt idx="78">
                  <c:v>1438.08</c:v>
                </c:pt>
                <c:pt idx="79">
                  <c:v>1433.34</c:v>
                </c:pt>
                <c:pt idx="80">
                  <c:v>1431.9</c:v>
                </c:pt>
                <c:pt idx="81">
                  <c:v>1430.29</c:v>
                </c:pt>
                <c:pt idx="82">
                  <c:v>1430.26</c:v>
                </c:pt>
                <c:pt idx="83">
                  <c:v>1430.7</c:v>
                </c:pt>
                <c:pt idx="84">
                  <c:v>1431.6</c:v>
                </c:pt>
                <c:pt idx="85">
                  <c:v>1426.39</c:v>
                </c:pt>
                <c:pt idx="86">
                  <c:v>1420.42</c:v>
                </c:pt>
                <c:pt idx="87">
                  <c:v>1419.59</c:v>
                </c:pt>
                <c:pt idx="88">
                  <c:v>1419.52</c:v>
                </c:pt>
                <c:pt idx="89">
                  <c:v>1418.53</c:v>
                </c:pt>
                <c:pt idx="90">
                  <c:v>1417.56</c:v>
                </c:pt>
                <c:pt idx="91">
                  <c:v>1417.22</c:v>
                </c:pt>
                <c:pt idx="92">
                  <c:v>1417.93</c:v>
                </c:pt>
                <c:pt idx="93">
                  <c:v>1419.47</c:v>
                </c:pt>
                <c:pt idx="94">
                  <c:v>1422.51</c:v>
                </c:pt>
                <c:pt idx="95">
                  <c:v>1424.06</c:v>
                </c:pt>
                <c:pt idx="96">
                  <c:v>1424.25</c:v>
                </c:pt>
                <c:pt idx="97">
                  <c:v>1424</c:v>
                </c:pt>
                <c:pt idx="98">
                  <c:v>1422.97</c:v>
                </c:pt>
                <c:pt idx="99">
                  <c:v>1421.59</c:v>
                </c:pt>
                <c:pt idx="100">
                  <c:v>1421.14</c:v>
                </c:pt>
                <c:pt idx="101">
                  <c:v>1421.16</c:v>
                </c:pt>
                <c:pt idx="102">
                  <c:v>1421.91</c:v>
                </c:pt>
                <c:pt idx="103">
                  <c:v>1423.47</c:v>
                </c:pt>
                <c:pt idx="104">
                  <c:v>1425.83</c:v>
                </c:pt>
                <c:pt idx="105">
                  <c:v>1427.55</c:v>
                </c:pt>
                <c:pt idx="106">
                  <c:v>1428.9</c:v>
                </c:pt>
                <c:pt idx="107">
                  <c:v>1429.55</c:v>
                </c:pt>
                <c:pt idx="108">
                  <c:v>1430.63</c:v>
                </c:pt>
                <c:pt idx="109">
                  <c:v>1431.9</c:v>
                </c:pt>
                <c:pt idx="110">
                  <c:v>1433.47</c:v>
                </c:pt>
                <c:pt idx="111">
                  <c:v>1436.04</c:v>
                </c:pt>
                <c:pt idx="112">
                  <c:v>1438.16</c:v>
                </c:pt>
                <c:pt idx="113">
                  <c:v>1439.91</c:v>
                </c:pt>
                <c:pt idx="114">
                  <c:v>1443.31</c:v>
                </c:pt>
                <c:pt idx="115">
                  <c:v>1446.9</c:v>
                </c:pt>
                <c:pt idx="116">
                  <c:v>1450.05</c:v>
                </c:pt>
                <c:pt idx="117">
                  <c:v>1453.72</c:v>
                </c:pt>
                <c:pt idx="118">
                  <c:v>1457.26</c:v>
                </c:pt>
                <c:pt idx="119">
                  <c:v>1459.83</c:v>
                </c:pt>
                <c:pt idx="120">
                  <c:v>1462.23</c:v>
                </c:pt>
                <c:pt idx="121">
                  <c:v>1468.62</c:v>
                </c:pt>
                <c:pt idx="122">
                  <c:v>1474.05</c:v>
                </c:pt>
                <c:pt idx="123">
                  <c:v>1478.91</c:v>
                </c:pt>
                <c:pt idx="124">
                  <c:v>1484.28</c:v>
                </c:pt>
                <c:pt idx="125">
                  <c:v>1486.98</c:v>
                </c:pt>
                <c:pt idx="126">
                  <c:v>1493.2</c:v>
                </c:pt>
                <c:pt idx="127">
                  <c:v>1499.78</c:v>
                </c:pt>
                <c:pt idx="128">
                  <c:v>1507.11</c:v>
                </c:pt>
                <c:pt idx="129">
                  <c:v>1512.15</c:v>
                </c:pt>
                <c:pt idx="130">
                  <c:v>1516.01</c:v>
                </c:pt>
                <c:pt idx="131">
                  <c:v>1520.16</c:v>
                </c:pt>
                <c:pt idx="132">
                  <c:v>1527.06</c:v>
                </c:pt>
                <c:pt idx="133">
                  <c:v>1532.32</c:v>
                </c:pt>
                <c:pt idx="134">
                  <c:v>1536.58</c:v>
                </c:pt>
                <c:pt idx="135">
                  <c:v>1540.86</c:v>
                </c:pt>
                <c:pt idx="136">
                  <c:v>1545.12</c:v>
                </c:pt>
                <c:pt idx="137">
                  <c:v>1548.74</c:v>
                </c:pt>
                <c:pt idx="138">
                  <c:v>1552.33</c:v>
                </c:pt>
                <c:pt idx="139">
                  <c:v>1556.32</c:v>
                </c:pt>
                <c:pt idx="140">
                  <c:v>1560.3</c:v>
                </c:pt>
                <c:pt idx="141">
                  <c:v>1563.36</c:v>
                </c:pt>
                <c:pt idx="142">
                  <c:v>1568.28</c:v>
                </c:pt>
                <c:pt idx="143">
                  <c:v>1573.23</c:v>
                </c:pt>
                <c:pt idx="144">
                  <c:v>1578.45</c:v>
                </c:pt>
                <c:pt idx="145">
                  <c:v>1580.43</c:v>
                </c:pt>
                <c:pt idx="146">
                  <c:v>1585.02</c:v>
                </c:pt>
                <c:pt idx="147">
                  <c:v>1589.36</c:v>
                </c:pt>
                <c:pt idx="148">
                  <c:v>1595.06</c:v>
                </c:pt>
                <c:pt idx="149">
                  <c:v>1600.77</c:v>
                </c:pt>
                <c:pt idx="150">
                  <c:v>1608.38</c:v>
                </c:pt>
                <c:pt idx="151">
                  <c:v>1615.99</c:v>
                </c:pt>
                <c:pt idx="152">
                  <c:v>1619.86</c:v>
                </c:pt>
                <c:pt idx="153">
                  <c:v>1623.72</c:v>
                </c:pt>
                <c:pt idx="154">
                  <c:v>1626.42</c:v>
                </c:pt>
                <c:pt idx="155">
                  <c:v>1629.5</c:v>
                </c:pt>
                <c:pt idx="156">
                  <c:v>1629.9</c:v>
                </c:pt>
                <c:pt idx="157">
                  <c:v>1633.22</c:v>
                </c:pt>
                <c:pt idx="158">
                  <c:v>1635.8</c:v>
                </c:pt>
                <c:pt idx="159">
                  <c:v>1639.73</c:v>
                </c:pt>
                <c:pt idx="160">
                  <c:v>1640.64</c:v>
                </c:pt>
                <c:pt idx="161">
                  <c:v>1639.8</c:v>
                </c:pt>
                <c:pt idx="162">
                  <c:v>1639.57</c:v>
                </c:pt>
                <c:pt idx="163">
                  <c:v>1639.08</c:v>
                </c:pt>
                <c:pt idx="164">
                  <c:v>1638.27</c:v>
                </c:pt>
                <c:pt idx="165">
                  <c:v>1637.72</c:v>
                </c:pt>
                <c:pt idx="166">
                  <c:v>1636.19</c:v>
                </c:pt>
                <c:pt idx="167">
                  <c:v>1634.42</c:v>
                </c:pt>
                <c:pt idx="168">
                  <c:v>1636.36</c:v>
                </c:pt>
                <c:pt idx="169">
                  <c:v>1636.98</c:v>
                </c:pt>
                <c:pt idx="170">
                  <c:v>1637.15</c:v>
                </c:pt>
                <c:pt idx="171">
                  <c:v>1638.25</c:v>
                </c:pt>
                <c:pt idx="172">
                  <c:v>1637.94</c:v>
                </c:pt>
                <c:pt idx="173">
                  <c:v>1636.18</c:v>
                </c:pt>
                <c:pt idx="174">
                  <c:v>1634.43</c:v>
                </c:pt>
                <c:pt idx="175">
                  <c:v>1633.5</c:v>
                </c:pt>
                <c:pt idx="176">
                  <c:v>1623.24</c:v>
                </c:pt>
                <c:pt idx="177">
                  <c:v>1625.35</c:v>
                </c:pt>
                <c:pt idx="178">
                  <c:v>1626.29</c:v>
                </c:pt>
                <c:pt idx="179">
                  <c:v>1628.99</c:v>
                </c:pt>
                <c:pt idx="180">
                  <c:v>1632.63</c:v>
                </c:pt>
                <c:pt idx="181">
                  <c:v>1634.69</c:v>
                </c:pt>
                <c:pt idx="182">
                  <c:v>1637.3</c:v>
                </c:pt>
                <c:pt idx="183">
                  <c:v>1637.93</c:v>
                </c:pt>
                <c:pt idx="184">
                  <c:v>1638.02</c:v>
                </c:pt>
                <c:pt idx="185">
                  <c:v>1636.99</c:v>
                </c:pt>
                <c:pt idx="186">
                  <c:v>1635.8</c:v>
                </c:pt>
                <c:pt idx="187">
                  <c:v>1635.7</c:v>
                </c:pt>
                <c:pt idx="188">
                  <c:v>1635.21</c:v>
                </c:pt>
                <c:pt idx="189">
                  <c:v>1634.34</c:v>
                </c:pt>
                <c:pt idx="190">
                  <c:v>1633.78</c:v>
                </c:pt>
                <c:pt idx="191">
                  <c:v>1632.84</c:v>
                </c:pt>
                <c:pt idx="192">
                  <c:v>1631.78</c:v>
                </c:pt>
                <c:pt idx="193">
                  <c:v>1631.2</c:v>
                </c:pt>
                <c:pt idx="194">
                  <c:v>1629.41</c:v>
                </c:pt>
                <c:pt idx="195">
                  <c:v>1627.8</c:v>
                </c:pt>
                <c:pt idx="196">
                  <c:v>1628.76</c:v>
                </c:pt>
                <c:pt idx="197">
                  <c:v>1629.66</c:v>
                </c:pt>
                <c:pt idx="198">
                  <c:v>1630.12</c:v>
                </c:pt>
                <c:pt idx="199">
                  <c:v>1630.59</c:v>
                </c:pt>
                <c:pt idx="200">
                  <c:v>1630.62</c:v>
                </c:pt>
                <c:pt idx="201">
                  <c:v>1631.29</c:v>
                </c:pt>
                <c:pt idx="202">
                  <c:v>1631.93</c:v>
                </c:pt>
                <c:pt idx="203">
                  <c:v>1632.66</c:v>
                </c:pt>
                <c:pt idx="204">
                  <c:v>1632.2</c:v>
                </c:pt>
                <c:pt idx="205">
                  <c:v>1631.22</c:v>
                </c:pt>
                <c:pt idx="206">
                  <c:v>1629.69</c:v>
                </c:pt>
                <c:pt idx="207">
                  <c:v>1627.85</c:v>
                </c:pt>
                <c:pt idx="208">
                  <c:v>1626.11</c:v>
                </c:pt>
                <c:pt idx="209">
                  <c:v>1625.08</c:v>
                </c:pt>
                <c:pt idx="210">
                  <c:v>1624.06</c:v>
                </c:pt>
                <c:pt idx="211">
                  <c:v>1622.37</c:v>
                </c:pt>
                <c:pt idx="212">
                  <c:v>1620.89</c:v>
                </c:pt>
                <c:pt idx="213">
                  <c:v>1619.02</c:v>
                </c:pt>
                <c:pt idx="214">
                  <c:v>1618.51</c:v>
                </c:pt>
                <c:pt idx="215">
                  <c:v>1618.8</c:v>
                </c:pt>
                <c:pt idx="216">
                  <c:v>1618.75</c:v>
                </c:pt>
                <c:pt idx="217">
                  <c:v>1615.25</c:v>
                </c:pt>
                <c:pt idx="218">
                  <c:v>1615.98</c:v>
                </c:pt>
                <c:pt idx="219">
                  <c:v>1618.45</c:v>
                </c:pt>
                <c:pt idx="220">
                  <c:v>1620.93</c:v>
                </c:pt>
                <c:pt idx="221">
                  <c:v>1623.3</c:v>
                </c:pt>
                <c:pt idx="222">
                  <c:v>1624.22</c:v>
                </c:pt>
                <c:pt idx="223">
                  <c:v>1623.89</c:v>
                </c:pt>
                <c:pt idx="224">
                  <c:v>1621.8</c:v>
                </c:pt>
                <c:pt idx="225">
                  <c:v>1620.25</c:v>
                </c:pt>
                <c:pt idx="226">
                  <c:v>1619.47</c:v>
                </c:pt>
                <c:pt idx="227">
                  <c:v>1618.87</c:v>
                </c:pt>
                <c:pt idx="228">
                  <c:v>1618.37</c:v>
                </c:pt>
                <c:pt idx="229">
                  <c:v>1617.35</c:v>
                </c:pt>
                <c:pt idx="230">
                  <c:v>1617.48</c:v>
                </c:pt>
                <c:pt idx="231">
                  <c:v>1619.29</c:v>
                </c:pt>
                <c:pt idx="232">
                  <c:v>1620.21</c:v>
                </c:pt>
                <c:pt idx="233">
                  <c:v>1625.49</c:v>
                </c:pt>
                <c:pt idx="234">
                  <c:v>1629.12</c:v>
                </c:pt>
                <c:pt idx="235">
                  <c:v>1631.67</c:v>
                </c:pt>
                <c:pt idx="236">
                  <c:v>1632.18</c:v>
                </c:pt>
                <c:pt idx="237">
                  <c:v>1634.03</c:v>
                </c:pt>
                <c:pt idx="238">
                  <c:v>1635.4</c:v>
                </c:pt>
                <c:pt idx="239">
                  <c:v>1635.78</c:v>
                </c:pt>
                <c:pt idx="240">
                  <c:v>1637.7</c:v>
                </c:pt>
                <c:pt idx="241">
                  <c:v>1641.69</c:v>
                </c:pt>
                <c:pt idx="242">
                  <c:v>1646.49</c:v>
                </c:pt>
                <c:pt idx="243">
                  <c:v>1650.08</c:v>
                </c:pt>
                <c:pt idx="244">
                  <c:v>1654.02</c:v>
                </c:pt>
                <c:pt idx="245">
                  <c:v>1657.59</c:v>
                </c:pt>
                <c:pt idx="246">
                  <c:v>1662.7</c:v>
                </c:pt>
                <c:pt idx="247">
                  <c:v>1666.94</c:v>
                </c:pt>
                <c:pt idx="248">
                  <c:v>1669.49</c:v>
                </c:pt>
                <c:pt idx="249">
                  <c:v>1669.99</c:v>
                </c:pt>
                <c:pt idx="250">
                  <c:v>1669.71</c:v>
                </c:pt>
                <c:pt idx="251">
                  <c:v>1668.36</c:v>
                </c:pt>
                <c:pt idx="252">
                  <c:v>1666.1</c:v>
                </c:pt>
                <c:pt idx="253">
                  <c:v>1663.29</c:v>
                </c:pt>
                <c:pt idx="254">
                  <c:v>1661.31</c:v>
                </c:pt>
                <c:pt idx="255">
                  <c:v>1658.8</c:v>
                </c:pt>
                <c:pt idx="256">
                  <c:v>1657.48</c:v>
                </c:pt>
                <c:pt idx="257">
                  <c:v>1655.69</c:v>
                </c:pt>
                <c:pt idx="258">
                  <c:v>1653.38</c:v>
                </c:pt>
                <c:pt idx="259">
                  <c:v>1651.64</c:v>
                </c:pt>
                <c:pt idx="260">
                  <c:v>1649.32</c:v>
                </c:pt>
                <c:pt idx="261">
                  <c:v>1645.09</c:v>
                </c:pt>
                <c:pt idx="262">
                  <c:v>1639.98</c:v>
                </c:pt>
                <c:pt idx="263">
                  <c:v>1634.81</c:v>
                </c:pt>
                <c:pt idx="264">
                  <c:v>1630.27</c:v>
                </c:pt>
                <c:pt idx="265">
                  <c:v>1627.16</c:v>
                </c:pt>
                <c:pt idx="266">
                  <c:v>1623.51</c:v>
                </c:pt>
                <c:pt idx="267">
                  <c:v>1620.9</c:v>
                </c:pt>
                <c:pt idx="268">
                  <c:v>1617.13</c:v>
                </c:pt>
                <c:pt idx="269">
                  <c:v>1613.93</c:v>
                </c:pt>
                <c:pt idx="270">
                  <c:v>1610.97</c:v>
                </c:pt>
                <c:pt idx="271">
                  <c:v>1610.75</c:v>
                </c:pt>
                <c:pt idx="272">
                  <c:v>1611.27</c:v>
                </c:pt>
                <c:pt idx="273">
                  <c:v>1608.02</c:v>
                </c:pt>
                <c:pt idx="274">
                  <c:v>1606.87</c:v>
                </c:pt>
                <c:pt idx="275">
                  <c:v>1607.9</c:v>
                </c:pt>
                <c:pt idx="276">
                  <c:v>1609.22</c:v>
                </c:pt>
                <c:pt idx="277">
                  <c:v>1610.33</c:v>
                </c:pt>
                <c:pt idx="278">
                  <c:v>1611.77</c:v>
                </c:pt>
                <c:pt idx="279">
                  <c:v>1613.15</c:v>
                </c:pt>
                <c:pt idx="280">
                  <c:v>1614.28</c:v>
                </c:pt>
                <c:pt idx="281">
                  <c:v>1616.34</c:v>
                </c:pt>
                <c:pt idx="282">
                  <c:v>1616.83</c:v>
                </c:pt>
                <c:pt idx="283">
                  <c:v>1616.01</c:v>
                </c:pt>
                <c:pt idx="284">
                  <c:v>1615.24</c:v>
                </c:pt>
                <c:pt idx="285">
                  <c:v>1614.18</c:v>
                </c:pt>
                <c:pt idx="286">
                  <c:v>1611.95</c:v>
                </c:pt>
                <c:pt idx="287">
                  <c:v>1606.46</c:v>
                </c:pt>
                <c:pt idx="288">
                  <c:v>1603.2</c:v>
                </c:pt>
                <c:pt idx="289">
                  <c:v>1599.42</c:v>
                </c:pt>
                <c:pt idx="290">
                  <c:v>1598.99</c:v>
                </c:pt>
                <c:pt idx="291">
                  <c:v>1595.62</c:v>
                </c:pt>
                <c:pt idx="292">
                  <c:v>1592.82</c:v>
                </c:pt>
                <c:pt idx="293">
                  <c:v>1591.85</c:v>
                </c:pt>
                <c:pt idx="294">
                  <c:v>1588.96</c:v>
                </c:pt>
                <c:pt idx="295">
                  <c:v>1588.03</c:v>
                </c:pt>
                <c:pt idx="296">
                  <c:v>1587.61</c:v>
                </c:pt>
                <c:pt idx="297">
                  <c:v>1586.76</c:v>
                </c:pt>
                <c:pt idx="298">
                  <c:v>1585.71</c:v>
                </c:pt>
                <c:pt idx="299">
                  <c:v>1585.09</c:v>
                </c:pt>
                <c:pt idx="300">
                  <c:v>1583.82</c:v>
                </c:pt>
                <c:pt idx="301">
                  <c:v>1582.96</c:v>
                </c:pt>
                <c:pt idx="302">
                  <c:v>1582.76</c:v>
                </c:pt>
                <c:pt idx="303">
                  <c:v>1582.16</c:v>
                </c:pt>
                <c:pt idx="304">
                  <c:v>1580.39</c:v>
                </c:pt>
                <c:pt idx="305">
                  <c:v>1578.92</c:v>
                </c:pt>
                <c:pt idx="306">
                  <c:v>1575.39</c:v>
                </c:pt>
                <c:pt idx="307">
                  <c:v>1574.31</c:v>
                </c:pt>
                <c:pt idx="308">
                  <c:v>1573.24</c:v>
                </c:pt>
                <c:pt idx="309">
                  <c:v>1570.45</c:v>
                </c:pt>
                <c:pt idx="310">
                  <c:v>1568.61</c:v>
                </c:pt>
                <c:pt idx="311">
                  <c:v>1566.6</c:v>
                </c:pt>
                <c:pt idx="312">
                  <c:v>1564.5</c:v>
                </c:pt>
                <c:pt idx="313">
                  <c:v>1561.03</c:v>
                </c:pt>
                <c:pt idx="314">
                  <c:v>1558.81</c:v>
                </c:pt>
                <c:pt idx="315">
                  <c:v>1555.66</c:v>
                </c:pt>
                <c:pt idx="316">
                  <c:v>1553.56</c:v>
                </c:pt>
                <c:pt idx="317">
                  <c:v>1550.92</c:v>
                </c:pt>
                <c:pt idx="318">
                  <c:v>1549.31</c:v>
                </c:pt>
                <c:pt idx="319">
                  <c:v>1547.09</c:v>
                </c:pt>
                <c:pt idx="320">
                  <c:v>1545.36</c:v>
                </c:pt>
                <c:pt idx="321">
                  <c:v>1541.84</c:v>
                </c:pt>
                <c:pt idx="322">
                  <c:v>1539.56</c:v>
                </c:pt>
                <c:pt idx="323">
                  <c:v>1536.2</c:v>
                </c:pt>
                <c:pt idx="324">
                  <c:v>1533.31</c:v>
                </c:pt>
                <c:pt idx="325">
                  <c:v>1531.03</c:v>
                </c:pt>
                <c:pt idx="326">
                  <c:v>1528.86</c:v>
                </c:pt>
                <c:pt idx="327">
                  <c:v>1526.37</c:v>
                </c:pt>
                <c:pt idx="328">
                  <c:v>1523.8</c:v>
                </c:pt>
              </c:numCache>
            </c:numRef>
          </c:xVal>
          <c:yVal>
            <c:numRef>
              <c:f>'R Semanal'!$BA$2:$BA$330</c:f>
              <c:numCache>
                <c:formatCode>General</c:formatCode>
                <c:ptCount val="329"/>
                <c:pt idx="0">
                  <c:v>540.03</c:v>
                </c:pt>
                <c:pt idx="1">
                  <c:v>543.6</c:v>
                </c:pt>
                <c:pt idx="2">
                  <c:v>547.21</c:v>
                </c:pt>
                <c:pt idx="3">
                  <c:v>550.11</c:v>
                </c:pt>
                <c:pt idx="4">
                  <c:v>554.98</c:v>
                </c:pt>
                <c:pt idx="5">
                  <c:v>558.77</c:v>
                </c:pt>
                <c:pt idx="6">
                  <c:v>563.14</c:v>
                </c:pt>
                <c:pt idx="7">
                  <c:v>567.08000000000004</c:v>
                </c:pt>
                <c:pt idx="8">
                  <c:v>571.83000000000004</c:v>
                </c:pt>
                <c:pt idx="9">
                  <c:v>575.76</c:v>
                </c:pt>
                <c:pt idx="10">
                  <c:v>580.47</c:v>
                </c:pt>
                <c:pt idx="11">
                  <c:v>583.49</c:v>
                </c:pt>
                <c:pt idx="12">
                  <c:v>586.64</c:v>
                </c:pt>
                <c:pt idx="13">
                  <c:v>592.42999999999995</c:v>
                </c:pt>
                <c:pt idx="14">
                  <c:v>596.09</c:v>
                </c:pt>
                <c:pt idx="15">
                  <c:v>599.85</c:v>
                </c:pt>
                <c:pt idx="16">
                  <c:v>602.98</c:v>
                </c:pt>
                <c:pt idx="17">
                  <c:v>607.01</c:v>
                </c:pt>
                <c:pt idx="18">
                  <c:v>610.16</c:v>
                </c:pt>
                <c:pt idx="19">
                  <c:v>614.33000000000004</c:v>
                </c:pt>
                <c:pt idx="20">
                  <c:v>616.86</c:v>
                </c:pt>
                <c:pt idx="21">
                  <c:v>619.97</c:v>
                </c:pt>
                <c:pt idx="22">
                  <c:v>624.91999999999996</c:v>
                </c:pt>
                <c:pt idx="23">
                  <c:v>632.02</c:v>
                </c:pt>
                <c:pt idx="24">
                  <c:v>637.57000000000005</c:v>
                </c:pt>
                <c:pt idx="25">
                  <c:v>644.86</c:v>
                </c:pt>
                <c:pt idx="26">
                  <c:v>649.69000000000005</c:v>
                </c:pt>
                <c:pt idx="27">
                  <c:v>657.08</c:v>
                </c:pt>
                <c:pt idx="28">
                  <c:v>662.8</c:v>
                </c:pt>
                <c:pt idx="29">
                  <c:v>668.09</c:v>
                </c:pt>
                <c:pt idx="30">
                  <c:v>673.04</c:v>
                </c:pt>
                <c:pt idx="31">
                  <c:v>678.2</c:v>
                </c:pt>
                <c:pt idx="32">
                  <c:v>682.92</c:v>
                </c:pt>
                <c:pt idx="33">
                  <c:v>687.74</c:v>
                </c:pt>
                <c:pt idx="34">
                  <c:v>693.95</c:v>
                </c:pt>
                <c:pt idx="35">
                  <c:v>699.04</c:v>
                </c:pt>
                <c:pt idx="36">
                  <c:v>702.46</c:v>
                </c:pt>
                <c:pt idx="37">
                  <c:v>710.11</c:v>
                </c:pt>
                <c:pt idx="38">
                  <c:v>714.19</c:v>
                </c:pt>
                <c:pt idx="39">
                  <c:v>718.12</c:v>
                </c:pt>
                <c:pt idx="40">
                  <c:v>715.5</c:v>
                </c:pt>
                <c:pt idx="41">
                  <c:v>715.59</c:v>
                </c:pt>
                <c:pt idx="42">
                  <c:v>715.1</c:v>
                </c:pt>
                <c:pt idx="43">
                  <c:v>719.4</c:v>
                </c:pt>
                <c:pt idx="44">
                  <c:v>721.96</c:v>
                </c:pt>
                <c:pt idx="45">
                  <c:v>724.27</c:v>
                </c:pt>
                <c:pt idx="46">
                  <c:v>726.76</c:v>
                </c:pt>
                <c:pt idx="47">
                  <c:v>728.22</c:v>
                </c:pt>
                <c:pt idx="48">
                  <c:v>728.84</c:v>
                </c:pt>
                <c:pt idx="49">
                  <c:v>729.91</c:v>
                </c:pt>
                <c:pt idx="50">
                  <c:v>732.01</c:v>
                </c:pt>
                <c:pt idx="51">
                  <c:v>735.3</c:v>
                </c:pt>
                <c:pt idx="52">
                  <c:v>739</c:v>
                </c:pt>
                <c:pt idx="53">
                  <c:v>742.61</c:v>
                </c:pt>
                <c:pt idx="54">
                  <c:v>746.01</c:v>
                </c:pt>
                <c:pt idx="55">
                  <c:v>749.13</c:v>
                </c:pt>
                <c:pt idx="56">
                  <c:v>752.48</c:v>
                </c:pt>
                <c:pt idx="57">
                  <c:v>755.95</c:v>
                </c:pt>
                <c:pt idx="58">
                  <c:v>759.38</c:v>
                </c:pt>
                <c:pt idx="59">
                  <c:v>764.18</c:v>
                </c:pt>
                <c:pt idx="60">
                  <c:v>766.22</c:v>
                </c:pt>
                <c:pt idx="61">
                  <c:v>768.92</c:v>
                </c:pt>
                <c:pt idx="62">
                  <c:v>771.01</c:v>
                </c:pt>
                <c:pt idx="63">
                  <c:v>772.03</c:v>
                </c:pt>
                <c:pt idx="64">
                  <c:v>773.54</c:v>
                </c:pt>
                <c:pt idx="65">
                  <c:v>776.33</c:v>
                </c:pt>
                <c:pt idx="66">
                  <c:v>779.12</c:v>
                </c:pt>
                <c:pt idx="67">
                  <c:v>781.99</c:v>
                </c:pt>
                <c:pt idx="68">
                  <c:v>784.81</c:v>
                </c:pt>
                <c:pt idx="69">
                  <c:v>785.46</c:v>
                </c:pt>
                <c:pt idx="70">
                  <c:v>784.86</c:v>
                </c:pt>
                <c:pt idx="71">
                  <c:v>784.97</c:v>
                </c:pt>
                <c:pt idx="72">
                  <c:v>785.46</c:v>
                </c:pt>
                <c:pt idx="73">
                  <c:v>786.15</c:v>
                </c:pt>
                <c:pt idx="74">
                  <c:v>787.98</c:v>
                </c:pt>
                <c:pt idx="75">
                  <c:v>789.95</c:v>
                </c:pt>
                <c:pt idx="76">
                  <c:v>791.29</c:v>
                </c:pt>
                <c:pt idx="77">
                  <c:v>794.12</c:v>
                </c:pt>
                <c:pt idx="78">
                  <c:v>797.41</c:v>
                </c:pt>
                <c:pt idx="79">
                  <c:v>800.75</c:v>
                </c:pt>
                <c:pt idx="80">
                  <c:v>801.86</c:v>
                </c:pt>
                <c:pt idx="81">
                  <c:v>805.79</c:v>
                </c:pt>
                <c:pt idx="82">
                  <c:v>808.53</c:v>
                </c:pt>
                <c:pt idx="83">
                  <c:v>812.41</c:v>
                </c:pt>
                <c:pt idx="84">
                  <c:v>815.12</c:v>
                </c:pt>
                <c:pt idx="85">
                  <c:v>815.2</c:v>
                </c:pt>
                <c:pt idx="86">
                  <c:v>815.29</c:v>
                </c:pt>
                <c:pt idx="87">
                  <c:v>815.53</c:v>
                </c:pt>
                <c:pt idx="88">
                  <c:v>815.76</c:v>
                </c:pt>
                <c:pt idx="89">
                  <c:v>820.5</c:v>
                </c:pt>
                <c:pt idx="90">
                  <c:v>826.71</c:v>
                </c:pt>
                <c:pt idx="91">
                  <c:v>831.01</c:v>
                </c:pt>
                <c:pt idx="92">
                  <c:v>834.78</c:v>
                </c:pt>
                <c:pt idx="93">
                  <c:v>837.35</c:v>
                </c:pt>
                <c:pt idx="94">
                  <c:v>841.48</c:v>
                </c:pt>
                <c:pt idx="95">
                  <c:v>844.28</c:v>
                </c:pt>
                <c:pt idx="96">
                  <c:v>848.74</c:v>
                </c:pt>
                <c:pt idx="97">
                  <c:v>854.14</c:v>
                </c:pt>
                <c:pt idx="98">
                  <c:v>857.57</c:v>
                </c:pt>
                <c:pt idx="99">
                  <c:v>860.88</c:v>
                </c:pt>
                <c:pt idx="100">
                  <c:v>866.2</c:v>
                </c:pt>
                <c:pt idx="101">
                  <c:v>871.93</c:v>
                </c:pt>
                <c:pt idx="102">
                  <c:v>877.8</c:v>
                </c:pt>
                <c:pt idx="103">
                  <c:v>882.21</c:v>
                </c:pt>
                <c:pt idx="104">
                  <c:v>887.89</c:v>
                </c:pt>
                <c:pt idx="105">
                  <c:v>893.83</c:v>
                </c:pt>
                <c:pt idx="106">
                  <c:v>900.36</c:v>
                </c:pt>
                <c:pt idx="107">
                  <c:v>905.54</c:v>
                </c:pt>
                <c:pt idx="108">
                  <c:v>910.43</c:v>
                </c:pt>
                <c:pt idx="109">
                  <c:v>915.11</c:v>
                </c:pt>
                <c:pt idx="110">
                  <c:v>919.39</c:v>
                </c:pt>
                <c:pt idx="111">
                  <c:v>923.05</c:v>
                </c:pt>
                <c:pt idx="112">
                  <c:v>926.11</c:v>
                </c:pt>
                <c:pt idx="113">
                  <c:v>928.3</c:v>
                </c:pt>
                <c:pt idx="114">
                  <c:v>930.09</c:v>
                </c:pt>
                <c:pt idx="115">
                  <c:v>931.6</c:v>
                </c:pt>
                <c:pt idx="116">
                  <c:v>931.96</c:v>
                </c:pt>
                <c:pt idx="117">
                  <c:v>929.89</c:v>
                </c:pt>
                <c:pt idx="118">
                  <c:v>929.03</c:v>
                </c:pt>
                <c:pt idx="119">
                  <c:v>928.46</c:v>
                </c:pt>
                <c:pt idx="120">
                  <c:v>928.89</c:v>
                </c:pt>
                <c:pt idx="121">
                  <c:v>929.56</c:v>
                </c:pt>
                <c:pt idx="122">
                  <c:v>929.19</c:v>
                </c:pt>
                <c:pt idx="123">
                  <c:v>929.2</c:v>
                </c:pt>
                <c:pt idx="124">
                  <c:v>929.51</c:v>
                </c:pt>
                <c:pt idx="125">
                  <c:v>929.86</c:v>
                </c:pt>
                <c:pt idx="126">
                  <c:v>930.13</c:v>
                </c:pt>
                <c:pt idx="127">
                  <c:v>929.17</c:v>
                </c:pt>
                <c:pt idx="128">
                  <c:v>927.13</c:v>
                </c:pt>
                <c:pt idx="129">
                  <c:v>926.03</c:v>
                </c:pt>
                <c:pt idx="130">
                  <c:v>924.59</c:v>
                </c:pt>
                <c:pt idx="131">
                  <c:v>922.58</c:v>
                </c:pt>
                <c:pt idx="132">
                  <c:v>920.9</c:v>
                </c:pt>
                <c:pt idx="133">
                  <c:v>919.5</c:v>
                </c:pt>
                <c:pt idx="134">
                  <c:v>918.32</c:v>
                </c:pt>
                <c:pt idx="135">
                  <c:v>917.15</c:v>
                </c:pt>
                <c:pt idx="136">
                  <c:v>915.72</c:v>
                </c:pt>
                <c:pt idx="137">
                  <c:v>913.48</c:v>
                </c:pt>
                <c:pt idx="138">
                  <c:v>911.19</c:v>
                </c:pt>
                <c:pt idx="139">
                  <c:v>908.94</c:v>
                </c:pt>
                <c:pt idx="140">
                  <c:v>907.36</c:v>
                </c:pt>
                <c:pt idx="141">
                  <c:v>906.03</c:v>
                </c:pt>
                <c:pt idx="142">
                  <c:v>903.54</c:v>
                </c:pt>
                <c:pt idx="143">
                  <c:v>902.11</c:v>
                </c:pt>
                <c:pt idx="144">
                  <c:v>902.25</c:v>
                </c:pt>
                <c:pt idx="145">
                  <c:v>899.17</c:v>
                </c:pt>
                <c:pt idx="146">
                  <c:v>901.63</c:v>
                </c:pt>
                <c:pt idx="147">
                  <c:v>901.59</c:v>
                </c:pt>
                <c:pt idx="148">
                  <c:v>902.53</c:v>
                </c:pt>
                <c:pt idx="149">
                  <c:v>903.47</c:v>
                </c:pt>
                <c:pt idx="150">
                  <c:v>899.54</c:v>
                </c:pt>
                <c:pt idx="151">
                  <c:v>895.6</c:v>
                </c:pt>
                <c:pt idx="152">
                  <c:v>891.29</c:v>
                </c:pt>
                <c:pt idx="153">
                  <c:v>886.99</c:v>
                </c:pt>
                <c:pt idx="154">
                  <c:v>881.97</c:v>
                </c:pt>
                <c:pt idx="155">
                  <c:v>876.28</c:v>
                </c:pt>
                <c:pt idx="156">
                  <c:v>875.61</c:v>
                </c:pt>
                <c:pt idx="157">
                  <c:v>870.12</c:v>
                </c:pt>
                <c:pt idx="158">
                  <c:v>866.7</c:v>
                </c:pt>
                <c:pt idx="159">
                  <c:v>857.13</c:v>
                </c:pt>
                <c:pt idx="160">
                  <c:v>852.94</c:v>
                </c:pt>
                <c:pt idx="161">
                  <c:v>842.64</c:v>
                </c:pt>
                <c:pt idx="162">
                  <c:v>840.57</c:v>
                </c:pt>
                <c:pt idx="163">
                  <c:v>837.73</c:v>
                </c:pt>
                <c:pt idx="164">
                  <c:v>836.2</c:v>
                </c:pt>
                <c:pt idx="165">
                  <c:v>835.43</c:v>
                </c:pt>
                <c:pt idx="166">
                  <c:v>833.61</c:v>
                </c:pt>
                <c:pt idx="167">
                  <c:v>831.25</c:v>
                </c:pt>
                <c:pt idx="168">
                  <c:v>827.03</c:v>
                </c:pt>
                <c:pt idx="169">
                  <c:v>824.77</c:v>
                </c:pt>
                <c:pt idx="170">
                  <c:v>819.31</c:v>
                </c:pt>
                <c:pt idx="171">
                  <c:v>814</c:v>
                </c:pt>
                <c:pt idx="172">
                  <c:v>809.08</c:v>
                </c:pt>
                <c:pt idx="173">
                  <c:v>805.22</c:v>
                </c:pt>
                <c:pt idx="174">
                  <c:v>802.16</c:v>
                </c:pt>
                <c:pt idx="175">
                  <c:v>800.38</c:v>
                </c:pt>
                <c:pt idx="176">
                  <c:v>802.63</c:v>
                </c:pt>
                <c:pt idx="177">
                  <c:v>799.16</c:v>
                </c:pt>
                <c:pt idx="178">
                  <c:v>798.44</c:v>
                </c:pt>
                <c:pt idx="179">
                  <c:v>793.65</c:v>
                </c:pt>
                <c:pt idx="180">
                  <c:v>786.77</c:v>
                </c:pt>
                <c:pt idx="181">
                  <c:v>782.31</c:v>
                </c:pt>
                <c:pt idx="182">
                  <c:v>776.12</c:v>
                </c:pt>
                <c:pt idx="183">
                  <c:v>769.61</c:v>
                </c:pt>
                <c:pt idx="184">
                  <c:v>763.64</c:v>
                </c:pt>
                <c:pt idx="185">
                  <c:v>757.34</c:v>
                </c:pt>
                <c:pt idx="186">
                  <c:v>751.44</c:v>
                </c:pt>
                <c:pt idx="187">
                  <c:v>746.08</c:v>
                </c:pt>
                <c:pt idx="188">
                  <c:v>741.68</c:v>
                </c:pt>
                <c:pt idx="189">
                  <c:v>740.87</c:v>
                </c:pt>
                <c:pt idx="190">
                  <c:v>740.59</c:v>
                </c:pt>
                <c:pt idx="191">
                  <c:v>742.46</c:v>
                </c:pt>
                <c:pt idx="192">
                  <c:v>744.42</c:v>
                </c:pt>
                <c:pt idx="193">
                  <c:v>746.33</c:v>
                </c:pt>
                <c:pt idx="194">
                  <c:v>747.31</c:v>
                </c:pt>
                <c:pt idx="195">
                  <c:v>746.09</c:v>
                </c:pt>
                <c:pt idx="196">
                  <c:v>744.27</c:v>
                </c:pt>
                <c:pt idx="197">
                  <c:v>742.44</c:v>
                </c:pt>
                <c:pt idx="198">
                  <c:v>741.44</c:v>
                </c:pt>
                <c:pt idx="199">
                  <c:v>739.79</c:v>
                </c:pt>
                <c:pt idx="200">
                  <c:v>739.14</c:v>
                </c:pt>
                <c:pt idx="201">
                  <c:v>736.94</c:v>
                </c:pt>
                <c:pt idx="202">
                  <c:v>734.84</c:v>
                </c:pt>
                <c:pt idx="203">
                  <c:v>732.76</c:v>
                </c:pt>
                <c:pt idx="204">
                  <c:v>728.77</c:v>
                </c:pt>
                <c:pt idx="205">
                  <c:v>724.18</c:v>
                </c:pt>
                <c:pt idx="206">
                  <c:v>719</c:v>
                </c:pt>
                <c:pt idx="207">
                  <c:v>714.11</c:v>
                </c:pt>
                <c:pt idx="208">
                  <c:v>708.18</c:v>
                </c:pt>
                <c:pt idx="209">
                  <c:v>702.2</c:v>
                </c:pt>
                <c:pt idx="210">
                  <c:v>696.63</c:v>
                </c:pt>
                <c:pt idx="211">
                  <c:v>689.88</c:v>
                </c:pt>
                <c:pt idx="212">
                  <c:v>685.85</c:v>
                </c:pt>
                <c:pt idx="213">
                  <c:v>679.53</c:v>
                </c:pt>
                <c:pt idx="214">
                  <c:v>675.15</c:v>
                </c:pt>
                <c:pt idx="215">
                  <c:v>671.84</c:v>
                </c:pt>
                <c:pt idx="216">
                  <c:v>664.7</c:v>
                </c:pt>
                <c:pt idx="217">
                  <c:v>659.55</c:v>
                </c:pt>
                <c:pt idx="218">
                  <c:v>656.68</c:v>
                </c:pt>
                <c:pt idx="219">
                  <c:v>651.27</c:v>
                </c:pt>
                <c:pt idx="220">
                  <c:v>645.86</c:v>
                </c:pt>
                <c:pt idx="221">
                  <c:v>640.15</c:v>
                </c:pt>
                <c:pt idx="222">
                  <c:v>636.07000000000005</c:v>
                </c:pt>
                <c:pt idx="223">
                  <c:v>630.74</c:v>
                </c:pt>
                <c:pt idx="224">
                  <c:v>625.24</c:v>
                </c:pt>
                <c:pt idx="225">
                  <c:v>619.9</c:v>
                </c:pt>
                <c:pt idx="226">
                  <c:v>614.19000000000005</c:v>
                </c:pt>
                <c:pt idx="227">
                  <c:v>609.02</c:v>
                </c:pt>
                <c:pt idx="228">
                  <c:v>604.38</c:v>
                </c:pt>
                <c:pt idx="229">
                  <c:v>599.12</c:v>
                </c:pt>
                <c:pt idx="230">
                  <c:v>593.82000000000005</c:v>
                </c:pt>
                <c:pt idx="231">
                  <c:v>587.53</c:v>
                </c:pt>
                <c:pt idx="232">
                  <c:v>582.04999999999995</c:v>
                </c:pt>
                <c:pt idx="233">
                  <c:v>580.45000000000005</c:v>
                </c:pt>
                <c:pt idx="234">
                  <c:v>576.99</c:v>
                </c:pt>
                <c:pt idx="235">
                  <c:v>571.41</c:v>
                </c:pt>
                <c:pt idx="236">
                  <c:v>566.48</c:v>
                </c:pt>
                <c:pt idx="237">
                  <c:v>560.87</c:v>
                </c:pt>
                <c:pt idx="238">
                  <c:v>555.6</c:v>
                </c:pt>
                <c:pt idx="239">
                  <c:v>550.30999999999995</c:v>
                </c:pt>
                <c:pt idx="240">
                  <c:v>545.54999999999995</c:v>
                </c:pt>
                <c:pt idx="241">
                  <c:v>541.99</c:v>
                </c:pt>
                <c:pt idx="242">
                  <c:v>542.09</c:v>
                </c:pt>
                <c:pt idx="243">
                  <c:v>540.85</c:v>
                </c:pt>
                <c:pt idx="244">
                  <c:v>538.91</c:v>
                </c:pt>
                <c:pt idx="245">
                  <c:v>534.41</c:v>
                </c:pt>
                <c:pt idx="246">
                  <c:v>530.12</c:v>
                </c:pt>
                <c:pt idx="247">
                  <c:v>526.92999999999995</c:v>
                </c:pt>
                <c:pt idx="248">
                  <c:v>522.27</c:v>
                </c:pt>
                <c:pt idx="249">
                  <c:v>518.63</c:v>
                </c:pt>
                <c:pt idx="250">
                  <c:v>512.83000000000004</c:v>
                </c:pt>
                <c:pt idx="251">
                  <c:v>508.36</c:v>
                </c:pt>
                <c:pt idx="252">
                  <c:v>504.04</c:v>
                </c:pt>
                <c:pt idx="253">
                  <c:v>499.97</c:v>
                </c:pt>
                <c:pt idx="254">
                  <c:v>495.88</c:v>
                </c:pt>
                <c:pt idx="255">
                  <c:v>491.93</c:v>
                </c:pt>
                <c:pt idx="256">
                  <c:v>487.85</c:v>
                </c:pt>
                <c:pt idx="257">
                  <c:v>483.57</c:v>
                </c:pt>
                <c:pt idx="258">
                  <c:v>479.1</c:v>
                </c:pt>
                <c:pt idx="259">
                  <c:v>477.4</c:v>
                </c:pt>
                <c:pt idx="260">
                  <c:v>476.35</c:v>
                </c:pt>
                <c:pt idx="261">
                  <c:v>474.79</c:v>
                </c:pt>
                <c:pt idx="262">
                  <c:v>473.44</c:v>
                </c:pt>
                <c:pt idx="263">
                  <c:v>471.93</c:v>
                </c:pt>
                <c:pt idx="264">
                  <c:v>470.43</c:v>
                </c:pt>
                <c:pt idx="265">
                  <c:v>468.16</c:v>
                </c:pt>
                <c:pt idx="266">
                  <c:v>465.43</c:v>
                </c:pt>
                <c:pt idx="267">
                  <c:v>463</c:v>
                </c:pt>
                <c:pt idx="268">
                  <c:v>462.52</c:v>
                </c:pt>
                <c:pt idx="269">
                  <c:v>463.03</c:v>
                </c:pt>
                <c:pt idx="270">
                  <c:v>462.62</c:v>
                </c:pt>
                <c:pt idx="271">
                  <c:v>460.02</c:v>
                </c:pt>
                <c:pt idx="272">
                  <c:v>455.04</c:v>
                </c:pt>
                <c:pt idx="273">
                  <c:v>452.41</c:v>
                </c:pt>
                <c:pt idx="274">
                  <c:v>452.36</c:v>
                </c:pt>
                <c:pt idx="275">
                  <c:v>455.29</c:v>
                </c:pt>
                <c:pt idx="276">
                  <c:v>459.42</c:v>
                </c:pt>
                <c:pt idx="277">
                  <c:v>463.31</c:v>
                </c:pt>
                <c:pt idx="278">
                  <c:v>469.58</c:v>
                </c:pt>
                <c:pt idx="279">
                  <c:v>474.8</c:v>
                </c:pt>
                <c:pt idx="280">
                  <c:v>479.81</c:v>
                </c:pt>
                <c:pt idx="281">
                  <c:v>484.34</c:v>
                </c:pt>
                <c:pt idx="282">
                  <c:v>487.43</c:v>
                </c:pt>
                <c:pt idx="283">
                  <c:v>490.01</c:v>
                </c:pt>
                <c:pt idx="284">
                  <c:v>490.86</c:v>
                </c:pt>
                <c:pt idx="285">
                  <c:v>491.91</c:v>
                </c:pt>
                <c:pt idx="286">
                  <c:v>492.3</c:v>
                </c:pt>
                <c:pt idx="287">
                  <c:v>493.03</c:v>
                </c:pt>
                <c:pt idx="288">
                  <c:v>493.29</c:v>
                </c:pt>
                <c:pt idx="289">
                  <c:v>493.43</c:v>
                </c:pt>
                <c:pt idx="290">
                  <c:v>493.44</c:v>
                </c:pt>
                <c:pt idx="291">
                  <c:v>494.51</c:v>
                </c:pt>
                <c:pt idx="292">
                  <c:v>493.57</c:v>
                </c:pt>
                <c:pt idx="293">
                  <c:v>492.93</c:v>
                </c:pt>
                <c:pt idx="294">
                  <c:v>489.37</c:v>
                </c:pt>
                <c:pt idx="295">
                  <c:v>485.68</c:v>
                </c:pt>
                <c:pt idx="296">
                  <c:v>480.64</c:v>
                </c:pt>
                <c:pt idx="297">
                  <c:v>476.99</c:v>
                </c:pt>
                <c:pt idx="298">
                  <c:v>470.66</c:v>
                </c:pt>
                <c:pt idx="299">
                  <c:v>463.89</c:v>
                </c:pt>
                <c:pt idx="300">
                  <c:v>460.07</c:v>
                </c:pt>
                <c:pt idx="301">
                  <c:v>456.13</c:v>
                </c:pt>
                <c:pt idx="302">
                  <c:v>451.38</c:v>
                </c:pt>
                <c:pt idx="303">
                  <c:v>450.22</c:v>
                </c:pt>
                <c:pt idx="304">
                  <c:v>453.86</c:v>
                </c:pt>
                <c:pt idx="305">
                  <c:v>457.48</c:v>
                </c:pt>
                <c:pt idx="306">
                  <c:v>459.88</c:v>
                </c:pt>
                <c:pt idx="307">
                  <c:v>465.41</c:v>
                </c:pt>
                <c:pt idx="308">
                  <c:v>470.94</c:v>
                </c:pt>
                <c:pt idx="309">
                  <c:v>475.9</c:v>
                </c:pt>
                <c:pt idx="310">
                  <c:v>479.3</c:v>
                </c:pt>
                <c:pt idx="311">
                  <c:v>482.68</c:v>
                </c:pt>
                <c:pt idx="312">
                  <c:v>486.23</c:v>
                </c:pt>
                <c:pt idx="313">
                  <c:v>490.1</c:v>
                </c:pt>
                <c:pt idx="314">
                  <c:v>493.35</c:v>
                </c:pt>
                <c:pt idx="315">
                  <c:v>497.66</c:v>
                </c:pt>
                <c:pt idx="316">
                  <c:v>501.16</c:v>
                </c:pt>
                <c:pt idx="317">
                  <c:v>505.28</c:v>
                </c:pt>
                <c:pt idx="318">
                  <c:v>508.94</c:v>
                </c:pt>
                <c:pt idx="319">
                  <c:v>512.79</c:v>
                </c:pt>
                <c:pt idx="320">
                  <c:v>515.04</c:v>
                </c:pt>
                <c:pt idx="321">
                  <c:v>517.13</c:v>
                </c:pt>
                <c:pt idx="322">
                  <c:v>519.46</c:v>
                </c:pt>
                <c:pt idx="323">
                  <c:v>522.54</c:v>
                </c:pt>
                <c:pt idx="324">
                  <c:v>526.22</c:v>
                </c:pt>
                <c:pt idx="325">
                  <c:v>529.88</c:v>
                </c:pt>
                <c:pt idx="326">
                  <c:v>533.01</c:v>
                </c:pt>
                <c:pt idx="327">
                  <c:v>536.33000000000004</c:v>
                </c:pt>
                <c:pt idx="328">
                  <c:v>540.03</c:v>
                </c:pt>
              </c:numCache>
            </c:numRef>
          </c:yVal>
          <c:smooth val="0"/>
          <c:extLst>
            <c:ext xmlns:c16="http://schemas.microsoft.com/office/drawing/2014/chart" uri="{C3380CC4-5D6E-409C-BE32-E72D297353CC}">
              <c16:uniqueId val="{00000658-F133-4C85-A697-0DE7DD632797}"/>
            </c:ext>
          </c:extLst>
        </c:ser>
        <c:dLbls>
          <c:showLegendKey val="0"/>
          <c:showVal val="0"/>
          <c:showCatName val="0"/>
          <c:showSerName val="0"/>
          <c:showPercent val="0"/>
          <c:showBubbleSize val="0"/>
        </c:dLbls>
        <c:axId val="293577295"/>
        <c:axId val="295654639"/>
        <c:extLst/>
      </c:scatterChart>
      <c:valAx>
        <c:axId val="293577295"/>
        <c:scaling>
          <c:orientation val="minMax"/>
          <c:max val="2165"/>
          <c:min val="5"/>
        </c:scaling>
        <c:delete val="0"/>
        <c:axPos val="t"/>
        <c:numFmt formatCode="0\+000" sourceLinked="0"/>
        <c:majorTickMark val="none"/>
        <c:minorTickMark val="none"/>
        <c:tickLblPos val="high"/>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entury Gothic" panose="020B0502020202020204" pitchFamily="34" charset="0"/>
                <a:ea typeface="+mn-ea"/>
                <a:cs typeface="+mn-cs"/>
              </a:defRPr>
            </a:pPr>
            <a:endParaRPr lang="es-PE"/>
          </a:p>
        </c:txPr>
        <c:crossAx val="295654639"/>
        <c:crosses val="autoZero"/>
        <c:crossBetween val="midCat"/>
        <c:majorUnit val="200"/>
        <c:minorUnit val="40"/>
      </c:valAx>
      <c:valAx>
        <c:axId val="295654639"/>
        <c:scaling>
          <c:orientation val="maxMin"/>
          <c:max val="1037"/>
          <c:min val="-270"/>
        </c:scaling>
        <c:delete val="0"/>
        <c:axPos val="l"/>
        <c:numFmt formatCode="0\+000" sourceLinked="0"/>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entury Gothic" panose="020B0502020202020204" pitchFamily="34" charset="0"/>
                <a:ea typeface="+mn-ea"/>
                <a:cs typeface="+mn-cs"/>
              </a:defRPr>
            </a:pPr>
            <a:endParaRPr lang="es-PE"/>
          </a:p>
        </c:txPr>
        <c:crossAx val="293577295"/>
        <c:crosses val="autoZero"/>
        <c:crossBetween val="midCat"/>
        <c:majorUnit val="27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50000"/>
          <a:lumOff val="50000"/>
        </a:schemeClr>
      </a:solidFill>
      <a:prstDash val="dash"/>
      <a:round/>
    </a:ln>
    <a:effectLst/>
  </c:spPr>
  <c:txPr>
    <a:bodyPr/>
    <a:lstStyle/>
    <a:p>
      <a:pPr>
        <a:defRPr>
          <a:latin typeface="Century Gothic" panose="020B0502020202020204" pitchFamily="34" charset="0"/>
        </a:defRPr>
      </a:pPr>
      <a:endParaRPr lang="es-PE"/>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6693903050021338E-2"/>
          <c:y val="2.7446733112626843E-2"/>
          <c:w val="0.91850643178636449"/>
          <c:h val="0.90674451439493164"/>
        </c:manualLayout>
      </c:layout>
      <c:scatterChart>
        <c:scatterStyle val="lineMarker"/>
        <c:varyColors val="0"/>
        <c:ser>
          <c:idx val="0"/>
          <c:order val="0"/>
          <c:tx>
            <c:strRef>
              <c:f>'R Semanal'!$AJ$1:$AL$1</c:f>
              <c:strCache>
                <c:ptCount val="1"/>
                <c:pt idx="0">
                  <c:v>CONTORNO - ABRIL 2025</c:v>
                </c:pt>
              </c:strCache>
            </c:strRef>
          </c:tx>
          <c:spPr>
            <a:ln w="12700" cap="rnd">
              <a:solidFill>
                <a:schemeClr val="tx1"/>
              </a:solidFill>
              <a:round/>
            </a:ln>
            <a:effectLst/>
          </c:spPr>
          <c:marker>
            <c:symbol val="none"/>
          </c:marker>
          <c:dLbls>
            <c:dLbl>
              <c:idx val="146"/>
              <c:tx>
                <c:rich>
                  <a:bodyPr/>
                  <a:lstStyle/>
                  <a:p>
                    <a:r>
                      <a:rPr lang="en-US"/>
                      <a:t>Dren C7</a:t>
                    </a:r>
                  </a:p>
                </c:rich>
              </c:tx>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B8D0-4DF5-8848-F706FF0328A8}"/>
                </c:ext>
              </c:extLst>
            </c:dLbl>
            <c:dLbl>
              <c:idx val="194"/>
              <c:tx>
                <c:rich>
                  <a:bodyPr/>
                  <a:lstStyle/>
                  <a:p>
                    <a:r>
                      <a:rPr lang="en-US"/>
                      <a:t>C11</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B8D0-4DF5-8848-F706FF0328A8}"/>
                </c:ext>
              </c:extLst>
            </c:dLbl>
            <c:dLbl>
              <c:idx val="229"/>
              <c:tx>
                <c:rich>
                  <a:bodyPr/>
                  <a:lstStyle/>
                  <a:p>
                    <a:r>
                      <a:rPr lang="en-US"/>
                      <a:t>C10</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B8D0-4DF5-8848-F706FF0328A8}"/>
                </c:ext>
              </c:extLst>
            </c:dLbl>
            <c:dLbl>
              <c:idx val="324"/>
              <c:tx>
                <c:rich>
                  <a:bodyPr/>
                  <a:lstStyle/>
                  <a:p>
                    <a:r>
                      <a:rPr lang="en-US"/>
                      <a:t>C2</a:t>
                    </a:r>
                  </a:p>
                </c:rich>
              </c:tx>
              <c:dLblPos val="l"/>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6C12-4707-A649-2DD3A0C072F2}"/>
                </c:ext>
              </c:extLst>
            </c:dLbl>
            <c:dLbl>
              <c:idx val="376"/>
              <c:tx>
                <c:rich>
                  <a:bodyPr/>
                  <a:lstStyle/>
                  <a:p>
                    <a:r>
                      <a:rPr lang="en-US"/>
                      <a:t>C6</a:t>
                    </a:r>
                  </a:p>
                </c:rich>
              </c:tx>
              <c:dLblPos val="l"/>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B8D0-4DF5-8848-F706FF0328A8}"/>
                </c:ext>
              </c:extLst>
            </c:dLbl>
            <c:dLbl>
              <c:idx val="390"/>
              <c:tx>
                <c:rich>
                  <a:bodyPr/>
                  <a:lstStyle/>
                  <a:p>
                    <a:r>
                      <a:rPr lang="en-US"/>
                      <a:t>C5</a:t>
                    </a:r>
                  </a:p>
                </c:rich>
              </c:tx>
              <c:dLblPos val="l"/>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B8D0-4DF5-8848-F706FF0328A8}"/>
                </c:ext>
              </c:extLst>
            </c:dLbl>
            <c:dLbl>
              <c:idx val="438"/>
              <c:tx>
                <c:rich>
                  <a:bodyPr/>
                  <a:lstStyle/>
                  <a:p>
                    <a:r>
                      <a:rPr lang="en-US"/>
                      <a:t>C4</a:t>
                    </a:r>
                  </a:p>
                </c:rich>
              </c:tx>
              <c:dLblPos val="l"/>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B8D0-4DF5-8848-F706FF0328A8}"/>
                </c:ext>
              </c:extLst>
            </c:dLbl>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entury Gothic" panose="020B0502020202020204" pitchFamily="34" charset="0"/>
                    <a:ea typeface="+mn-ea"/>
                    <a:cs typeface="+mn-cs"/>
                  </a:defRPr>
                </a:pPr>
                <a:endParaRPr lang="es-PE"/>
              </a:p>
            </c:txPr>
            <c:dLblPos val="l"/>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'R Semanal'!$AJ$2:$AJ$1503</c:f>
              <c:numCache>
                <c:formatCode>0\+000.00</c:formatCode>
                <c:ptCount val="1502"/>
                <c:pt idx="0">
                  <c:v>2158.2199999999998</c:v>
                </c:pt>
                <c:pt idx="1">
                  <c:v>2156.13</c:v>
                </c:pt>
                <c:pt idx="2">
                  <c:v>2153.64</c:v>
                </c:pt>
                <c:pt idx="3">
                  <c:v>2150.86</c:v>
                </c:pt>
                <c:pt idx="4">
                  <c:v>2148.1999999999998</c:v>
                </c:pt>
                <c:pt idx="5">
                  <c:v>2143.61</c:v>
                </c:pt>
                <c:pt idx="6">
                  <c:v>2141.06</c:v>
                </c:pt>
                <c:pt idx="7">
                  <c:v>2138.37</c:v>
                </c:pt>
                <c:pt idx="8">
                  <c:v>2133.36</c:v>
                </c:pt>
                <c:pt idx="9">
                  <c:v>2132.44</c:v>
                </c:pt>
                <c:pt idx="10">
                  <c:v>2129.21</c:v>
                </c:pt>
                <c:pt idx="11">
                  <c:v>2125.04</c:v>
                </c:pt>
                <c:pt idx="12">
                  <c:v>2120.85</c:v>
                </c:pt>
                <c:pt idx="13">
                  <c:v>2118.5</c:v>
                </c:pt>
                <c:pt idx="14">
                  <c:v>2118.17</c:v>
                </c:pt>
                <c:pt idx="15">
                  <c:v>2118.59</c:v>
                </c:pt>
                <c:pt idx="16">
                  <c:v>2121.34</c:v>
                </c:pt>
                <c:pt idx="17">
                  <c:v>2124.8200000000002</c:v>
                </c:pt>
                <c:pt idx="18">
                  <c:v>2127.9899999999998</c:v>
                </c:pt>
                <c:pt idx="19">
                  <c:v>2129.5100000000002</c:v>
                </c:pt>
                <c:pt idx="20">
                  <c:v>2126.6</c:v>
                </c:pt>
                <c:pt idx="21">
                  <c:v>2122.09</c:v>
                </c:pt>
                <c:pt idx="22">
                  <c:v>2117.84</c:v>
                </c:pt>
                <c:pt idx="23">
                  <c:v>2113.5100000000002</c:v>
                </c:pt>
                <c:pt idx="24">
                  <c:v>2109.77</c:v>
                </c:pt>
                <c:pt idx="25">
                  <c:v>2106.46</c:v>
                </c:pt>
                <c:pt idx="26">
                  <c:v>2103.9699999999998</c:v>
                </c:pt>
                <c:pt idx="27">
                  <c:v>2100.09</c:v>
                </c:pt>
                <c:pt idx="28">
                  <c:v>2097.66</c:v>
                </c:pt>
                <c:pt idx="29">
                  <c:v>2095.23</c:v>
                </c:pt>
                <c:pt idx="30">
                  <c:v>2091.08</c:v>
                </c:pt>
                <c:pt idx="31">
                  <c:v>2085.73</c:v>
                </c:pt>
                <c:pt idx="32">
                  <c:v>2079.2800000000002</c:v>
                </c:pt>
                <c:pt idx="33">
                  <c:v>2074.2600000000002</c:v>
                </c:pt>
                <c:pt idx="34">
                  <c:v>2073.7199999999998</c:v>
                </c:pt>
                <c:pt idx="35">
                  <c:v>2074.9299999999998</c:v>
                </c:pt>
                <c:pt idx="36">
                  <c:v>2078.61</c:v>
                </c:pt>
                <c:pt idx="37">
                  <c:v>2081.79</c:v>
                </c:pt>
                <c:pt idx="38">
                  <c:v>2087.2199999999998</c:v>
                </c:pt>
                <c:pt idx="39">
                  <c:v>2091.37</c:v>
                </c:pt>
                <c:pt idx="40">
                  <c:v>2092.0500000000002</c:v>
                </c:pt>
                <c:pt idx="41">
                  <c:v>2092.0500000000002</c:v>
                </c:pt>
                <c:pt idx="42">
                  <c:v>2091.73</c:v>
                </c:pt>
                <c:pt idx="43">
                  <c:v>2087.79</c:v>
                </c:pt>
                <c:pt idx="44">
                  <c:v>2085.13</c:v>
                </c:pt>
                <c:pt idx="45">
                  <c:v>2084.1799999999998</c:v>
                </c:pt>
                <c:pt idx="46">
                  <c:v>2076.92</c:v>
                </c:pt>
                <c:pt idx="47">
                  <c:v>2076.92</c:v>
                </c:pt>
                <c:pt idx="48">
                  <c:v>2072.4699999999998</c:v>
                </c:pt>
                <c:pt idx="49">
                  <c:v>2065.54</c:v>
                </c:pt>
                <c:pt idx="50">
                  <c:v>2061.65</c:v>
                </c:pt>
                <c:pt idx="51">
                  <c:v>2057.98</c:v>
                </c:pt>
                <c:pt idx="52">
                  <c:v>2057.52</c:v>
                </c:pt>
                <c:pt idx="53">
                  <c:v>2055.63</c:v>
                </c:pt>
                <c:pt idx="54">
                  <c:v>2052.35</c:v>
                </c:pt>
                <c:pt idx="55">
                  <c:v>2048.5700000000002</c:v>
                </c:pt>
                <c:pt idx="56">
                  <c:v>2043.72</c:v>
                </c:pt>
                <c:pt idx="57">
                  <c:v>2037.78</c:v>
                </c:pt>
                <c:pt idx="58">
                  <c:v>2035.51</c:v>
                </c:pt>
                <c:pt idx="59">
                  <c:v>2030.01</c:v>
                </c:pt>
                <c:pt idx="60">
                  <c:v>2024.36</c:v>
                </c:pt>
                <c:pt idx="61">
                  <c:v>2018.74</c:v>
                </c:pt>
                <c:pt idx="62">
                  <c:v>2011.26</c:v>
                </c:pt>
                <c:pt idx="63">
                  <c:v>2004.97</c:v>
                </c:pt>
                <c:pt idx="64">
                  <c:v>2000.55</c:v>
                </c:pt>
                <c:pt idx="65">
                  <c:v>1996.14</c:v>
                </c:pt>
                <c:pt idx="66">
                  <c:v>1987.38</c:v>
                </c:pt>
                <c:pt idx="67">
                  <c:v>1982.26</c:v>
                </c:pt>
                <c:pt idx="68">
                  <c:v>1977.15</c:v>
                </c:pt>
                <c:pt idx="69">
                  <c:v>1972.07</c:v>
                </c:pt>
                <c:pt idx="70">
                  <c:v>1967.97</c:v>
                </c:pt>
                <c:pt idx="71">
                  <c:v>1962.68</c:v>
                </c:pt>
                <c:pt idx="72">
                  <c:v>1960.32</c:v>
                </c:pt>
                <c:pt idx="73">
                  <c:v>1957.94</c:v>
                </c:pt>
                <c:pt idx="74">
                  <c:v>1955.26</c:v>
                </c:pt>
                <c:pt idx="75">
                  <c:v>1950.42</c:v>
                </c:pt>
                <c:pt idx="76">
                  <c:v>1947.89</c:v>
                </c:pt>
                <c:pt idx="77">
                  <c:v>1944.39</c:v>
                </c:pt>
                <c:pt idx="78">
                  <c:v>1940.88</c:v>
                </c:pt>
                <c:pt idx="79">
                  <c:v>1936.44</c:v>
                </c:pt>
                <c:pt idx="80">
                  <c:v>1932</c:v>
                </c:pt>
                <c:pt idx="81">
                  <c:v>1917.98</c:v>
                </c:pt>
                <c:pt idx="82">
                  <c:v>1913.37</c:v>
                </c:pt>
                <c:pt idx="83">
                  <c:v>1904.56</c:v>
                </c:pt>
                <c:pt idx="84">
                  <c:v>1894.17</c:v>
                </c:pt>
                <c:pt idx="85">
                  <c:v>1887.16</c:v>
                </c:pt>
                <c:pt idx="86">
                  <c:v>1880.16</c:v>
                </c:pt>
                <c:pt idx="87">
                  <c:v>1866.78</c:v>
                </c:pt>
                <c:pt idx="88">
                  <c:v>1861.98</c:v>
                </c:pt>
                <c:pt idx="89">
                  <c:v>1860.64</c:v>
                </c:pt>
                <c:pt idx="90">
                  <c:v>1860.62</c:v>
                </c:pt>
                <c:pt idx="91">
                  <c:v>1859.23</c:v>
                </c:pt>
                <c:pt idx="92">
                  <c:v>1853.67</c:v>
                </c:pt>
                <c:pt idx="93">
                  <c:v>1848.1</c:v>
                </c:pt>
                <c:pt idx="94">
                  <c:v>1842.39</c:v>
                </c:pt>
                <c:pt idx="95">
                  <c:v>1836.68</c:v>
                </c:pt>
                <c:pt idx="96">
                  <c:v>1827.46</c:v>
                </c:pt>
                <c:pt idx="97">
                  <c:v>1821</c:v>
                </c:pt>
                <c:pt idx="98">
                  <c:v>1814.54</c:v>
                </c:pt>
                <c:pt idx="99">
                  <c:v>1809.47</c:v>
                </c:pt>
                <c:pt idx="100">
                  <c:v>1804.4</c:v>
                </c:pt>
                <c:pt idx="101">
                  <c:v>1796.54</c:v>
                </c:pt>
                <c:pt idx="102">
                  <c:v>1788.18</c:v>
                </c:pt>
                <c:pt idx="103">
                  <c:v>1784.05</c:v>
                </c:pt>
                <c:pt idx="104">
                  <c:v>1779.91</c:v>
                </c:pt>
                <c:pt idx="105">
                  <c:v>1776.48</c:v>
                </c:pt>
                <c:pt idx="106">
                  <c:v>1771.65</c:v>
                </c:pt>
                <c:pt idx="107">
                  <c:v>1767.3</c:v>
                </c:pt>
                <c:pt idx="108">
                  <c:v>1766.01</c:v>
                </c:pt>
                <c:pt idx="109">
                  <c:v>1765.48</c:v>
                </c:pt>
                <c:pt idx="110">
                  <c:v>1764.34</c:v>
                </c:pt>
                <c:pt idx="111">
                  <c:v>1764.43</c:v>
                </c:pt>
                <c:pt idx="112">
                  <c:v>1765.75</c:v>
                </c:pt>
                <c:pt idx="113">
                  <c:v>1765.85</c:v>
                </c:pt>
                <c:pt idx="114">
                  <c:v>1765.8</c:v>
                </c:pt>
                <c:pt idx="115">
                  <c:v>1764.71</c:v>
                </c:pt>
                <c:pt idx="116">
                  <c:v>1763.76</c:v>
                </c:pt>
                <c:pt idx="117">
                  <c:v>1764.2</c:v>
                </c:pt>
                <c:pt idx="118">
                  <c:v>1764.65</c:v>
                </c:pt>
                <c:pt idx="119">
                  <c:v>1767.96</c:v>
                </c:pt>
                <c:pt idx="120">
                  <c:v>1765.53</c:v>
                </c:pt>
                <c:pt idx="121">
                  <c:v>1764.05</c:v>
                </c:pt>
                <c:pt idx="122">
                  <c:v>1764.41</c:v>
                </c:pt>
                <c:pt idx="123">
                  <c:v>1764.6</c:v>
                </c:pt>
                <c:pt idx="124">
                  <c:v>1764.7</c:v>
                </c:pt>
                <c:pt idx="125">
                  <c:v>1768.54</c:v>
                </c:pt>
                <c:pt idx="126">
                  <c:v>1768.83</c:v>
                </c:pt>
                <c:pt idx="127">
                  <c:v>1772.5</c:v>
                </c:pt>
                <c:pt idx="128">
                  <c:v>1782.07</c:v>
                </c:pt>
                <c:pt idx="129">
                  <c:v>1787.99</c:v>
                </c:pt>
                <c:pt idx="130">
                  <c:v>1791.86</c:v>
                </c:pt>
                <c:pt idx="131">
                  <c:v>1800.88</c:v>
                </c:pt>
                <c:pt idx="132">
                  <c:v>1809.1</c:v>
                </c:pt>
                <c:pt idx="133">
                  <c:v>1818.3</c:v>
                </c:pt>
                <c:pt idx="134">
                  <c:v>1820.78</c:v>
                </c:pt>
                <c:pt idx="135">
                  <c:v>1827.58</c:v>
                </c:pt>
                <c:pt idx="136">
                  <c:v>1835.53</c:v>
                </c:pt>
                <c:pt idx="137">
                  <c:v>1838</c:v>
                </c:pt>
                <c:pt idx="138">
                  <c:v>1841.29</c:v>
                </c:pt>
                <c:pt idx="139">
                  <c:v>1844.3</c:v>
                </c:pt>
                <c:pt idx="140">
                  <c:v>1846.36</c:v>
                </c:pt>
                <c:pt idx="141">
                  <c:v>1850.02</c:v>
                </c:pt>
                <c:pt idx="142">
                  <c:v>1857.85</c:v>
                </c:pt>
                <c:pt idx="143">
                  <c:v>1858.63</c:v>
                </c:pt>
                <c:pt idx="144">
                  <c:v>1867.86</c:v>
                </c:pt>
                <c:pt idx="145">
                  <c:v>1870.63</c:v>
                </c:pt>
                <c:pt idx="146">
                  <c:v>1873.01</c:v>
                </c:pt>
                <c:pt idx="147">
                  <c:v>1880.58</c:v>
                </c:pt>
                <c:pt idx="148">
                  <c:v>1883.73</c:v>
                </c:pt>
                <c:pt idx="149">
                  <c:v>1891.64</c:v>
                </c:pt>
                <c:pt idx="150">
                  <c:v>1899.42</c:v>
                </c:pt>
                <c:pt idx="151">
                  <c:v>1900.92</c:v>
                </c:pt>
                <c:pt idx="152">
                  <c:v>1908.88</c:v>
                </c:pt>
                <c:pt idx="153">
                  <c:v>1917.83</c:v>
                </c:pt>
                <c:pt idx="154">
                  <c:v>1925.93</c:v>
                </c:pt>
                <c:pt idx="155">
                  <c:v>1927.44</c:v>
                </c:pt>
                <c:pt idx="156">
                  <c:v>1935.57</c:v>
                </c:pt>
                <c:pt idx="157">
                  <c:v>1944.2</c:v>
                </c:pt>
                <c:pt idx="158">
                  <c:v>1947.24</c:v>
                </c:pt>
                <c:pt idx="159">
                  <c:v>1953.83</c:v>
                </c:pt>
                <c:pt idx="160">
                  <c:v>1960.52</c:v>
                </c:pt>
                <c:pt idx="161">
                  <c:v>1971.37</c:v>
                </c:pt>
                <c:pt idx="162">
                  <c:v>1978.95</c:v>
                </c:pt>
                <c:pt idx="163">
                  <c:v>1979.37</c:v>
                </c:pt>
                <c:pt idx="164">
                  <c:v>1979.91</c:v>
                </c:pt>
                <c:pt idx="165">
                  <c:v>1980.07</c:v>
                </c:pt>
                <c:pt idx="166">
                  <c:v>1980.22</c:v>
                </c:pt>
                <c:pt idx="167">
                  <c:v>1980.33</c:v>
                </c:pt>
                <c:pt idx="168">
                  <c:v>1980.43</c:v>
                </c:pt>
                <c:pt idx="169">
                  <c:v>1979.09</c:v>
                </c:pt>
                <c:pt idx="170">
                  <c:v>1978.1</c:v>
                </c:pt>
                <c:pt idx="171">
                  <c:v>1974.85</c:v>
                </c:pt>
                <c:pt idx="172">
                  <c:v>1965.75</c:v>
                </c:pt>
                <c:pt idx="173">
                  <c:v>1956.09</c:v>
                </c:pt>
                <c:pt idx="174">
                  <c:v>1949.47</c:v>
                </c:pt>
                <c:pt idx="175">
                  <c:v>1941.9</c:v>
                </c:pt>
                <c:pt idx="176">
                  <c:v>1937.87</c:v>
                </c:pt>
                <c:pt idx="177">
                  <c:v>1931.99</c:v>
                </c:pt>
                <c:pt idx="178">
                  <c:v>1924.36</c:v>
                </c:pt>
                <c:pt idx="179">
                  <c:v>1920.96</c:v>
                </c:pt>
                <c:pt idx="180">
                  <c:v>1913.13</c:v>
                </c:pt>
                <c:pt idx="181">
                  <c:v>1908.51</c:v>
                </c:pt>
                <c:pt idx="182">
                  <c:v>1901.89</c:v>
                </c:pt>
                <c:pt idx="183">
                  <c:v>1897.52</c:v>
                </c:pt>
                <c:pt idx="184">
                  <c:v>1894.03</c:v>
                </c:pt>
                <c:pt idx="185">
                  <c:v>1891.09</c:v>
                </c:pt>
                <c:pt idx="186">
                  <c:v>1887.76</c:v>
                </c:pt>
                <c:pt idx="187">
                  <c:v>1885.99</c:v>
                </c:pt>
                <c:pt idx="188">
                  <c:v>1885.85</c:v>
                </c:pt>
                <c:pt idx="189">
                  <c:v>1887.49</c:v>
                </c:pt>
                <c:pt idx="190">
                  <c:v>1891.5</c:v>
                </c:pt>
                <c:pt idx="191">
                  <c:v>1896.63</c:v>
                </c:pt>
                <c:pt idx="192">
                  <c:v>1904.84</c:v>
                </c:pt>
                <c:pt idx="193">
                  <c:v>1915.5</c:v>
                </c:pt>
                <c:pt idx="194">
                  <c:v>1911.2</c:v>
                </c:pt>
                <c:pt idx="195">
                  <c:v>1909.29</c:v>
                </c:pt>
                <c:pt idx="196">
                  <c:v>1907.92</c:v>
                </c:pt>
                <c:pt idx="197">
                  <c:v>1906.12</c:v>
                </c:pt>
                <c:pt idx="198">
                  <c:v>1899.83</c:v>
                </c:pt>
                <c:pt idx="199">
                  <c:v>1898.59</c:v>
                </c:pt>
                <c:pt idx="200">
                  <c:v>1890.27</c:v>
                </c:pt>
                <c:pt idx="201">
                  <c:v>1886.08</c:v>
                </c:pt>
                <c:pt idx="202">
                  <c:v>1880.17</c:v>
                </c:pt>
                <c:pt idx="203">
                  <c:v>1876.04</c:v>
                </c:pt>
                <c:pt idx="204">
                  <c:v>1874.35</c:v>
                </c:pt>
                <c:pt idx="205">
                  <c:v>1873.52</c:v>
                </c:pt>
                <c:pt idx="206">
                  <c:v>1870.81</c:v>
                </c:pt>
                <c:pt idx="207">
                  <c:v>1866.13</c:v>
                </c:pt>
                <c:pt idx="208">
                  <c:v>1864.26</c:v>
                </c:pt>
                <c:pt idx="209">
                  <c:v>1863.37</c:v>
                </c:pt>
                <c:pt idx="210">
                  <c:v>1862.13</c:v>
                </c:pt>
                <c:pt idx="211">
                  <c:v>1862.07</c:v>
                </c:pt>
                <c:pt idx="212">
                  <c:v>1864.73</c:v>
                </c:pt>
                <c:pt idx="213">
                  <c:v>1865.16</c:v>
                </c:pt>
                <c:pt idx="214">
                  <c:v>1867.64</c:v>
                </c:pt>
                <c:pt idx="215">
                  <c:v>1864.79</c:v>
                </c:pt>
                <c:pt idx="216">
                  <c:v>1862.68</c:v>
                </c:pt>
                <c:pt idx="217">
                  <c:v>1859.69</c:v>
                </c:pt>
                <c:pt idx="218">
                  <c:v>1859.21</c:v>
                </c:pt>
                <c:pt idx="219">
                  <c:v>1859.34</c:v>
                </c:pt>
                <c:pt idx="220">
                  <c:v>1865.72</c:v>
                </c:pt>
                <c:pt idx="221">
                  <c:v>1867.19</c:v>
                </c:pt>
                <c:pt idx="222">
                  <c:v>1866.31</c:v>
                </c:pt>
                <c:pt idx="223">
                  <c:v>1864.04</c:v>
                </c:pt>
                <c:pt idx="224">
                  <c:v>1863.66</c:v>
                </c:pt>
                <c:pt idx="225">
                  <c:v>1861.4</c:v>
                </c:pt>
                <c:pt idx="226">
                  <c:v>1859.09</c:v>
                </c:pt>
                <c:pt idx="227">
                  <c:v>1861.49</c:v>
                </c:pt>
                <c:pt idx="228">
                  <c:v>1862.93</c:v>
                </c:pt>
                <c:pt idx="229">
                  <c:v>1862.74</c:v>
                </c:pt>
                <c:pt idx="230">
                  <c:v>1857.34</c:v>
                </c:pt>
                <c:pt idx="231">
                  <c:v>1850.56</c:v>
                </c:pt>
                <c:pt idx="232">
                  <c:v>1836.47</c:v>
                </c:pt>
                <c:pt idx="233">
                  <c:v>1835.12</c:v>
                </c:pt>
                <c:pt idx="234">
                  <c:v>1826.5</c:v>
                </c:pt>
                <c:pt idx="235">
                  <c:v>1816.1</c:v>
                </c:pt>
                <c:pt idx="236">
                  <c:v>1814.73</c:v>
                </c:pt>
                <c:pt idx="237">
                  <c:v>1808.56</c:v>
                </c:pt>
                <c:pt idx="238">
                  <c:v>1799.17</c:v>
                </c:pt>
                <c:pt idx="239">
                  <c:v>1794.69</c:v>
                </c:pt>
                <c:pt idx="240">
                  <c:v>1789.3</c:v>
                </c:pt>
                <c:pt idx="241">
                  <c:v>1783.24</c:v>
                </c:pt>
                <c:pt idx="242">
                  <c:v>1778.1</c:v>
                </c:pt>
                <c:pt idx="243">
                  <c:v>1772.83</c:v>
                </c:pt>
                <c:pt idx="244">
                  <c:v>1767.56</c:v>
                </c:pt>
                <c:pt idx="245">
                  <c:v>1762.65</c:v>
                </c:pt>
                <c:pt idx="246">
                  <c:v>1757.4</c:v>
                </c:pt>
                <c:pt idx="247">
                  <c:v>1754.22</c:v>
                </c:pt>
                <c:pt idx="248">
                  <c:v>1747.8</c:v>
                </c:pt>
                <c:pt idx="249">
                  <c:v>1743.01</c:v>
                </c:pt>
                <c:pt idx="250">
                  <c:v>1735.3</c:v>
                </c:pt>
                <c:pt idx="251">
                  <c:v>1730.74</c:v>
                </c:pt>
                <c:pt idx="252">
                  <c:v>1722.63</c:v>
                </c:pt>
                <c:pt idx="253">
                  <c:v>1716.3</c:v>
                </c:pt>
                <c:pt idx="254">
                  <c:v>1710.99</c:v>
                </c:pt>
                <c:pt idx="255">
                  <c:v>1707.85</c:v>
                </c:pt>
                <c:pt idx="256">
                  <c:v>1707.09</c:v>
                </c:pt>
                <c:pt idx="257">
                  <c:v>1699.76</c:v>
                </c:pt>
                <c:pt idx="258">
                  <c:v>1695.72</c:v>
                </c:pt>
                <c:pt idx="259">
                  <c:v>1688.8</c:v>
                </c:pt>
                <c:pt idx="260">
                  <c:v>1683.76</c:v>
                </c:pt>
                <c:pt idx="261">
                  <c:v>1680.08</c:v>
                </c:pt>
                <c:pt idx="262">
                  <c:v>1672.3</c:v>
                </c:pt>
                <c:pt idx="263">
                  <c:v>1665.45</c:v>
                </c:pt>
                <c:pt idx="264">
                  <c:v>1663.97</c:v>
                </c:pt>
                <c:pt idx="265">
                  <c:v>1662.48</c:v>
                </c:pt>
                <c:pt idx="266">
                  <c:v>1657.61</c:v>
                </c:pt>
                <c:pt idx="267">
                  <c:v>1651.01</c:v>
                </c:pt>
                <c:pt idx="268">
                  <c:v>1644.42</c:v>
                </c:pt>
                <c:pt idx="269">
                  <c:v>1638.31</c:v>
                </c:pt>
                <c:pt idx="270">
                  <c:v>1628.82</c:v>
                </c:pt>
                <c:pt idx="271">
                  <c:v>1620.8</c:v>
                </c:pt>
                <c:pt idx="272">
                  <c:v>1607.41</c:v>
                </c:pt>
                <c:pt idx="273">
                  <c:v>1601.77</c:v>
                </c:pt>
                <c:pt idx="274">
                  <c:v>1589.85</c:v>
                </c:pt>
                <c:pt idx="275">
                  <c:v>1587.76</c:v>
                </c:pt>
                <c:pt idx="276">
                  <c:v>1579.12</c:v>
                </c:pt>
                <c:pt idx="277">
                  <c:v>1571.35</c:v>
                </c:pt>
                <c:pt idx="278">
                  <c:v>1564.55</c:v>
                </c:pt>
                <c:pt idx="279">
                  <c:v>1559.93</c:v>
                </c:pt>
                <c:pt idx="280">
                  <c:v>1551.81</c:v>
                </c:pt>
                <c:pt idx="281">
                  <c:v>1550.05</c:v>
                </c:pt>
                <c:pt idx="282">
                  <c:v>1544.4</c:v>
                </c:pt>
                <c:pt idx="283">
                  <c:v>1538.99</c:v>
                </c:pt>
                <c:pt idx="284">
                  <c:v>1527.94</c:v>
                </c:pt>
                <c:pt idx="285">
                  <c:v>1525.32</c:v>
                </c:pt>
                <c:pt idx="286">
                  <c:v>1513.76</c:v>
                </c:pt>
                <c:pt idx="287">
                  <c:v>1510.62</c:v>
                </c:pt>
                <c:pt idx="288">
                  <c:v>1508.54</c:v>
                </c:pt>
                <c:pt idx="289">
                  <c:v>1508.72</c:v>
                </c:pt>
                <c:pt idx="290">
                  <c:v>1512.87</c:v>
                </c:pt>
                <c:pt idx="291">
                  <c:v>1514.47</c:v>
                </c:pt>
                <c:pt idx="292">
                  <c:v>1511.65</c:v>
                </c:pt>
                <c:pt idx="293">
                  <c:v>1508.16</c:v>
                </c:pt>
                <c:pt idx="294">
                  <c:v>1503.27</c:v>
                </c:pt>
                <c:pt idx="295">
                  <c:v>1498.03</c:v>
                </c:pt>
                <c:pt idx="296">
                  <c:v>1492.19</c:v>
                </c:pt>
                <c:pt idx="297">
                  <c:v>1482.4</c:v>
                </c:pt>
                <c:pt idx="298">
                  <c:v>1472.6</c:v>
                </c:pt>
                <c:pt idx="299">
                  <c:v>1463.28</c:v>
                </c:pt>
                <c:pt idx="300">
                  <c:v>1459.09</c:v>
                </c:pt>
                <c:pt idx="301">
                  <c:v>1448.08</c:v>
                </c:pt>
                <c:pt idx="302">
                  <c:v>1440.4</c:v>
                </c:pt>
                <c:pt idx="303">
                  <c:v>1434.42</c:v>
                </c:pt>
                <c:pt idx="304">
                  <c:v>1427.19</c:v>
                </c:pt>
                <c:pt idx="305">
                  <c:v>1425.56</c:v>
                </c:pt>
                <c:pt idx="306">
                  <c:v>1417.49</c:v>
                </c:pt>
                <c:pt idx="307">
                  <c:v>1411.16</c:v>
                </c:pt>
                <c:pt idx="308">
                  <c:v>1410.34</c:v>
                </c:pt>
                <c:pt idx="309">
                  <c:v>1407.24</c:v>
                </c:pt>
                <c:pt idx="310">
                  <c:v>1404.36</c:v>
                </c:pt>
                <c:pt idx="311">
                  <c:v>1403.3</c:v>
                </c:pt>
                <c:pt idx="312">
                  <c:v>1402.24</c:v>
                </c:pt>
                <c:pt idx="313">
                  <c:v>1396.22</c:v>
                </c:pt>
                <c:pt idx="314">
                  <c:v>1390.18</c:v>
                </c:pt>
                <c:pt idx="315">
                  <c:v>1379.9</c:v>
                </c:pt>
                <c:pt idx="316">
                  <c:v>1374.02</c:v>
                </c:pt>
                <c:pt idx="317">
                  <c:v>1367.34</c:v>
                </c:pt>
                <c:pt idx="318">
                  <c:v>1358.44</c:v>
                </c:pt>
                <c:pt idx="319">
                  <c:v>1348.26</c:v>
                </c:pt>
                <c:pt idx="320">
                  <c:v>1340.63</c:v>
                </c:pt>
                <c:pt idx="321">
                  <c:v>1334.88</c:v>
                </c:pt>
                <c:pt idx="322">
                  <c:v>1328.52</c:v>
                </c:pt>
                <c:pt idx="323">
                  <c:v>1321.06</c:v>
                </c:pt>
                <c:pt idx="324">
                  <c:v>1311.35</c:v>
                </c:pt>
                <c:pt idx="325">
                  <c:v>1305.25</c:v>
                </c:pt>
                <c:pt idx="326">
                  <c:v>1297.56</c:v>
                </c:pt>
                <c:pt idx="327">
                  <c:v>1291.8399999999999</c:v>
                </c:pt>
                <c:pt idx="328">
                  <c:v>1286.1099999999999</c:v>
                </c:pt>
                <c:pt idx="329">
                  <c:v>1276.0899999999999</c:v>
                </c:pt>
                <c:pt idx="330">
                  <c:v>1269.92</c:v>
                </c:pt>
                <c:pt idx="331">
                  <c:v>1264.31</c:v>
                </c:pt>
                <c:pt idx="332">
                  <c:v>1255.53</c:v>
                </c:pt>
                <c:pt idx="333">
                  <c:v>1254.6099999999999</c:v>
                </c:pt>
                <c:pt idx="334">
                  <c:v>1248.9100000000001</c:v>
                </c:pt>
                <c:pt idx="335">
                  <c:v>1249.96</c:v>
                </c:pt>
                <c:pt idx="336">
                  <c:v>1247.67</c:v>
                </c:pt>
                <c:pt idx="337">
                  <c:v>1240.9100000000001</c:v>
                </c:pt>
                <c:pt idx="338">
                  <c:v>1237.8399999999999</c:v>
                </c:pt>
                <c:pt idx="339">
                  <c:v>1227.6300000000001</c:v>
                </c:pt>
                <c:pt idx="340">
                  <c:v>1223.2</c:v>
                </c:pt>
                <c:pt idx="341">
                  <c:v>1220.92</c:v>
                </c:pt>
                <c:pt idx="342">
                  <c:v>1216.6600000000001</c:v>
                </c:pt>
                <c:pt idx="343">
                  <c:v>1213.6300000000001</c:v>
                </c:pt>
                <c:pt idx="344">
                  <c:v>1212.9100000000001</c:v>
                </c:pt>
                <c:pt idx="345">
                  <c:v>1212.18</c:v>
                </c:pt>
                <c:pt idx="346">
                  <c:v>1207.8399999999999</c:v>
                </c:pt>
                <c:pt idx="347">
                  <c:v>1203.45</c:v>
                </c:pt>
                <c:pt idx="348">
                  <c:v>1198.5999999999999</c:v>
                </c:pt>
                <c:pt idx="349">
                  <c:v>1192.73</c:v>
                </c:pt>
                <c:pt idx="350">
                  <c:v>1182.6099999999999</c:v>
                </c:pt>
                <c:pt idx="351">
                  <c:v>1177.0899999999999</c:v>
                </c:pt>
                <c:pt idx="352">
                  <c:v>1169.77</c:v>
                </c:pt>
                <c:pt idx="353">
                  <c:v>1158.3800000000001</c:v>
                </c:pt>
                <c:pt idx="354">
                  <c:v>1154.57</c:v>
                </c:pt>
                <c:pt idx="355">
                  <c:v>1154.18</c:v>
                </c:pt>
                <c:pt idx="356">
                  <c:v>1151.8399999999999</c:v>
                </c:pt>
                <c:pt idx="357">
                  <c:v>1150.1199999999999</c:v>
                </c:pt>
                <c:pt idx="358">
                  <c:v>1143.97</c:v>
                </c:pt>
                <c:pt idx="359">
                  <c:v>1137.47</c:v>
                </c:pt>
                <c:pt idx="360">
                  <c:v>1130.97</c:v>
                </c:pt>
                <c:pt idx="361">
                  <c:v>1124.8399999999999</c:v>
                </c:pt>
                <c:pt idx="362">
                  <c:v>1118.8699999999999</c:v>
                </c:pt>
                <c:pt idx="363">
                  <c:v>1111.54</c:v>
                </c:pt>
                <c:pt idx="364">
                  <c:v>1105.3800000000001</c:v>
                </c:pt>
                <c:pt idx="365">
                  <c:v>1099.42</c:v>
                </c:pt>
                <c:pt idx="366">
                  <c:v>1092.95</c:v>
                </c:pt>
                <c:pt idx="367">
                  <c:v>1084.31</c:v>
                </c:pt>
                <c:pt idx="368">
                  <c:v>1082.1500000000001</c:v>
                </c:pt>
                <c:pt idx="369">
                  <c:v>1077.18</c:v>
                </c:pt>
                <c:pt idx="370">
                  <c:v>1069.04</c:v>
                </c:pt>
                <c:pt idx="371">
                  <c:v>1064.6500000000001</c:v>
                </c:pt>
                <c:pt idx="372">
                  <c:v>1061.3</c:v>
                </c:pt>
                <c:pt idx="373">
                  <c:v>1058.07</c:v>
                </c:pt>
                <c:pt idx="374">
                  <c:v>1050.9000000000001</c:v>
                </c:pt>
                <c:pt idx="375">
                  <c:v>1044.3399999999999</c:v>
                </c:pt>
                <c:pt idx="376">
                  <c:v>1037.6300000000001</c:v>
                </c:pt>
                <c:pt idx="377">
                  <c:v>1036.72</c:v>
                </c:pt>
                <c:pt idx="378">
                  <c:v>1032.93</c:v>
                </c:pt>
                <c:pt idx="379">
                  <c:v>1031.58</c:v>
                </c:pt>
                <c:pt idx="380">
                  <c:v>1032.8800000000001</c:v>
                </c:pt>
                <c:pt idx="381">
                  <c:v>1033.8900000000001</c:v>
                </c:pt>
                <c:pt idx="382">
                  <c:v>1033.8900000000001</c:v>
                </c:pt>
                <c:pt idx="383">
                  <c:v>1037.0999999999999</c:v>
                </c:pt>
                <c:pt idx="384">
                  <c:v>1040.56</c:v>
                </c:pt>
                <c:pt idx="385">
                  <c:v>1050.4000000000001</c:v>
                </c:pt>
                <c:pt idx="386">
                  <c:v>1053.49</c:v>
                </c:pt>
                <c:pt idx="387">
                  <c:v>1052.58</c:v>
                </c:pt>
                <c:pt idx="388">
                  <c:v>1049.44</c:v>
                </c:pt>
                <c:pt idx="389">
                  <c:v>1042.1300000000001</c:v>
                </c:pt>
                <c:pt idx="390">
                  <c:v>1038.1600000000001</c:v>
                </c:pt>
                <c:pt idx="391">
                  <c:v>1030.02</c:v>
                </c:pt>
                <c:pt idx="392">
                  <c:v>1030.03</c:v>
                </c:pt>
                <c:pt idx="393">
                  <c:v>1030.03</c:v>
                </c:pt>
                <c:pt idx="394">
                  <c:v>1027.8699999999999</c:v>
                </c:pt>
                <c:pt idx="395">
                  <c:v>1029.07</c:v>
                </c:pt>
                <c:pt idx="396">
                  <c:v>1030.53</c:v>
                </c:pt>
                <c:pt idx="397">
                  <c:v>1038.52</c:v>
                </c:pt>
                <c:pt idx="398">
                  <c:v>1041.1099999999999</c:v>
                </c:pt>
                <c:pt idx="399">
                  <c:v>1046.74</c:v>
                </c:pt>
                <c:pt idx="400">
                  <c:v>1056.1300000000001</c:v>
                </c:pt>
                <c:pt idx="401">
                  <c:v>1064.22</c:v>
                </c:pt>
                <c:pt idx="402">
                  <c:v>1072.3399999999999</c:v>
                </c:pt>
                <c:pt idx="403">
                  <c:v>1080.67</c:v>
                </c:pt>
                <c:pt idx="404">
                  <c:v>1088.3699999999999</c:v>
                </c:pt>
                <c:pt idx="405">
                  <c:v>1094.8599999999999</c:v>
                </c:pt>
                <c:pt idx="406">
                  <c:v>1095.9000000000001</c:v>
                </c:pt>
                <c:pt idx="407">
                  <c:v>1099.18</c:v>
                </c:pt>
                <c:pt idx="408">
                  <c:v>1098.07</c:v>
                </c:pt>
                <c:pt idx="409">
                  <c:v>1096.23</c:v>
                </c:pt>
                <c:pt idx="410">
                  <c:v>1092.6400000000001</c:v>
                </c:pt>
                <c:pt idx="411">
                  <c:v>1091.69</c:v>
                </c:pt>
                <c:pt idx="412">
                  <c:v>1086.19</c:v>
                </c:pt>
                <c:pt idx="413">
                  <c:v>1082.6199999999999</c:v>
                </c:pt>
                <c:pt idx="414">
                  <c:v>1081.8399999999999</c:v>
                </c:pt>
                <c:pt idx="415">
                  <c:v>1081.1099999999999</c:v>
                </c:pt>
                <c:pt idx="416">
                  <c:v>1074.97</c:v>
                </c:pt>
                <c:pt idx="417">
                  <c:v>1069.06</c:v>
                </c:pt>
                <c:pt idx="418">
                  <c:v>1063.8399999999999</c:v>
                </c:pt>
                <c:pt idx="419">
                  <c:v>1058.01</c:v>
                </c:pt>
                <c:pt idx="420">
                  <c:v>1050.01</c:v>
                </c:pt>
                <c:pt idx="421">
                  <c:v>1042.0999999999999</c:v>
                </c:pt>
                <c:pt idx="422">
                  <c:v>1034.77</c:v>
                </c:pt>
                <c:pt idx="423">
                  <c:v>1026.57</c:v>
                </c:pt>
                <c:pt idx="424">
                  <c:v>1020.54</c:v>
                </c:pt>
                <c:pt idx="425">
                  <c:v>1014.45</c:v>
                </c:pt>
                <c:pt idx="426">
                  <c:v>1006.75</c:v>
                </c:pt>
                <c:pt idx="427">
                  <c:v>1000.87</c:v>
                </c:pt>
                <c:pt idx="428">
                  <c:v>991.58</c:v>
                </c:pt>
                <c:pt idx="429">
                  <c:v>984.69</c:v>
                </c:pt>
                <c:pt idx="430">
                  <c:v>971.69</c:v>
                </c:pt>
                <c:pt idx="431">
                  <c:v>962.63</c:v>
                </c:pt>
                <c:pt idx="432">
                  <c:v>955.22</c:v>
                </c:pt>
                <c:pt idx="433">
                  <c:v>947.42</c:v>
                </c:pt>
                <c:pt idx="434">
                  <c:v>933.34</c:v>
                </c:pt>
                <c:pt idx="435">
                  <c:v>931.22</c:v>
                </c:pt>
                <c:pt idx="436">
                  <c:v>928.2</c:v>
                </c:pt>
                <c:pt idx="437">
                  <c:v>921.77</c:v>
                </c:pt>
                <c:pt idx="438">
                  <c:v>917.13</c:v>
                </c:pt>
                <c:pt idx="439">
                  <c:v>913.55</c:v>
                </c:pt>
                <c:pt idx="440">
                  <c:v>914.51</c:v>
                </c:pt>
                <c:pt idx="441">
                  <c:v>918.28</c:v>
                </c:pt>
                <c:pt idx="442">
                  <c:v>921.45</c:v>
                </c:pt>
                <c:pt idx="443">
                  <c:v>920.63</c:v>
                </c:pt>
                <c:pt idx="444">
                  <c:v>916.09</c:v>
                </c:pt>
                <c:pt idx="445">
                  <c:v>910.98</c:v>
                </c:pt>
                <c:pt idx="446">
                  <c:v>905.24</c:v>
                </c:pt>
                <c:pt idx="447">
                  <c:v>904.72</c:v>
                </c:pt>
                <c:pt idx="448">
                  <c:v>909.57</c:v>
                </c:pt>
                <c:pt idx="449">
                  <c:v>912.07</c:v>
                </c:pt>
                <c:pt idx="450">
                  <c:v>913.04</c:v>
                </c:pt>
                <c:pt idx="451">
                  <c:v>914.01</c:v>
                </c:pt>
                <c:pt idx="452">
                  <c:v>918.31</c:v>
                </c:pt>
                <c:pt idx="453">
                  <c:v>920.09</c:v>
                </c:pt>
                <c:pt idx="454">
                  <c:v>920.06</c:v>
                </c:pt>
                <c:pt idx="455">
                  <c:v>919.79</c:v>
                </c:pt>
                <c:pt idx="456">
                  <c:v>914.56</c:v>
                </c:pt>
                <c:pt idx="457">
                  <c:v>911.16</c:v>
                </c:pt>
                <c:pt idx="458">
                  <c:v>901.82</c:v>
                </c:pt>
                <c:pt idx="459">
                  <c:v>899.46</c:v>
                </c:pt>
                <c:pt idx="460">
                  <c:v>897.86</c:v>
                </c:pt>
                <c:pt idx="461">
                  <c:v>900.21</c:v>
                </c:pt>
                <c:pt idx="462">
                  <c:v>898.36</c:v>
                </c:pt>
                <c:pt idx="463">
                  <c:v>897.61</c:v>
                </c:pt>
                <c:pt idx="464">
                  <c:v>897.09</c:v>
                </c:pt>
                <c:pt idx="465">
                  <c:v>891.73</c:v>
                </c:pt>
                <c:pt idx="466">
                  <c:v>887.96</c:v>
                </c:pt>
                <c:pt idx="467">
                  <c:v>881.47</c:v>
                </c:pt>
                <c:pt idx="468">
                  <c:v>874.56</c:v>
                </c:pt>
                <c:pt idx="469">
                  <c:v>862.5</c:v>
                </c:pt>
                <c:pt idx="470">
                  <c:v>852.91</c:v>
                </c:pt>
                <c:pt idx="471">
                  <c:v>842.76</c:v>
                </c:pt>
                <c:pt idx="472">
                  <c:v>835.93</c:v>
                </c:pt>
                <c:pt idx="473">
                  <c:v>835.22</c:v>
                </c:pt>
                <c:pt idx="474">
                  <c:v>828.75</c:v>
                </c:pt>
                <c:pt idx="475">
                  <c:v>824.71</c:v>
                </c:pt>
                <c:pt idx="476">
                  <c:v>814.96</c:v>
                </c:pt>
                <c:pt idx="477">
                  <c:v>808.05</c:v>
                </c:pt>
                <c:pt idx="478">
                  <c:v>799.41</c:v>
                </c:pt>
                <c:pt idx="479">
                  <c:v>795.83</c:v>
                </c:pt>
                <c:pt idx="480">
                  <c:v>788.98</c:v>
                </c:pt>
                <c:pt idx="481">
                  <c:v>786.25</c:v>
                </c:pt>
                <c:pt idx="482">
                  <c:v>779.1</c:v>
                </c:pt>
                <c:pt idx="483">
                  <c:v>775.24</c:v>
                </c:pt>
                <c:pt idx="484">
                  <c:v>766.73</c:v>
                </c:pt>
                <c:pt idx="485">
                  <c:v>758.04</c:v>
                </c:pt>
                <c:pt idx="486">
                  <c:v>752.73</c:v>
                </c:pt>
                <c:pt idx="487">
                  <c:v>743.17</c:v>
                </c:pt>
                <c:pt idx="488">
                  <c:v>735.39</c:v>
                </c:pt>
                <c:pt idx="489">
                  <c:v>726.9</c:v>
                </c:pt>
                <c:pt idx="490">
                  <c:v>726.07</c:v>
                </c:pt>
                <c:pt idx="491">
                  <c:v>717.73</c:v>
                </c:pt>
                <c:pt idx="492">
                  <c:v>712.32</c:v>
                </c:pt>
                <c:pt idx="493">
                  <c:v>702.27</c:v>
                </c:pt>
                <c:pt idx="494">
                  <c:v>696.67</c:v>
                </c:pt>
                <c:pt idx="495">
                  <c:v>689.19</c:v>
                </c:pt>
                <c:pt idx="496">
                  <c:v>685.57</c:v>
                </c:pt>
                <c:pt idx="497">
                  <c:v>681.21</c:v>
                </c:pt>
                <c:pt idx="498">
                  <c:v>676.97</c:v>
                </c:pt>
                <c:pt idx="499">
                  <c:v>668.47</c:v>
                </c:pt>
                <c:pt idx="500">
                  <c:v>662.68</c:v>
                </c:pt>
                <c:pt idx="501">
                  <c:v>659.92</c:v>
                </c:pt>
                <c:pt idx="502">
                  <c:v>657.44</c:v>
                </c:pt>
                <c:pt idx="503">
                  <c:v>656.74</c:v>
                </c:pt>
                <c:pt idx="504">
                  <c:v>654.58000000000004</c:v>
                </c:pt>
                <c:pt idx="505">
                  <c:v>654.30999999999995</c:v>
                </c:pt>
                <c:pt idx="506">
                  <c:v>648.95000000000005</c:v>
                </c:pt>
                <c:pt idx="507">
                  <c:v>645.13</c:v>
                </c:pt>
                <c:pt idx="508">
                  <c:v>640.85</c:v>
                </c:pt>
                <c:pt idx="509">
                  <c:v>639.82000000000005</c:v>
                </c:pt>
                <c:pt idx="510">
                  <c:v>632.29999999999995</c:v>
                </c:pt>
                <c:pt idx="511">
                  <c:v>626.5</c:v>
                </c:pt>
                <c:pt idx="512">
                  <c:v>617</c:v>
                </c:pt>
                <c:pt idx="513">
                  <c:v>612.76</c:v>
                </c:pt>
                <c:pt idx="514">
                  <c:v>606.01</c:v>
                </c:pt>
                <c:pt idx="515">
                  <c:v>602.58000000000004</c:v>
                </c:pt>
                <c:pt idx="516">
                  <c:v>599.03</c:v>
                </c:pt>
                <c:pt idx="517">
                  <c:v>597.79999999999995</c:v>
                </c:pt>
                <c:pt idx="518">
                  <c:v>594.08000000000004</c:v>
                </c:pt>
                <c:pt idx="519">
                  <c:v>593.16999999999996</c:v>
                </c:pt>
                <c:pt idx="520">
                  <c:v>591.39</c:v>
                </c:pt>
                <c:pt idx="521">
                  <c:v>591.03</c:v>
                </c:pt>
                <c:pt idx="522">
                  <c:v>590.67999999999995</c:v>
                </c:pt>
                <c:pt idx="523">
                  <c:v>586.99</c:v>
                </c:pt>
                <c:pt idx="524">
                  <c:v>580.33000000000004</c:v>
                </c:pt>
                <c:pt idx="525">
                  <c:v>572.41</c:v>
                </c:pt>
                <c:pt idx="526">
                  <c:v>566.57000000000005</c:v>
                </c:pt>
                <c:pt idx="527">
                  <c:v>561.80999999999995</c:v>
                </c:pt>
                <c:pt idx="528">
                  <c:v>553.97</c:v>
                </c:pt>
                <c:pt idx="529">
                  <c:v>549.87</c:v>
                </c:pt>
                <c:pt idx="530">
                  <c:v>544.54</c:v>
                </c:pt>
                <c:pt idx="531">
                  <c:v>536.66</c:v>
                </c:pt>
                <c:pt idx="532">
                  <c:v>531.02</c:v>
                </c:pt>
                <c:pt idx="533">
                  <c:v>526.09</c:v>
                </c:pt>
                <c:pt idx="534">
                  <c:v>523.82000000000005</c:v>
                </c:pt>
                <c:pt idx="535">
                  <c:v>519.73</c:v>
                </c:pt>
                <c:pt idx="536">
                  <c:v>516.22</c:v>
                </c:pt>
                <c:pt idx="537">
                  <c:v>505.59</c:v>
                </c:pt>
                <c:pt idx="538">
                  <c:v>500.62</c:v>
                </c:pt>
                <c:pt idx="539">
                  <c:v>495.06</c:v>
                </c:pt>
                <c:pt idx="540">
                  <c:v>489.7</c:v>
                </c:pt>
                <c:pt idx="541">
                  <c:v>481.28</c:v>
                </c:pt>
                <c:pt idx="542">
                  <c:v>475.7</c:v>
                </c:pt>
                <c:pt idx="543">
                  <c:v>467.76</c:v>
                </c:pt>
                <c:pt idx="544">
                  <c:v>457</c:v>
                </c:pt>
                <c:pt idx="545">
                  <c:v>450.38</c:v>
                </c:pt>
                <c:pt idx="546">
                  <c:v>443.2</c:v>
                </c:pt>
                <c:pt idx="547">
                  <c:v>435.45</c:v>
                </c:pt>
                <c:pt idx="548">
                  <c:v>430.8</c:v>
                </c:pt>
                <c:pt idx="549">
                  <c:v>425.72</c:v>
                </c:pt>
                <c:pt idx="550">
                  <c:v>420.03</c:v>
                </c:pt>
                <c:pt idx="551">
                  <c:v>419.02</c:v>
                </c:pt>
                <c:pt idx="552">
                  <c:v>419.02</c:v>
                </c:pt>
                <c:pt idx="553">
                  <c:v>416.99</c:v>
                </c:pt>
                <c:pt idx="554">
                  <c:v>416.37</c:v>
                </c:pt>
                <c:pt idx="555">
                  <c:v>412.38</c:v>
                </c:pt>
                <c:pt idx="556">
                  <c:v>407.48</c:v>
                </c:pt>
                <c:pt idx="557">
                  <c:v>402.03</c:v>
                </c:pt>
                <c:pt idx="558">
                  <c:v>398.79</c:v>
                </c:pt>
                <c:pt idx="559">
                  <c:v>393.84</c:v>
                </c:pt>
                <c:pt idx="560">
                  <c:v>387.25</c:v>
                </c:pt>
                <c:pt idx="561">
                  <c:v>381.37</c:v>
                </c:pt>
                <c:pt idx="562">
                  <c:v>375.81</c:v>
                </c:pt>
                <c:pt idx="563">
                  <c:v>372.59</c:v>
                </c:pt>
                <c:pt idx="564">
                  <c:v>368.89</c:v>
                </c:pt>
                <c:pt idx="565">
                  <c:v>366.14</c:v>
                </c:pt>
                <c:pt idx="566">
                  <c:v>362.05</c:v>
                </c:pt>
                <c:pt idx="567">
                  <c:v>358.46</c:v>
                </c:pt>
                <c:pt idx="568">
                  <c:v>355.62</c:v>
                </c:pt>
                <c:pt idx="569">
                  <c:v>349.76</c:v>
                </c:pt>
                <c:pt idx="570">
                  <c:v>347.88</c:v>
                </c:pt>
                <c:pt idx="571">
                  <c:v>340.86</c:v>
                </c:pt>
                <c:pt idx="572">
                  <c:v>340.42</c:v>
                </c:pt>
                <c:pt idx="573">
                  <c:v>333.42</c:v>
                </c:pt>
                <c:pt idx="574">
                  <c:v>330.27</c:v>
                </c:pt>
                <c:pt idx="575">
                  <c:v>325.04000000000002</c:v>
                </c:pt>
                <c:pt idx="576">
                  <c:v>323.68</c:v>
                </c:pt>
                <c:pt idx="577">
                  <c:v>322.52</c:v>
                </c:pt>
                <c:pt idx="578">
                  <c:v>319.83</c:v>
                </c:pt>
                <c:pt idx="579">
                  <c:v>319.83</c:v>
                </c:pt>
                <c:pt idx="580">
                  <c:v>318.87</c:v>
                </c:pt>
                <c:pt idx="581">
                  <c:v>318.64999999999998</c:v>
                </c:pt>
                <c:pt idx="582">
                  <c:v>318.25</c:v>
                </c:pt>
                <c:pt idx="583">
                  <c:v>317.86</c:v>
                </c:pt>
                <c:pt idx="584">
                  <c:v>316.27999999999997</c:v>
                </c:pt>
                <c:pt idx="585">
                  <c:v>307.68</c:v>
                </c:pt>
                <c:pt idx="586">
                  <c:v>302.79000000000002</c:v>
                </c:pt>
                <c:pt idx="587">
                  <c:v>292.63</c:v>
                </c:pt>
                <c:pt idx="588">
                  <c:v>292.63</c:v>
                </c:pt>
                <c:pt idx="589">
                  <c:v>287.02</c:v>
                </c:pt>
                <c:pt idx="590">
                  <c:v>285.47000000000003</c:v>
                </c:pt>
                <c:pt idx="591">
                  <c:v>279.37</c:v>
                </c:pt>
                <c:pt idx="592">
                  <c:v>272.58</c:v>
                </c:pt>
                <c:pt idx="593">
                  <c:v>269.49</c:v>
                </c:pt>
                <c:pt idx="594">
                  <c:v>267.56</c:v>
                </c:pt>
                <c:pt idx="595">
                  <c:v>262.51</c:v>
                </c:pt>
                <c:pt idx="596">
                  <c:v>257.51</c:v>
                </c:pt>
                <c:pt idx="597">
                  <c:v>256.77</c:v>
                </c:pt>
                <c:pt idx="598">
                  <c:v>255.48</c:v>
                </c:pt>
                <c:pt idx="599">
                  <c:v>254.58</c:v>
                </c:pt>
                <c:pt idx="600">
                  <c:v>253.04</c:v>
                </c:pt>
                <c:pt idx="601">
                  <c:v>252.27</c:v>
                </c:pt>
                <c:pt idx="602">
                  <c:v>249.06</c:v>
                </c:pt>
                <c:pt idx="603">
                  <c:v>244.56</c:v>
                </c:pt>
                <c:pt idx="604">
                  <c:v>240.87</c:v>
                </c:pt>
                <c:pt idx="605">
                  <c:v>231.32</c:v>
                </c:pt>
                <c:pt idx="606">
                  <c:v>228.68</c:v>
                </c:pt>
                <c:pt idx="607">
                  <c:v>217.92</c:v>
                </c:pt>
                <c:pt idx="608">
                  <c:v>210.14</c:v>
                </c:pt>
                <c:pt idx="609">
                  <c:v>201.8</c:v>
                </c:pt>
                <c:pt idx="610">
                  <c:v>199.19</c:v>
                </c:pt>
                <c:pt idx="611">
                  <c:v>190.75</c:v>
                </c:pt>
                <c:pt idx="612">
                  <c:v>186.54</c:v>
                </c:pt>
                <c:pt idx="613">
                  <c:v>181.89</c:v>
                </c:pt>
                <c:pt idx="614">
                  <c:v>176.04</c:v>
                </c:pt>
                <c:pt idx="615">
                  <c:v>170.15</c:v>
                </c:pt>
                <c:pt idx="616">
                  <c:v>162.86000000000001</c:v>
                </c:pt>
                <c:pt idx="617">
                  <c:v>162.54</c:v>
                </c:pt>
                <c:pt idx="618">
                  <c:v>161.41999999999999</c:v>
                </c:pt>
                <c:pt idx="619">
                  <c:v>158.62</c:v>
                </c:pt>
                <c:pt idx="620">
                  <c:v>152.54</c:v>
                </c:pt>
                <c:pt idx="621">
                  <c:v>144.91</c:v>
                </c:pt>
                <c:pt idx="622">
                  <c:v>144.61000000000001</c:v>
                </c:pt>
                <c:pt idx="623">
                  <c:v>143.34</c:v>
                </c:pt>
                <c:pt idx="624">
                  <c:v>142.55000000000001</c:v>
                </c:pt>
                <c:pt idx="625">
                  <c:v>141.37</c:v>
                </c:pt>
                <c:pt idx="626">
                  <c:v>140.99</c:v>
                </c:pt>
                <c:pt idx="627">
                  <c:v>140.16</c:v>
                </c:pt>
                <c:pt idx="628">
                  <c:v>139.63999999999999</c:v>
                </c:pt>
                <c:pt idx="629">
                  <c:v>139.12</c:v>
                </c:pt>
                <c:pt idx="630">
                  <c:v>134.02000000000001</c:v>
                </c:pt>
                <c:pt idx="631">
                  <c:v>134.08000000000001</c:v>
                </c:pt>
                <c:pt idx="632">
                  <c:v>132.1</c:v>
                </c:pt>
                <c:pt idx="633">
                  <c:v>131.87</c:v>
                </c:pt>
                <c:pt idx="634">
                  <c:v>130.76</c:v>
                </c:pt>
                <c:pt idx="635">
                  <c:v>126.43</c:v>
                </c:pt>
                <c:pt idx="636">
                  <c:v>119.21</c:v>
                </c:pt>
                <c:pt idx="637">
                  <c:v>108.12</c:v>
                </c:pt>
                <c:pt idx="638">
                  <c:v>106.3</c:v>
                </c:pt>
                <c:pt idx="639">
                  <c:v>100.93</c:v>
                </c:pt>
                <c:pt idx="640">
                  <c:v>94.45</c:v>
                </c:pt>
                <c:pt idx="641">
                  <c:v>90.13</c:v>
                </c:pt>
                <c:pt idx="642">
                  <c:v>86.9</c:v>
                </c:pt>
                <c:pt idx="643">
                  <c:v>85.33</c:v>
                </c:pt>
                <c:pt idx="644">
                  <c:v>82.87</c:v>
                </c:pt>
                <c:pt idx="645">
                  <c:v>81.12</c:v>
                </c:pt>
                <c:pt idx="646">
                  <c:v>79.5</c:v>
                </c:pt>
                <c:pt idx="647">
                  <c:v>78.010000000000005</c:v>
                </c:pt>
                <c:pt idx="648">
                  <c:v>74.42</c:v>
                </c:pt>
                <c:pt idx="649">
                  <c:v>74.42</c:v>
                </c:pt>
                <c:pt idx="650">
                  <c:v>72.25</c:v>
                </c:pt>
                <c:pt idx="651">
                  <c:v>73.33</c:v>
                </c:pt>
                <c:pt idx="652">
                  <c:v>73.989999999999995</c:v>
                </c:pt>
                <c:pt idx="653">
                  <c:v>73.92</c:v>
                </c:pt>
                <c:pt idx="654">
                  <c:v>73.77</c:v>
                </c:pt>
                <c:pt idx="655">
                  <c:v>74.03</c:v>
                </c:pt>
                <c:pt idx="656">
                  <c:v>73.569999999999993</c:v>
                </c:pt>
                <c:pt idx="657">
                  <c:v>72.099999999999994</c:v>
                </c:pt>
                <c:pt idx="658">
                  <c:v>72.099999999999994</c:v>
                </c:pt>
                <c:pt idx="659">
                  <c:v>71.900000000000006</c:v>
                </c:pt>
                <c:pt idx="660">
                  <c:v>72.25</c:v>
                </c:pt>
                <c:pt idx="661">
                  <c:v>65.260000000000005</c:v>
                </c:pt>
                <c:pt idx="662">
                  <c:v>64.39</c:v>
                </c:pt>
                <c:pt idx="663">
                  <c:v>60.6</c:v>
                </c:pt>
                <c:pt idx="664">
                  <c:v>58.49</c:v>
                </c:pt>
                <c:pt idx="665">
                  <c:v>57.22</c:v>
                </c:pt>
                <c:pt idx="666">
                  <c:v>50.67</c:v>
                </c:pt>
                <c:pt idx="667">
                  <c:v>44.01</c:v>
                </c:pt>
                <c:pt idx="668">
                  <c:v>38.86</c:v>
                </c:pt>
                <c:pt idx="669">
                  <c:v>38.06</c:v>
                </c:pt>
                <c:pt idx="670">
                  <c:v>37.99</c:v>
                </c:pt>
                <c:pt idx="671">
                  <c:v>37.83</c:v>
                </c:pt>
                <c:pt idx="672">
                  <c:v>37.200000000000003</c:v>
                </c:pt>
                <c:pt idx="673">
                  <c:v>37.17</c:v>
                </c:pt>
                <c:pt idx="674">
                  <c:v>37.03</c:v>
                </c:pt>
                <c:pt idx="675">
                  <c:v>36.99</c:v>
                </c:pt>
                <c:pt idx="676">
                  <c:v>36.229999999999997</c:v>
                </c:pt>
                <c:pt idx="677">
                  <c:v>36.18</c:v>
                </c:pt>
                <c:pt idx="678">
                  <c:v>36.14</c:v>
                </c:pt>
                <c:pt idx="679">
                  <c:v>35.99</c:v>
                </c:pt>
                <c:pt idx="680">
                  <c:v>35.85</c:v>
                </c:pt>
                <c:pt idx="681">
                  <c:v>35.33</c:v>
                </c:pt>
                <c:pt idx="682">
                  <c:v>35</c:v>
                </c:pt>
                <c:pt idx="683">
                  <c:v>34.630000000000003</c:v>
                </c:pt>
                <c:pt idx="684">
                  <c:v>34.57</c:v>
                </c:pt>
                <c:pt idx="685">
                  <c:v>34.56</c:v>
                </c:pt>
                <c:pt idx="686">
                  <c:v>34.520000000000003</c:v>
                </c:pt>
                <c:pt idx="687">
                  <c:v>34.01</c:v>
                </c:pt>
                <c:pt idx="688">
                  <c:v>32.68</c:v>
                </c:pt>
                <c:pt idx="689">
                  <c:v>32.56</c:v>
                </c:pt>
                <c:pt idx="690">
                  <c:v>32.270000000000003</c:v>
                </c:pt>
                <c:pt idx="691">
                  <c:v>32.26</c:v>
                </c:pt>
                <c:pt idx="692">
                  <c:v>32.26</c:v>
                </c:pt>
                <c:pt idx="693">
                  <c:v>31.47</c:v>
                </c:pt>
                <c:pt idx="694">
                  <c:v>31.35</c:v>
                </c:pt>
                <c:pt idx="695">
                  <c:v>31.17</c:v>
                </c:pt>
                <c:pt idx="696">
                  <c:v>31.06</c:v>
                </c:pt>
                <c:pt idx="697">
                  <c:v>30.88</c:v>
                </c:pt>
                <c:pt idx="698">
                  <c:v>30.5</c:v>
                </c:pt>
                <c:pt idx="699">
                  <c:v>30.5</c:v>
                </c:pt>
                <c:pt idx="700">
                  <c:v>30.51</c:v>
                </c:pt>
                <c:pt idx="701">
                  <c:v>30.51</c:v>
                </c:pt>
                <c:pt idx="702">
                  <c:v>30.51</c:v>
                </c:pt>
                <c:pt idx="703">
                  <c:v>31.03</c:v>
                </c:pt>
                <c:pt idx="704">
                  <c:v>33.270000000000003</c:v>
                </c:pt>
                <c:pt idx="705">
                  <c:v>34.159999999999997</c:v>
                </c:pt>
                <c:pt idx="706">
                  <c:v>34.97</c:v>
                </c:pt>
                <c:pt idx="707">
                  <c:v>35.78</c:v>
                </c:pt>
                <c:pt idx="708">
                  <c:v>36.369999999999997</c:v>
                </c:pt>
                <c:pt idx="709">
                  <c:v>37.32</c:v>
                </c:pt>
                <c:pt idx="710">
                  <c:v>38.46</c:v>
                </c:pt>
                <c:pt idx="711">
                  <c:v>39.25</c:v>
                </c:pt>
                <c:pt idx="712">
                  <c:v>40.89</c:v>
                </c:pt>
                <c:pt idx="713">
                  <c:v>40.92</c:v>
                </c:pt>
                <c:pt idx="714">
                  <c:v>40.950000000000003</c:v>
                </c:pt>
                <c:pt idx="715">
                  <c:v>41.81</c:v>
                </c:pt>
                <c:pt idx="716">
                  <c:v>44.13</c:v>
                </c:pt>
                <c:pt idx="717">
                  <c:v>45.2</c:v>
                </c:pt>
                <c:pt idx="718">
                  <c:v>45.68</c:v>
                </c:pt>
                <c:pt idx="719">
                  <c:v>47.87</c:v>
                </c:pt>
                <c:pt idx="720">
                  <c:v>46.96</c:v>
                </c:pt>
                <c:pt idx="721">
                  <c:v>47.32</c:v>
                </c:pt>
                <c:pt idx="722">
                  <c:v>46.49</c:v>
                </c:pt>
                <c:pt idx="723">
                  <c:v>47.02</c:v>
                </c:pt>
                <c:pt idx="724">
                  <c:v>47.56</c:v>
                </c:pt>
                <c:pt idx="725">
                  <c:v>45.49</c:v>
                </c:pt>
                <c:pt idx="726">
                  <c:v>45.59</c:v>
                </c:pt>
                <c:pt idx="727">
                  <c:v>45.66</c:v>
                </c:pt>
                <c:pt idx="728">
                  <c:v>43.6</c:v>
                </c:pt>
                <c:pt idx="729">
                  <c:v>42.82</c:v>
                </c:pt>
                <c:pt idx="730">
                  <c:v>42.53</c:v>
                </c:pt>
                <c:pt idx="731">
                  <c:v>42.23</c:v>
                </c:pt>
                <c:pt idx="732">
                  <c:v>42.13</c:v>
                </c:pt>
                <c:pt idx="733">
                  <c:v>42.03</c:v>
                </c:pt>
                <c:pt idx="734">
                  <c:v>41.96</c:v>
                </c:pt>
                <c:pt idx="735">
                  <c:v>42.32</c:v>
                </c:pt>
                <c:pt idx="736">
                  <c:v>42.9</c:v>
                </c:pt>
                <c:pt idx="737">
                  <c:v>42.92</c:v>
                </c:pt>
                <c:pt idx="738">
                  <c:v>42.95</c:v>
                </c:pt>
                <c:pt idx="739">
                  <c:v>42.35</c:v>
                </c:pt>
                <c:pt idx="740">
                  <c:v>41.16</c:v>
                </c:pt>
                <c:pt idx="741">
                  <c:v>40.549999999999997</c:v>
                </c:pt>
                <c:pt idx="742">
                  <c:v>40.11</c:v>
                </c:pt>
                <c:pt idx="743">
                  <c:v>39.72</c:v>
                </c:pt>
                <c:pt idx="744">
                  <c:v>39.74</c:v>
                </c:pt>
                <c:pt idx="745">
                  <c:v>37.74</c:v>
                </c:pt>
                <c:pt idx="746">
                  <c:v>38.01</c:v>
                </c:pt>
                <c:pt idx="747">
                  <c:v>35.770000000000003</c:v>
                </c:pt>
                <c:pt idx="748">
                  <c:v>31.82</c:v>
                </c:pt>
                <c:pt idx="749">
                  <c:v>30.97</c:v>
                </c:pt>
                <c:pt idx="750">
                  <c:v>31.05</c:v>
                </c:pt>
                <c:pt idx="751">
                  <c:v>31.12</c:v>
                </c:pt>
                <c:pt idx="752">
                  <c:v>32.97</c:v>
                </c:pt>
                <c:pt idx="753">
                  <c:v>33.56</c:v>
                </c:pt>
                <c:pt idx="754">
                  <c:v>33.33</c:v>
                </c:pt>
                <c:pt idx="755">
                  <c:v>33.1</c:v>
                </c:pt>
                <c:pt idx="756">
                  <c:v>33.04</c:v>
                </c:pt>
                <c:pt idx="757">
                  <c:v>38.81</c:v>
                </c:pt>
                <c:pt idx="758">
                  <c:v>43.77</c:v>
                </c:pt>
                <c:pt idx="759">
                  <c:v>52.48</c:v>
                </c:pt>
                <c:pt idx="760">
                  <c:v>53.88</c:v>
                </c:pt>
                <c:pt idx="761">
                  <c:v>58.5</c:v>
                </c:pt>
                <c:pt idx="762">
                  <c:v>60.57</c:v>
                </c:pt>
                <c:pt idx="763">
                  <c:v>65.13</c:v>
                </c:pt>
                <c:pt idx="764">
                  <c:v>65.25</c:v>
                </c:pt>
                <c:pt idx="765">
                  <c:v>76.34</c:v>
                </c:pt>
                <c:pt idx="766">
                  <c:v>82.33</c:v>
                </c:pt>
                <c:pt idx="767">
                  <c:v>89.4</c:v>
                </c:pt>
                <c:pt idx="768">
                  <c:v>96.68</c:v>
                </c:pt>
                <c:pt idx="769">
                  <c:v>101.3</c:v>
                </c:pt>
                <c:pt idx="770">
                  <c:v>109.11</c:v>
                </c:pt>
                <c:pt idx="771">
                  <c:v>117.95</c:v>
                </c:pt>
                <c:pt idx="772">
                  <c:v>124.33</c:v>
                </c:pt>
                <c:pt idx="773">
                  <c:v>133.83000000000001</c:v>
                </c:pt>
                <c:pt idx="774">
                  <c:v>139.94999999999999</c:v>
                </c:pt>
                <c:pt idx="775">
                  <c:v>146.33000000000001</c:v>
                </c:pt>
                <c:pt idx="776">
                  <c:v>156.97999999999999</c:v>
                </c:pt>
                <c:pt idx="777">
                  <c:v>163.46</c:v>
                </c:pt>
                <c:pt idx="778">
                  <c:v>172.74</c:v>
                </c:pt>
                <c:pt idx="779">
                  <c:v>180.19</c:v>
                </c:pt>
                <c:pt idx="780">
                  <c:v>184.56</c:v>
                </c:pt>
                <c:pt idx="781">
                  <c:v>193.01</c:v>
                </c:pt>
                <c:pt idx="782">
                  <c:v>199.42</c:v>
                </c:pt>
                <c:pt idx="783">
                  <c:v>209.82</c:v>
                </c:pt>
                <c:pt idx="784">
                  <c:v>215.85</c:v>
                </c:pt>
                <c:pt idx="785">
                  <c:v>220.85</c:v>
                </c:pt>
                <c:pt idx="786">
                  <c:v>225.85</c:v>
                </c:pt>
                <c:pt idx="787">
                  <c:v>232.1</c:v>
                </c:pt>
                <c:pt idx="788">
                  <c:v>242.79</c:v>
                </c:pt>
                <c:pt idx="789">
                  <c:v>249.28</c:v>
                </c:pt>
                <c:pt idx="790">
                  <c:v>259.51</c:v>
                </c:pt>
                <c:pt idx="791">
                  <c:v>269.01</c:v>
                </c:pt>
                <c:pt idx="792">
                  <c:v>275.7</c:v>
                </c:pt>
                <c:pt idx="793">
                  <c:v>287.13</c:v>
                </c:pt>
                <c:pt idx="794">
                  <c:v>296.07</c:v>
                </c:pt>
                <c:pt idx="795">
                  <c:v>297.48</c:v>
                </c:pt>
                <c:pt idx="796">
                  <c:v>306.55</c:v>
                </c:pt>
                <c:pt idx="797">
                  <c:v>315.5</c:v>
                </c:pt>
                <c:pt idx="798">
                  <c:v>324.32</c:v>
                </c:pt>
                <c:pt idx="799">
                  <c:v>333.15</c:v>
                </c:pt>
                <c:pt idx="800">
                  <c:v>342.42</c:v>
                </c:pt>
                <c:pt idx="801">
                  <c:v>351.7</c:v>
                </c:pt>
                <c:pt idx="802">
                  <c:v>356.81</c:v>
                </c:pt>
                <c:pt idx="803">
                  <c:v>361.92</c:v>
                </c:pt>
                <c:pt idx="804">
                  <c:v>367.27</c:v>
                </c:pt>
                <c:pt idx="805">
                  <c:v>372.62</c:v>
                </c:pt>
                <c:pt idx="806">
                  <c:v>378.67</c:v>
                </c:pt>
                <c:pt idx="807">
                  <c:v>384.73</c:v>
                </c:pt>
                <c:pt idx="808">
                  <c:v>396.35</c:v>
                </c:pt>
                <c:pt idx="809">
                  <c:v>405.46</c:v>
                </c:pt>
                <c:pt idx="810">
                  <c:v>413.76</c:v>
                </c:pt>
                <c:pt idx="811">
                  <c:v>424.63</c:v>
                </c:pt>
                <c:pt idx="812">
                  <c:v>435.42</c:v>
                </c:pt>
                <c:pt idx="813">
                  <c:v>440.78</c:v>
                </c:pt>
                <c:pt idx="814">
                  <c:v>449.11</c:v>
                </c:pt>
                <c:pt idx="815">
                  <c:v>456.92</c:v>
                </c:pt>
                <c:pt idx="816">
                  <c:v>463.98</c:v>
                </c:pt>
                <c:pt idx="817">
                  <c:v>475.47</c:v>
                </c:pt>
                <c:pt idx="818">
                  <c:v>485.27</c:v>
                </c:pt>
                <c:pt idx="819">
                  <c:v>493.81</c:v>
                </c:pt>
                <c:pt idx="820">
                  <c:v>502.1</c:v>
                </c:pt>
                <c:pt idx="821">
                  <c:v>508.11</c:v>
                </c:pt>
                <c:pt idx="822">
                  <c:v>516.35</c:v>
                </c:pt>
                <c:pt idx="823">
                  <c:v>520.83000000000004</c:v>
                </c:pt>
                <c:pt idx="824">
                  <c:v>530.67999999999995</c:v>
                </c:pt>
                <c:pt idx="825">
                  <c:v>536.69000000000005</c:v>
                </c:pt>
                <c:pt idx="826">
                  <c:v>542.9</c:v>
                </c:pt>
                <c:pt idx="827">
                  <c:v>549.4</c:v>
                </c:pt>
                <c:pt idx="828">
                  <c:v>561.42999999999995</c:v>
                </c:pt>
                <c:pt idx="829">
                  <c:v>571.57000000000005</c:v>
                </c:pt>
                <c:pt idx="830">
                  <c:v>575.41</c:v>
                </c:pt>
                <c:pt idx="831">
                  <c:v>587.39</c:v>
                </c:pt>
                <c:pt idx="832">
                  <c:v>591.35</c:v>
                </c:pt>
                <c:pt idx="833">
                  <c:v>600.65</c:v>
                </c:pt>
                <c:pt idx="834">
                  <c:v>610.53</c:v>
                </c:pt>
                <c:pt idx="835">
                  <c:v>619.64</c:v>
                </c:pt>
                <c:pt idx="836">
                  <c:v>622.66999999999996</c:v>
                </c:pt>
                <c:pt idx="837">
                  <c:v>628.36</c:v>
                </c:pt>
                <c:pt idx="838">
                  <c:v>633.53</c:v>
                </c:pt>
                <c:pt idx="839">
                  <c:v>640.35</c:v>
                </c:pt>
                <c:pt idx="840">
                  <c:v>646.25</c:v>
                </c:pt>
                <c:pt idx="841">
                  <c:v>651.27</c:v>
                </c:pt>
                <c:pt idx="842">
                  <c:v>655.46</c:v>
                </c:pt>
                <c:pt idx="843">
                  <c:v>662.13</c:v>
                </c:pt>
                <c:pt idx="844">
                  <c:v>670.47</c:v>
                </c:pt>
                <c:pt idx="845">
                  <c:v>675.25</c:v>
                </c:pt>
                <c:pt idx="846">
                  <c:v>681.56</c:v>
                </c:pt>
                <c:pt idx="847">
                  <c:v>686.76</c:v>
                </c:pt>
                <c:pt idx="848">
                  <c:v>697.25</c:v>
                </c:pt>
                <c:pt idx="849">
                  <c:v>702.99</c:v>
                </c:pt>
                <c:pt idx="850">
                  <c:v>710.72</c:v>
                </c:pt>
                <c:pt idx="851">
                  <c:v>715.4</c:v>
                </c:pt>
                <c:pt idx="852">
                  <c:v>720.07</c:v>
                </c:pt>
                <c:pt idx="853">
                  <c:v>731.82</c:v>
                </c:pt>
                <c:pt idx="854">
                  <c:v>739.22</c:v>
                </c:pt>
                <c:pt idx="855">
                  <c:v>751.73</c:v>
                </c:pt>
                <c:pt idx="856">
                  <c:v>763.39</c:v>
                </c:pt>
                <c:pt idx="857">
                  <c:v>774.65</c:v>
                </c:pt>
                <c:pt idx="858">
                  <c:v>780.39</c:v>
                </c:pt>
                <c:pt idx="859">
                  <c:v>789.18</c:v>
                </c:pt>
                <c:pt idx="860">
                  <c:v>792.24</c:v>
                </c:pt>
                <c:pt idx="861">
                  <c:v>800.04</c:v>
                </c:pt>
                <c:pt idx="862">
                  <c:v>806.08</c:v>
                </c:pt>
                <c:pt idx="863">
                  <c:v>818.25</c:v>
                </c:pt>
                <c:pt idx="864">
                  <c:v>823.21</c:v>
                </c:pt>
                <c:pt idx="865">
                  <c:v>830.1</c:v>
                </c:pt>
                <c:pt idx="866">
                  <c:v>840.49</c:v>
                </c:pt>
                <c:pt idx="867">
                  <c:v>850.48</c:v>
                </c:pt>
                <c:pt idx="868">
                  <c:v>853.74</c:v>
                </c:pt>
                <c:pt idx="869">
                  <c:v>862.42</c:v>
                </c:pt>
                <c:pt idx="870">
                  <c:v>872.69</c:v>
                </c:pt>
                <c:pt idx="871">
                  <c:v>880.7</c:v>
                </c:pt>
                <c:pt idx="872">
                  <c:v>890.1</c:v>
                </c:pt>
                <c:pt idx="873">
                  <c:v>899.12</c:v>
                </c:pt>
                <c:pt idx="874">
                  <c:v>904.12</c:v>
                </c:pt>
                <c:pt idx="875">
                  <c:v>909.12</c:v>
                </c:pt>
                <c:pt idx="876">
                  <c:v>915.58</c:v>
                </c:pt>
                <c:pt idx="877">
                  <c:v>922.04</c:v>
                </c:pt>
                <c:pt idx="878">
                  <c:v>929.02</c:v>
                </c:pt>
                <c:pt idx="879">
                  <c:v>936</c:v>
                </c:pt>
                <c:pt idx="880">
                  <c:v>945.79</c:v>
                </c:pt>
                <c:pt idx="881">
                  <c:v>962.33</c:v>
                </c:pt>
                <c:pt idx="882">
                  <c:v>967.57</c:v>
                </c:pt>
                <c:pt idx="883">
                  <c:v>972.8</c:v>
                </c:pt>
                <c:pt idx="884">
                  <c:v>986.13</c:v>
                </c:pt>
                <c:pt idx="885">
                  <c:v>1001.14</c:v>
                </c:pt>
                <c:pt idx="886">
                  <c:v>1017.41</c:v>
                </c:pt>
                <c:pt idx="887">
                  <c:v>1022.43</c:v>
                </c:pt>
                <c:pt idx="888">
                  <c:v>1027.45</c:v>
                </c:pt>
                <c:pt idx="889">
                  <c:v>1036.78</c:v>
                </c:pt>
                <c:pt idx="890">
                  <c:v>1044.31</c:v>
                </c:pt>
                <c:pt idx="891">
                  <c:v>1051.83</c:v>
                </c:pt>
                <c:pt idx="892">
                  <c:v>1065.74</c:v>
                </c:pt>
                <c:pt idx="893">
                  <c:v>1072.6600000000001</c:v>
                </c:pt>
                <c:pt idx="894">
                  <c:v>1079.58</c:v>
                </c:pt>
                <c:pt idx="895">
                  <c:v>1097.19</c:v>
                </c:pt>
                <c:pt idx="896">
                  <c:v>1103.6199999999999</c:v>
                </c:pt>
                <c:pt idx="897">
                  <c:v>1110.04</c:v>
                </c:pt>
                <c:pt idx="898">
                  <c:v>1118.17</c:v>
                </c:pt>
                <c:pt idx="899">
                  <c:v>1128.5999999999999</c:v>
                </c:pt>
                <c:pt idx="900">
                  <c:v>1129.5899999999999</c:v>
                </c:pt>
                <c:pt idx="901">
                  <c:v>1133.68</c:v>
                </c:pt>
                <c:pt idx="902">
                  <c:v>1145.22</c:v>
                </c:pt>
                <c:pt idx="903">
                  <c:v>1161.47</c:v>
                </c:pt>
                <c:pt idx="904">
                  <c:v>1166.47</c:v>
                </c:pt>
                <c:pt idx="905">
                  <c:v>1174.6300000000001</c:v>
                </c:pt>
                <c:pt idx="906">
                  <c:v>1186.23</c:v>
                </c:pt>
                <c:pt idx="907">
                  <c:v>1187.03</c:v>
                </c:pt>
                <c:pt idx="908">
                  <c:v>1194.26</c:v>
                </c:pt>
                <c:pt idx="909">
                  <c:v>1201.1199999999999</c:v>
                </c:pt>
                <c:pt idx="910">
                  <c:v>1208</c:v>
                </c:pt>
                <c:pt idx="911">
                  <c:v>1214.21</c:v>
                </c:pt>
                <c:pt idx="912">
                  <c:v>1221.49</c:v>
                </c:pt>
                <c:pt idx="913">
                  <c:v>1239.56</c:v>
                </c:pt>
                <c:pt idx="914">
                  <c:v>1249.02</c:v>
                </c:pt>
                <c:pt idx="915">
                  <c:v>1256.1199999999999</c:v>
                </c:pt>
                <c:pt idx="916">
                  <c:v>1272.1600000000001</c:v>
                </c:pt>
                <c:pt idx="917">
                  <c:v>1278.71</c:v>
                </c:pt>
                <c:pt idx="918">
                  <c:v>1283.81</c:v>
                </c:pt>
                <c:pt idx="919">
                  <c:v>1288.9100000000001</c:v>
                </c:pt>
                <c:pt idx="920">
                  <c:v>1296.05</c:v>
                </c:pt>
                <c:pt idx="921">
                  <c:v>1304.8</c:v>
                </c:pt>
                <c:pt idx="922">
                  <c:v>1311.49</c:v>
                </c:pt>
                <c:pt idx="923">
                  <c:v>1318.26</c:v>
                </c:pt>
                <c:pt idx="924">
                  <c:v>1327.87</c:v>
                </c:pt>
                <c:pt idx="925">
                  <c:v>1333.43</c:v>
                </c:pt>
                <c:pt idx="926">
                  <c:v>1339</c:v>
                </c:pt>
                <c:pt idx="927">
                  <c:v>1346.36</c:v>
                </c:pt>
                <c:pt idx="928">
                  <c:v>1353.72</c:v>
                </c:pt>
                <c:pt idx="929">
                  <c:v>1361.87</c:v>
                </c:pt>
                <c:pt idx="930">
                  <c:v>1368.39</c:v>
                </c:pt>
                <c:pt idx="931">
                  <c:v>1376.67</c:v>
                </c:pt>
                <c:pt idx="932">
                  <c:v>1384.62</c:v>
                </c:pt>
                <c:pt idx="933">
                  <c:v>1394.4</c:v>
                </c:pt>
                <c:pt idx="934">
                  <c:v>1401.53</c:v>
                </c:pt>
                <c:pt idx="935">
                  <c:v>1411.44</c:v>
                </c:pt>
                <c:pt idx="936">
                  <c:v>1416.94</c:v>
                </c:pt>
                <c:pt idx="937">
                  <c:v>1425.22</c:v>
                </c:pt>
                <c:pt idx="938">
                  <c:v>1428.45</c:v>
                </c:pt>
                <c:pt idx="939">
                  <c:v>1437.43</c:v>
                </c:pt>
                <c:pt idx="940">
                  <c:v>1444.67</c:v>
                </c:pt>
                <c:pt idx="941">
                  <c:v>1453.66</c:v>
                </c:pt>
                <c:pt idx="942">
                  <c:v>1454.75</c:v>
                </c:pt>
                <c:pt idx="943">
                  <c:v>1461.65</c:v>
                </c:pt>
                <c:pt idx="944">
                  <c:v>1471.59</c:v>
                </c:pt>
                <c:pt idx="945">
                  <c:v>1476.2</c:v>
                </c:pt>
                <c:pt idx="946">
                  <c:v>1481.52</c:v>
                </c:pt>
                <c:pt idx="947">
                  <c:v>1494.33</c:v>
                </c:pt>
                <c:pt idx="948">
                  <c:v>1504.4</c:v>
                </c:pt>
                <c:pt idx="949">
                  <c:v>1507.91</c:v>
                </c:pt>
                <c:pt idx="950">
                  <c:v>1517.03</c:v>
                </c:pt>
                <c:pt idx="951">
                  <c:v>1526.18</c:v>
                </c:pt>
                <c:pt idx="952">
                  <c:v>1532.75</c:v>
                </c:pt>
                <c:pt idx="953">
                  <c:v>1533.35</c:v>
                </c:pt>
                <c:pt idx="954">
                  <c:v>1533.95</c:v>
                </c:pt>
                <c:pt idx="955">
                  <c:v>1543.81</c:v>
                </c:pt>
                <c:pt idx="956">
                  <c:v>1550.83</c:v>
                </c:pt>
                <c:pt idx="957">
                  <c:v>1558.77</c:v>
                </c:pt>
                <c:pt idx="958">
                  <c:v>1563.8</c:v>
                </c:pt>
                <c:pt idx="959">
                  <c:v>1571.29</c:v>
                </c:pt>
                <c:pt idx="960">
                  <c:v>1581.02</c:v>
                </c:pt>
                <c:pt idx="961">
                  <c:v>1581.02</c:v>
                </c:pt>
                <c:pt idx="962">
                  <c:v>1582.17</c:v>
                </c:pt>
                <c:pt idx="963">
                  <c:v>1588.2</c:v>
                </c:pt>
                <c:pt idx="964">
                  <c:v>1588.91</c:v>
                </c:pt>
                <c:pt idx="965">
                  <c:v>1598.36</c:v>
                </c:pt>
                <c:pt idx="966">
                  <c:v>1598.36</c:v>
                </c:pt>
                <c:pt idx="967">
                  <c:v>1598.7</c:v>
                </c:pt>
                <c:pt idx="968">
                  <c:v>1599.13</c:v>
                </c:pt>
                <c:pt idx="969">
                  <c:v>1599.95</c:v>
                </c:pt>
                <c:pt idx="970">
                  <c:v>1602.2</c:v>
                </c:pt>
                <c:pt idx="971">
                  <c:v>1610.73</c:v>
                </c:pt>
                <c:pt idx="972">
                  <c:v>1617.51</c:v>
                </c:pt>
                <c:pt idx="973">
                  <c:v>1623.21</c:v>
                </c:pt>
                <c:pt idx="974">
                  <c:v>1630.69</c:v>
                </c:pt>
                <c:pt idx="975">
                  <c:v>1643.06</c:v>
                </c:pt>
                <c:pt idx="976">
                  <c:v>1653.31</c:v>
                </c:pt>
                <c:pt idx="977">
                  <c:v>1664.28</c:v>
                </c:pt>
                <c:pt idx="978">
                  <c:v>1664.64</c:v>
                </c:pt>
                <c:pt idx="979">
                  <c:v>1667.79</c:v>
                </c:pt>
                <c:pt idx="980">
                  <c:v>1671.39</c:v>
                </c:pt>
                <c:pt idx="981">
                  <c:v>1678.5</c:v>
                </c:pt>
                <c:pt idx="982">
                  <c:v>1684.67</c:v>
                </c:pt>
                <c:pt idx="983">
                  <c:v>1690.84</c:v>
                </c:pt>
                <c:pt idx="984">
                  <c:v>1695.7</c:v>
                </c:pt>
                <c:pt idx="985">
                  <c:v>1701.2</c:v>
                </c:pt>
                <c:pt idx="986">
                  <c:v>1707.08</c:v>
                </c:pt>
                <c:pt idx="987">
                  <c:v>1711.82</c:v>
                </c:pt>
                <c:pt idx="988">
                  <c:v>1716.93</c:v>
                </c:pt>
                <c:pt idx="989">
                  <c:v>1721.72</c:v>
                </c:pt>
                <c:pt idx="990">
                  <c:v>1730.86</c:v>
                </c:pt>
                <c:pt idx="991">
                  <c:v>1733.17</c:v>
                </c:pt>
                <c:pt idx="992">
                  <c:v>1739.99</c:v>
                </c:pt>
                <c:pt idx="993">
                  <c:v>1749.97</c:v>
                </c:pt>
                <c:pt idx="994">
                  <c:v>1756.56</c:v>
                </c:pt>
                <c:pt idx="995">
                  <c:v>1760.61</c:v>
                </c:pt>
                <c:pt idx="996">
                  <c:v>1764.64</c:v>
                </c:pt>
                <c:pt idx="997">
                  <c:v>1770.78</c:v>
                </c:pt>
                <c:pt idx="998">
                  <c:v>1776.6</c:v>
                </c:pt>
                <c:pt idx="999">
                  <c:v>1786.63</c:v>
                </c:pt>
                <c:pt idx="1000">
                  <c:v>1792.83</c:v>
                </c:pt>
                <c:pt idx="1001">
                  <c:v>1796.23</c:v>
                </c:pt>
                <c:pt idx="1002">
                  <c:v>1804.14</c:v>
                </c:pt>
                <c:pt idx="1003">
                  <c:v>1808.15</c:v>
                </c:pt>
                <c:pt idx="1004">
                  <c:v>1812.16</c:v>
                </c:pt>
                <c:pt idx="1005">
                  <c:v>1821.17</c:v>
                </c:pt>
                <c:pt idx="1006">
                  <c:v>1831.95</c:v>
                </c:pt>
                <c:pt idx="1007">
                  <c:v>1832.95</c:v>
                </c:pt>
                <c:pt idx="1008">
                  <c:v>1834.63</c:v>
                </c:pt>
                <c:pt idx="1009">
                  <c:v>1841.39</c:v>
                </c:pt>
                <c:pt idx="1010">
                  <c:v>1846.27</c:v>
                </c:pt>
                <c:pt idx="1011">
                  <c:v>1852.56</c:v>
                </c:pt>
                <c:pt idx="1012">
                  <c:v>1859.45</c:v>
                </c:pt>
                <c:pt idx="1013">
                  <c:v>1868.7</c:v>
                </c:pt>
                <c:pt idx="1014">
                  <c:v>1869.82</c:v>
                </c:pt>
                <c:pt idx="1015">
                  <c:v>1876.04</c:v>
                </c:pt>
                <c:pt idx="1016">
                  <c:v>1876.54</c:v>
                </c:pt>
                <c:pt idx="1017">
                  <c:v>1879.72</c:v>
                </c:pt>
                <c:pt idx="1018">
                  <c:v>1888.79</c:v>
                </c:pt>
                <c:pt idx="1019">
                  <c:v>1891.73</c:v>
                </c:pt>
                <c:pt idx="1020">
                  <c:v>1902.64</c:v>
                </c:pt>
                <c:pt idx="1021">
                  <c:v>1910.5</c:v>
                </c:pt>
                <c:pt idx="1022">
                  <c:v>1920.97</c:v>
                </c:pt>
                <c:pt idx="1023">
                  <c:v>1937.08</c:v>
                </c:pt>
                <c:pt idx="1024">
                  <c:v>1938.49</c:v>
                </c:pt>
                <c:pt idx="1025">
                  <c:v>1940.85</c:v>
                </c:pt>
                <c:pt idx="1026">
                  <c:v>1945.51</c:v>
                </c:pt>
                <c:pt idx="1027">
                  <c:v>1950.6</c:v>
                </c:pt>
                <c:pt idx="1028">
                  <c:v>1959.1</c:v>
                </c:pt>
                <c:pt idx="1029">
                  <c:v>1968.15</c:v>
                </c:pt>
                <c:pt idx="1030">
                  <c:v>1970.56</c:v>
                </c:pt>
                <c:pt idx="1031">
                  <c:v>1981.68</c:v>
                </c:pt>
                <c:pt idx="1032">
                  <c:v>1986.8</c:v>
                </c:pt>
                <c:pt idx="1033">
                  <c:v>1999.55</c:v>
                </c:pt>
                <c:pt idx="1034">
                  <c:v>2005.34</c:v>
                </c:pt>
                <c:pt idx="1035">
                  <c:v>2009.87</c:v>
                </c:pt>
                <c:pt idx="1036">
                  <c:v>2014.8</c:v>
                </c:pt>
                <c:pt idx="1037">
                  <c:v>2023.14</c:v>
                </c:pt>
                <c:pt idx="1038">
                  <c:v>2042.91</c:v>
                </c:pt>
                <c:pt idx="1039">
                  <c:v>2048.92</c:v>
                </c:pt>
                <c:pt idx="1040">
                  <c:v>2053.1</c:v>
                </c:pt>
                <c:pt idx="1041">
                  <c:v>2062.1</c:v>
                </c:pt>
                <c:pt idx="1042">
                  <c:v>2069.85</c:v>
                </c:pt>
                <c:pt idx="1043">
                  <c:v>2071.9899999999998</c:v>
                </c:pt>
                <c:pt idx="1044">
                  <c:v>2072.83</c:v>
                </c:pt>
                <c:pt idx="1045">
                  <c:v>2075.71</c:v>
                </c:pt>
                <c:pt idx="1046">
                  <c:v>2080.89</c:v>
                </c:pt>
                <c:pt idx="1047">
                  <c:v>2086.13</c:v>
                </c:pt>
                <c:pt idx="1048">
                  <c:v>2086.92</c:v>
                </c:pt>
                <c:pt idx="1049">
                  <c:v>2091.37</c:v>
                </c:pt>
                <c:pt idx="1050">
                  <c:v>2092.1</c:v>
                </c:pt>
                <c:pt idx="1051">
                  <c:v>2094.4299999999998</c:v>
                </c:pt>
                <c:pt idx="1052">
                  <c:v>2097.09</c:v>
                </c:pt>
                <c:pt idx="1053">
                  <c:v>2098.54</c:v>
                </c:pt>
                <c:pt idx="1054">
                  <c:v>2101.7199999999998</c:v>
                </c:pt>
                <c:pt idx="1055">
                  <c:v>2116.19</c:v>
                </c:pt>
                <c:pt idx="1056">
                  <c:v>2124.7399999999998</c:v>
                </c:pt>
                <c:pt idx="1057">
                  <c:v>2125.85</c:v>
                </c:pt>
                <c:pt idx="1058">
                  <c:v>2136.1999999999998</c:v>
                </c:pt>
                <c:pt idx="1059">
                  <c:v>2133.5500000000002</c:v>
                </c:pt>
                <c:pt idx="1060">
                  <c:v>2130.9499999999998</c:v>
                </c:pt>
                <c:pt idx="1061">
                  <c:v>2133.5100000000002</c:v>
                </c:pt>
                <c:pt idx="1062">
                  <c:v>2137.02</c:v>
                </c:pt>
                <c:pt idx="1063">
                  <c:v>2137.36</c:v>
                </c:pt>
                <c:pt idx="1064">
                  <c:v>2139.36</c:v>
                </c:pt>
                <c:pt idx="1065">
                  <c:v>2140.7199999999998</c:v>
                </c:pt>
                <c:pt idx="1066">
                  <c:v>2143.83</c:v>
                </c:pt>
                <c:pt idx="1067">
                  <c:v>2150.67</c:v>
                </c:pt>
                <c:pt idx="1068">
                  <c:v>2155.9</c:v>
                </c:pt>
                <c:pt idx="1069">
                  <c:v>2160.21</c:v>
                </c:pt>
                <c:pt idx="1070">
                  <c:v>2160.87</c:v>
                </c:pt>
                <c:pt idx="1071">
                  <c:v>2161.21</c:v>
                </c:pt>
                <c:pt idx="1072">
                  <c:v>2161.21</c:v>
                </c:pt>
                <c:pt idx="1073">
                  <c:v>2161.31</c:v>
                </c:pt>
                <c:pt idx="1074">
                  <c:v>2161.31</c:v>
                </c:pt>
                <c:pt idx="1075">
                  <c:v>2161.3200000000002</c:v>
                </c:pt>
                <c:pt idx="1076">
                  <c:v>2161.3200000000002</c:v>
                </c:pt>
                <c:pt idx="1077">
                  <c:v>2161.5700000000002</c:v>
                </c:pt>
                <c:pt idx="1078">
                  <c:v>2161.5700000000002</c:v>
                </c:pt>
                <c:pt idx="1079">
                  <c:v>2161.4</c:v>
                </c:pt>
                <c:pt idx="1080">
                  <c:v>2161.4</c:v>
                </c:pt>
                <c:pt idx="1081">
                  <c:v>2161.41</c:v>
                </c:pt>
                <c:pt idx="1082">
                  <c:v>2161.48</c:v>
                </c:pt>
                <c:pt idx="1083">
                  <c:v>2161.56</c:v>
                </c:pt>
                <c:pt idx="1084">
                  <c:v>2161.5500000000002</c:v>
                </c:pt>
                <c:pt idx="1085">
                  <c:v>2161.5500000000002</c:v>
                </c:pt>
                <c:pt idx="1086">
                  <c:v>2161.54</c:v>
                </c:pt>
                <c:pt idx="1087">
                  <c:v>2161.52</c:v>
                </c:pt>
                <c:pt idx="1088">
                  <c:v>2161.21</c:v>
                </c:pt>
                <c:pt idx="1089">
                  <c:v>2161.16</c:v>
                </c:pt>
                <c:pt idx="1090">
                  <c:v>2161.09</c:v>
                </c:pt>
                <c:pt idx="1091">
                  <c:v>2161.08</c:v>
                </c:pt>
                <c:pt idx="1092">
                  <c:v>2160.65</c:v>
                </c:pt>
              </c:numCache>
            </c:numRef>
          </c:xVal>
          <c:yVal>
            <c:numRef>
              <c:f>'R Semanal'!$AK$2:$AK$1503</c:f>
              <c:numCache>
                <c:formatCode>0\+000.00</c:formatCode>
                <c:ptCount val="1502"/>
                <c:pt idx="0">
                  <c:v>-148.11000000000001</c:v>
                </c:pt>
                <c:pt idx="1">
                  <c:v>-144.1</c:v>
                </c:pt>
                <c:pt idx="2">
                  <c:v>-137.4</c:v>
                </c:pt>
                <c:pt idx="3">
                  <c:v>-127.17</c:v>
                </c:pt>
                <c:pt idx="4">
                  <c:v>-117.2</c:v>
                </c:pt>
                <c:pt idx="5">
                  <c:v>-108.66</c:v>
                </c:pt>
                <c:pt idx="6">
                  <c:v>-104.58</c:v>
                </c:pt>
                <c:pt idx="7">
                  <c:v>-100.41</c:v>
                </c:pt>
                <c:pt idx="8">
                  <c:v>-92.26</c:v>
                </c:pt>
                <c:pt idx="9">
                  <c:v>-90.25</c:v>
                </c:pt>
                <c:pt idx="10">
                  <c:v>-83.94</c:v>
                </c:pt>
                <c:pt idx="11">
                  <c:v>-75.34</c:v>
                </c:pt>
                <c:pt idx="12">
                  <c:v>-67.16</c:v>
                </c:pt>
                <c:pt idx="13">
                  <c:v>-61.28</c:v>
                </c:pt>
                <c:pt idx="14">
                  <c:v>-51.81</c:v>
                </c:pt>
                <c:pt idx="15">
                  <c:v>-49.53</c:v>
                </c:pt>
                <c:pt idx="16">
                  <c:v>-40.630000000000003</c:v>
                </c:pt>
                <c:pt idx="17">
                  <c:v>-31.94</c:v>
                </c:pt>
                <c:pt idx="18">
                  <c:v>-25.57</c:v>
                </c:pt>
                <c:pt idx="19">
                  <c:v>-16.77</c:v>
                </c:pt>
                <c:pt idx="20">
                  <c:v>-10.98</c:v>
                </c:pt>
                <c:pt idx="21">
                  <c:v>-3.08</c:v>
                </c:pt>
                <c:pt idx="22">
                  <c:v>4.38</c:v>
                </c:pt>
                <c:pt idx="23">
                  <c:v>10.09</c:v>
                </c:pt>
                <c:pt idx="24">
                  <c:v>15.63</c:v>
                </c:pt>
                <c:pt idx="25">
                  <c:v>20.87</c:v>
                </c:pt>
                <c:pt idx="26">
                  <c:v>25.86</c:v>
                </c:pt>
                <c:pt idx="27">
                  <c:v>30.95</c:v>
                </c:pt>
                <c:pt idx="28">
                  <c:v>35.85</c:v>
                </c:pt>
                <c:pt idx="29">
                  <c:v>41.31</c:v>
                </c:pt>
                <c:pt idx="30">
                  <c:v>51.12</c:v>
                </c:pt>
                <c:pt idx="31">
                  <c:v>60.03</c:v>
                </c:pt>
                <c:pt idx="32">
                  <c:v>68.67</c:v>
                </c:pt>
                <c:pt idx="33">
                  <c:v>80.58</c:v>
                </c:pt>
                <c:pt idx="34">
                  <c:v>89.67</c:v>
                </c:pt>
                <c:pt idx="35">
                  <c:v>95.49</c:v>
                </c:pt>
                <c:pt idx="36">
                  <c:v>102.78</c:v>
                </c:pt>
                <c:pt idx="37">
                  <c:v>105.5</c:v>
                </c:pt>
                <c:pt idx="38">
                  <c:v>109.94</c:v>
                </c:pt>
                <c:pt idx="39">
                  <c:v>113.69</c:v>
                </c:pt>
                <c:pt idx="40">
                  <c:v>114.84</c:v>
                </c:pt>
                <c:pt idx="41">
                  <c:v>114.85</c:v>
                </c:pt>
                <c:pt idx="42">
                  <c:v>117.48</c:v>
                </c:pt>
                <c:pt idx="43">
                  <c:v>122.48</c:v>
                </c:pt>
                <c:pt idx="44">
                  <c:v>125.43</c:v>
                </c:pt>
                <c:pt idx="45">
                  <c:v>126.56</c:v>
                </c:pt>
                <c:pt idx="46">
                  <c:v>130.85</c:v>
                </c:pt>
                <c:pt idx="47">
                  <c:v>130.85</c:v>
                </c:pt>
                <c:pt idx="48">
                  <c:v>131.99</c:v>
                </c:pt>
                <c:pt idx="49">
                  <c:v>137.57</c:v>
                </c:pt>
                <c:pt idx="50">
                  <c:v>145.25</c:v>
                </c:pt>
                <c:pt idx="51">
                  <c:v>157.15</c:v>
                </c:pt>
                <c:pt idx="52">
                  <c:v>158.57</c:v>
                </c:pt>
                <c:pt idx="53">
                  <c:v>163.53</c:v>
                </c:pt>
                <c:pt idx="54">
                  <c:v>168.84</c:v>
                </c:pt>
                <c:pt idx="55">
                  <c:v>174</c:v>
                </c:pt>
                <c:pt idx="56">
                  <c:v>179.52</c:v>
                </c:pt>
                <c:pt idx="57">
                  <c:v>189.52</c:v>
                </c:pt>
                <c:pt idx="58">
                  <c:v>192.71</c:v>
                </c:pt>
                <c:pt idx="59">
                  <c:v>197.79</c:v>
                </c:pt>
                <c:pt idx="60">
                  <c:v>202.73</c:v>
                </c:pt>
                <c:pt idx="61">
                  <c:v>207.76</c:v>
                </c:pt>
                <c:pt idx="62">
                  <c:v>214.32</c:v>
                </c:pt>
                <c:pt idx="63">
                  <c:v>220.62</c:v>
                </c:pt>
                <c:pt idx="64">
                  <c:v>224.69</c:v>
                </c:pt>
                <c:pt idx="65">
                  <c:v>228.76</c:v>
                </c:pt>
                <c:pt idx="66">
                  <c:v>235.49</c:v>
                </c:pt>
                <c:pt idx="67">
                  <c:v>239.84</c:v>
                </c:pt>
                <c:pt idx="68">
                  <c:v>244.2</c:v>
                </c:pt>
                <c:pt idx="69">
                  <c:v>251.7</c:v>
                </c:pt>
                <c:pt idx="70">
                  <c:v>262.91000000000003</c:v>
                </c:pt>
                <c:pt idx="71">
                  <c:v>269.81</c:v>
                </c:pt>
                <c:pt idx="72">
                  <c:v>266.3</c:v>
                </c:pt>
                <c:pt idx="73">
                  <c:v>271.51</c:v>
                </c:pt>
                <c:pt idx="74">
                  <c:v>279.24</c:v>
                </c:pt>
                <c:pt idx="75">
                  <c:v>291.01</c:v>
                </c:pt>
                <c:pt idx="76">
                  <c:v>298.27999999999997</c:v>
                </c:pt>
                <c:pt idx="77">
                  <c:v>303.85000000000002</c:v>
                </c:pt>
                <c:pt idx="78">
                  <c:v>309.42</c:v>
                </c:pt>
                <c:pt idx="79">
                  <c:v>312.77</c:v>
                </c:pt>
                <c:pt idx="80">
                  <c:v>316.12</c:v>
                </c:pt>
                <c:pt idx="81">
                  <c:v>320.05</c:v>
                </c:pt>
                <c:pt idx="82">
                  <c:v>320.12</c:v>
                </c:pt>
                <c:pt idx="83">
                  <c:v>319.08</c:v>
                </c:pt>
                <c:pt idx="84">
                  <c:v>320.91000000000003</c:v>
                </c:pt>
                <c:pt idx="85">
                  <c:v>322.70999999999998</c:v>
                </c:pt>
                <c:pt idx="86">
                  <c:v>324.51</c:v>
                </c:pt>
                <c:pt idx="87">
                  <c:v>328.6</c:v>
                </c:pt>
                <c:pt idx="88">
                  <c:v>329.62</c:v>
                </c:pt>
                <c:pt idx="89">
                  <c:v>329.69</c:v>
                </c:pt>
                <c:pt idx="90">
                  <c:v>329.69</c:v>
                </c:pt>
                <c:pt idx="91">
                  <c:v>329.76</c:v>
                </c:pt>
                <c:pt idx="92">
                  <c:v>329.47</c:v>
                </c:pt>
                <c:pt idx="93">
                  <c:v>329.19</c:v>
                </c:pt>
                <c:pt idx="94">
                  <c:v>328.66</c:v>
                </c:pt>
                <c:pt idx="95">
                  <c:v>328.13</c:v>
                </c:pt>
                <c:pt idx="96">
                  <c:v>328.98</c:v>
                </c:pt>
                <c:pt idx="97">
                  <c:v>332.32</c:v>
                </c:pt>
                <c:pt idx="98">
                  <c:v>335.67</c:v>
                </c:pt>
                <c:pt idx="99">
                  <c:v>338.85</c:v>
                </c:pt>
                <c:pt idx="100">
                  <c:v>342.02</c:v>
                </c:pt>
                <c:pt idx="101">
                  <c:v>349.02</c:v>
                </c:pt>
                <c:pt idx="102">
                  <c:v>354.08</c:v>
                </c:pt>
                <c:pt idx="103">
                  <c:v>358.59</c:v>
                </c:pt>
                <c:pt idx="104">
                  <c:v>363.1</c:v>
                </c:pt>
                <c:pt idx="105">
                  <c:v>367.5</c:v>
                </c:pt>
                <c:pt idx="106">
                  <c:v>375.47</c:v>
                </c:pt>
                <c:pt idx="107">
                  <c:v>380.67</c:v>
                </c:pt>
                <c:pt idx="108">
                  <c:v>385.41</c:v>
                </c:pt>
                <c:pt idx="109">
                  <c:v>386.23</c:v>
                </c:pt>
                <c:pt idx="110">
                  <c:v>386.44</c:v>
                </c:pt>
                <c:pt idx="111">
                  <c:v>388.19</c:v>
                </c:pt>
                <c:pt idx="112">
                  <c:v>395.93</c:v>
                </c:pt>
                <c:pt idx="113">
                  <c:v>401.05</c:v>
                </c:pt>
                <c:pt idx="114">
                  <c:v>401.69</c:v>
                </c:pt>
                <c:pt idx="115">
                  <c:v>403.89</c:v>
                </c:pt>
                <c:pt idx="116">
                  <c:v>406.61</c:v>
                </c:pt>
                <c:pt idx="117">
                  <c:v>407.92</c:v>
                </c:pt>
                <c:pt idx="118">
                  <c:v>409.22</c:v>
                </c:pt>
                <c:pt idx="119">
                  <c:v>413.27</c:v>
                </c:pt>
                <c:pt idx="120">
                  <c:v>416.05</c:v>
                </c:pt>
                <c:pt idx="121">
                  <c:v>416.05</c:v>
                </c:pt>
                <c:pt idx="122">
                  <c:v>419.04</c:v>
                </c:pt>
                <c:pt idx="123">
                  <c:v>420.1</c:v>
                </c:pt>
                <c:pt idx="124">
                  <c:v>420.72</c:v>
                </c:pt>
                <c:pt idx="125">
                  <c:v>423.38</c:v>
                </c:pt>
                <c:pt idx="126">
                  <c:v>423.5</c:v>
                </c:pt>
                <c:pt idx="127">
                  <c:v>425.63</c:v>
                </c:pt>
                <c:pt idx="128">
                  <c:v>432.85</c:v>
                </c:pt>
                <c:pt idx="129">
                  <c:v>437.55</c:v>
                </c:pt>
                <c:pt idx="130">
                  <c:v>439.72</c:v>
                </c:pt>
                <c:pt idx="131">
                  <c:v>446.78</c:v>
                </c:pt>
                <c:pt idx="132">
                  <c:v>448.71</c:v>
                </c:pt>
                <c:pt idx="133">
                  <c:v>450.4</c:v>
                </c:pt>
                <c:pt idx="134">
                  <c:v>451.08</c:v>
                </c:pt>
                <c:pt idx="135">
                  <c:v>453.4</c:v>
                </c:pt>
                <c:pt idx="136">
                  <c:v>453.61</c:v>
                </c:pt>
                <c:pt idx="137">
                  <c:v>451.13</c:v>
                </c:pt>
                <c:pt idx="138">
                  <c:v>446.09</c:v>
                </c:pt>
                <c:pt idx="139">
                  <c:v>439.15</c:v>
                </c:pt>
                <c:pt idx="140">
                  <c:v>434.72</c:v>
                </c:pt>
                <c:pt idx="141">
                  <c:v>430.72</c:v>
                </c:pt>
                <c:pt idx="142">
                  <c:v>418.7</c:v>
                </c:pt>
                <c:pt idx="143">
                  <c:v>417.39</c:v>
                </c:pt>
                <c:pt idx="144">
                  <c:v>418.75</c:v>
                </c:pt>
                <c:pt idx="145">
                  <c:v>421.72</c:v>
                </c:pt>
                <c:pt idx="146">
                  <c:v>429.18</c:v>
                </c:pt>
                <c:pt idx="147">
                  <c:v>438.22</c:v>
                </c:pt>
                <c:pt idx="148">
                  <c:v>442.44</c:v>
                </c:pt>
                <c:pt idx="149">
                  <c:v>449.78</c:v>
                </c:pt>
                <c:pt idx="150">
                  <c:v>449.52</c:v>
                </c:pt>
                <c:pt idx="151">
                  <c:v>449.4</c:v>
                </c:pt>
                <c:pt idx="152">
                  <c:v>453.02</c:v>
                </c:pt>
                <c:pt idx="153">
                  <c:v>447.54</c:v>
                </c:pt>
                <c:pt idx="154">
                  <c:v>447.99</c:v>
                </c:pt>
                <c:pt idx="155">
                  <c:v>449.02</c:v>
                </c:pt>
                <c:pt idx="156">
                  <c:v>449.63</c:v>
                </c:pt>
                <c:pt idx="157">
                  <c:v>454.97</c:v>
                </c:pt>
                <c:pt idx="158">
                  <c:v>457.62</c:v>
                </c:pt>
                <c:pt idx="159">
                  <c:v>461.42</c:v>
                </c:pt>
                <c:pt idx="160">
                  <c:v>465.32</c:v>
                </c:pt>
                <c:pt idx="161">
                  <c:v>472.14</c:v>
                </c:pt>
                <c:pt idx="162">
                  <c:v>474.52</c:v>
                </c:pt>
                <c:pt idx="163">
                  <c:v>474.81</c:v>
                </c:pt>
                <c:pt idx="164">
                  <c:v>475.68</c:v>
                </c:pt>
                <c:pt idx="165">
                  <c:v>476.08</c:v>
                </c:pt>
                <c:pt idx="166">
                  <c:v>476.48</c:v>
                </c:pt>
                <c:pt idx="167">
                  <c:v>476.99</c:v>
                </c:pt>
                <c:pt idx="168">
                  <c:v>477.49</c:v>
                </c:pt>
                <c:pt idx="169">
                  <c:v>479.17</c:v>
                </c:pt>
                <c:pt idx="170">
                  <c:v>479.77</c:v>
                </c:pt>
                <c:pt idx="171">
                  <c:v>481.69</c:v>
                </c:pt>
                <c:pt idx="172">
                  <c:v>483.77</c:v>
                </c:pt>
                <c:pt idx="173">
                  <c:v>484.07</c:v>
                </c:pt>
                <c:pt idx="174">
                  <c:v>488.22</c:v>
                </c:pt>
                <c:pt idx="175">
                  <c:v>495.55</c:v>
                </c:pt>
                <c:pt idx="176">
                  <c:v>497.52</c:v>
                </c:pt>
                <c:pt idx="177">
                  <c:v>503.06</c:v>
                </c:pt>
                <c:pt idx="178">
                  <c:v>511.68</c:v>
                </c:pt>
                <c:pt idx="179">
                  <c:v>517.46</c:v>
                </c:pt>
                <c:pt idx="180">
                  <c:v>525.42999999999995</c:v>
                </c:pt>
                <c:pt idx="181">
                  <c:v>530.36</c:v>
                </c:pt>
                <c:pt idx="182">
                  <c:v>536.83000000000004</c:v>
                </c:pt>
                <c:pt idx="183">
                  <c:v>544.79</c:v>
                </c:pt>
                <c:pt idx="184">
                  <c:v>551.97</c:v>
                </c:pt>
                <c:pt idx="185">
                  <c:v>560.37</c:v>
                </c:pt>
                <c:pt idx="186">
                  <c:v>570.64</c:v>
                </c:pt>
                <c:pt idx="187">
                  <c:v>578.97</c:v>
                </c:pt>
                <c:pt idx="188">
                  <c:v>581.04999999999995</c:v>
                </c:pt>
                <c:pt idx="189">
                  <c:v>590.33000000000004</c:v>
                </c:pt>
                <c:pt idx="190">
                  <c:v>596.86</c:v>
                </c:pt>
                <c:pt idx="191">
                  <c:v>599.23</c:v>
                </c:pt>
                <c:pt idx="192">
                  <c:v>599.79999999999995</c:v>
                </c:pt>
                <c:pt idx="193">
                  <c:v>600.55999999999995</c:v>
                </c:pt>
                <c:pt idx="194">
                  <c:v>608.41</c:v>
                </c:pt>
                <c:pt idx="195">
                  <c:v>614.21</c:v>
                </c:pt>
                <c:pt idx="196">
                  <c:v>619.84</c:v>
                </c:pt>
                <c:pt idx="197">
                  <c:v>624.89</c:v>
                </c:pt>
                <c:pt idx="198">
                  <c:v>633.83000000000004</c:v>
                </c:pt>
                <c:pt idx="199">
                  <c:v>635.65</c:v>
                </c:pt>
                <c:pt idx="200">
                  <c:v>642.33000000000004</c:v>
                </c:pt>
                <c:pt idx="201">
                  <c:v>647.07000000000005</c:v>
                </c:pt>
                <c:pt idx="202">
                  <c:v>656.6</c:v>
                </c:pt>
                <c:pt idx="203">
                  <c:v>663.4</c:v>
                </c:pt>
                <c:pt idx="204">
                  <c:v>666</c:v>
                </c:pt>
                <c:pt idx="205">
                  <c:v>667.25</c:v>
                </c:pt>
                <c:pt idx="206">
                  <c:v>671.61</c:v>
                </c:pt>
                <c:pt idx="207">
                  <c:v>680.43</c:v>
                </c:pt>
                <c:pt idx="208">
                  <c:v>684.76</c:v>
                </c:pt>
                <c:pt idx="209">
                  <c:v>687.72</c:v>
                </c:pt>
                <c:pt idx="210">
                  <c:v>695.38</c:v>
                </c:pt>
                <c:pt idx="211">
                  <c:v>696.91</c:v>
                </c:pt>
                <c:pt idx="212">
                  <c:v>704.51</c:v>
                </c:pt>
                <c:pt idx="213">
                  <c:v>705.1</c:v>
                </c:pt>
                <c:pt idx="214">
                  <c:v>709.49</c:v>
                </c:pt>
                <c:pt idx="215">
                  <c:v>727.9</c:v>
                </c:pt>
                <c:pt idx="216">
                  <c:v>729.42</c:v>
                </c:pt>
                <c:pt idx="217">
                  <c:v>737.5</c:v>
                </c:pt>
                <c:pt idx="218">
                  <c:v>746.13</c:v>
                </c:pt>
                <c:pt idx="219">
                  <c:v>749.16</c:v>
                </c:pt>
                <c:pt idx="220">
                  <c:v>754.39</c:v>
                </c:pt>
                <c:pt idx="221">
                  <c:v>760.06</c:v>
                </c:pt>
                <c:pt idx="222">
                  <c:v>765.48</c:v>
                </c:pt>
                <c:pt idx="223">
                  <c:v>774.46</c:v>
                </c:pt>
                <c:pt idx="224">
                  <c:v>777.65</c:v>
                </c:pt>
                <c:pt idx="225">
                  <c:v>787.11</c:v>
                </c:pt>
                <c:pt idx="226">
                  <c:v>792.45</c:v>
                </c:pt>
                <c:pt idx="227">
                  <c:v>800.2</c:v>
                </c:pt>
                <c:pt idx="228">
                  <c:v>805.54</c:v>
                </c:pt>
                <c:pt idx="229">
                  <c:v>808.47</c:v>
                </c:pt>
                <c:pt idx="230">
                  <c:v>809.58</c:v>
                </c:pt>
                <c:pt idx="231">
                  <c:v>809.75</c:v>
                </c:pt>
                <c:pt idx="232">
                  <c:v>809.45</c:v>
                </c:pt>
                <c:pt idx="233">
                  <c:v>805.87</c:v>
                </c:pt>
                <c:pt idx="234">
                  <c:v>808.24</c:v>
                </c:pt>
                <c:pt idx="235">
                  <c:v>813.31</c:v>
                </c:pt>
                <c:pt idx="236">
                  <c:v>814.25</c:v>
                </c:pt>
                <c:pt idx="237">
                  <c:v>816.69</c:v>
                </c:pt>
                <c:pt idx="238">
                  <c:v>820.78</c:v>
                </c:pt>
                <c:pt idx="239">
                  <c:v>822.98</c:v>
                </c:pt>
                <c:pt idx="240">
                  <c:v>825.69</c:v>
                </c:pt>
                <c:pt idx="241">
                  <c:v>829.66</c:v>
                </c:pt>
                <c:pt idx="242">
                  <c:v>833.13</c:v>
                </c:pt>
                <c:pt idx="243">
                  <c:v>837.72</c:v>
                </c:pt>
                <c:pt idx="244">
                  <c:v>842.1</c:v>
                </c:pt>
                <c:pt idx="245">
                  <c:v>846.24</c:v>
                </c:pt>
                <c:pt idx="246">
                  <c:v>850.41</c:v>
                </c:pt>
                <c:pt idx="247">
                  <c:v>854.5</c:v>
                </c:pt>
                <c:pt idx="248">
                  <c:v>859.19</c:v>
                </c:pt>
                <c:pt idx="249">
                  <c:v>861.87</c:v>
                </c:pt>
                <c:pt idx="250">
                  <c:v>869.27</c:v>
                </c:pt>
                <c:pt idx="251">
                  <c:v>873.17</c:v>
                </c:pt>
                <c:pt idx="252">
                  <c:v>879.46</c:v>
                </c:pt>
                <c:pt idx="253">
                  <c:v>884.29</c:v>
                </c:pt>
                <c:pt idx="254">
                  <c:v>887.04</c:v>
                </c:pt>
                <c:pt idx="255">
                  <c:v>890.14</c:v>
                </c:pt>
                <c:pt idx="256">
                  <c:v>891.21</c:v>
                </c:pt>
                <c:pt idx="257">
                  <c:v>900.72</c:v>
                </c:pt>
                <c:pt idx="258">
                  <c:v>902.04</c:v>
                </c:pt>
                <c:pt idx="259">
                  <c:v>904.6</c:v>
                </c:pt>
                <c:pt idx="260">
                  <c:v>907.31</c:v>
                </c:pt>
                <c:pt idx="261">
                  <c:v>911.4</c:v>
                </c:pt>
                <c:pt idx="262">
                  <c:v>920.6</c:v>
                </c:pt>
                <c:pt idx="263">
                  <c:v>929.89</c:v>
                </c:pt>
                <c:pt idx="264">
                  <c:v>934.87</c:v>
                </c:pt>
                <c:pt idx="265">
                  <c:v>939.84</c:v>
                </c:pt>
                <c:pt idx="266">
                  <c:v>947.84</c:v>
                </c:pt>
                <c:pt idx="267">
                  <c:v>953.09</c:v>
                </c:pt>
                <c:pt idx="268">
                  <c:v>958.34</c:v>
                </c:pt>
                <c:pt idx="269">
                  <c:v>959.69</c:v>
                </c:pt>
                <c:pt idx="270">
                  <c:v>958.14</c:v>
                </c:pt>
                <c:pt idx="271">
                  <c:v>960.48</c:v>
                </c:pt>
                <c:pt idx="272">
                  <c:v>963.13</c:v>
                </c:pt>
                <c:pt idx="273">
                  <c:v>963.64</c:v>
                </c:pt>
                <c:pt idx="274">
                  <c:v>967.63</c:v>
                </c:pt>
                <c:pt idx="275">
                  <c:v>968.49</c:v>
                </c:pt>
                <c:pt idx="276">
                  <c:v>972.57</c:v>
                </c:pt>
                <c:pt idx="277">
                  <c:v>977.9</c:v>
                </c:pt>
                <c:pt idx="278">
                  <c:v>982.4</c:v>
                </c:pt>
                <c:pt idx="279">
                  <c:v>985.58</c:v>
                </c:pt>
                <c:pt idx="280">
                  <c:v>994.36</c:v>
                </c:pt>
                <c:pt idx="281">
                  <c:v>995.97</c:v>
                </c:pt>
                <c:pt idx="282">
                  <c:v>998.91</c:v>
                </c:pt>
                <c:pt idx="283">
                  <c:v>1002.34</c:v>
                </c:pt>
                <c:pt idx="284">
                  <c:v>1008.67</c:v>
                </c:pt>
                <c:pt idx="285">
                  <c:v>1009.58</c:v>
                </c:pt>
                <c:pt idx="286">
                  <c:v>1014.29</c:v>
                </c:pt>
                <c:pt idx="287">
                  <c:v>1017.92</c:v>
                </c:pt>
                <c:pt idx="288">
                  <c:v>1019.19</c:v>
                </c:pt>
                <c:pt idx="289">
                  <c:v>1011.7</c:v>
                </c:pt>
                <c:pt idx="290">
                  <c:v>1007.13</c:v>
                </c:pt>
                <c:pt idx="291">
                  <c:v>999.1</c:v>
                </c:pt>
                <c:pt idx="292">
                  <c:v>991.17</c:v>
                </c:pt>
                <c:pt idx="293">
                  <c:v>985.23</c:v>
                </c:pt>
                <c:pt idx="294">
                  <c:v>978.39</c:v>
                </c:pt>
                <c:pt idx="295">
                  <c:v>971.43</c:v>
                </c:pt>
                <c:pt idx="296">
                  <c:v>962.37</c:v>
                </c:pt>
                <c:pt idx="297">
                  <c:v>963.49</c:v>
                </c:pt>
                <c:pt idx="298">
                  <c:v>964.61</c:v>
                </c:pt>
                <c:pt idx="299">
                  <c:v>971.66</c:v>
                </c:pt>
                <c:pt idx="300">
                  <c:v>973.51</c:v>
                </c:pt>
                <c:pt idx="301">
                  <c:v>983.65</c:v>
                </c:pt>
                <c:pt idx="302">
                  <c:v>989.86</c:v>
                </c:pt>
                <c:pt idx="303">
                  <c:v>995.33</c:v>
                </c:pt>
                <c:pt idx="304">
                  <c:v>1002.2</c:v>
                </c:pt>
                <c:pt idx="305">
                  <c:v>1003.78</c:v>
                </c:pt>
                <c:pt idx="306">
                  <c:v>1009.78</c:v>
                </c:pt>
                <c:pt idx="307">
                  <c:v>1013.25</c:v>
                </c:pt>
                <c:pt idx="308">
                  <c:v>1013.72</c:v>
                </c:pt>
                <c:pt idx="309">
                  <c:v>1017.98</c:v>
                </c:pt>
                <c:pt idx="310">
                  <c:v>1022.52</c:v>
                </c:pt>
                <c:pt idx="311">
                  <c:v>1022.25</c:v>
                </c:pt>
                <c:pt idx="312">
                  <c:v>1021.98</c:v>
                </c:pt>
                <c:pt idx="313">
                  <c:v>1018.07</c:v>
                </c:pt>
                <c:pt idx="314">
                  <c:v>1019.52</c:v>
                </c:pt>
                <c:pt idx="315">
                  <c:v>1022.41</c:v>
                </c:pt>
                <c:pt idx="316">
                  <c:v>1023.45</c:v>
                </c:pt>
                <c:pt idx="317">
                  <c:v>1024.74</c:v>
                </c:pt>
                <c:pt idx="318">
                  <c:v>1026.55</c:v>
                </c:pt>
                <c:pt idx="319">
                  <c:v>1027.95</c:v>
                </c:pt>
                <c:pt idx="320">
                  <c:v>1030.08</c:v>
                </c:pt>
                <c:pt idx="321">
                  <c:v>1032.57</c:v>
                </c:pt>
                <c:pt idx="322">
                  <c:v>1034.32</c:v>
                </c:pt>
                <c:pt idx="323">
                  <c:v>1035.8699999999999</c:v>
                </c:pt>
                <c:pt idx="324">
                  <c:v>1037.04</c:v>
                </c:pt>
                <c:pt idx="325">
                  <c:v>1036.93</c:v>
                </c:pt>
                <c:pt idx="326">
                  <c:v>1036.69</c:v>
                </c:pt>
                <c:pt idx="327">
                  <c:v>1036.02</c:v>
                </c:pt>
                <c:pt idx="328">
                  <c:v>1035.3399999999999</c:v>
                </c:pt>
                <c:pt idx="329">
                  <c:v>1034.92</c:v>
                </c:pt>
                <c:pt idx="330">
                  <c:v>1034.76</c:v>
                </c:pt>
                <c:pt idx="331">
                  <c:v>1034.92</c:v>
                </c:pt>
                <c:pt idx="332">
                  <c:v>1036.33</c:v>
                </c:pt>
                <c:pt idx="333">
                  <c:v>1036.4000000000001</c:v>
                </c:pt>
                <c:pt idx="334">
                  <c:v>1030.57</c:v>
                </c:pt>
                <c:pt idx="335">
                  <c:v>1029.6199999999999</c:v>
                </c:pt>
                <c:pt idx="336">
                  <c:v>1024.79</c:v>
                </c:pt>
                <c:pt idx="337">
                  <c:v>1025.31</c:v>
                </c:pt>
                <c:pt idx="338">
                  <c:v>1025.97</c:v>
                </c:pt>
                <c:pt idx="339">
                  <c:v>1027.3599999999999</c:v>
                </c:pt>
                <c:pt idx="340">
                  <c:v>1024.1300000000001</c:v>
                </c:pt>
                <c:pt idx="341">
                  <c:v>1020.31</c:v>
                </c:pt>
                <c:pt idx="342">
                  <c:v>1013.59</c:v>
                </c:pt>
                <c:pt idx="343">
                  <c:v>1009.08</c:v>
                </c:pt>
                <c:pt idx="344">
                  <c:v>1008.66</c:v>
                </c:pt>
                <c:pt idx="345">
                  <c:v>1008.24</c:v>
                </c:pt>
                <c:pt idx="346">
                  <c:v>1006.45</c:v>
                </c:pt>
                <c:pt idx="347">
                  <c:v>1004.63</c:v>
                </c:pt>
                <c:pt idx="348">
                  <c:v>1002.49</c:v>
                </c:pt>
                <c:pt idx="349">
                  <c:v>998.89</c:v>
                </c:pt>
                <c:pt idx="350">
                  <c:v>992.32</c:v>
                </c:pt>
                <c:pt idx="351">
                  <c:v>988.87</c:v>
                </c:pt>
                <c:pt idx="352">
                  <c:v>985.45</c:v>
                </c:pt>
                <c:pt idx="353">
                  <c:v>980.96</c:v>
                </c:pt>
                <c:pt idx="354">
                  <c:v>974.96</c:v>
                </c:pt>
                <c:pt idx="355">
                  <c:v>968.98</c:v>
                </c:pt>
                <c:pt idx="356">
                  <c:v>960.14</c:v>
                </c:pt>
                <c:pt idx="357">
                  <c:v>955.21</c:v>
                </c:pt>
                <c:pt idx="358">
                  <c:v>945.87</c:v>
                </c:pt>
                <c:pt idx="359">
                  <c:v>940.49</c:v>
                </c:pt>
                <c:pt idx="360">
                  <c:v>936.86</c:v>
                </c:pt>
                <c:pt idx="361">
                  <c:v>934.12</c:v>
                </c:pt>
                <c:pt idx="362">
                  <c:v>931.62</c:v>
                </c:pt>
                <c:pt idx="363">
                  <c:v>928.53</c:v>
                </c:pt>
                <c:pt idx="364">
                  <c:v>925.14</c:v>
                </c:pt>
                <c:pt idx="365">
                  <c:v>922.39</c:v>
                </c:pt>
                <c:pt idx="366">
                  <c:v>919.86</c:v>
                </c:pt>
                <c:pt idx="367">
                  <c:v>917.38</c:v>
                </c:pt>
                <c:pt idx="368">
                  <c:v>916.3</c:v>
                </c:pt>
                <c:pt idx="369">
                  <c:v>912.97</c:v>
                </c:pt>
                <c:pt idx="370">
                  <c:v>907.87</c:v>
                </c:pt>
                <c:pt idx="371">
                  <c:v>906.98</c:v>
                </c:pt>
                <c:pt idx="372">
                  <c:v>908.57</c:v>
                </c:pt>
                <c:pt idx="373">
                  <c:v>908.03</c:v>
                </c:pt>
                <c:pt idx="374">
                  <c:v>907.92</c:v>
                </c:pt>
                <c:pt idx="375">
                  <c:v>910.23</c:v>
                </c:pt>
                <c:pt idx="376">
                  <c:v>912.56</c:v>
                </c:pt>
                <c:pt idx="377">
                  <c:v>911.24</c:v>
                </c:pt>
                <c:pt idx="378">
                  <c:v>903.35</c:v>
                </c:pt>
                <c:pt idx="379">
                  <c:v>896.94</c:v>
                </c:pt>
                <c:pt idx="380">
                  <c:v>895.76</c:v>
                </c:pt>
                <c:pt idx="381">
                  <c:v>892.24</c:v>
                </c:pt>
                <c:pt idx="382">
                  <c:v>892.22</c:v>
                </c:pt>
                <c:pt idx="383">
                  <c:v>889.48</c:v>
                </c:pt>
                <c:pt idx="384">
                  <c:v>886.71</c:v>
                </c:pt>
                <c:pt idx="385">
                  <c:v>881.88</c:v>
                </c:pt>
                <c:pt idx="386">
                  <c:v>878.55</c:v>
                </c:pt>
                <c:pt idx="387">
                  <c:v>876.55</c:v>
                </c:pt>
                <c:pt idx="388">
                  <c:v>873.84</c:v>
                </c:pt>
                <c:pt idx="389">
                  <c:v>868.45</c:v>
                </c:pt>
                <c:pt idx="390">
                  <c:v>867.35</c:v>
                </c:pt>
                <c:pt idx="391">
                  <c:v>868.04</c:v>
                </c:pt>
                <c:pt idx="392">
                  <c:v>868.03</c:v>
                </c:pt>
                <c:pt idx="393">
                  <c:v>868.02</c:v>
                </c:pt>
                <c:pt idx="394">
                  <c:v>854.35</c:v>
                </c:pt>
                <c:pt idx="395">
                  <c:v>850.58</c:v>
                </c:pt>
                <c:pt idx="396">
                  <c:v>850.75</c:v>
                </c:pt>
                <c:pt idx="397">
                  <c:v>849.39</c:v>
                </c:pt>
                <c:pt idx="398">
                  <c:v>846.79</c:v>
                </c:pt>
                <c:pt idx="399">
                  <c:v>847.19</c:v>
                </c:pt>
                <c:pt idx="400">
                  <c:v>848.19</c:v>
                </c:pt>
                <c:pt idx="401">
                  <c:v>852.57</c:v>
                </c:pt>
                <c:pt idx="402">
                  <c:v>852.53</c:v>
                </c:pt>
                <c:pt idx="403">
                  <c:v>851.9</c:v>
                </c:pt>
                <c:pt idx="404">
                  <c:v>851.67</c:v>
                </c:pt>
                <c:pt idx="405">
                  <c:v>852.76</c:v>
                </c:pt>
                <c:pt idx="406">
                  <c:v>852.44</c:v>
                </c:pt>
                <c:pt idx="407">
                  <c:v>845.24</c:v>
                </c:pt>
                <c:pt idx="408">
                  <c:v>841.3</c:v>
                </c:pt>
                <c:pt idx="409">
                  <c:v>839.79</c:v>
                </c:pt>
                <c:pt idx="410">
                  <c:v>837.45</c:v>
                </c:pt>
                <c:pt idx="411">
                  <c:v>836.74</c:v>
                </c:pt>
                <c:pt idx="412">
                  <c:v>832.45</c:v>
                </c:pt>
                <c:pt idx="413">
                  <c:v>828.58</c:v>
                </c:pt>
                <c:pt idx="414">
                  <c:v>827.67</c:v>
                </c:pt>
                <c:pt idx="415">
                  <c:v>825.88</c:v>
                </c:pt>
                <c:pt idx="416">
                  <c:v>822.01</c:v>
                </c:pt>
                <c:pt idx="417">
                  <c:v>818.69</c:v>
                </c:pt>
                <c:pt idx="418">
                  <c:v>816.65</c:v>
                </c:pt>
                <c:pt idx="419">
                  <c:v>813.9</c:v>
                </c:pt>
                <c:pt idx="420">
                  <c:v>811.08</c:v>
                </c:pt>
                <c:pt idx="421">
                  <c:v>808.62</c:v>
                </c:pt>
                <c:pt idx="422">
                  <c:v>804.6</c:v>
                </c:pt>
                <c:pt idx="423">
                  <c:v>798.92</c:v>
                </c:pt>
                <c:pt idx="424">
                  <c:v>794.78</c:v>
                </c:pt>
                <c:pt idx="425">
                  <c:v>791.99</c:v>
                </c:pt>
                <c:pt idx="426">
                  <c:v>789</c:v>
                </c:pt>
                <c:pt idx="427">
                  <c:v>787.95</c:v>
                </c:pt>
                <c:pt idx="428">
                  <c:v>784.45</c:v>
                </c:pt>
                <c:pt idx="429">
                  <c:v>781.26</c:v>
                </c:pt>
                <c:pt idx="430">
                  <c:v>780.17</c:v>
                </c:pt>
                <c:pt idx="431">
                  <c:v>781.74</c:v>
                </c:pt>
                <c:pt idx="432">
                  <c:v>782.27</c:v>
                </c:pt>
                <c:pt idx="433">
                  <c:v>782.76</c:v>
                </c:pt>
                <c:pt idx="434">
                  <c:v>784.64</c:v>
                </c:pt>
                <c:pt idx="435">
                  <c:v>784.85</c:v>
                </c:pt>
                <c:pt idx="436">
                  <c:v>790.3</c:v>
                </c:pt>
                <c:pt idx="437">
                  <c:v>794.26</c:v>
                </c:pt>
                <c:pt idx="438">
                  <c:v>797.03</c:v>
                </c:pt>
                <c:pt idx="439">
                  <c:v>792.28</c:v>
                </c:pt>
                <c:pt idx="440">
                  <c:v>790.69</c:v>
                </c:pt>
                <c:pt idx="441">
                  <c:v>783.64</c:v>
                </c:pt>
                <c:pt idx="442">
                  <c:v>775.07</c:v>
                </c:pt>
                <c:pt idx="443">
                  <c:v>767.84</c:v>
                </c:pt>
                <c:pt idx="444">
                  <c:v>761.22</c:v>
                </c:pt>
                <c:pt idx="445">
                  <c:v>755.89</c:v>
                </c:pt>
                <c:pt idx="446">
                  <c:v>746.53</c:v>
                </c:pt>
                <c:pt idx="447">
                  <c:v>740.8</c:v>
                </c:pt>
                <c:pt idx="448">
                  <c:v>733.31</c:v>
                </c:pt>
                <c:pt idx="449">
                  <c:v>730.13</c:v>
                </c:pt>
                <c:pt idx="450">
                  <c:v>728.96</c:v>
                </c:pt>
                <c:pt idx="451">
                  <c:v>727.79</c:v>
                </c:pt>
                <c:pt idx="452">
                  <c:v>720.43</c:v>
                </c:pt>
                <c:pt idx="453">
                  <c:v>715.79</c:v>
                </c:pt>
                <c:pt idx="454">
                  <c:v>706.82</c:v>
                </c:pt>
                <c:pt idx="455">
                  <c:v>705.08</c:v>
                </c:pt>
                <c:pt idx="456">
                  <c:v>694.34</c:v>
                </c:pt>
                <c:pt idx="457">
                  <c:v>690.98</c:v>
                </c:pt>
                <c:pt idx="458">
                  <c:v>682.58</c:v>
                </c:pt>
                <c:pt idx="459">
                  <c:v>675.84</c:v>
                </c:pt>
                <c:pt idx="460">
                  <c:v>667.74</c:v>
                </c:pt>
                <c:pt idx="461">
                  <c:v>660.68</c:v>
                </c:pt>
                <c:pt idx="462">
                  <c:v>653.19000000000005</c:v>
                </c:pt>
                <c:pt idx="463">
                  <c:v>649.59</c:v>
                </c:pt>
                <c:pt idx="464">
                  <c:v>644.48</c:v>
                </c:pt>
                <c:pt idx="465">
                  <c:v>636.99</c:v>
                </c:pt>
                <c:pt idx="466">
                  <c:v>634.86</c:v>
                </c:pt>
                <c:pt idx="467">
                  <c:v>631.5</c:v>
                </c:pt>
                <c:pt idx="468">
                  <c:v>628.80999999999995</c:v>
                </c:pt>
                <c:pt idx="469">
                  <c:v>629.16999999999996</c:v>
                </c:pt>
                <c:pt idx="470">
                  <c:v>629.6</c:v>
                </c:pt>
                <c:pt idx="471">
                  <c:v>630.29999999999995</c:v>
                </c:pt>
                <c:pt idx="472">
                  <c:v>632.91999999999996</c:v>
                </c:pt>
                <c:pt idx="473">
                  <c:v>633.77</c:v>
                </c:pt>
                <c:pt idx="474">
                  <c:v>641.21</c:v>
                </c:pt>
                <c:pt idx="475">
                  <c:v>644.38</c:v>
                </c:pt>
                <c:pt idx="476">
                  <c:v>649.13</c:v>
                </c:pt>
                <c:pt idx="477">
                  <c:v>651.47</c:v>
                </c:pt>
                <c:pt idx="478">
                  <c:v>653.6</c:v>
                </c:pt>
                <c:pt idx="479">
                  <c:v>655.5</c:v>
                </c:pt>
                <c:pt idx="480">
                  <c:v>661.14</c:v>
                </c:pt>
                <c:pt idx="481">
                  <c:v>664.49</c:v>
                </c:pt>
                <c:pt idx="482">
                  <c:v>668.45</c:v>
                </c:pt>
                <c:pt idx="483">
                  <c:v>670.89</c:v>
                </c:pt>
                <c:pt idx="484">
                  <c:v>668.93</c:v>
                </c:pt>
                <c:pt idx="485">
                  <c:v>663.04</c:v>
                </c:pt>
                <c:pt idx="486">
                  <c:v>659.46</c:v>
                </c:pt>
                <c:pt idx="487">
                  <c:v>657.27</c:v>
                </c:pt>
                <c:pt idx="488">
                  <c:v>656.11</c:v>
                </c:pt>
                <c:pt idx="489">
                  <c:v>657.89</c:v>
                </c:pt>
                <c:pt idx="490">
                  <c:v>657.52</c:v>
                </c:pt>
                <c:pt idx="491">
                  <c:v>654.15</c:v>
                </c:pt>
                <c:pt idx="492">
                  <c:v>652.79</c:v>
                </c:pt>
                <c:pt idx="493">
                  <c:v>651.04999999999995</c:v>
                </c:pt>
                <c:pt idx="494">
                  <c:v>649.29999999999995</c:v>
                </c:pt>
                <c:pt idx="495">
                  <c:v>643.45000000000005</c:v>
                </c:pt>
                <c:pt idx="496">
                  <c:v>639.32000000000005</c:v>
                </c:pt>
                <c:pt idx="497">
                  <c:v>635.72</c:v>
                </c:pt>
                <c:pt idx="498">
                  <c:v>632.79999999999995</c:v>
                </c:pt>
                <c:pt idx="499">
                  <c:v>626.29</c:v>
                </c:pt>
                <c:pt idx="500">
                  <c:v>616.41</c:v>
                </c:pt>
                <c:pt idx="501">
                  <c:v>613.02</c:v>
                </c:pt>
                <c:pt idx="502">
                  <c:v>612.09</c:v>
                </c:pt>
                <c:pt idx="503">
                  <c:v>611.78</c:v>
                </c:pt>
                <c:pt idx="504">
                  <c:v>610.16</c:v>
                </c:pt>
                <c:pt idx="505">
                  <c:v>609.84</c:v>
                </c:pt>
                <c:pt idx="506">
                  <c:v>604.53</c:v>
                </c:pt>
                <c:pt idx="507">
                  <c:v>603.6</c:v>
                </c:pt>
                <c:pt idx="508">
                  <c:v>599.84</c:v>
                </c:pt>
                <c:pt idx="509">
                  <c:v>598.83000000000004</c:v>
                </c:pt>
                <c:pt idx="510">
                  <c:v>595.69000000000005</c:v>
                </c:pt>
                <c:pt idx="511">
                  <c:v>594.96</c:v>
                </c:pt>
                <c:pt idx="512">
                  <c:v>591.4</c:v>
                </c:pt>
                <c:pt idx="513">
                  <c:v>589.16999999999996</c:v>
                </c:pt>
                <c:pt idx="514">
                  <c:v>586.47</c:v>
                </c:pt>
                <c:pt idx="515">
                  <c:v>586.38</c:v>
                </c:pt>
                <c:pt idx="516">
                  <c:v>586.76</c:v>
                </c:pt>
                <c:pt idx="517">
                  <c:v>586.38</c:v>
                </c:pt>
                <c:pt idx="518">
                  <c:v>583.39</c:v>
                </c:pt>
                <c:pt idx="519">
                  <c:v>580.25</c:v>
                </c:pt>
                <c:pt idx="520">
                  <c:v>577.46</c:v>
                </c:pt>
                <c:pt idx="521">
                  <c:v>576.99</c:v>
                </c:pt>
                <c:pt idx="522">
                  <c:v>576.52</c:v>
                </c:pt>
                <c:pt idx="523">
                  <c:v>573.66</c:v>
                </c:pt>
                <c:pt idx="524">
                  <c:v>568.63</c:v>
                </c:pt>
                <c:pt idx="525">
                  <c:v>563.37</c:v>
                </c:pt>
                <c:pt idx="526">
                  <c:v>561.03</c:v>
                </c:pt>
                <c:pt idx="527">
                  <c:v>562.70000000000005</c:v>
                </c:pt>
                <c:pt idx="528">
                  <c:v>557.51</c:v>
                </c:pt>
                <c:pt idx="529">
                  <c:v>556.41</c:v>
                </c:pt>
                <c:pt idx="530">
                  <c:v>551.13</c:v>
                </c:pt>
                <c:pt idx="531">
                  <c:v>543.04</c:v>
                </c:pt>
                <c:pt idx="532">
                  <c:v>536.98</c:v>
                </c:pt>
                <c:pt idx="533">
                  <c:v>530.87</c:v>
                </c:pt>
                <c:pt idx="534">
                  <c:v>528.47</c:v>
                </c:pt>
                <c:pt idx="535">
                  <c:v>523.79</c:v>
                </c:pt>
                <c:pt idx="536">
                  <c:v>520.02</c:v>
                </c:pt>
                <c:pt idx="537">
                  <c:v>509.19</c:v>
                </c:pt>
                <c:pt idx="538">
                  <c:v>504.83</c:v>
                </c:pt>
                <c:pt idx="539">
                  <c:v>498.24</c:v>
                </c:pt>
                <c:pt idx="540">
                  <c:v>494.4</c:v>
                </c:pt>
                <c:pt idx="541">
                  <c:v>489.41</c:v>
                </c:pt>
                <c:pt idx="542">
                  <c:v>486.11</c:v>
                </c:pt>
                <c:pt idx="543">
                  <c:v>483.24</c:v>
                </c:pt>
                <c:pt idx="544">
                  <c:v>479.44</c:v>
                </c:pt>
                <c:pt idx="545">
                  <c:v>477.46</c:v>
                </c:pt>
                <c:pt idx="546">
                  <c:v>476.23</c:v>
                </c:pt>
                <c:pt idx="547">
                  <c:v>474.33</c:v>
                </c:pt>
                <c:pt idx="548">
                  <c:v>473.19</c:v>
                </c:pt>
                <c:pt idx="549">
                  <c:v>471.86</c:v>
                </c:pt>
                <c:pt idx="550">
                  <c:v>471.46</c:v>
                </c:pt>
                <c:pt idx="551">
                  <c:v>471.42</c:v>
                </c:pt>
                <c:pt idx="552">
                  <c:v>471.42</c:v>
                </c:pt>
                <c:pt idx="553">
                  <c:v>470.26</c:v>
                </c:pt>
                <c:pt idx="554">
                  <c:v>469.72</c:v>
                </c:pt>
                <c:pt idx="555">
                  <c:v>467.95</c:v>
                </c:pt>
                <c:pt idx="556">
                  <c:v>466.38</c:v>
                </c:pt>
                <c:pt idx="557">
                  <c:v>463.38</c:v>
                </c:pt>
                <c:pt idx="558">
                  <c:v>462.41</c:v>
                </c:pt>
                <c:pt idx="559">
                  <c:v>461.17</c:v>
                </c:pt>
                <c:pt idx="560">
                  <c:v>458.71</c:v>
                </c:pt>
                <c:pt idx="561">
                  <c:v>456.21</c:v>
                </c:pt>
                <c:pt idx="562">
                  <c:v>451.72</c:v>
                </c:pt>
                <c:pt idx="563">
                  <c:v>446.57</c:v>
                </c:pt>
                <c:pt idx="564">
                  <c:v>438.41</c:v>
                </c:pt>
                <c:pt idx="565">
                  <c:v>435.28</c:v>
                </c:pt>
                <c:pt idx="566">
                  <c:v>426.33</c:v>
                </c:pt>
                <c:pt idx="567">
                  <c:v>419.76</c:v>
                </c:pt>
                <c:pt idx="568">
                  <c:v>411.95</c:v>
                </c:pt>
                <c:pt idx="569">
                  <c:v>401.94</c:v>
                </c:pt>
                <c:pt idx="570">
                  <c:v>400.62</c:v>
                </c:pt>
                <c:pt idx="571">
                  <c:v>392.03</c:v>
                </c:pt>
                <c:pt idx="572">
                  <c:v>390.98</c:v>
                </c:pt>
                <c:pt idx="573">
                  <c:v>385.83</c:v>
                </c:pt>
                <c:pt idx="574">
                  <c:v>381.65</c:v>
                </c:pt>
                <c:pt idx="575">
                  <c:v>377.73</c:v>
                </c:pt>
                <c:pt idx="576">
                  <c:v>377.05</c:v>
                </c:pt>
                <c:pt idx="577">
                  <c:v>378.38</c:v>
                </c:pt>
                <c:pt idx="578">
                  <c:v>378.82</c:v>
                </c:pt>
                <c:pt idx="579">
                  <c:v>378.82</c:v>
                </c:pt>
                <c:pt idx="580">
                  <c:v>377.61</c:v>
                </c:pt>
                <c:pt idx="581">
                  <c:v>377.54</c:v>
                </c:pt>
                <c:pt idx="582">
                  <c:v>376.97</c:v>
                </c:pt>
                <c:pt idx="583">
                  <c:v>376.4</c:v>
                </c:pt>
                <c:pt idx="584">
                  <c:v>375.46</c:v>
                </c:pt>
                <c:pt idx="585">
                  <c:v>373.27</c:v>
                </c:pt>
                <c:pt idx="586">
                  <c:v>370.49</c:v>
                </c:pt>
                <c:pt idx="587">
                  <c:v>364.53</c:v>
                </c:pt>
                <c:pt idx="588">
                  <c:v>364.53</c:v>
                </c:pt>
                <c:pt idx="589">
                  <c:v>362.88</c:v>
                </c:pt>
                <c:pt idx="590">
                  <c:v>361.82</c:v>
                </c:pt>
                <c:pt idx="591">
                  <c:v>358.65</c:v>
                </c:pt>
                <c:pt idx="592">
                  <c:v>353.88</c:v>
                </c:pt>
                <c:pt idx="593">
                  <c:v>351.13</c:v>
                </c:pt>
                <c:pt idx="594">
                  <c:v>348.74</c:v>
                </c:pt>
                <c:pt idx="595">
                  <c:v>342.09</c:v>
                </c:pt>
                <c:pt idx="596">
                  <c:v>337.55</c:v>
                </c:pt>
                <c:pt idx="597">
                  <c:v>337.03</c:v>
                </c:pt>
                <c:pt idx="598">
                  <c:v>333.66</c:v>
                </c:pt>
                <c:pt idx="599">
                  <c:v>330.38</c:v>
                </c:pt>
                <c:pt idx="600">
                  <c:v>327.45</c:v>
                </c:pt>
                <c:pt idx="601">
                  <c:v>326.89</c:v>
                </c:pt>
                <c:pt idx="602">
                  <c:v>324.79000000000002</c:v>
                </c:pt>
                <c:pt idx="603">
                  <c:v>320.94</c:v>
                </c:pt>
                <c:pt idx="604">
                  <c:v>316.72000000000003</c:v>
                </c:pt>
                <c:pt idx="605">
                  <c:v>308.41000000000003</c:v>
                </c:pt>
                <c:pt idx="606">
                  <c:v>307.2</c:v>
                </c:pt>
                <c:pt idx="607">
                  <c:v>299.58999999999997</c:v>
                </c:pt>
                <c:pt idx="608">
                  <c:v>293.7</c:v>
                </c:pt>
                <c:pt idx="609">
                  <c:v>289.79000000000002</c:v>
                </c:pt>
                <c:pt idx="610">
                  <c:v>288.64999999999998</c:v>
                </c:pt>
                <c:pt idx="611">
                  <c:v>280.73</c:v>
                </c:pt>
                <c:pt idx="612">
                  <c:v>275.77</c:v>
                </c:pt>
                <c:pt idx="613">
                  <c:v>270.36</c:v>
                </c:pt>
                <c:pt idx="614">
                  <c:v>262.44</c:v>
                </c:pt>
                <c:pt idx="615">
                  <c:v>255.7</c:v>
                </c:pt>
                <c:pt idx="616">
                  <c:v>249.17</c:v>
                </c:pt>
                <c:pt idx="617">
                  <c:v>248.8</c:v>
                </c:pt>
                <c:pt idx="618">
                  <c:v>247.62</c:v>
                </c:pt>
                <c:pt idx="619">
                  <c:v>245.6</c:v>
                </c:pt>
                <c:pt idx="620">
                  <c:v>239.81</c:v>
                </c:pt>
                <c:pt idx="621">
                  <c:v>233.18</c:v>
                </c:pt>
                <c:pt idx="622">
                  <c:v>232.65</c:v>
                </c:pt>
                <c:pt idx="623">
                  <c:v>230.61</c:v>
                </c:pt>
                <c:pt idx="624">
                  <c:v>230.25</c:v>
                </c:pt>
                <c:pt idx="625">
                  <c:v>230.67</c:v>
                </c:pt>
                <c:pt idx="626">
                  <c:v>231.45</c:v>
                </c:pt>
                <c:pt idx="627">
                  <c:v>232.07</c:v>
                </c:pt>
                <c:pt idx="628">
                  <c:v>233.27</c:v>
                </c:pt>
                <c:pt idx="629">
                  <c:v>234.47</c:v>
                </c:pt>
                <c:pt idx="630">
                  <c:v>228.51</c:v>
                </c:pt>
                <c:pt idx="631">
                  <c:v>228.23</c:v>
                </c:pt>
                <c:pt idx="632">
                  <c:v>223.71</c:v>
                </c:pt>
                <c:pt idx="633">
                  <c:v>223.32</c:v>
                </c:pt>
                <c:pt idx="634">
                  <c:v>222.23</c:v>
                </c:pt>
                <c:pt idx="635">
                  <c:v>217.59</c:v>
                </c:pt>
                <c:pt idx="636">
                  <c:v>211.78</c:v>
                </c:pt>
                <c:pt idx="637">
                  <c:v>204.55</c:v>
                </c:pt>
                <c:pt idx="638">
                  <c:v>203.28</c:v>
                </c:pt>
                <c:pt idx="639">
                  <c:v>196.49</c:v>
                </c:pt>
                <c:pt idx="640">
                  <c:v>187.56</c:v>
                </c:pt>
                <c:pt idx="641">
                  <c:v>179.97</c:v>
                </c:pt>
                <c:pt idx="642">
                  <c:v>169.49</c:v>
                </c:pt>
                <c:pt idx="643">
                  <c:v>163.98</c:v>
                </c:pt>
                <c:pt idx="644">
                  <c:v>151.62</c:v>
                </c:pt>
                <c:pt idx="645">
                  <c:v>145.79</c:v>
                </c:pt>
                <c:pt idx="646">
                  <c:v>135.13999999999999</c:v>
                </c:pt>
                <c:pt idx="647">
                  <c:v>129.83000000000001</c:v>
                </c:pt>
                <c:pt idx="648">
                  <c:v>128.52000000000001</c:v>
                </c:pt>
                <c:pt idx="649">
                  <c:v>128.52000000000001</c:v>
                </c:pt>
                <c:pt idx="650">
                  <c:v>125.28</c:v>
                </c:pt>
                <c:pt idx="651">
                  <c:v>117.38</c:v>
                </c:pt>
                <c:pt idx="652">
                  <c:v>113.26</c:v>
                </c:pt>
                <c:pt idx="653">
                  <c:v>110.67</c:v>
                </c:pt>
                <c:pt idx="654">
                  <c:v>106.79</c:v>
                </c:pt>
                <c:pt idx="655">
                  <c:v>97.99</c:v>
                </c:pt>
                <c:pt idx="656">
                  <c:v>96.94</c:v>
                </c:pt>
                <c:pt idx="657">
                  <c:v>93.48</c:v>
                </c:pt>
                <c:pt idx="658">
                  <c:v>93.47</c:v>
                </c:pt>
                <c:pt idx="659">
                  <c:v>89.89</c:v>
                </c:pt>
                <c:pt idx="660">
                  <c:v>86.93</c:v>
                </c:pt>
                <c:pt idx="661">
                  <c:v>88.83</c:v>
                </c:pt>
                <c:pt idx="662">
                  <c:v>89.63</c:v>
                </c:pt>
                <c:pt idx="663">
                  <c:v>91.07</c:v>
                </c:pt>
                <c:pt idx="664">
                  <c:v>91.93</c:v>
                </c:pt>
                <c:pt idx="665">
                  <c:v>92.37</c:v>
                </c:pt>
                <c:pt idx="666">
                  <c:v>103.03</c:v>
                </c:pt>
                <c:pt idx="667">
                  <c:v>115.15</c:v>
                </c:pt>
                <c:pt idx="668">
                  <c:v>119.59</c:v>
                </c:pt>
                <c:pt idx="669">
                  <c:v>116.47</c:v>
                </c:pt>
                <c:pt idx="670">
                  <c:v>116.2</c:v>
                </c:pt>
                <c:pt idx="671">
                  <c:v>115.53</c:v>
                </c:pt>
                <c:pt idx="672">
                  <c:v>112.94</c:v>
                </c:pt>
                <c:pt idx="673">
                  <c:v>112.83</c:v>
                </c:pt>
                <c:pt idx="674">
                  <c:v>112.28</c:v>
                </c:pt>
                <c:pt idx="675">
                  <c:v>112.08</c:v>
                </c:pt>
                <c:pt idx="676">
                  <c:v>109.01</c:v>
                </c:pt>
                <c:pt idx="677">
                  <c:v>108.82</c:v>
                </c:pt>
                <c:pt idx="678">
                  <c:v>108.64</c:v>
                </c:pt>
                <c:pt idx="679">
                  <c:v>108.05</c:v>
                </c:pt>
                <c:pt idx="680">
                  <c:v>107.45</c:v>
                </c:pt>
                <c:pt idx="681">
                  <c:v>105.57</c:v>
                </c:pt>
                <c:pt idx="682">
                  <c:v>104.37</c:v>
                </c:pt>
                <c:pt idx="683">
                  <c:v>103.03</c:v>
                </c:pt>
                <c:pt idx="684">
                  <c:v>102.82</c:v>
                </c:pt>
                <c:pt idx="685">
                  <c:v>102.76</c:v>
                </c:pt>
                <c:pt idx="686">
                  <c:v>102.62</c:v>
                </c:pt>
                <c:pt idx="687">
                  <c:v>101.56</c:v>
                </c:pt>
                <c:pt idx="688">
                  <c:v>98.76</c:v>
                </c:pt>
                <c:pt idx="689">
                  <c:v>98.52</c:v>
                </c:pt>
                <c:pt idx="690">
                  <c:v>97.3</c:v>
                </c:pt>
                <c:pt idx="691">
                  <c:v>97.29</c:v>
                </c:pt>
                <c:pt idx="692">
                  <c:v>97.26</c:v>
                </c:pt>
                <c:pt idx="693">
                  <c:v>94.05</c:v>
                </c:pt>
                <c:pt idx="694">
                  <c:v>93.46</c:v>
                </c:pt>
                <c:pt idx="695">
                  <c:v>92.52</c:v>
                </c:pt>
                <c:pt idx="696">
                  <c:v>91.98</c:v>
                </c:pt>
                <c:pt idx="697">
                  <c:v>91.09</c:v>
                </c:pt>
                <c:pt idx="698">
                  <c:v>87.51</c:v>
                </c:pt>
                <c:pt idx="699">
                  <c:v>87.43</c:v>
                </c:pt>
                <c:pt idx="700">
                  <c:v>85.52</c:v>
                </c:pt>
                <c:pt idx="701">
                  <c:v>85.33</c:v>
                </c:pt>
                <c:pt idx="702">
                  <c:v>84.77</c:v>
                </c:pt>
                <c:pt idx="703">
                  <c:v>83.01</c:v>
                </c:pt>
                <c:pt idx="704">
                  <c:v>78.69</c:v>
                </c:pt>
                <c:pt idx="705">
                  <c:v>77.63</c:v>
                </c:pt>
                <c:pt idx="706">
                  <c:v>77.599999999999994</c:v>
                </c:pt>
                <c:pt idx="707">
                  <c:v>77.569999999999993</c:v>
                </c:pt>
                <c:pt idx="708">
                  <c:v>77.540000000000006</c:v>
                </c:pt>
                <c:pt idx="709">
                  <c:v>77.510000000000005</c:v>
                </c:pt>
                <c:pt idx="710">
                  <c:v>77.37</c:v>
                </c:pt>
                <c:pt idx="711">
                  <c:v>77.25</c:v>
                </c:pt>
                <c:pt idx="712">
                  <c:v>76.989999999999995</c:v>
                </c:pt>
                <c:pt idx="713">
                  <c:v>76.98</c:v>
                </c:pt>
                <c:pt idx="714">
                  <c:v>76.959999999999994</c:v>
                </c:pt>
                <c:pt idx="715">
                  <c:v>76.09</c:v>
                </c:pt>
                <c:pt idx="716">
                  <c:v>73.069999999999993</c:v>
                </c:pt>
                <c:pt idx="717">
                  <c:v>71.8</c:v>
                </c:pt>
                <c:pt idx="718">
                  <c:v>70.290000000000006</c:v>
                </c:pt>
                <c:pt idx="719">
                  <c:v>65.08</c:v>
                </c:pt>
                <c:pt idx="720">
                  <c:v>60.87</c:v>
                </c:pt>
                <c:pt idx="721">
                  <c:v>60.39</c:v>
                </c:pt>
                <c:pt idx="722">
                  <c:v>53.95</c:v>
                </c:pt>
                <c:pt idx="723">
                  <c:v>53.61</c:v>
                </c:pt>
                <c:pt idx="724">
                  <c:v>53.27</c:v>
                </c:pt>
                <c:pt idx="725">
                  <c:v>47.6</c:v>
                </c:pt>
                <c:pt idx="726">
                  <c:v>44.81</c:v>
                </c:pt>
                <c:pt idx="727">
                  <c:v>43.06</c:v>
                </c:pt>
                <c:pt idx="728">
                  <c:v>36.659999999999997</c:v>
                </c:pt>
                <c:pt idx="729">
                  <c:v>34.159999999999997</c:v>
                </c:pt>
                <c:pt idx="730">
                  <c:v>34.03</c:v>
                </c:pt>
                <c:pt idx="731">
                  <c:v>33.89</c:v>
                </c:pt>
                <c:pt idx="732">
                  <c:v>33.619999999999997</c:v>
                </c:pt>
                <c:pt idx="733">
                  <c:v>33.35</c:v>
                </c:pt>
                <c:pt idx="734">
                  <c:v>30.6</c:v>
                </c:pt>
                <c:pt idx="735">
                  <c:v>29.61</c:v>
                </c:pt>
                <c:pt idx="736">
                  <c:v>29.08</c:v>
                </c:pt>
                <c:pt idx="737">
                  <c:v>28.63</c:v>
                </c:pt>
                <c:pt idx="738">
                  <c:v>28.18</c:v>
                </c:pt>
                <c:pt idx="739">
                  <c:v>27.31</c:v>
                </c:pt>
                <c:pt idx="740">
                  <c:v>25.16</c:v>
                </c:pt>
                <c:pt idx="741">
                  <c:v>23.51</c:v>
                </c:pt>
                <c:pt idx="742">
                  <c:v>21.96</c:v>
                </c:pt>
                <c:pt idx="743">
                  <c:v>15.67</c:v>
                </c:pt>
                <c:pt idx="744">
                  <c:v>11</c:v>
                </c:pt>
                <c:pt idx="745">
                  <c:v>0.15</c:v>
                </c:pt>
                <c:pt idx="746">
                  <c:v>-4.95</c:v>
                </c:pt>
                <c:pt idx="747">
                  <c:v>-12.27</c:v>
                </c:pt>
                <c:pt idx="748">
                  <c:v>-17.36</c:v>
                </c:pt>
                <c:pt idx="749">
                  <c:v>-17.600000000000001</c:v>
                </c:pt>
                <c:pt idx="750">
                  <c:v>-18.579999999999998</c:v>
                </c:pt>
                <c:pt idx="751">
                  <c:v>-19.57</c:v>
                </c:pt>
                <c:pt idx="752">
                  <c:v>-22.83</c:v>
                </c:pt>
                <c:pt idx="753">
                  <c:v>-26.85</c:v>
                </c:pt>
                <c:pt idx="754">
                  <c:v>-27.12</c:v>
                </c:pt>
                <c:pt idx="755">
                  <c:v>-27.38</c:v>
                </c:pt>
                <c:pt idx="756">
                  <c:v>-29.27</c:v>
                </c:pt>
                <c:pt idx="757">
                  <c:v>-34.67</c:v>
                </c:pt>
                <c:pt idx="758">
                  <c:v>-38.1</c:v>
                </c:pt>
                <c:pt idx="759">
                  <c:v>-39.119999999999997</c:v>
                </c:pt>
                <c:pt idx="760">
                  <c:v>-39.43</c:v>
                </c:pt>
                <c:pt idx="761">
                  <c:v>-37.299999999999997</c:v>
                </c:pt>
                <c:pt idx="762">
                  <c:v>-33.03</c:v>
                </c:pt>
                <c:pt idx="763">
                  <c:v>-28.51</c:v>
                </c:pt>
                <c:pt idx="764">
                  <c:v>-28.6</c:v>
                </c:pt>
                <c:pt idx="765">
                  <c:v>-31.1</c:v>
                </c:pt>
                <c:pt idx="766">
                  <c:v>-27.54</c:v>
                </c:pt>
                <c:pt idx="767">
                  <c:v>-24.12</c:v>
                </c:pt>
                <c:pt idx="768">
                  <c:v>-20.350000000000001</c:v>
                </c:pt>
                <c:pt idx="769">
                  <c:v>-18.809999999999999</c:v>
                </c:pt>
                <c:pt idx="770">
                  <c:v>-16.440000000000001</c:v>
                </c:pt>
                <c:pt idx="771">
                  <c:v>-14.29</c:v>
                </c:pt>
                <c:pt idx="772">
                  <c:v>-11.65</c:v>
                </c:pt>
                <c:pt idx="773">
                  <c:v>-8.26</c:v>
                </c:pt>
                <c:pt idx="774">
                  <c:v>-6.5</c:v>
                </c:pt>
                <c:pt idx="775">
                  <c:v>-3.97</c:v>
                </c:pt>
                <c:pt idx="776">
                  <c:v>-0.11</c:v>
                </c:pt>
                <c:pt idx="777">
                  <c:v>1.39</c:v>
                </c:pt>
                <c:pt idx="778">
                  <c:v>5.31</c:v>
                </c:pt>
                <c:pt idx="779">
                  <c:v>8.65</c:v>
                </c:pt>
                <c:pt idx="780">
                  <c:v>10.16</c:v>
                </c:pt>
                <c:pt idx="781">
                  <c:v>11.93</c:v>
                </c:pt>
                <c:pt idx="782">
                  <c:v>14.53</c:v>
                </c:pt>
                <c:pt idx="783">
                  <c:v>18.079999999999998</c:v>
                </c:pt>
                <c:pt idx="784">
                  <c:v>19.100000000000001</c:v>
                </c:pt>
                <c:pt idx="785">
                  <c:v>19.8</c:v>
                </c:pt>
                <c:pt idx="786">
                  <c:v>20.5</c:v>
                </c:pt>
                <c:pt idx="787">
                  <c:v>21.84</c:v>
                </c:pt>
                <c:pt idx="788">
                  <c:v>21.97</c:v>
                </c:pt>
                <c:pt idx="789">
                  <c:v>21.91</c:v>
                </c:pt>
                <c:pt idx="790">
                  <c:v>22.42</c:v>
                </c:pt>
                <c:pt idx="791">
                  <c:v>21.61</c:v>
                </c:pt>
                <c:pt idx="792">
                  <c:v>21.99</c:v>
                </c:pt>
                <c:pt idx="793">
                  <c:v>22.37</c:v>
                </c:pt>
                <c:pt idx="794">
                  <c:v>23.66</c:v>
                </c:pt>
                <c:pt idx="795">
                  <c:v>23.6</c:v>
                </c:pt>
                <c:pt idx="796">
                  <c:v>23.81</c:v>
                </c:pt>
                <c:pt idx="797">
                  <c:v>22.75</c:v>
                </c:pt>
                <c:pt idx="798">
                  <c:v>22.91</c:v>
                </c:pt>
                <c:pt idx="799">
                  <c:v>22.63</c:v>
                </c:pt>
                <c:pt idx="800">
                  <c:v>22.82</c:v>
                </c:pt>
                <c:pt idx="801">
                  <c:v>22.95</c:v>
                </c:pt>
                <c:pt idx="802">
                  <c:v>23.31</c:v>
                </c:pt>
                <c:pt idx="803">
                  <c:v>23.67</c:v>
                </c:pt>
                <c:pt idx="804">
                  <c:v>23.89</c:v>
                </c:pt>
                <c:pt idx="805">
                  <c:v>24.11</c:v>
                </c:pt>
                <c:pt idx="806">
                  <c:v>24.36</c:v>
                </c:pt>
                <c:pt idx="807">
                  <c:v>24.6</c:v>
                </c:pt>
                <c:pt idx="808">
                  <c:v>24.68</c:v>
                </c:pt>
                <c:pt idx="809">
                  <c:v>24.51</c:v>
                </c:pt>
                <c:pt idx="810">
                  <c:v>24.94</c:v>
                </c:pt>
                <c:pt idx="811">
                  <c:v>24.56</c:v>
                </c:pt>
                <c:pt idx="812">
                  <c:v>25.45</c:v>
                </c:pt>
                <c:pt idx="813">
                  <c:v>26.12</c:v>
                </c:pt>
                <c:pt idx="814">
                  <c:v>26.17</c:v>
                </c:pt>
                <c:pt idx="815">
                  <c:v>26.27</c:v>
                </c:pt>
                <c:pt idx="816">
                  <c:v>25.78</c:v>
                </c:pt>
                <c:pt idx="817">
                  <c:v>25.64</c:v>
                </c:pt>
                <c:pt idx="818">
                  <c:v>25.41</c:v>
                </c:pt>
                <c:pt idx="819">
                  <c:v>25.15</c:v>
                </c:pt>
                <c:pt idx="820">
                  <c:v>25.85</c:v>
                </c:pt>
                <c:pt idx="821">
                  <c:v>26.19</c:v>
                </c:pt>
                <c:pt idx="822">
                  <c:v>26.53</c:v>
                </c:pt>
                <c:pt idx="823">
                  <c:v>26.84</c:v>
                </c:pt>
                <c:pt idx="824">
                  <c:v>26.64</c:v>
                </c:pt>
                <c:pt idx="825">
                  <c:v>26.51</c:v>
                </c:pt>
                <c:pt idx="826">
                  <c:v>26.74</c:v>
                </c:pt>
                <c:pt idx="827">
                  <c:v>26.64</c:v>
                </c:pt>
                <c:pt idx="828">
                  <c:v>26.53</c:v>
                </c:pt>
                <c:pt idx="829">
                  <c:v>25.95</c:v>
                </c:pt>
                <c:pt idx="830">
                  <c:v>26.27</c:v>
                </c:pt>
                <c:pt idx="831">
                  <c:v>26.72</c:v>
                </c:pt>
                <c:pt idx="832">
                  <c:v>26.77</c:v>
                </c:pt>
                <c:pt idx="833">
                  <c:v>25.4</c:v>
                </c:pt>
                <c:pt idx="834">
                  <c:v>26.05</c:v>
                </c:pt>
                <c:pt idx="835">
                  <c:v>23.69</c:v>
                </c:pt>
                <c:pt idx="836">
                  <c:v>22.55</c:v>
                </c:pt>
                <c:pt idx="837">
                  <c:v>20.56</c:v>
                </c:pt>
                <c:pt idx="838">
                  <c:v>18.59</c:v>
                </c:pt>
                <c:pt idx="839">
                  <c:v>14.46</c:v>
                </c:pt>
                <c:pt idx="840">
                  <c:v>10.69</c:v>
                </c:pt>
                <c:pt idx="841">
                  <c:v>6.33</c:v>
                </c:pt>
                <c:pt idx="842">
                  <c:v>2.23</c:v>
                </c:pt>
                <c:pt idx="843">
                  <c:v>-1.91</c:v>
                </c:pt>
                <c:pt idx="844">
                  <c:v>-7.95</c:v>
                </c:pt>
                <c:pt idx="845">
                  <c:v>-11.25</c:v>
                </c:pt>
                <c:pt idx="846">
                  <c:v>-15.92</c:v>
                </c:pt>
                <c:pt idx="847">
                  <c:v>-20.32</c:v>
                </c:pt>
                <c:pt idx="848">
                  <c:v>-27.69</c:v>
                </c:pt>
                <c:pt idx="849">
                  <c:v>-32.35</c:v>
                </c:pt>
                <c:pt idx="850">
                  <c:v>-36.65</c:v>
                </c:pt>
                <c:pt idx="851">
                  <c:v>-38.659999999999997</c:v>
                </c:pt>
                <c:pt idx="852">
                  <c:v>-40.659999999999997</c:v>
                </c:pt>
                <c:pt idx="853">
                  <c:v>-43.51</c:v>
                </c:pt>
                <c:pt idx="854">
                  <c:v>-45.18</c:v>
                </c:pt>
                <c:pt idx="855">
                  <c:v>-45.69</c:v>
                </c:pt>
                <c:pt idx="856">
                  <c:v>-46.9</c:v>
                </c:pt>
                <c:pt idx="857">
                  <c:v>-46.66</c:v>
                </c:pt>
                <c:pt idx="858">
                  <c:v>-46.62</c:v>
                </c:pt>
                <c:pt idx="859">
                  <c:v>-46.71</c:v>
                </c:pt>
                <c:pt idx="860">
                  <c:v>-46.34</c:v>
                </c:pt>
                <c:pt idx="861">
                  <c:v>-46.33</c:v>
                </c:pt>
                <c:pt idx="862">
                  <c:v>-46.6</c:v>
                </c:pt>
                <c:pt idx="863">
                  <c:v>-45.55</c:v>
                </c:pt>
                <c:pt idx="864">
                  <c:v>-45.57</c:v>
                </c:pt>
                <c:pt idx="865">
                  <c:v>-45.88</c:v>
                </c:pt>
                <c:pt idx="866">
                  <c:v>-46.36</c:v>
                </c:pt>
                <c:pt idx="867">
                  <c:v>-46.35</c:v>
                </c:pt>
                <c:pt idx="868">
                  <c:v>-46.24</c:v>
                </c:pt>
                <c:pt idx="869">
                  <c:v>-46.47</c:v>
                </c:pt>
                <c:pt idx="870">
                  <c:v>-46.47</c:v>
                </c:pt>
                <c:pt idx="871">
                  <c:v>-48.77</c:v>
                </c:pt>
                <c:pt idx="872">
                  <c:v>-46.72</c:v>
                </c:pt>
                <c:pt idx="873">
                  <c:v>-46.41</c:v>
                </c:pt>
                <c:pt idx="874">
                  <c:v>-46.24</c:v>
                </c:pt>
                <c:pt idx="875">
                  <c:v>-46.07</c:v>
                </c:pt>
                <c:pt idx="876">
                  <c:v>-46.08</c:v>
                </c:pt>
                <c:pt idx="877">
                  <c:v>-46.08</c:v>
                </c:pt>
                <c:pt idx="878">
                  <c:v>-46.14</c:v>
                </c:pt>
                <c:pt idx="879">
                  <c:v>-46.21</c:v>
                </c:pt>
                <c:pt idx="880">
                  <c:v>-46.85</c:v>
                </c:pt>
                <c:pt idx="881">
                  <c:v>-46.42</c:v>
                </c:pt>
                <c:pt idx="882">
                  <c:v>-46.18</c:v>
                </c:pt>
                <c:pt idx="883">
                  <c:v>-45.95</c:v>
                </c:pt>
                <c:pt idx="884">
                  <c:v>-45.45</c:v>
                </c:pt>
                <c:pt idx="885">
                  <c:v>-45.04</c:v>
                </c:pt>
                <c:pt idx="886">
                  <c:v>-45.51</c:v>
                </c:pt>
                <c:pt idx="887">
                  <c:v>-45.32</c:v>
                </c:pt>
                <c:pt idx="888">
                  <c:v>-45.13</c:v>
                </c:pt>
                <c:pt idx="889">
                  <c:v>-45.79</c:v>
                </c:pt>
                <c:pt idx="890">
                  <c:v>-45.88</c:v>
                </c:pt>
                <c:pt idx="891">
                  <c:v>-45.96</c:v>
                </c:pt>
                <c:pt idx="892">
                  <c:v>-45.91</c:v>
                </c:pt>
                <c:pt idx="893">
                  <c:v>-45.96</c:v>
                </c:pt>
                <c:pt idx="894">
                  <c:v>-46.02</c:v>
                </c:pt>
                <c:pt idx="895">
                  <c:v>-46.57</c:v>
                </c:pt>
                <c:pt idx="896">
                  <c:v>-46.86</c:v>
                </c:pt>
                <c:pt idx="897">
                  <c:v>-47.14</c:v>
                </c:pt>
                <c:pt idx="898">
                  <c:v>-46.6</c:v>
                </c:pt>
                <c:pt idx="899">
                  <c:v>-46.16</c:v>
                </c:pt>
                <c:pt idx="900">
                  <c:v>-46.2</c:v>
                </c:pt>
                <c:pt idx="901">
                  <c:v>-46.77</c:v>
                </c:pt>
                <c:pt idx="902">
                  <c:v>-46.72</c:v>
                </c:pt>
                <c:pt idx="903">
                  <c:v>-45.67</c:v>
                </c:pt>
                <c:pt idx="904">
                  <c:v>-45.49</c:v>
                </c:pt>
                <c:pt idx="905">
                  <c:v>-45.38</c:v>
                </c:pt>
                <c:pt idx="906">
                  <c:v>-45.03</c:v>
                </c:pt>
                <c:pt idx="907">
                  <c:v>-44.93</c:v>
                </c:pt>
                <c:pt idx="908">
                  <c:v>-46.55</c:v>
                </c:pt>
                <c:pt idx="909">
                  <c:v>-46.05</c:v>
                </c:pt>
                <c:pt idx="910">
                  <c:v>-45.76</c:v>
                </c:pt>
                <c:pt idx="911">
                  <c:v>-45.73</c:v>
                </c:pt>
                <c:pt idx="912">
                  <c:v>-45.26</c:v>
                </c:pt>
                <c:pt idx="913">
                  <c:v>-44.93</c:v>
                </c:pt>
                <c:pt idx="914">
                  <c:v>-44.76</c:v>
                </c:pt>
                <c:pt idx="915">
                  <c:v>-44.68</c:v>
                </c:pt>
                <c:pt idx="916">
                  <c:v>-45.41</c:v>
                </c:pt>
                <c:pt idx="917">
                  <c:v>-45.82</c:v>
                </c:pt>
                <c:pt idx="918">
                  <c:v>-45.55</c:v>
                </c:pt>
                <c:pt idx="919">
                  <c:v>-45.29</c:v>
                </c:pt>
                <c:pt idx="920">
                  <c:v>-45.4</c:v>
                </c:pt>
                <c:pt idx="921">
                  <c:v>-45.34</c:v>
                </c:pt>
                <c:pt idx="922">
                  <c:v>-45.26</c:v>
                </c:pt>
                <c:pt idx="923">
                  <c:v>-45.75</c:v>
                </c:pt>
                <c:pt idx="924">
                  <c:v>-45.64</c:v>
                </c:pt>
                <c:pt idx="925">
                  <c:v>-45.53</c:v>
                </c:pt>
                <c:pt idx="926">
                  <c:v>-45.42</c:v>
                </c:pt>
                <c:pt idx="927">
                  <c:v>-45.65</c:v>
                </c:pt>
                <c:pt idx="928">
                  <c:v>-45.88</c:v>
                </c:pt>
                <c:pt idx="929">
                  <c:v>-45.13</c:v>
                </c:pt>
                <c:pt idx="930">
                  <c:v>-45.38</c:v>
                </c:pt>
                <c:pt idx="931">
                  <c:v>-45.5</c:v>
                </c:pt>
                <c:pt idx="932">
                  <c:v>-46.5</c:v>
                </c:pt>
                <c:pt idx="933">
                  <c:v>-47.18</c:v>
                </c:pt>
                <c:pt idx="934">
                  <c:v>-48.23</c:v>
                </c:pt>
                <c:pt idx="935">
                  <c:v>-47.31</c:v>
                </c:pt>
                <c:pt idx="936">
                  <c:v>-46.76</c:v>
                </c:pt>
                <c:pt idx="937">
                  <c:v>-46.44</c:v>
                </c:pt>
                <c:pt idx="938">
                  <c:v>-46.11</c:v>
                </c:pt>
                <c:pt idx="939">
                  <c:v>-45.76</c:v>
                </c:pt>
                <c:pt idx="940">
                  <c:v>-46</c:v>
                </c:pt>
                <c:pt idx="941">
                  <c:v>-46.62</c:v>
                </c:pt>
                <c:pt idx="942">
                  <c:v>-47.03</c:v>
                </c:pt>
                <c:pt idx="943">
                  <c:v>-46.83</c:v>
                </c:pt>
                <c:pt idx="944">
                  <c:v>-46.65</c:v>
                </c:pt>
                <c:pt idx="945">
                  <c:v>-46.67</c:v>
                </c:pt>
                <c:pt idx="946">
                  <c:v>-46.08</c:v>
                </c:pt>
                <c:pt idx="947">
                  <c:v>-45.22</c:v>
                </c:pt>
                <c:pt idx="948">
                  <c:v>-44.88</c:v>
                </c:pt>
                <c:pt idx="949">
                  <c:v>-44.76</c:v>
                </c:pt>
                <c:pt idx="950">
                  <c:v>-44.66</c:v>
                </c:pt>
                <c:pt idx="951">
                  <c:v>-44.69</c:v>
                </c:pt>
                <c:pt idx="952">
                  <c:v>-44.32</c:v>
                </c:pt>
                <c:pt idx="953">
                  <c:v>-44.28</c:v>
                </c:pt>
                <c:pt idx="954">
                  <c:v>-44.24</c:v>
                </c:pt>
                <c:pt idx="955">
                  <c:v>-44.13</c:v>
                </c:pt>
                <c:pt idx="956">
                  <c:v>-43.88</c:v>
                </c:pt>
                <c:pt idx="957">
                  <c:v>-44.39</c:v>
                </c:pt>
                <c:pt idx="958">
                  <c:v>-44.62</c:v>
                </c:pt>
                <c:pt idx="959">
                  <c:v>-44.58</c:v>
                </c:pt>
                <c:pt idx="960">
                  <c:v>-44.57</c:v>
                </c:pt>
                <c:pt idx="961">
                  <c:v>-44.57</c:v>
                </c:pt>
                <c:pt idx="962">
                  <c:v>-44.3</c:v>
                </c:pt>
                <c:pt idx="963">
                  <c:v>-43.98</c:v>
                </c:pt>
                <c:pt idx="964">
                  <c:v>-43.78</c:v>
                </c:pt>
                <c:pt idx="965">
                  <c:v>-44.38</c:v>
                </c:pt>
                <c:pt idx="966">
                  <c:v>-44.38</c:v>
                </c:pt>
                <c:pt idx="967">
                  <c:v>-44.33</c:v>
                </c:pt>
                <c:pt idx="968">
                  <c:v>-44.26</c:v>
                </c:pt>
                <c:pt idx="969">
                  <c:v>-44.13</c:v>
                </c:pt>
                <c:pt idx="970">
                  <c:v>-45.4</c:v>
                </c:pt>
                <c:pt idx="971">
                  <c:v>-45.62</c:v>
                </c:pt>
                <c:pt idx="972">
                  <c:v>-44.52</c:v>
                </c:pt>
                <c:pt idx="973">
                  <c:v>-45.03</c:v>
                </c:pt>
                <c:pt idx="974">
                  <c:v>-44.55</c:v>
                </c:pt>
                <c:pt idx="975">
                  <c:v>-43.63</c:v>
                </c:pt>
                <c:pt idx="976">
                  <c:v>-43.14</c:v>
                </c:pt>
                <c:pt idx="977">
                  <c:v>-44.62</c:v>
                </c:pt>
                <c:pt idx="978">
                  <c:v>-44.73</c:v>
                </c:pt>
                <c:pt idx="979">
                  <c:v>-49.97</c:v>
                </c:pt>
                <c:pt idx="980">
                  <c:v>-56.09</c:v>
                </c:pt>
                <c:pt idx="981">
                  <c:v>-61.04</c:v>
                </c:pt>
                <c:pt idx="982">
                  <c:v>-63.87</c:v>
                </c:pt>
                <c:pt idx="983">
                  <c:v>-66.7</c:v>
                </c:pt>
                <c:pt idx="984">
                  <c:v>-70.38</c:v>
                </c:pt>
                <c:pt idx="985">
                  <c:v>-74.66</c:v>
                </c:pt>
                <c:pt idx="986">
                  <c:v>-80.09</c:v>
                </c:pt>
                <c:pt idx="987">
                  <c:v>-83.91</c:v>
                </c:pt>
                <c:pt idx="988">
                  <c:v>-89.12</c:v>
                </c:pt>
                <c:pt idx="989">
                  <c:v>-92.64</c:v>
                </c:pt>
                <c:pt idx="990">
                  <c:v>-100.01</c:v>
                </c:pt>
                <c:pt idx="991">
                  <c:v>-102.15</c:v>
                </c:pt>
                <c:pt idx="992">
                  <c:v>-107.08</c:v>
                </c:pt>
                <c:pt idx="993">
                  <c:v>-113.79</c:v>
                </c:pt>
                <c:pt idx="994">
                  <c:v>-118.93</c:v>
                </c:pt>
                <c:pt idx="995">
                  <c:v>-122.16</c:v>
                </c:pt>
                <c:pt idx="996">
                  <c:v>-125.39</c:v>
                </c:pt>
                <c:pt idx="997">
                  <c:v>-129.74</c:v>
                </c:pt>
                <c:pt idx="998">
                  <c:v>-135.12</c:v>
                </c:pt>
                <c:pt idx="999">
                  <c:v>-143.71</c:v>
                </c:pt>
                <c:pt idx="1000">
                  <c:v>-148.88</c:v>
                </c:pt>
                <c:pt idx="1001">
                  <c:v>-151.79</c:v>
                </c:pt>
                <c:pt idx="1002">
                  <c:v>-158.37</c:v>
                </c:pt>
                <c:pt idx="1003">
                  <c:v>-162.16</c:v>
                </c:pt>
                <c:pt idx="1004">
                  <c:v>-165.95</c:v>
                </c:pt>
                <c:pt idx="1005">
                  <c:v>-172.73</c:v>
                </c:pt>
                <c:pt idx="1006">
                  <c:v>-182.3</c:v>
                </c:pt>
                <c:pt idx="1007">
                  <c:v>-183.1</c:v>
                </c:pt>
                <c:pt idx="1008">
                  <c:v>-185.64</c:v>
                </c:pt>
                <c:pt idx="1009">
                  <c:v>-191.75</c:v>
                </c:pt>
                <c:pt idx="1010">
                  <c:v>-195.32</c:v>
                </c:pt>
                <c:pt idx="1011">
                  <c:v>-199.14</c:v>
                </c:pt>
                <c:pt idx="1012">
                  <c:v>-202.93</c:v>
                </c:pt>
                <c:pt idx="1013">
                  <c:v>-206.94</c:v>
                </c:pt>
                <c:pt idx="1014">
                  <c:v>-207.33</c:v>
                </c:pt>
                <c:pt idx="1015">
                  <c:v>-209.48</c:v>
                </c:pt>
                <c:pt idx="1016">
                  <c:v>-209.73</c:v>
                </c:pt>
                <c:pt idx="1017">
                  <c:v>-210.86</c:v>
                </c:pt>
                <c:pt idx="1018">
                  <c:v>-212.4</c:v>
                </c:pt>
                <c:pt idx="1019">
                  <c:v>-213.14</c:v>
                </c:pt>
                <c:pt idx="1020">
                  <c:v>-214.83</c:v>
                </c:pt>
                <c:pt idx="1021">
                  <c:v>-216.13</c:v>
                </c:pt>
                <c:pt idx="1022">
                  <c:v>-217.48</c:v>
                </c:pt>
                <c:pt idx="1023">
                  <c:v>-219.23</c:v>
                </c:pt>
                <c:pt idx="1024">
                  <c:v>-219.26</c:v>
                </c:pt>
                <c:pt idx="1025">
                  <c:v>-219.51</c:v>
                </c:pt>
                <c:pt idx="1026">
                  <c:v>-220.03</c:v>
                </c:pt>
                <c:pt idx="1027">
                  <c:v>-220.83</c:v>
                </c:pt>
                <c:pt idx="1028">
                  <c:v>-222.57</c:v>
                </c:pt>
                <c:pt idx="1029">
                  <c:v>-224.05</c:v>
                </c:pt>
                <c:pt idx="1030">
                  <c:v>-224.37</c:v>
                </c:pt>
                <c:pt idx="1031">
                  <c:v>-226.39</c:v>
                </c:pt>
                <c:pt idx="1032">
                  <c:v>-227.17</c:v>
                </c:pt>
                <c:pt idx="1033">
                  <c:v>-228.92</c:v>
                </c:pt>
                <c:pt idx="1034">
                  <c:v>-231.05</c:v>
                </c:pt>
                <c:pt idx="1035">
                  <c:v>-231.99</c:v>
                </c:pt>
                <c:pt idx="1036">
                  <c:v>-232.87</c:v>
                </c:pt>
                <c:pt idx="1037">
                  <c:v>-234.92</c:v>
                </c:pt>
                <c:pt idx="1038">
                  <c:v>-235.64</c:v>
                </c:pt>
                <c:pt idx="1039">
                  <c:v>-237.55</c:v>
                </c:pt>
                <c:pt idx="1040">
                  <c:v>-238.78</c:v>
                </c:pt>
                <c:pt idx="1041">
                  <c:v>-239.76</c:v>
                </c:pt>
                <c:pt idx="1042">
                  <c:v>-239.85</c:v>
                </c:pt>
                <c:pt idx="1043">
                  <c:v>-240.47</c:v>
                </c:pt>
                <c:pt idx="1044">
                  <c:v>-240.73</c:v>
                </c:pt>
                <c:pt idx="1045">
                  <c:v>-244.49</c:v>
                </c:pt>
                <c:pt idx="1046">
                  <c:v>-247.5</c:v>
                </c:pt>
                <c:pt idx="1047">
                  <c:v>-249.22</c:v>
                </c:pt>
                <c:pt idx="1048">
                  <c:v>-249.54</c:v>
                </c:pt>
                <c:pt idx="1049">
                  <c:v>-250.47</c:v>
                </c:pt>
                <c:pt idx="1050">
                  <c:v>-250.67</c:v>
                </c:pt>
                <c:pt idx="1051">
                  <c:v>-251.87</c:v>
                </c:pt>
                <c:pt idx="1052">
                  <c:v>-252.97</c:v>
                </c:pt>
                <c:pt idx="1053">
                  <c:v>-253.48</c:v>
                </c:pt>
                <c:pt idx="1054">
                  <c:v>-254.53</c:v>
                </c:pt>
                <c:pt idx="1055">
                  <c:v>-245.77</c:v>
                </c:pt>
                <c:pt idx="1056">
                  <c:v>-247.41</c:v>
                </c:pt>
                <c:pt idx="1057">
                  <c:v>-247.33</c:v>
                </c:pt>
                <c:pt idx="1058">
                  <c:v>-249.01</c:v>
                </c:pt>
                <c:pt idx="1059">
                  <c:v>-244.33</c:v>
                </c:pt>
                <c:pt idx="1060">
                  <c:v>-241.15</c:v>
                </c:pt>
                <c:pt idx="1061">
                  <c:v>-239.74</c:v>
                </c:pt>
                <c:pt idx="1062">
                  <c:v>-236.48</c:v>
                </c:pt>
                <c:pt idx="1063">
                  <c:v>-229.87</c:v>
                </c:pt>
                <c:pt idx="1064">
                  <c:v>-223.71</c:v>
                </c:pt>
                <c:pt idx="1065">
                  <c:v>-219.72</c:v>
                </c:pt>
                <c:pt idx="1066">
                  <c:v>-215.15</c:v>
                </c:pt>
                <c:pt idx="1067">
                  <c:v>-205.37</c:v>
                </c:pt>
                <c:pt idx="1068">
                  <c:v>-196.36</c:v>
                </c:pt>
                <c:pt idx="1069">
                  <c:v>-190.27</c:v>
                </c:pt>
                <c:pt idx="1070">
                  <c:v>-184.32</c:v>
                </c:pt>
                <c:pt idx="1071">
                  <c:v>-182.17</c:v>
                </c:pt>
                <c:pt idx="1072">
                  <c:v>-182.12</c:v>
                </c:pt>
                <c:pt idx="1073">
                  <c:v>-178.72</c:v>
                </c:pt>
                <c:pt idx="1074">
                  <c:v>-178.19</c:v>
                </c:pt>
                <c:pt idx="1075">
                  <c:v>-177.65</c:v>
                </c:pt>
                <c:pt idx="1076">
                  <c:v>-177.11</c:v>
                </c:pt>
                <c:pt idx="1077">
                  <c:v>-172.57</c:v>
                </c:pt>
                <c:pt idx="1078">
                  <c:v>-172.52</c:v>
                </c:pt>
                <c:pt idx="1079">
                  <c:v>-168.26</c:v>
                </c:pt>
                <c:pt idx="1080">
                  <c:v>-168.18</c:v>
                </c:pt>
                <c:pt idx="1081">
                  <c:v>-168.1</c:v>
                </c:pt>
                <c:pt idx="1082">
                  <c:v>-167.27</c:v>
                </c:pt>
                <c:pt idx="1083">
                  <c:v>-163.54</c:v>
                </c:pt>
                <c:pt idx="1084">
                  <c:v>-163.29</c:v>
                </c:pt>
                <c:pt idx="1085">
                  <c:v>-163.29</c:v>
                </c:pt>
                <c:pt idx="1086">
                  <c:v>-163.09</c:v>
                </c:pt>
                <c:pt idx="1087">
                  <c:v>-162.93</c:v>
                </c:pt>
                <c:pt idx="1088">
                  <c:v>-159.99</c:v>
                </c:pt>
                <c:pt idx="1089">
                  <c:v>-159.16999999999999</c:v>
                </c:pt>
                <c:pt idx="1090">
                  <c:v>-158.22999999999999</c:v>
                </c:pt>
                <c:pt idx="1091">
                  <c:v>-158.11000000000001</c:v>
                </c:pt>
                <c:pt idx="1092">
                  <c:v>-155.01</c:v>
                </c:pt>
              </c:numCache>
            </c:numRef>
          </c:yVal>
          <c:smooth val="0"/>
          <c:extLst>
            <c:ext xmlns:c16="http://schemas.microsoft.com/office/drawing/2014/chart" uri="{C3380CC4-5D6E-409C-BE32-E72D297353CC}">
              <c16:uniqueId val="{00000000-4F3C-47F5-BB9E-FED5FA569E47}"/>
            </c:ext>
          </c:extLst>
        </c:ser>
        <c:ser>
          <c:idx val="7"/>
          <c:order val="1"/>
          <c:tx>
            <c:strRef>
              <c:f>'R Semanal'!$AW$1:$AY$1</c:f>
              <c:strCache>
                <c:ptCount val="1"/>
                <c:pt idx="0">
                  <c:v>CONTORNO CORONA 2025</c:v>
                </c:pt>
              </c:strCache>
            </c:strRef>
          </c:tx>
          <c:spPr>
            <a:ln w="25400" cap="rnd">
              <a:solidFill>
                <a:schemeClr val="bg1">
                  <a:lumMod val="65000"/>
                </a:schemeClr>
              </a:solidFill>
              <a:prstDash val="lgDash"/>
              <a:round/>
            </a:ln>
            <a:effectLst/>
          </c:spPr>
          <c:marker>
            <c:symbol val="none"/>
          </c:marker>
          <c:xVal>
            <c:numRef>
              <c:f>'R Semanal'!$AX$2:$AX$360</c:f>
              <c:numCache>
                <c:formatCode>0\+000</c:formatCode>
                <c:ptCount val="359"/>
                <c:pt idx="0">
                  <c:v>3.68</c:v>
                </c:pt>
                <c:pt idx="1">
                  <c:v>19.07</c:v>
                </c:pt>
                <c:pt idx="2">
                  <c:v>41.82</c:v>
                </c:pt>
                <c:pt idx="3">
                  <c:v>64.569999999999993</c:v>
                </c:pt>
                <c:pt idx="4">
                  <c:v>87.32</c:v>
                </c:pt>
                <c:pt idx="5">
                  <c:v>110.08</c:v>
                </c:pt>
                <c:pt idx="6">
                  <c:v>132.83000000000001</c:v>
                </c:pt>
                <c:pt idx="7">
                  <c:v>155.58000000000001</c:v>
                </c:pt>
                <c:pt idx="8">
                  <c:v>178.33</c:v>
                </c:pt>
                <c:pt idx="9">
                  <c:v>205.09</c:v>
                </c:pt>
                <c:pt idx="10">
                  <c:v>225.08</c:v>
                </c:pt>
                <c:pt idx="11">
                  <c:v>249.35</c:v>
                </c:pt>
                <c:pt idx="12">
                  <c:v>273.63</c:v>
                </c:pt>
                <c:pt idx="13">
                  <c:v>297.89999999999998</c:v>
                </c:pt>
                <c:pt idx="14">
                  <c:v>322.17</c:v>
                </c:pt>
                <c:pt idx="15">
                  <c:v>346.44</c:v>
                </c:pt>
                <c:pt idx="16">
                  <c:v>370.71</c:v>
                </c:pt>
                <c:pt idx="17">
                  <c:v>394.98</c:v>
                </c:pt>
                <c:pt idx="18">
                  <c:v>419.25</c:v>
                </c:pt>
                <c:pt idx="19">
                  <c:v>443.52</c:v>
                </c:pt>
                <c:pt idx="20">
                  <c:v>467.8</c:v>
                </c:pt>
                <c:pt idx="21">
                  <c:v>492.07</c:v>
                </c:pt>
                <c:pt idx="22">
                  <c:v>516.34</c:v>
                </c:pt>
                <c:pt idx="23">
                  <c:v>540.61</c:v>
                </c:pt>
                <c:pt idx="24">
                  <c:v>564.89</c:v>
                </c:pt>
                <c:pt idx="25">
                  <c:v>589.16</c:v>
                </c:pt>
                <c:pt idx="26">
                  <c:v>613.41</c:v>
                </c:pt>
                <c:pt idx="27">
                  <c:v>637.22</c:v>
                </c:pt>
                <c:pt idx="28">
                  <c:v>659.92</c:v>
                </c:pt>
                <c:pt idx="29">
                  <c:v>680.9</c:v>
                </c:pt>
                <c:pt idx="30">
                  <c:v>719.14</c:v>
                </c:pt>
                <c:pt idx="31">
                  <c:v>741.81</c:v>
                </c:pt>
                <c:pt idx="32">
                  <c:v>761.46</c:v>
                </c:pt>
                <c:pt idx="33">
                  <c:v>785.74</c:v>
                </c:pt>
                <c:pt idx="34">
                  <c:v>810.02</c:v>
                </c:pt>
                <c:pt idx="35">
                  <c:v>834.3</c:v>
                </c:pt>
                <c:pt idx="36">
                  <c:v>858.58</c:v>
                </c:pt>
                <c:pt idx="37">
                  <c:v>882.86</c:v>
                </c:pt>
                <c:pt idx="38">
                  <c:v>907.14</c:v>
                </c:pt>
                <c:pt idx="39">
                  <c:v>931.42</c:v>
                </c:pt>
                <c:pt idx="40">
                  <c:v>955.7</c:v>
                </c:pt>
                <c:pt idx="41">
                  <c:v>979.98</c:v>
                </c:pt>
                <c:pt idx="42">
                  <c:v>1004.26</c:v>
                </c:pt>
                <c:pt idx="43">
                  <c:v>1028.54</c:v>
                </c:pt>
                <c:pt idx="44">
                  <c:v>1052.82</c:v>
                </c:pt>
                <c:pt idx="45">
                  <c:v>1077.0999999999999</c:v>
                </c:pt>
                <c:pt idx="46">
                  <c:v>1101.3800000000001</c:v>
                </c:pt>
                <c:pt idx="47">
                  <c:v>1125.6600000000001</c:v>
                </c:pt>
                <c:pt idx="48">
                  <c:v>1149.94</c:v>
                </c:pt>
                <c:pt idx="49">
                  <c:v>1174.22</c:v>
                </c:pt>
                <c:pt idx="50">
                  <c:v>1198.5</c:v>
                </c:pt>
                <c:pt idx="51">
                  <c:v>1222.78</c:v>
                </c:pt>
                <c:pt idx="52">
                  <c:v>1247.06</c:v>
                </c:pt>
                <c:pt idx="53">
                  <c:v>1271.3399999999999</c:v>
                </c:pt>
                <c:pt idx="54">
                  <c:v>1295.6199999999999</c:v>
                </c:pt>
                <c:pt idx="55">
                  <c:v>1319.9</c:v>
                </c:pt>
                <c:pt idx="56">
                  <c:v>1344.18</c:v>
                </c:pt>
                <c:pt idx="57">
                  <c:v>1368.46</c:v>
                </c:pt>
                <c:pt idx="58">
                  <c:v>1392.74</c:v>
                </c:pt>
                <c:pt idx="59">
                  <c:v>1417.02</c:v>
                </c:pt>
                <c:pt idx="60">
                  <c:v>1441.3</c:v>
                </c:pt>
                <c:pt idx="61">
                  <c:v>1465.58</c:v>
                </c:pt>
                <c:pt idx="62">
                  <c:v>1489.86</c:v>
                </c:pt>
                <c:pt idx="63">
                  <c:v>1514.14</c:v>
                </c:pt>
                <c:pt idx="64">
                  <c:v>1538.42</c:v>
                </c:pt>
                <c:pt idx="65">
                  <c:v>1562.7</c:v>
                </c:pt>
                <c:pt idx="66">
                  <c:v>1586.98</c:v>
                </c:pt>
                <c:pt idx="67">
                  <c:v>1611.26</c:v>
                </c:pt>
                <c:pt idx="68">
                  <c:v>1635.54</c:v>
                </c:pt>
                <c:pt idx="69">
                  <c:v>1659.82</c:v>
                </c:pt>
                <c:pt idx="70">
                  <c:v>1689.44</c:v>
                </c:pt>
                <c:pt idx="71">
                  <c:v>1703.99</c:v>
                </c:pt>
                <c:pt idx="72">
                  <c:v>1722.65</c:v>
                </c:pt>
                <c:pt idx="73">
                  <c:v>1741.3</c:v>
                </c:pt>
                <c:pt idx="74">
                  <c:v>1759.95</c:v>
                </c:pt>
                <c:pt idx="75">
                  <c:v>1778.6</c:v>
                </c:pt>
                <c:pt idx="76">
                  <c:v>1797.26</c:v>
                </c:pt>
                <c:pt idx="77">
                  <c:v>1815.91</c:v>
                </c:pt>
                <c:pt idx="78">
                  <c:v>1834.56</c:v>
                </c:pt>
                <c:pt idx="79">
                  <c:v>1853.22</c:v>
                </c:pt>
                <c:pt idx="80">
                  <c:v>1871.87</c:v>
                </c:pt>
                <c:pt idx="81">
                  <c:v>1891.71</c:v>
                </c:pt>
                <c:pt idx="82">
                  <c:v>1914.14</c:v>
                </c:pt>
                <c:pt idx="83">
                  <c:v>1938.09</c:v>
                </c:pt>
                <c:pt idx="84">
                  <c:v>1962.04</c:v>
                </c:pt>
                <c:pt idx="85">
                  <c:v>1986</c:v>
                </c:pt>
                <c:pt idx="86">
                  <c:v>2009.95</c:v>
                </c:pt>
                <c:pt idx="87">
                  <c:v>2033.91</c:v>
                </c:pt>
                <c:pt idx="88">
                  <c:v>2057.86</c:v>
                </c:pt>
                <c:pt idx="89">
                  <c:v>2081.81</c:v>
                </c:pt>
                <c:pt idx="90">
                  <c:v>2105.77</c:v>
                </c:pt>
                <c:pt idx="91">
                  <c:v>2129.7199999999998</c:v>
                </c:pt>
                <c:pt idx="92">
                  <c:v>2153.6799999999998</c:v>
                </c:pt>
                <c:pt idx="93">
                  <c:v>2177.63</c:v>
                </c:pt>
                <c:pt idx="94">
                  <c:v>2201.59</c:v>
                </c:pt>
                <c:pt idx="95">
                  <c:v>2225.54</c:v>
                </c:pt>
                <c:pt idx="96">
                  <c:v>2249.4899999999998</c:v>
                </c:pt>
                <c:pt idx="97">
                  <c:v>2273.4499999999998</c:v>
                </c:pt>
                <c:pt idx="98">
                  <c:v>2297.4</c:v>
                </c:pt>
                <c:pt idx="99">
                  <c:v>2321.36</c:v>
                </c:pt>
                <c:pt idx="101">
                  <c:v>13.78</c:v>
                </c:pt>
                <c:pt idx="102">
                  <c:v>36.29</c:v>
                </c:pt>
                <c:pt idx="103">
                  <c:v>58.8</c:v>
                </c:pt>
                <c:pt idx="104">
                  <c:v>81.31</c:v>
                </c:pt>
                <c:pt idx="105">
                  <c:v>103.82</c:v>
                </c:pt>
                <c:pt idx="106">
                  <c:v>126.33</c:v>
                </c:pt>
                <c:pt idx="107">
                  <c:v>148.84</c:v>
                </c:pt>
                <c:pt idx="108">
                  <c:v>171.35</c:v>
                </c:pt>
                <c:pt idx="109">
                  <c:v>193.86</c:v>
                </c:pt>
                <c:pt idx="110">
                  <c:v>214.75</c:v>
                </c:pt>
                <c:pt idx="111">
                  <c:v>240.49</c:v>
                </c:pt>
                <c:pt idx="112">
                  <c:v>264.51</c:v>
                </c:pt>
                <c:pt idx="113">
                  <c:v>288.52</c:v>
                </c:pt>
                <c:pt idx="114">
                  <c:v>312.54000000000002</c:v>
                </c:pt>
                <c:pt idx="115">
                  <c:v>336.55</c:v>
                </c:pt>
                <c:pt idx="116">
                  <c:v>360.57</c:v>
                </c:pt>
                <c:pt idx="117">
                  <c:v>384.58</c:v>
                </c:pt>
                <c:pt idx="118">
                  <c:v>408.59</c:v>
                </c:pt>
                <c:pt idx="119">
                  <c:v>432.61</c:v>
                </c:pt>
                <c:pt idx="120">
                  <c:v>456.62</c:v>
                </c:pt>
                <c:pt idx="121">
                  <c:v>480.64</c:v>
                </c:pt>
                <c:pt idx="122">
                  <c:v>504.65</c:v>
                </c:pt>
                <c:pt idx="123">
                  <c:v>528.66</c:v>
                </c:pt>
                <c:pt idx="124">
                  <c:v>552.67999999999995</c:v>
                </c:pt>
                <c:pt idx="125">
                  <c:v>576.70000000000005</c:v>
                </c:pt>
                <c:pt idx="126">
                  <c:v>600.72</c:v>
                </c:pt>
                <c:pt idx="127">
                  <c:v>624.38</c:v>
                </c:pt>
                <c:pt idx="128">
                  <c:v>646.36</c:v>
                </c:pt>
                <c:pt idx="129">
                  <c:v>665.7</c:v>
                </c:pt>
                <c:pt idx="130">
                  <c:v>684.54</c:v>
                </c:pt>
                <c:pt idx="131">
                  <c:v>703.38</c:v>
                </c:pt>
                <c:pt idx="132">
                  <c:v>724.34</c:v>
                </c:pt>
                <c:pt idx="133">
                  <c:v>745.65</c:v>
                </c:pt>
                <c:pt idx="134">
                  <c:v>769.68</c:v>
                </c:pt>
                <c:pt idx="135">
                  <c:v>793.7</c:v>
                </c:pt>
                <c:pt idx="136">
                  <c:v>817.72</c:v>
                </c:pt>
                <c:pt idx="137">
                  <c:v>841.74</c:v>
                </c:pt>
                <c:pt idx="138">
                  <c:v>865.77</c:v>
                </c:pt>
                <c:pt idx="139">
                  <c:v>889.79</c:v>
                </c:pt>
                <c:pt idx="140">
                  <c:v>913.81</c:v>
                </c:pt>
                <c:pt idx="141">
                  <c:v>937.84</c:v>
                </c:pt>
                <c:pt idx="142">
                  <c:v>961.86</c:v>
                </c:pt>
                <c:pt idx="143">
                  <c:v>985.88</c:v>
                </c:pt>
                <c:pt idx="144">
                  <c:v>1009.9</c:v>
                </c:pt>
                <c:pt idx="145">
                  <c:v>1033.93</c:v>
                </c:pt>
                <c:pt idx="146">
                  <c:v>1057.95</c:v>
                </c:pt>
                <c:pt idx="147">
                  <c:v>1081.97</c:v>
                </c:pt>
                <c:pt idx="148">
                  <c:v>1105.99</c:v>
                </c:pt>
                <c:pt idx="149">
                  <c:v>1130.02</c:v>
                </c:pt>
                <c:pt idx="150">
                  <c:v>1154.04</c:v>
                </c:pt>
                <c:pt idx="151">
                  <c:v>1178.06</c:v>
                </c:pt>
                <c:pt idx="152">
                  <c:v>1202.08</c:v>
                </c:pt>
                <c:pt idx="153">
                  <c:v>1226.1099999999999</c:v>
                </c:pt>
                <c:pt idx="154">
                  <c:v>1250.1300000000001</c:v>
                </c:pt>
                <c:pt idx="155">
                  <c:v>1274.1500000000001</c:v>
                </c:pt>
                <c:pt idx="156">
                  <c:v>1298.18</c:v>
                </c:pt>
                <c:pt idx="157">
                  <c:v>1322.2</c:v>
                </c:pt>
                <c:pt idx="158">
                  <c:v>1346.22</c:v>
                </c:pt>
                <c:pt idx="159">
                  <c:v>1370.24</c:v>
                </c:pt>
                <c:pt idx="160">
                  <c:v>1394.27</c:v>
                </c:pt>
                <c:pt idx="161">
                  <c:v>1418.29</c:v>
                </c:pt>
                <c:pt idx="162">
                  <c:v>1442.31</c:v>
                </c:pt>
                <c:pt idx="163">
                  <c:v>1466.33</c:v>
                </c:pt>
                <c:pt idx="164">
                  <c:v>1490.36</c:v>
                </c:pt>
                <c:pt idx="165">
                  <c:v>1514.38</c:v>
                </c:pt>
                <c:pt idx="166">
                  <c:v>1538.4</c:v>
                </c:pt>
                <c:pt idx="167">
                  <c:v>1562.43</c:v>
                </c:pt>
                <c:pt idx="168">
                  <c:v>1586.45</c:v>
                </c:pt>
                <c:pt idx="169">
                  <c:v>1610.47</c:v>
                </c:pt>
                <c:pt idx="170">
                  <c:v>1634.49</c:v>
                </c:pt>
                <c:pt idx="171">
                  <c:v>1658.52</c:v>
                </c:pt>
                <c:pt idx="172">
                  <c:v>1671.34</c:v>
                </c:pt>
                <c:pt idx="173">
                  <c:v>1698.4</c:v>
                </c:pt>
                <c:pt idx="174">
                  <c:v>1716.85</c:v>
                </c:pt>
                <c:pt idx="175">
                  <c:v>1735.31</c:v>
                </c:pt>
                <c:pt idx="176">
                  <c:v>1753.76</c:v>
                </c:pt>
                <c:pt idx="177">
                  <c:v>1772.22</c:v>
                </c:pt>
                <c:pt idx="178">
                  <c:v>1790.67</c:v>
                </c:pt>
                <c:pt idx="179">
                  <c:v>1809.13</c:v>
                </c:pt>
                <c:pt idx="180">
                  <c:v>1827.58</c:v>
                </c:pt>
                <c:pt idx="181">
                  <c:v>1846.04</c:v>
                </c:pt>
                <c:pt idx="182">
                  <c:v>1870.14</c:v>
                </c:pt>
                <c:pt idx="183">
                  <c:v>1886.59</c:v>
                </c:pt>
                <c:pt idx="184">
                  <c:v>1910.29</c:v>
                </c:pt>
                <c:pt idx="185">
                  <c:v>1933.99</c:v>
                </c:pt>
                <c:pt idx="186">
                  <c:v>1957.69</c:v>
                </c:pt>
                <c:pt idx="187">
                  <c:v>1981.39</c:v>
                </c:pt>
                <c:pt idx="188">
                  <c:v>2005.09</c:v>
                </c:pt>
                <c:pt idx="189">
                  <c:v>2028.79</c:v>
                </c:pt>
                <c:pt idx="190">
                  <c:v>2052.4899999999998</c:v>
                </c:pt>
                <c:pt idx="191">
                  <c:v>2076.19</c:v>
                </c:pt>
                <c:pt idx="192">
                  <c:v>2099.89</c:v>
                </c:pt>
                <c:pt idx="193">
                  <c:v>2123.59</c:v>
                </c:pt>
                <c:pt idx="194">
                  <c:v>2147.29</c:v>
                </c:pt>
                <c:pt idx="195">
                  <c:v>2170.9899999999998</c:v>
                </c:pt>
                <c:pt idx="196">
                  <c:v>2194.69</c:v>
                </c:pt>
                <c:pt idx="197">
                  <c:v>2218.39</c:v>
                </c:pt>
                <c:pt idx="198">
                  <c:v>2242.09</c:v>
                </c:pt>
                <c:pt idx="199">
                  <c:v>2265.79</c:v>
                </c:pt>
                <c:pt idx="200">
                  <c:v>2289.4899999999998</c:v>
                </c:pt>
                <c:pt idx="201">
                  <c:v>2313.19</c:v>
                </c:pt>
              </c:numCache>
            </c:numRef>
          </c:xVal>
          <c:yVal>
            <c:numRef>
              <c:f>'R Semanal'!$AY$2:$AY$360</c:f>
              <c:numCache>
                <c:formatCode>0\+000</c:formatCode>
                <c:ptCount val="359"/>
                <c:pt idx="0">
                  <c:v>-11.37</c:v>
                </c:pt>
                <c:pt idx="1">
                  <c:v>19.850000000000001</c:v>
                </c:pt>
                <c:pt idx="2">
                  <c:v>28.33</c:v>
                </c:pt>
                <c:pt idx="3">
                  <c:v>36.81</c:v>
                </c:pt>
                <c:pt idx="4">
                  <c:v>45.29</c:v>
                </c:pt>
                <c:pt idx="5">
                  <c:v>53.77</c:v>
                </c:pt>
                <c:pt idx="6">
                  <c:v>62.25</c:v>
                </c:pt>
                <c:pt idx="7">
                  <c:v>70.73</c:v>
                </c:pt>
                <c:pt idx="8">
                  <c:v>79.209999999999994</c:v>
                </c:pt>
                <c:pt idx="9">
                  <c:v>89.19</c:v>
                </c:pt>
                <c:pt idx="10">
                  <c:v>89.72</c:v>
                </c:pt>
                <c:pt idx="11">
                  <c:v>90.37</c:v>
                </c:pt>
                <c:pt idx="12">
                  <c:v>91.03</c:v>
                </c:pt>
                <c:pt idx="13">
                  <c:v>91.68</c:v>
                </c:pt>
                <c:pt idx="14">
                  <c:v>92.33</c:v>
                </c:pt>
                <c:pt idx="15">
                  <c:v>92.98</c:v>
                </c:pt>
                <c:pt idx="16">
                  <c:v>93.63</c:v>
                </c:pt>
                <c:pt idx="17">
                  <c:v>94.28</c:v>
                </c:pt>
                <c:pt idx="18">
                  <c:v>94.93</c:v>
                </c:pt>
                <c:pt idx="19">
                  <c:v>95.58</c:v>
                </c:pt>
                <c:pt idx="20">
                  <c:v>96.24</c:v>
                </c:pt>
                <c:pt idx="21">
                  <c:v>96.89</c:v>
                </c:pt>
                <c:pt idx="22">
                  <c:v>97.54</c:v>
                </c:pt>
                <c:pt idx="23">
                  <c:v>98.08</c:v>
                </c:pt>
                <c:pt idx="24">
                  <c:v>98.55</c:v>
                </c:pt>
                <c:pt idx="25">
                  <c:v>99.02</c:v>
                </c:pt>
                <c:pt idx="26">
                  <c:v>98.3</c:v>
                </c:pt>
                <c:pt idx="27">
                  <c:v>93.67</c:v>
                </c:pt>
                <c:pt idx="28">
                  <c:v>85.15</c:v>
                </c:pt>
                <c:pt idx="29">
                  <c:v>72.989999999999995</c:v>
                </c:pt>
                <c:pt idx="30">
                  <c:v>43.06</c:v>
                </c:pt>
                <c:pt idx="31">
                  <c:v>25.13</c:v>
                </c:pt>
                <c:pt idx="32">
                  <c:v>25.06</c:v>
                </c:pt>
                <c:pt idx="33">
                  <c:v>24.97</c:v>
                </c:pt>
                <c:pt idx="34">
                  <c:v>24.91</c:v>
                </c:pt>
                <c:pt idx="35">
                  <c:v>24.99</c:v>
                </c:pt>
                <c:pt idx="36">
                  <c:v>24.99</c:v>
                </c:pt>
                <c:pt idx="37">
                  <c:v>24.99</c:v>
                </c:pt>
                <c:pt idx="38">
                  <c:v>24.99</c:v>
                </c:pt>
                <c:pt idx="39">
                  <c:v>24.99</c:v>
                </c:pt>
                <c:pt idx="40">
                  <c:v>24.99</c:v>
                </c:pt>
                <c:pt idx="41">
                  <c:v>24.99</c:v>
                </c:pt>
                <c:pt idx="42">
                  <c:v>24.99</c:v>
                </c:pt>
                <c:pt idx="43">
                  <c:v>24.99</c:v>
                </c:pt>
                <c:pt idx="44">
                  <c:v>24.99</c:v>
                </c:pt>
                <c:pt idx="45">
                  <c:v>24.99</c:v>
                </c:pt>
                <c:pt idx="46">
                  <c:v>24.99</c:v>
                </c:pt>
                <c:pt idx="47">
                  <c:v>25</c:v>
                </c:pt>
                <c:pt idx="48">
                  <c:v>25</c:v>
                </c:pt>
                <c:pt idx="49">
                  <c:v>25</c:v>
                </c:pt>
                <c:pt idx="50">
                  <c:v>25</c:v>
                </c:pt>
                <c:pt idx="51">
                  <c:v>25</c:v>
                </c:pt>
                <c:pt idx="52">
                  <c:v>25</c:v>
                </c:pt>
                <c:pt idx="53">
                  <c:v>25</c:v>
                </c:pt>
                <c:pt idx="54">
                  <c:v>25</c:v>
                </c:pt>
                <c:pt idx="55">
                  <c:v>25</c:v>
                </c:pt>
                <c:pt idx="56">
                  <c:v>25</c:v>
                </c:pt>
                <c:pt idx="57">
                  <c:v>25</c:v>
                </c:pt>
                <c:pt idx="58">
                  <c:v>25</c:v>
                </c:pt>
                <c:pt idx="59">
                  <c:v>25</c:v>
                </c:pt>
                <c:pt idx="60">
                  <c:v>25</c:v>
                </c:pt>
                <c:pt idx="61">
                  <c:v>25</c:v>
                </c:pt>
                <c:pt idx="62">
                  <c:v>25</c:v>
                </c:pt>
                <c:pt idx="63">
                  <c:v>25</c:v>
                </c:pt>
                <c:pt idx="64">
                  <c:v>25</c:v>
                </c:pt>
                <c:pt idx="65">
                  <c:v>25</c:v>
                </c:pt>
                <c:pt idx="66">
                  <c:v>25</c:v>
                </c:pt>
                <c:pt idx="67">
                  <c:v>25</c:v>
                </c:pt>
                <c:pt idx="68">
                  <c:v>25</c:v>
                </c:pt>
                <c:pt idx="69">
                  <c:v>25</c:v>
                </c:pt>
                <c:pt idx="70">
                  <c:v>25</c:v>
                </c:pt>
                <c:pt idx="71">
                  <c:v>12.87</c:v>
                </c:pt>
                <c:pt idx="72">
                  <c:v>-2.67</c:v>
                </c:pt>
                <c:pt idx="73">
                  <c:v>-18.22</c:v>
                </c:pt>
                <c:pt idx="74">
                  <c:v>-33.76</c:v>
                </c:pt>
                <c:pt idx="75">
                  <c:v>-49.3</c:v>
                </c:pt>
                <c:pt idx="76">
                  <c:v>-64.849999999999994</c:v>
                </c:pt>
                <c:pt idx="77">
                  <c:v>-80.39</c:v>
                </c:pt>
                <c:pt idx="78">
                  <c:v>-95.93</c:v>
                </c:pt>
                <c:pt idx="79">
                  <c:v>-111.48</c:v>
                </c:pt>
                <c:pt idx="80">
                  <c:v>-127.02</c:v>
                </c:pt>
                <c:pt idx="81">
                  <c:v>-143.56</c:v>
                </c:pt>
                <c:pt idx="82">
                  <c:v>-147.27000000000001</c:v>
                </c:pt>
                <c:pt idx="83">
                  <c:v>-151.22999999999999</c:v>
                </c:pt>
                <c:pt idx="84">
                  <c:v>-155.19999999999999</c:v>
                </c:pt>
                <c:pt idx="85">
                  <c:v>-159.16</c:v>
                </c:pt>
                <c:pt idx="86">
                  <c:v>-163.12</c:v>
                </c:pt>
                <c:pt idx="87">
                  <c:v>-167.09</c:v>
                </c:pt>
                <c:pt idx="88">
                  <c:v>-171.05</c:v>
                </c:pt>
                <c:pt idx="89">
                  <c:v>-175.02</c:v>
                </c:pt>
                <c:pt idx="90">
                  <c:v>-178.98</c:v>
                </c:pt>
                <c:pt idx="91">
                  <c:v>-182.95</c:v>
                </c:pt>
                <c:pt idx="92">
                  <c:v>-186.91</c:v>
                </c:pt>
                <c:pt idx="93">
                  <c:v>-190.87</c:v>
                </c:pt>
                <c:pt idx="94">
                  <c:v>-194.84</c:v>
                </c:pt>
                <c:pt idx="95">
                  <c:v>-198.8</c:v>
                </c:pt>
                <c:pt idx="96">
                  <c:v>-202.77</c:v>
                </c:pt>
                <c:pt idx="97">
                  <c:v>-206.73</c:v>
                </c:pt>
                <c:pt idx="98">
                  <c:v>-210.7</c:v>
                </c:pt>
                <c:pt idx="99">
                  <c:v>-214.66</c:v>
                </c:pt>
                <c:pt idx="101">
                  <c:v>-35.479999999999997</c:v>
                </c:pt>
                <c:pt idx="102">
                  <c:v>-27.09</c:v>
                </c:pt>
                <c:pt idx="103">
                  <c:v>-18.7</c:v>
                </c:pt>
                <c:pt idx="104">
                  <c:v>-10.31</c:v>
                </c:pt>
                <c:pt idx="105">
                  <c:v>-1.92</c:v>
                </c:pt>
                <c:pt idx="106">
                  <c:v>6.47</c:v>
                </c:pt>
                <c:pt idx="107">
                  <c:v>14.86</c:v>
                </c:pt>
                <c:pt idx="108">
                  <c:v>23.25</c:v>
                </c:pt>
                <c:pt idx="109">
                  <c:v>31.64</c:v>
                </c:pt>
                <c:pt idx="110">
                  <c:v>39.43</c:v>
                </c:pt>
                <c:pt idx="111">
                  <c:v>40.119999999999997</c:v>
                </c:pt>
                <c:pt idx="112">
                  <c:v>40.76</c:v>
                </c:pt>
                <c:pt idx="113">
                  <c:v>41.41</c:v>
                </c:pt>
                <c:pt idx="114">
                  <c:v>42.05</c:v>
                </c:pt>
                <c:pt idx="115">
                  <c:v>42.7</c:v>
                </c:pt>
                <c:pt idx="116">
                  <c:v>43.34</c:v>
                </c:pt>
                <c:pt idx="117">
                  <c:v>43.98</c:v>
                </c:pt>
                <c:pt idx="118">
                  <c:v>44.63</c:v>
                </c:pt>
                <c:pt idx="119">
                  <c:v>45.27</c:v>
                </c:pt>
                <c:pt idx="120">
                  <c:v>45.92</c:v>
                </c:pt>
                <c:pt idx="121">
                  <c:v>46.56</c:v>
                </c:pt>
                <c:pt idx="122">
                  <c:v>47.21</c:v>
                </c:pt>
                <c:pt idx="123">
                  <c:v>47.83</c:v>
                </c:pt>
                <c:pt idx="124">
                  <c:v>48.3</c:v>
                </c:pt>
                <c:pt idx="125">
                  <c:v>48.77</c:v>
                </c:pt>
                <c:pt idx="126">
                  <c:v>49.11</c:v>
                </c:pt>
                <c:pt idx="127">
                  <c:v>45.33</c:v>
                </c:pt>
                <c:pt idx="128">
                  <c:v>35.799999999999997</c:v>
                </c:pt>
                <c:pt idx="129">
                  <c:v>21.59</c:v>
                </c:pt>
                <c:pt idx="130">
                  <c:v>6.68</c:v>
                </c:pt>
                <c:pt idx="131">
                  <c:v>-8.2200000000000006</c:v>
                </c:pt>
                <c:pt idx="132">
                  <c:v>-24.81</c:v>
                </c:pt>
                <c:pt idx="133">
                  <c:v>-24.89</c:v>
                </c:pt>
                <c:pt idx="134">
                  <c:v>-24.97</c:v>
                </c:pt>
                <c:pt idx="135">
                  <c:v>-25.06</c:v>
                </c:pt>
                <c:pt idx="136">
                  <c:v>-25.04</c:v>
                </c:pt>
                <c:pt idx="137">
                  <c:v>-25.01</c:v>
                </c:pt>
                <c:pt idx="138">
                  <c:v>-25.01</c:v>
                </c:pt>
                <c:pt idx="139">
                  <c:v>-25.01</c:v>
                </c:pt>
                <c:pt idx="140">
                  <c:v>-25.01</c:v>
                </c:pt>
                <c:pt idx="141">
                  <c:v>-25.01</c:v>
                </c:pt>
                <c:pt idx="142">
                  <c:v>-25.01</c:v>
                </c:pt>
                <c:pt idx="143">
                  <c:v>-25.01</c:v>
                </c:pt>
                <c:pt idx="144">
                  <c:v>-25.01</c:v>
                </c:pt>
                <c:pt idx="145">
                  <c:v>-25.01</c:v>
                </c:pt>
                <c:pt idx="146">
                  <c:v>-25.01</c:v>
                </c:pt>
                <c:pt idx="147">
                  <c:v>-25.01</c:v>
                </c:pt>
                <c:pt idx="148">
                  <c:v>-25.01</c:v>
                </c:pt>
                <c:pt idx="149">
                  <c:v>-25</c:v>
                </c:pt>
                <c:pt idx="150">
                  <c:v>-25</c:v>
                </c:pt>
                <c:pt idx="151">
                  <c:v>-25</c:v>
                </c:pt>
                <c:pt idx="152">
                  <c:v>-25</c:v>
                </c:pt>
                <c:pt idx="153">
                  <c:v>-25</c:v>
                </c:pt>
                <c:pt idx="154">
                  <c:v>-25</c:v>
                </c:pt>
                <c:pt idx="155">
                  <c:v>-25</c:v>
                </c:pt>
                <c:pt idx="156">
                  <c:v>-25</c:v>
                </c:pt>
                <c:pt idx="157">
                  <c:v>-25</c:v>
                </c:pt>
                <c:pt idx="158">
                  <c:v>-25</c:v>
                </c:pt>
                <c:pt idx="159">
                  <c:v>-25</c:v>
                </c:pt>
                <c:pt idx="160">
                  <c:v>-25</c:v>
                </c:pt>
                <c:pt idx="161">
                  <c:v>-25</c:v>
                </c:pt>
                <c:pt idx="162">
                  <c:v>-25</c:v>
                </c:pt>
                <c:pt idx="163">
                  <c:v>-25</c:v>
                </c:pt>
                <c:pt idx="164">
                  <c:v>-25</c:v>
                </c:pt>
                <c:pt idx="165">
                  <c:v>-25</c:v>
                </c:pt>
                <c:pt idx="166">
                  <c:v>-25</c:v>
                </c:pt>
                <c:pt idx="167">
                  <c:v>-25</c:v>
                </c:pt>
                <c:pt idx="168">
                  <c:v>-25</c:v>
                </c:pt>
                <c:pt idx="169">
                  <c:v>-25</c:v>
                </c:pt>
                <c:pt idx="170">
                  <c:v>-25</c:v>
                </c:pt>
                <c:pt idx="171">
                  <c:v>-25</c:v>
                </c:pt>
                <c:pt idx="172">
                  <c:v>-25</c:v>
                </c:pt>
                <c:pt idx="173">
                  <c:v>-47.55</c:v>
                </c:pt>
                <c:pt idx="174">
                  <c:v>-62.93</c:v>
                </c:pt>
                <c:pt idx="175">
                  <c:v>-78.31</c:v>
                </c:pt>
                <c:pt idx="176">
                  <c:v>-93.69</c:v>
                </c:pt>
                <c:pt idx="177">
                  <c:v>-109.07</c:v>
                </c:pt>
                <c:pt idx="178">
                  <c:v>-124.44</c:v>
                </c:pt>
                <c:pt idx="179">
                  <c:v>-139.82</c:v>
                </c:pt>
                <c:pt idx="180">
                  <c:v>-155.19999999999999</c:v>
                </c:pt>
                <c:pt idx="181">
                  <c:v>-170.58</c:v>
                </c:pt>
                <c:pt idx="182">
                  <c:v>-190.67</c:v>
                </c:pt>
                <c:pt idx="183">
                  <c:v>-193.39</c:v>
                </c:pt>
                <c:pt idx="184">
                  <c:v>-197.31</c:v>
                </c:pt>
                <c:pt idx="185">
                  <c:v>-201.23</c:v>
                </c:pt>
                <c:pt idx="186">
                  <c:v>-205.16</c:v>
                </c:pt>
                <c:pt idx="187">
                  <c:v>-209.08</c:v>
                </c:pt>
                <c:pt idx="188">
                  <c:v>-213</c:v>
                </c:pt>
                <c:pt idx="189">
                  <c:v>-216.92</c:v>
                </c:pt>
                <c:pt idx="190">
                  <c:v>-220.84</c:v>
                </c:pt>
                <c:pt idx="191">
                  <c:v>-224.77</c:v>
                </c:pt>
                <c:pt idx="192">
                  <c:v>-228.69</c:v>
                </c:pt>
                <c:pt idx="193">
                  <c:v>-232.61</c:v>
                </c:pt>
                <c:pt idx="194">
                  <c:v>-236.53</c:v>
                </c:pt>
                <c:pt idx="195">
                  <c:v>-240.46</c:v>
                </c:pt>
                <c:pt idx="196">
                  <c:v>-244.38</c:v>
                </c:pt>
                <c:pt idx="197">
                  <c:v>-248.3</c:v>
                </c:pt>
                <c:pt idx="198">
                  <c:v>-252.22</c:v>
                </c:pt>
                <c:pt idx="199">
                  <c:v>-256.14</c:v>
                </c:pt>
                <c:pt idx="200">
                  <c:v>-260.07</c:v>
                </c:pt>
                <c:pt idx="201">
                  <c:v>-263.99</c:v>
                </c:pt>
              </c:numCache>
            </c:numRef>
          </c:yVal>
          <c:smooth val="0"/>
          <c:extLst>
            <c:ext xmlns:c16="http://schemas.microsoft.com/office/drawing/2014/chart" uri="{C3380CC4-5D6E-409C-BE32-E72D297353CC}">
              <c16:uniqueId val="{00000008-4F3C-47F5-BB9E-FED5FA569E47}"/>
            </c:ext>
          </c:extLst>
        </c:ser>
        <c:ser>
          <c:idx val="1"/>
          <c:order val="2"/>
          <c:tx>
            <c:v>Aprobados</c:v>
          </c:tx>
          <c:spPr>
            <a:ln w="19050" cap="rnd">
              <a:noFill/>
              <a:round/>
            </a:ln>
            <a:effectLst/>
          </c:spPr>
          <c:marker>
            <c:symbol val="circle"/>
            <c:size val="9"/>
            <c:spPr>
              <a:solidFill>
                <a:srgbClr val="92D050"/>
              </a:solidFill>
              <a:ln w="9525">
                <a:solidFill>
                  <a:srgbClr val="0000FF"/>
                </a:solidFill>
              </a:ln>
              <a:effectLst/>
            </c:spPr>
          </c:marker>
          <c:xVal>
            <c:numRef>
              <c:f>FCS!$AS$11:$AS$825</c:f>
              <c:numCache>
                <c:formatCode>0</c:formatCode>
                <c:ptCount val="815"/>
                <c:pt idx="0">
                  <c:v>1845.17</c:v>
                </c:pt>
                <c:pt idx="1">
                  <c:v>1845.17</c:v>
                </c:pt>
                <c:pt idx="2">
                  <c:v>1769.33</c:v>
                </c:pt>
                <c:pt idx="3">
                  <c:v>1700.27</c:v>
                </c:pt>
                <c:pt idx="4">
                  <c:v>1723.48</c:v>
                </c:pt>
                <c:pt idx="5">
                  <c:v>1801.93</c:v>
                </c:pt>
                <c:pt idx="6">
                  <c:v>1886.67</c:v>
                </c:pt>
                <c:pt idx="7">
                  <c:v>1827.54</c:v>
                </c:pt>
                <c:pt idx="8">
                  <c:v>1761.91</c:v>
                </c:pt>
                <c:pt idx="9">
                  <c:v>1614.85</c:v>
                </c:pt>
                <c:pt idx="10">
                  <c:v>1618.5</c:v>
                </c:pt>
                <c:pt idx="11">
                  <c:v>661.66</c:v>
                </c:pt>
                <c:pt idx="12">
                  <c:v>661.66</c:v>
                </c:pt>
                <c:pt idx="13">
                  <c:v>1548.05</c:v>
                </c:pt>
                <c:pt idx="14">
                  <c:v>1470.97</c:v>
                </c:pt>
                <c:pt idx="15">
                  <c:v>1475.25</c:v>
                </c:pt>
                <c:pt idx="16">
                  <c:v>1541.25</c:v>
                </c:pt>
                <c:pt idx="17">
                  <c:v>1571.96</c:v>
                </c:pt>
                <c:pt idx="18">
                  <c:v>1764.3</c:v>
                </c:pt>
                <c:pt idx="19">
                  <c:v>661.38</c:v>
                </c:pt>
                <c:pt idx="20">
                  <c:v>661</c:v>
                </c:pt>
                <c:pt idx="21">
                  <c:v>660.94</c:v>
                </c:pt>
                <c:pt idx="22">
                  <c:v>818.24</c:v>
                </c:pt>
                <c:pt idx="23">
                  <c:v>818.24</c:v>
                </c:pt>
                <c:pt idx="24">
                  <c:v>810.7</c:v>
                </c:pt>
                <c:pt idx="25">
                  <c:v>998.8</c:v>
                </c:pt>
                <c:pt idx="26">
                  <c:v>1135.97</c:v>
                </c:pt>
                <c:pt idx="27">
                  <c:v>1244.03</c:v>
                </c:pt>
                <c:pt idx="28">
                  <c:v>1245.53</c:v>
                </c:pt>
                <c:pt idx="29">
                  <c:v>1568.63</c:v>
                </c:pt>
                <c:pt idx="30">
                  <c:v>1932.2</c:v>
                </c:pt>
                <c:pt idx="31">
                  <c:v>1310.3900000000001</c:v>
                </c:pt>
                <c:pt idx="32">
                  <c:v>1392.1</c:v>
                </c:pt>
                <c:pt idx="33">
                  <c:v>1478.91</c:v>
                </c:pt>
                <c:pt idx="34">
                  <c:v>1478.91</c:v>
                </c:pt>
                <c:pt idx="35">
                  <c:v>1573.76</c:v>
                </c:pt>
                <c:pt idx="36">
                  <c:v>1419.68</c:v>
                </c:pt>
                <c:pt idx="37">
                  <c:v>1300.73</c:v>
                </c:pt>
                <c:pt idx="38">
                  <c:v>648.45000000000005</c:v>
                </c:pt>
                <c:pt idx="39">
                  <c:v>940.81</c:v>
                </c:pt>
                <c:pt idx="40">
                  <c:v>935.35</c:v>
                </c:pt>
                <c:pt idx="41">
                  <c:v>1007.68</c:v>
                </c:pt>
                <c:pt idx="42">
                  <c:v>1035.22</c:v>
                </c:pt>
                <c:pt idx="43">
                  <c:v>1118.9000000000001</c:v>
                </c:pt>
                <c:pt idx="44">
                  <c:v>1085.92</c:v>
                </c:pt>
                <c:pt idx="45">
                  <c:v>1085.92</c:v>
                </c:pt>
                <c:pt idx="46">
                  <c:v>1190.18</c:v>
                </c:pt>
                <c:pt idx="47">
                  <c:v>1249.4100000000001</c:v>
                </c:pt>
                <c:pt idx="48">
                  <c:v>1152.47</c:v>
                </c:pt>
                <c:pt idx="49">
                  <c:v>1252.08</c:v>
                </c:pt>
                <c:pt idx="50">
                  <c:v>1163.8800000000001</c:v>
                </c:pt>
                <c:pt idx="51">
                  <c:v>1228.6600000000001</c:v>
                </c:pt>
                <c:pt idx="52">
                  <c:v>1303.57</c:v>
                </c:pt>
                <c:pt idx="53">
                  <c:v>1330.53</c:v>
                </c:pt>
                <c:pt idx="54">
                  <c:v>1171</c:v>
                </c:pt>
                <c:pt idx="55">
                  <c:v>1249.73</c:v>
                </c:pt>
                <c:pt idx="56">
                  <c:v>1249.73</c:v>
                </c:pt>
                <c:pt idx="57">
                  <c:v>1256.3499999999999</c:v>
                </c:pt>
                <c:pt idx="58">
                  <c:v>1183.5</c:v>
                </c:pt>
                <c:pt idx="59">
                  <c:v>1114.8</c:v>
                </c:pt>
                <c:pt idx="60">
                  <c:v>1113.07</c:v>
                </c:pt>
                <c:pt idx="61">
                  <c:v>1172.48</c:v>
                </c:pt>
                <c:pt idx="62">
                  <c:v>1237.1300000000001</c:v>
                </c:pt>
                <c:pt idx="63">
                  <c:v>649.46</c:v>
                </c:pt>
                <c:pt idx="64">
                  <c:v>1089.42</c:v>
                </c:pt>
                <c:pt idx="65">
                  <c:v>1023.47</c:v>
                </c:pt>
                <c:pt idx="66">
                  <c:v>972.92</c:v>
                </c:pt>
                <c:pt idx="67">
                  <c:v>972.92</c:v>
                </c:pt>
                <c:pt idx="68">
                  <c:v>983.55</c:v>
                </c:pt>
                <c:pt idx="69">
                  <c:v>1001.28</c:v>
                </c:pt>
                <c:pt idx="70">
                  <c:v>1073.3800000000001</c:v>
                </c:pt>
                <c:pt idx="71">
                  <c:v>1088.78</c:v>
                </c:pt>
                <c:pt idx="72">
                  <c:v>1072.94</c:v>
                </c:pt>
                <c:pt idx="73">
                  <c:v>945.07</c:v>
                </c:pt>
                <c:pt idx="74">
                  <c:v>935.02</c:v>
                </c:pt>
                <c:pt idx="75">
                  <c:v>935.19</c:v>
                </c:pt>
                <c:pt idx="76">
                  <c:v>1575.23</c:v>
                </c:pt>
                <c:pt idx="77">
                  <c:v>0</c:v>
                </c:pt>
                <c:pt idx="78">
                  <c:v>1543.86</c:v>
                </c:pt>
                <c:pt idx="79">
                  <c:v>1543.86</c:v>
                </c:pt>
                <c:pt idx="80">
                  <c:v>1544.2</c:v>
                </c:pt>
                <c:pt idx="81">
                  <c:v>884.28</c:v>
                </c:pt>
                <c:pt idx="82">
                  <c:v>793.6</c:v>
                </c:pt>
                <c:pt idx="83">
                  <c:v>739.73</c:v>
                </c:pt>
                <c:pt idx="84">
                  <c:v>872.28</c:v>
                </c:pt>
                <c:pt idx="85">
                  <c:v>912.23</c:v>
                </c:pt>
                <c:pt idx="86">
                  <c:v>848.96</c:v>
                </c:pt>
                <c:pt idx="87">
                  <c:v>846.95</c:v>
                </c:pt>
                <c:pt idx="88">
                  <c:v>915.6</c:v>
                </c:pt>
                <c:pt idx="89">
                  <c:v>883.1</c:v>
                </c:pt>
                <c:pt idx="90">
                  <c:v>883.1</c:v>
                </c:pt>
                <c:pt idx="91">
                  <c:v>648.70000000000005</c:v>
                </c:pt>
                <c:pt idx="92">
                  <c:v>792.57</c:v>
                </c:pt>
                <c:pt idx="93">
                  <c:v>728.72</c:v>
                </c:pt>
                <c:pt idx="94">
                  <c:v>667.51</c:v>
                </c:pt>
                <c:pt idx="95">
                  <c:v>607.28</c:v>
                </c:pt>
                <c:pt idx="96">
                  <c:v>617.69000000000005</c:v>
                </c:pt>
                <c:pt idx="97">
                  <c:v>666.5</c:v>
                </c:pt>
                <c:pt idx="98">
                  <c:v>727.19</c:v>
                </c:pt>
                <c:pt idx="99">
                  <c:v>789.84</c:v>
                </c:pt>
                <c:pt idx="100">
                  <c:v>565.53</c:v>
                </c:pt>
                <c:pt idx="101">
                  <c:v>565.53</c:v>
                </c:pt>
                <c:pt idx="102">
                  <c:v>424.12</c:v>
                </c:pt>
                <c:pt idx="103">
                  <c:v>483.66</c:v>
                </c:pt>
                <c:pt idx="104">
                  <c:v>582.34</c:v>
                </c:pt>
                <c:pt idx="105">
                  <c:v>514.17999999999995</c:v>
                </c:pt>
                <c:pt idx="106">
                  <c:v>420.79</c:v>
                </c:pt>
                <c:pt idx="107">
                  <c:v>768.88</c:v>
                </c:pt>
                <c:pt idx="108">
                  <c:v>672.16</c:v>
                </c:pt>
                <c:pt idx="109">
                  <c:v>598.14</c:v>
                </c:pt>
                <c:pt idx="110">
                  <c:v>598.17999999999995</c:v>
                </c:pt>
                <c:pt idx="111">
                  <c:v>676.36</c:v>
                </c:pt>
                <c:pt idx="112">
                  <c:v>676.36</c:v>
                </c:pt>
                <c:pt idx="113">
                  <c:v>778.7</c:v>
                </c:pt>
                <c:pt idx="114">
                  <c:v>31.46</c:v>
                </c:pt>
                <c:pt idx="115">
                  <c:v>33.46</c:v>
                </c:pt>
                <c:pt idx="116">
                  <c:v>0</c:v>
                </c:pt>
                <c:pt idx="117">
                  <c:v>33.28</c:v>
                </c:pt>
                <c:pt idx="118">
                  <c:v>80.94</c:v>
                </c:pt>
                <c:pt idx="119">
                  <c:v>173.47</c:v>
                </c:pt>
                <c:pt idx="120">
                  <c:v>295.41000000000003</c:v>
                </c:pt>
                <c:pt idx="121">
                  <c:v>357.12</c:v>
                </c:pt>
                <c:pt idx="122">
                  <c:v>432.55</c:v>
                </c:pt>
                <c:pt idx="123">
                  <c:v>242.4</c:v>
                </c:pt>
                <c:pt idx="124">
                  <c:v>242.4</c:v>
                </c:pt>
                <c:pt idx="125">
                  <c:v>65.36</c:v>
                </c:pt>
                <c:pt idx="126">
                  <c:v>343.08</c:v>
                </c:pt>
                <c:pt idx="127">
                  <c:v>0</c:v>
                </c:pt>
                <c:pt idx="128">
                  <c:v>28.28</c:v>
                </c:pt>
                <c:pt idx="129">
                  <c:v>219.98</c:v>
                </c:pt>
                <c:pt idx="130">
                  <c:v>525.62</c:v>
                </c:pt>
                <c:pt idx="131">
                  <c:v>517.29</c:v>
                </c:pt>
                <c:pt idx="132">
                  <c:v>1874.82</c:v>
                </c:pt>
                <c:pt idx="133">
                  <c:v>1774.99</c:v>
                </c:pt>
                <c:pt idx="134">
                  <c:v>1731.83</c:v>
                </c:pt>
                <c:pt idx="135">
                  <c:v>1814.4</c:v>
                </c:pt>
                <c:pt idx="136">
                  <c:v>1814.4</c:v>
                </c:pt>
                <c:pt idx="137">
                  <c:v>1877.49</c:v>
                </c:pt>
                <c:pt idx="138">
                  <c:v>1623.79</c:v>
                </c:pt>
                <c:pt idx="139">
                  <c:v>1552.29</c:v>
                </c:pt>
                <c:pt idx="140">
                  <c:v>1482.07</c:v>
                </c:pt>
                <c:pt idx="141">
                  <c:v>1474.59</c:v>
                </c:pt>
                <c:pt idx="142">
                  <c:v>1597.64</c:v>
                </c:pt>
                <c:pt idx="143">
                  <c:v>1560.61</c:v>
                </c:pt>
                <c:pt idx="144">
                  <c:v>1413.16</c:v>
                </c:pt>
                <c:pt idx="145">
                  <c:v>1341.47</c:v>
                </c:pt>
                <c:pt idx="146">
                  <c:v>1274.97</c:v>
                </c:pt>
                <c:pt idx="147">
                  <c:v>1274.97</c:v>
                </c:pt>
                <c:pt idx="148">
                  <c:v>1264.22</c:v>
                </c:pt>
                <c:pt idx="149">
                  <c:v>1335.09</c:v>
                </c:pt>
                <c:pt idx="150">
                  <c:v>1410.21</c:v>
                </c:pt>
                <c:pt idx="151">
                  <c:v>1331.2</c:v>
                </c:pt>
                <c:pt idx="152">
                  <c:v>487.09</c:v>
                </c:pt>
                <c:pt idx="153">
                  <c:v>32.369999999999997</c:v>
                </c:pt>
                <c:pt idx="154">
                  <c:v>131.66999999999999</c:v>
                </c:pt>
                <c:pt idx="155">
                  <c:v>374.4</c:v>
                </c:pt>
                <c:pt idx="156">
                  <c:v>476.9</c:v>
                </c:pt>
                <c:pt idx="157">
                  <c:v>1559.26</c:v>
                </c:pt>
                <c:pt idx="158">
                  <c:v>1559.26</c:v>
                </c:pt>
                <c:pt idx="159">
                  <c:v>1629.62</c:v>
                </c:pt>
                <c:pt idx="160">
                  <c:v>1468.65</c:v>
                </c:pt>
                <c:pt idx="161">
                  <c:v>1473.81</c:v>
                </c:pt>
                <c:pt idx="162">
                  <c:v>1526.35</c:v>
                </c:pt>
                <c:pt idx="163">
                  <c:v>1580.83</c:v>
                </c:pt>
                <c:pt idx="164">
                  <c:v>1634.34</c:v>
                </c:pt>
                <c:pt idx="165">
                  <c:v>1425.15</c:v>
                </c:pt>
                <c:pt idx="166">
                  <c:v>1417.34</c:v>
                </c:pt>
                <c:pt idx="167">
                  <c:v>1357.54</c:v>
                </c:pt>
                <c:pt idx="168">
                  <c:v>1283.5999999999999</c:v>
                </c:pt>
                <c:pt idx="169">
                  <c:v>1283.5999999999999</c:v>
                </c:pt>
                <c:pt idx="170">
                  <c:v>1274.98</c:v>
                </c:pt>
                <c:pt idx="171">
                  <c:v>1345.62</c:v>
                </c:pt>
                <c:pt idx="172">
                  <c:v>1364.05</c:v>
                </c:pt>
                <c:pt idx="173">
                  <c:v>1719.41</c:v>
                </c:pt>
                <c:pt idx="174">
                  <c:v>33.119999999999997</c:v>
                </c:pt>
                <c:pt idx="175">
                  <c:v>0</c:v>
                </c:pt>
                <c:pt idx="176">
                  <c:v>1928.22</c:v>
                </c:pt>
                <c:pt idx="177">
                  <c:v>1819.25</c:v>
                </c:pt>
                <c:pt idx="178">
                  <c:v>1948.52</c:v>
                </c:pt>
                <c:pt idx="179">
                  <c:v>2023.03</c:v>
                </c:pt>
                <c:pt idx="180">
                  <c:v>2105.98</c:v>
                </c:pt>
                <c:pt idx="181">
                  <c:v>2105.98</c:v>
                </c:pt>
                <c:pt idx="182">
                  <c:v>2115.42</c:v>
                </c:pt>
                <c:pt idx="183">
                  <c:v>2034.52</c:v>
                </c:pt>
                <c:pt idx="184">
                  <c:v>1973.77</c:v>
                </c:pt>
                <c:pt idx="185">
                  <c:v>2053.88</c:v>
                </c:pt>
                <c:pt idx="186">
                  <c:v>1663.35</c:v>
                </c:pt>
                <c:pt idx="187">
                  <c:v>33.1</c:v>
                </c:pt>
                <c:pt idx="188">
                  <c:v>34.24</c:v>
                </c:pt>
                <c:pt idx="189">
                  <c:v>1869.66</c:v>
                </c:pt>
                <c:pt idx="190">
                  <c:v>2040.06</c:v>
                </c:pt>
                <c:pt idx="191">
                  <c:v>1237.25</c:v>
                </c:pt>
                <c:pt idx="192">
                  <c:v>1237.25</c:v>
                </c:pt>
                <c:pt idx="193">
                  <c:v>1179.44</c:v>
                </c:pt>
                <c:pt idx="194">
                  <c:v>1101.6500000000001</c:v>
                </c:pt>
                <c:pt idx="195">
                  <c:v>1097.0999999999999</c:v>
                </c:pt>
                <c:pt idx="196">
                  <c:v>1174.3800000000001</c:v>
                </c:pt>
                <c:pt idx="197">
                  <c:v>1235.8499999999999</c:v>
                </c:pt>
                <c:pt idx="198">
                  <c:v>1089.8499999999999</c:v>
                </c:pt>
                <c:pt idx="199">
                  <c:v>1079.55</c:v>
                </c:pt>
                <c:pt idx="200">
                  <c:v>1025.69</c:v>
                </c:pt>
                <c:pt idx="201">
                  <c:v>959.99</c:v>
                </c:pt>
                <c:pt idx="202">
                  <c:v>951.17</c:v>
                </c:pt>
                <c:pt idx="203">
                  <c:v>951.17</c:v>
                </c:pt>
                <c:pt idx="204">
                  <c:v>1006.28</c:v>
                </c:pt>
                <c:pt idx="205">
                  <c:v>1054.5899999999999</c:v>
                </c:pt>
                <c:pt idx="206">
                  <c:v>1036.4100000000001</c:v>
                </c:pt>
                <c:pt idx="207">
                  <c:v>1787.07</c:v>
                </c:pt>
                <c:pt idx="208">
                  <c:v>2050.34</c:v>
                </c:pt>
                <c:pt idx="209">
                  <c:v>2125.81</c:v>
                </c:pt>
                <c:pt idx="210">
                  <c:v>0</c:v>
                </c:pt>
                <c:pt idx="211">
                  <c:v>1877.95</c:v>
                </c:pt>
                <c:pt idx="212">
                  <c:v>1242.82</c:v>
                </c:pt>
                <c:pt idx="213">
                  <c:v>1169.46</c:v>
                </c:pt>
                <c:pt idx="214">
                  <c:v>1021.06</c:v>
                </c:pt>
                <c:pt idx="215">
                  <c:v>1021.06</c:v>
                </c:pt>
                <c:pt idx="216">
                  <c:v>1097.83</c:v>
                </c:pt>
                <c:pt idx="217">
                  <c:v>937.04</c:v>
                </c:pt>
                <c:pt idx="218">
                  <c:v>928.36</c:v>
                </c:pt>
                <c:pt idx="219">
                  <c:v>1012.08</c:v>
                </c:pt>
                <c:pt idx="220">
                  <c:v>1093.68</c:v>
                </c:pt>
                <c:pt idx="221">
                  <c:v>1164.51</c:v>
                </c:pt>
                <c:pt idx="222">
                  <c:v>1236.55</c:v>
                </c:pt>
                <c:pt idx="223">
                  <c:v>1185.01</c:v>
                </c:pt>
                <c:pt idx="224">
                  <c:v>1031.48</c:v>
                </c:pt>
                <c:pt idx="225">
                  <c:v>754.68</c:v>
                </c:pt>
                <c:pt idx="226">
                  <c:v>754.68</c:v>
                </c:pt>
                <c:pt idx="227">
                  <c:v>704.69</c:v>
                </c:pt>
                <c:pt idx="228">
                  <c:v>633.47</c:v>
                </c:pt>
                <c:pt idx="229">
                  <c:v>717.71</c:v>
                </c:pt>
                <c:pt idx="230">
                  <c:v>803.52</c:v>
                </c:pt>
                <c:pt idx="231">
                  <c:v>875.63</c:v>
                </c:pt>
                <c:pt idx="232">
                  <c:v>982.19</c:v>
                </c:pt>
                <c:pt idx="233">
                  <c:v>1725.54</c:v>
                </c:pt>
                <c:pt idx="234">
                  <c:v>916.34</c:v>
                </c:pt>
                <c:pt idx="235">
                  <c:v>843.68</c:v>
                </c:pt>
                <c:pt idx="236">
                  <c:v>827.83</c:v>
                </c:pt>
                <c:pt idx="237">
                  <c:v>827.83</c:v>
                </c:pt>
                <c:pt idx="238">
                  <c:v>787.05</c:v>
                </c:pt>
                <c:pt idx="239">
                  <c:v>863.52</c:v>
                </c:pt>
                <c:pt idx="240">
                  <c:v>789.28</c:v>
                </c:pt>
                <c:pt idx="241">
                  <c:v>755.08</c:v>
                </c:pt>
                <c:pt idx="242">
                  <c:v>680.01</c:v>
                </c:pt>
                <c:pt idx="243">
                  <c:v>690.81</c:v>
                </c:pt>
                <c:pt idx="244">
                  <c:v>0</c:v>
                </c:pt>
                <c:pt idx="245">
                  <c:v>615.75</c:v>
                </c:pt>
                <c:pt idx="246">
                  <c:v>909.66</c:v>
                </c:pt>
                <c:pt idx="247">
                  <c:v>838.07</c:v>
                </c:pt>
                <c:pt idx="248">
                  <c:v>773.89</c:v>
                </c:pt>
                <c:pt idx="249">
                  <c:v>773.89</c:v>
                </c:pt>
                <c:pt idx="250">
                  <c:v>843.96</c:v>
                </c:pt>
                <c:pt idx="251">
                  <c:v>921</c:v>
                </c:pt>
                <c:pt idx="252">
                  <c:v>852.96</c:v>
                </c:pt>
                <c:pt idx="253">
                  <c:v>774.13</c:v>
                </c:pt>
                <c:pt idx="254">
                  <c:v>736.54</c:v>
                </c:pt>
                <c:pt idx="255">
                  <c:v>675.99</c:v>
                </c:pt>
                <c:pt idx="256">
                  <c:v>605.45000000000005</c:v>
                </c:pt>
                <c:pt idx="257">
                  <c:v>597.48</c:v>
                </c:pt>
                <c:pt idx="258">
                  <c:v>650.99</c:v>
                </c:pt>
                <c:pt idx="259">
                  <c:v>697.41</c:v>
                </c:pt>
                <c:pt idx="260">
                  <c:v>697.41</c:v>
                </c:pt>
                <c:pt idx="261">
                  <c:v>633.59</c:v>
                </c:pt>
                <c:pt idx="262">
                  <c:v>0</c:v>
                </c:pt>
                <c:pt idx="263">
                  <c:v>1005.01</c:v>
                </c:pt>
                <c:pt idx="264">
                  <c:v>561</c:v>
                </c:pt>
                <c:pt idx="265">
                  <c:v>494.28</c:v>
                </c:pt>
                <c:pt idx="266">
                  <c:v>444.04</c:v>
                </c:pt>
                <c:pt idx="267">
                  <c:v>413.69</c:v>
                </c:pt>
                <c:pt idx="268">
                  <c:v>480.62</c:v>
                </c:pt>
                <c:pt idx="269">
                  <c:v>538.21</c:v>
                </c:pt>
                <c:pt idx="270">
                  <c:v>513.21</c:v>
                </c:pt>
                <c:pt idx="271">
                  <c:v>1091.55</c:v>
                </c:pt>
                <c:pt idx="272">
                  <c:v>1091.55</c:v>
                </c:pt>
                <c:pt idx="273">
                  <c:v>883.84</c:v>
                </c:pt>
                <c:pt idx="274">
                  <c:v>1606.92</c:v>
                </c:pt>
                <c:pt idx="275">
                  <c:v>1463.91</c:v>
                </c:pt>
                <c:pt idx="276">
                  <c:v>1621.33</c:v>
                </c:pt>
                <c:pt idx="277">
                  <c:v>1552.18</c:v>
                </c:pt>
                <c:pt idx="278">
                  <c:v>1477.09</c:v>
                </c:pt>
                <c:pt idx="279">
                  <c:v>1905.47</c:v>
                </c:pt>
                <c:pt idx="280">
                  <c:v>839.49</c:v>
                </c:pt>
                <c:pt idx="281">
                  <c:v>679.04</c:v>
                </c:pt>
                <c:pt idx="282">
                  <c:v>1836.33</c:v>
                </c:pt>
                <c:pt idx="283">
                  <c:v>1836.33</c:v>
                </c:pt>
                <c:pt idx="284">
                  <c:v>1754.05</c:v>
                </c:pt>
                <c:pt idx="285">
                  <c:v>1761.25</c:v>
                </c:pt>
                <c:pt idx="286">
                  <c:v>1865.27</c:v>
                </c:pt>
                <c:pt idx="287">
                  <c:v>1855.67</c:v>
                </c:pt>
                <c:pt idx="288">
                  <c:v>1072.3699999999999</c:v>
                </c:pt>
                <c:pt idx="289">
                  <c:v>892.51</c:v>
                </c:pt>
                <c:pt idx="290">
                  <c:v>897.35</c:v>
                </c:pt>
                <c:pt idx="291">
                  <c:v>855.04</c:v>
                </c:pt>
                <c:pt idx="292">
                  <c:v>1283.67</c:v>
                </c:pt>
                <c:pt idx="293">
                  <c:v>1278.24</c:v>
                </c:pt>
                <c:pt idx="294">
                  <c:v>1278.24</c:v>
                </c:pt>
                <c:pt idx="295">
                  <c:v>1357.43</c:v>
                </c:pt>
                <c:pt idx="296">
                  <c:v>1348.65</c:v>
                </c:pt>
                <c:pt idx="297">
                  <c:v>1323.04</c:v>
                </c:pt>
                <c:pt idx="298">
                  <c:v>1405.51</c:v>
                </c:pt>
                <c:pt idx="299">
                  <c:v>1416.03</c:v>
                </c:pt>
                <c:pt idx="300">
                  <c:v>1451.74</c:v>
                </c:pt>
                <c:pt idx="301">
                  <c:v>1447.72</c:v>
                </c:pt>
                <c:pt idx="302">
                  <c:v>1512.1</c:v>
                </c:pt>
                <c:pt idx="303">
                  <c:v>1496.12</c:v>
                </c:pt>
                <c:pt idx="304">
                  <c:v>1475.88</c:v>
                </c:pt>
                <c:pt idx="305">
                  <c:v>1475.88</c:v>
                </c:pt>
                <c:pt idx="306">
                  <c:v>1549.34</c:v>
                </c:pt>
                <c:pt idx="307">
                  <c:v>1613.53</c:v>
                </c:pt>
                <c:pt idx="308">
                  <c:v>1550.21</c:v>
                </c:pt>
                <c:pt idx="309">
                  <c:v>1277.5</c:v>
                </c:pt>
                <c:pt idx="310">
                  <c:v>1341.22</c:v>
                </c:pt>
                <c:pt idx="311">
                  <c:v>1445.57</c:v>
                </c:pt>
                <c:pt idx="312">
                  <c:v>1444.43</c:v>
                </c:pt>
                <c:pt idx="313">
                  <c:v>1342</c:v>
                </c:pt>
                <c:pt idx="314">
                  <c:v>1271.02</c:v>
                </c:pt>
                <c:pt idx="315">
                  <c:v>1263.49</c:v>
                </c:pt>
                <c:pt idx="316">
                  <c:v>1263.49</c:v>
                </c:pt>
                <c:pt idx="317">
                  <c:v>1342.93</c:v>
                </c:pt>
                <c:pt idx="318">
                  <c:v>0</c:v>
                </c:pt>
                <c:pt idx="319">
                  <c:v>1235.93</c:v>
                </c:pt>
                <c:pt idx="320">
                  <c:v>1183.53</c:v>
                </c:pt>
                <c:pt idx="321">
                  <c:v>1121.6300000000001</c:v>
                </c:pt>
                <c:pt idx="322">
                  <c:v>1122.08</c:v>
                </c:pt>
                <c:pt idx="323">
                  <c:v>1197.5999999999999</c:v>
                </c:pt>
                <c:pt idx="324">
                  <c:v>1217.72</c:v>
                </c:pt>
                <c:pt idx="325">
                  <c:v>1054.25</c:v>
                </c:pt>
                <c:pt idx="326">
                  <c:v>994.8</c:v>
                </c:pt>
                <c:pt idx="327">
                  <c:v>931.78</c:v>
                </c:pt>
                <c:pt idx="328">
                  <c:v>931.78</c:v>
                </c:pt>
                <c:pt idx="329">
                  <c:v>1047.54</c:v>
                </c:pt>
                <c:pt idx="330">
                  <c:v>984.34</c:v>
                </c:pt>
                <c:pt idx="331">
                  <c:v>1014.56</c:v>
                </c:pt>
                <c:pt idx="332">
                  <c:v>1116.2</c:v>
                </c:pt>
                <c:pt idx="333">
                  <c:v>1179.42</c:v>
                </c:pt>
                <c:pt idx="334">
                  <c:v>1258.17</c:v>
                </c:pt>
                <c:pt idx="335">
                  <c:v>1254.54</c:v>
                </c:pt>
                <c:pt idx="336">
                  <c:v>1183.3399999999999</c:v>
                </c:pt>
                <c:pt idx="337">
                  <c:v>1116.26</c:v>
                </c:pt>
                <c:pt idx="338">
                  <c:v>1256.5899999999999</c:v>
                </c:pt>
                <c:pt idx="339">
                  <c:v>1256.5899999999999</c:v>
                </c:pt>
                <c:pt idx="340">
                  <c:v>890.94</c:v>
                </c:pt>
                <c:pt idx="341">
                  <c:v>797.97</c:v>
                </c:pt>
                <c:pt idx="342">
                  <c:v>797.86</c:v>
                </c:pt>
                <c:pt idx="343">
                  <c:v>884.52</c:v>
                </c:pt>
                <c:pt idx="344">
                  <c:v>933.99</c:v>
                </c:pt>
                <c:pt idx="345">
                  <c:v>1025.27</c:v>
                </c:pt>
                <c:pt idx="346">
                  <c:v>1084.55</c:v>
                </c:pt>
                <c:pt idx="347">
                  <c:v>1091.47</c:v>
                </c:pt>
                <c:pt idx="348">
                  <c:v>1017.88</c:v>
                </c:pt>
                <c:pt idx="349">
                  <c:v>926.65</c:v>
                </c:pt>
                <c:pt idx="350">
                  <c:v>926.65</c:v>
                </c:pt>
                <c:pt idx="351">
                  <c:v>981.32</c:v>
                </c:pt>
                <c:pt idx="352">
                  <c:v>1043.97</c:v>
                </c:pt>
                <c:pt idx="353">
                  <c:v>0</c:v>
                </c:pt>
                <c:pt idx="354">
                  <c:v>1920.39</c:v>
                </c:pt>
                <c:pt idx="355">
                  <c:v>1865.86</c:v>
                </c:pt>
                <c:pt idx="356">
                  <c:v>1807.3</c:v>
                </c:pt>
                <c:pt idx="357">
                  <c:v>1756.42</c:v>
                </c:pt>
                <c:pt idx="358">
                  <c:v>1683.81</c:v>
                </c:pt>
                <c:pt idx="359">
                  <c:v>1641.78</c:v>
                </c:pt>
                <c:pt idx="360">
                  <c:v>1706.44</c:v>
                </c:pt>
                <c:pt idx="361">
                  <c:v>1873.25</c:v>
                </c:pt>
                <c:pt idx="362">
                  <c:v>1873.25</c:v>
                </c:pt>
                <c:pt idx="363">
                  <c:v>1800.78</c:v>
                </c:pt>
                <c:pt idx="364">
                  <c:v>1953.85</c:v>
                </c:pt>
                <c:pt idx="365">
                  <c:v>1952.49</c:v>
                </c:pt>
                <c:pt idx="366">
                  <c:v>1884.11</c:v>
                </c:pt>
                <c:pt idx="367">
                  <c:v>0</c:v>
                </c:pt>
                <c:pt idx="368">
                  <c:v>2151.91</c:v>
                </c:pt>
                <c:pt idx="369">
                  <c:v>2075.79</c:v>
                </c:pt>
                <c:pt idx="370">
                  <c:v>1989.7</c:v>
                </c:pt>
                <c:pt idx="371">
                  <c:v>1966.84</c:v>
                </c:pt>
                <c:pt idx="372">
                  <c:v>0</c:v>
                </c:pt>
                <c:pt idx="373">
                  <c:v>1147.5999999999999</c:v>
                </c:pt>
                <c:pt idx="374">
                  <c:v>1347.77</c:v>
                </c:pt>
                <c:pt idx="375">
                  <c:v>1347.77</c:v>
                </c:pt>
                <c:pt idx="376">
                  <c:v>464.14</c:v>
                </c:pt>
                <c:pt idx="377">
                  <c:v>528.17999999999995</c:v>
                </c:pt>
                <c:pt idx="378">
                  <c:v>576.75</c:v>
                </c:pt>
                <c:pt idx="379">
                  <c:v>570.64</c:v>
                </c:pt>
                <c:pt idx="380">
                  <c:v>523.52</c:v>
                </c:pt>
                <c:pt idx="381">
                  <c:v>442.96</c:v>
                </c:pt>
                <c:pt idx="382">
                  <c:v>463.61</c:v>
                </c:pt>
                <c:pt idx="383">
                  <c:v>538.17999999999995</c:v>
                </c:pt>
                <c:pt idx="384">
                  <c:v>1492.62</c:v>
                </c:pt>
                <c:pt idx="385">
                  <c:v>1509.76</c:v>
                </c:pt>
                <c:pt idx="386">
                  <c:v>1509.76</c:v>
                </c:pt>
                <c:pt idx="387">
                  <c:v>1207.47</c:v>
                </c:pt>
                <c:pt idx="388">
                  <c:v>609.86</c:v>
                </c:pt>
                <c:pt idx="389">
                  <c:v>685.29</c:v>
                </c:pt>
                <c:pt idx="390">
                  <c:v>784.85</c:v>
                </c:pt>
                <c:pt idx="391">
                  <c:v>890.38</c:v>
                </c:pt>
                <c:pt idx="392">
                  <c:v>914.51</c:v>
                </c:pt>
                <c:pt idx="393">
                  <c:v>819.49</c:v>
                </c:pt>
                <c:pt idx="394">
                  <c:v>716.45</c:v>
                </c:pt>
                <c:pt idx="395">
                  <c:v>619.78</c:v>
                </c:pt>
                <c:pt idx="396">
                  <c:v>736.67</c:v>
                </c:pt>
                <c:pt idx="397">
                  <c:v>736.67</c:v>
                </c:pt>
                <c:pt idx="398">
                  <c:v>825.02</c:v>
                </c:pt>
                <c:pt idx="399">
                  <c:v>912.34</c:v>
                </c:pt>
                <c:pt idx="400">
                  <c:v>855.61</c:v>
                </c:pt>
                <c:pt idx="401">
                  <c:v>26.73</c:v>
                </c:pt>
                <c:pt idx="402">
                  <c:v>27.76</c:v>
                </c:pt>
                <c:pt idx="403">
                  <c:v>432.58</c:v>
                </c:pt>
                <c:pt idx="404">
                  <c:v>396.33</c:v>
                </c:pt>
                <c:pt idx="405">
                  <c:v>421.06</c:v>
                </c:pt>
                <c:pt idx="406">
                  <c:v>564.6</c:v>
                </c:pt>
                <c:pt idx="407">
                  <c:v>463.91</c:v>
                </c:pt>
                <c:pt idx="408">
                  <c:v>463.91</c:v>
                </c:pt>
                <c:pt idx="409">
                  <c:v>506.4</c:v>
                </c:pt>
                <c:pt idx="410">
                  <c:v>500.33</c:v>
                </c:pt>
                <c:pt idx="411">
                  <c:v>541.9</c:v>
                </c:pt>
                <c:pt idx="412">
                  <c:v>759.55</c:v>
                </c:pt>
                <c:pt idx="413">
                  <c:v>776.75</c:v>
                </c:pt>
                <c:pt idx="414">
                  <c:v>804.67</c:v>
                </c:pt>
                <c:pt idx="415">
                  <c:v>0</c:v>
                </c:pt>
                <c:pt idx="416">
                  <c:v>699.71</c:v>
                </c:pt>
                <c:pt idx="417">
                  <c:v>661.82</c:v>
                </c:pt>
                <c:pt idx="418">
                  <c:v>630.76</c:v>
                </c:pt>
                <c:pt idx="419">
                  <c:v>693.25</c:v>
                </c:pt>
                <c:pt idx="420">
                  <c:v>693.25</c:v>
                </c:pt>
                <c:pt idx="421">
                  <c:v>724.75</c:v>
                </c:pt>
                <c:pt idx="422">
                  <c:v>739.7</c:v>
                </c:pt>
                <c:pt idx="423">
                  <c:v>646.17999999999995</c:v>
                </c:pt>
                <c:pt idx="424">
                  <c:v>1761.33</c:v>
                </c:pt>
                <c:pt idx="425">
                  <c:v>1688.41</c:v>
                </c:pt>
                <c:pt idx="426">
                  <c:v>1616.87</c:v>
                </c:pt>
                <c:pt idx="427">
                  <c:v>1611.72</c:v>
                </c:pt>
                <c:pt idx="428">
                  <c:v>1678.46</c:v>
                </c:pt>
                <c:pt idx="429">
                  <c:v>1745.21</c:v>
                </c:pt>
                <c:pt idx="430">
                  <c:v>1372.06</c:v>
                </c:pt>
                <c:pt idx="431">
                  <c:v>1372.06</c:v>
                </c:pt>
                <c:pt idx="432">
                  <c:v>27.44</c:v>
                </c:pt>
                <c:pt idx="433">
                  <c:v>1291.6199999999999</c:v>
                </c:pt>
                <c:pt idx="434">
                  <c:v>1487.72</c:v>
                </c:pt>
                <c:pt idx="435">
                  <c:v>1569.07</c:v>
                </c:pt>
                <c:pt idx="436">
                  <c:v>1560.3</c:v>
                </c:pt>
                <c:pt idx="437">
                  <c:v>1485.41</c:v>
                </c:pt>
                <c:pt idx="438">
                  <c:v>1369.46</c:v>
                </c:pt>
                <c:pt idx="439">
                  <c:v>1289.69</c:v>
                </c:pt>
                <c:pt idx="440">
                  <c:v>1416.39</c:v>
                </c:pt>
                <c:pt idx="441">
                  <c:v>1565.37</c:v>
                </c:pt>
                <c:pt idx="442">
                  <c:v>1565.37</c:v>
                </c:pt>
                <c:pt idx="443">
                  <c:v>1454.51</c:v>
                </c:pt>
                <c:pt idx="444">
                  <c:v>1520.34</c:v>
                </c:pt>
                <c:pt idx="445">
                  <c:v>1590.54</c:v>
                </c:pt>
                <c:pt idx="446">
                  <c:v>1609.23</c:v>
                </c:pt>
                <c:pt idx="447">
                  <c:v>1531.51</c:v>
                </c:pt>
                <c:pt idx="448">
                  <c:v>1449.86</c:v>
                </c:pt>
                <c:pt idx="449">
                  <c:v>1422.58</c:v>
                </c:pt>
                <c:pt idx="450">
                  <c:v>1427.92</c:v>
                </c:pt>
                <c:pt idx="451">
                  <c:v>1562.75</c:v>
                </c:pt>
                <c:pt idx="452">
                  <c:v>1167.68</c:v>
                </c:pt>
                <c:pt idx="453">
                  <c:v>1167.68</c:v>
                </c:pt>
                <c:pt idx="454">
                  <c:v>50.15</c:v>
                </c:pt>
                <c:pt idx="455">
                  <c:v>22.64</c:v>
                </c:pt>
                <c:pt idx="456">
                  <c:v>0</c:v>
                </c:pt>
                <c:pt idx="457">
                  <c:v>49.52</c:v>
                </c:pt>
                <c:pt idx="458">
                  <c:v>595.30999999999995</c:v>
                </c:pt>
                <c:pt idx="459">
                  <c:v>598.99</c:v>
                </c:pt>
                <c:pt idx="460">
                  <c:v>1334.23</c:v>
                </c:pt>
                <c:pt idx="461">
                  <c:v>1348.47</c:v>
                </c:pt>
                <c:pt idx="462">
                  <c:v>1291.0899999999999</c:v>
                </c:pt>
                <c:pt idx="463">
                  <c:v>1284.6600000000001</c:v>
                </c:pt>
                <c:pt idx="464">
                  <c:v>1348.77</c:v>
                </c:pt>
                <c:pt idx="465">
                  <c:v>1348.77</c:v>
                </c:pt>
                <c:pt idx="466">
                  <c:v>1293.96</c:v>
                </c:pt>
                <c:pt idx="467">
                  <c:v>1685.5</c:v>
                </c:pt>
                <c:pt idx="468">
                  <c:v>558.84</c:v>
                </c:pt>
                <c:pt idx="469">
                  <c:v>503.32</c:v>
                </c:pt>
                <c:pt idx="470">
                  <c:v>445.29</c:v>
                </c:pt>
                <c:pt idx="471">
                  <c:v>492.57</c:v>
                </c:pt>
                <c:pt idx="472">
                  <c:v>551.78</c:v>
                </c:pt>
                <c:pt idx="473">
                  <c:v>565</c:v>
                </c:pt>
                <c:pt idx="474">
                  <c:v>470.16</c:v>
                </c:pt>
                <c:pt idx="475">
                  <c:v>403.04</c:v>
                </c:pt>
                <c:pt idx="476">
                  <c:v>403.04</c:v>
                </c:pt>
                <c:pt idx="477">
                  <c:v>395.72</c:v>
                </c:pt>
                <c:pt idx="478">
                  <c:v>460.38</c:v>
                </c:pt>
                <c:pt idx="479">
                  <c:v>393.96</c:v>
                </c:pt>
                <c:pt idx="480">
                  <c:v>47.64</c:v>
                </c:pt>
                <c:pt idx="481">
                  <c:v>2089.0100000000002</c:v>
                </c:pt>
                <c:pt idx="482">
                  <c:v>2060.04</c:v>
                </c:pt>
                <c:pt idx="483">
                  <c:v>1856.55</c:v>
                </c:pt>
                <c:pt idx="484">
                  <c:v>1701.9</c:v>
                </c:pt>
                <c:pt idx="485">
                  <c:v>1756.11</c:v>
                </c:pt>
                <c:pt idx="486">
                  <c:v>1813.1</c:v>
                </c:pt>
                <c:pt idx="487">
                  <c:v>1813.1</c:v>
                </c:pt>
                <c:pt idx="488">
                  <c:v>133.02000000000001</c:v>
                </c:pt>
                <c:pt idx="489">
                  <c:v>145.44</c:v>
                </c:pt>
                <c:pt idx="490">
                  <c:v>193.05</c:v>
                </c:pt>
                <c:pt idx="491">
                  <c:v>271.13</c:v>
                </c:pt>
                <c:pt idx="492">
                  <c:v>223.27</c:v>
                </c:pt>
                <c:pt idx="493">
                  <c:v>314.75</c:v>
                </c:pt>
                <c:pt idx="494">
                  <c:v>339.34</c:v>
                </c:pt>
                <c:pt idx="495">
                  <c:v>276.70999999999998</c:v>
                </c:pt>
                <c:pt idx="496">
                  <c:v>51.75</c:v>
                </c:pt>
                <c:pt idx="497">
                  <c:v>1104.3699999999999</c:v>
                </c:pt>
                <c:pt idx="498">
                  <c:v>1104.3699999999999</c:v>
                </c:pt>
                <c:pt idx="499">
                  <c:v>1099.2</c:v>
                </c:pt>
                <c:pt idx="500">
                  <c:v>0</c:v>
                </c:pt>
                <c:pt idx="501">
                  <c:v>1984.11</c:v>
                </c:pt>
                <c:pt idx="502">
                  <c:v>1035.3399999999999</c:v>
                </c:pt>
                <c:pt idx="503">
                  <c:v>969.17</c:v>
                </c:pt>
                <c:pt idx="504">
                  <c:v>914.81</c:v>
                </c:pt>
                <c:pt idx="505">
                  <c:v>948.9</c:v>
                </c:pt>
                <c:pt idx="506">
                  <c:v>1024.24</c:v>
                </c:pt>
                <c:pt idx="507">
                  <c:v>984.3</c:v>
                </c:pt>
                <c:pt idx="508">
                  <c:v>49.36</c:v>
                </c:pt>
                <c:pt idx="509">
                  <c:v>1137.74</c:v>
                </c:pt>
                <c:pt idx="510">
                  <c:v>1137.74</c:v>
                </c:pt>
                <c:pt idx="511">
                  <c:v>1189.94</c:v>
                </c:pt>
                <c:pt idx="512">
                  <c:v>1249.98</c:v>
                </c:pt>
                <c:pt idx="513">
                  <c:v>1263.22</c:v>
                </c:pt>
                <c:pt idx="514">
                  <c:v>1208.54</c:v>
                </c:pt>
                <c:pt idx="515">
                  <c:v>1142.08</c:v>
                </c:pt>
                <c:pt idx="516">
                  <c:v>1105.5899999999999</c:v>
                </c:pt>
                <c:pt idx="517">
                  <c:v>994.34</c:v>
                </c:pt>
                <c:pt idx="518">
                  <c:v>915.14</c:v>
                </c:pt>
                <c:pt idx="519">
                  <c:v>1092.26</c:v>
                </c:pt>
                <c:pt idx="520">
                  <c:v>1021.01</c:v>
                </c:pt>
                <c:pt idx="521">
                  <c:v>1021.01</c:v>
                </c:pt>
                <c:pt idx="522">
                  <c:v>950.19</c:v>
                </c:pt>
                <c:pt idx="523">
                  <c:v>969.3</c:v>
                </c:pt>
                <c:pt idx="524">
                  <c:v>54.34</c:v>
                </c:pt>
                <c:pt idx="525">
                  <c:v>112.8</c:v>
                </c:pt>
                <c:pt idx="526">
                  <c:v>155.15</c:v>
                </c:pt>
                <c:pt idx="527">
                  <c:v>107.66</c:v>
                </c:pt>
                <c:pt idx="528">
                  <c:v>74.69</c:v>
                </c:pt>
                <c:pt idx="529">
                  <c:v>1274.21</c:v>
                </c:pt>
                <c:pt idx="530">
                  <c:v>1199.96</c:v>
                </c:pt>
                <c:pt idx="531">
                  <c:v>1194.1099999999999</c:v>
                </c:pt>
                <c:pt idx="532">
                  <c:v>1194.1099999999999</c:v>
                </c:pt>
                <c:pt idx="533">
                  <c:v>1272.07</c:v>
                </c:pt>
                <c:pt idx="534">
                  <c:v>1263.2</c:v>
                </c:pt>
                <c:pt idx="535">
                  <c:v>1187.3900000000001</c:v>
                </c:pt>
                <c:pt idx="536">
                  <c:v>1142.92</c:v>
                </c:pt>
                <c:pt idx="537">
                  <c:v>1130.47</c:v>
                </c:pt>
                <c:pt idx="538">
                  <c:v>1119.04</c:v>
                </c:pt>
                <c:pt idx="539">
                  <c:v>1960.58</c:v>
                </c:pt>
                <c:pt idx="540">
                  <c:v>1988.92</c:v>
                </c:pt>
                <c:pt idx="541">
                  <c:v>2033.56</c:v>
                </c:pt>
                <c:pt idx="542">
                  <c:v>2094.9699999999998</c:v>
                </c:pt>
                <c:pt idx="543">
                  <c:v>2094.9699999999998</c:v>
                </c:pt>
                <c:pt idx="544">
                  <c:v>2073.19</c:v>
                </c:pt>
                <c:pt idx="545">
                  <c:v>2115.66</c:v>
                </c:pt>
                <c:pt idx="546">
                  <c:v>2159.71</c:v>
                </c:pt>
                <c:pt idx="547">
                  <c:v>2124.14</c:v>
                </c:pt>
                <c:pt idx="548">
                  <c:v>1892.68</c:v>
                </c:pt>
                <c:pt idx="549">
                  <c:v>1838.57</c:v>
                </c:pt>
                <c:pt idx="550">
                  <c:v>1776.59</c:v>
                </c:pt>
                <c:pt idx="551">
                  <c:v>1836.89</c:v>
                </c:pt>
                <c:pt idx="552">
                  <c:v>1887.22</c:v>
                </c:pt>
                <c:pt idx="553">
                  <c:v>1992.73</c:v>
                </c:pt>
                <c:pt idx="554">
                  <c:v>1992.73</c:v>
                </c:pt>
                <c:pt idx="555">
                  <c:v>1938.48</c:v>
                </c:pt>
                <c:pt idx="556">
                  <c:v>1928.48</c:v>
                </c:pt>
                <c:pt idx="557">
                  <c:v>1897.27</c:v>
                </c:pt>
                <c:pt idx="558">
                  <c:v>0</c:v>
                </c:pt>
                <c:pt idx="559">
                  <c:v>937.88</c:v>
                </c:pt>
                <c:pt idx="560">
                  <c:v>946.71</c:v>
                </c:pt>
                <c:pt idx="561">
                  <c:v>866.8</c:v>
                </c:pt>
                <c:pt idx="562">
                  <c:v>873.93</c:v>
                </c:pt>
                <c:pt idx="563">
                  <c:v>891.53</c:v>
                </c:pt>
                <c:pt idx="564">
                  <c:v>790.12</c:v>
                </c:pt>
                <c:pt idx="565">
                  <c:v>821.27</c:v>
                </c:pt>
                <c:pt idx="566">
                  <c:v>821.27</c:v>
                </c:pt>
                <c:pt idx="567">
                  <c:v>792.95</c:v>
                </c:pt>
                <c:pt idx="568">
                  <c:v>1760</c:v>
                </c:pt>
                <c:pt idx="569">
                  <c:v>1713.38</c:v>
                </c:pt>
                <c:pt idx="570">
                  <c:v>1636</c:v>
                </c:pt>
                <c:pt idx="571">
                  <c:v>1645.76</c:v>
                </c:pt>
                <c:pt idx="572">
                  <c:v>1704.84</c:v>
                </c:pt>
                <c:pt idx="573">
                  <c:v>1824.89</c:v>
                </c:pt>
                <c:pt idx="574">
                  <c:v>1870.67</c:v>
                </c:pt>
                <c:pt idx="575">
                  <c:v>472.39</c:v>
                </c:pt>
                <c:pt idx="576">
                  <c:v>539.21</c:v>
                </c:pt>
                <c:pt idx="577">
                  <c:v>539.21</c:v>
                </c:pt>
                <c:pt idx="578">
                  <c:v>538.95000000000005</c:v>
                </c:pt>
                <c:pt idx="579">
                  <c:v>473.57</c:v>
                </c:pt>
                <c:pt idx="580">
                  <c:v>495.66</c:v>
                </c:pt>
                <c:pt idx="581">
                  <c:v>588.29</c:v>
                </c:pt>
                <c:pt idx="582">
                  <c:v>667.96</c:v>
                </c:pt>
                <c:pt idx="583">
                  <c:v>729.87</c:v>
                </c:pt>
                <c:pt idx="584">
                  <c:v>756.95</c:v>
                </c:pt>
                <c:pt idx="585">
                  <c:v>695.03</c:v>
                </c:pt>
                <c:pt idx="586">
                  <c:v>606.02</c:v>
                </c:pt>
                <c:pt idx="587">
                  <c:v>653.20000000000005</c:v>
                </c:pt>
                <c:pt idx="588">
                  <c:v>653.20000000000005</c:v>
                </c:pt>
                <c:pt idx="589">
                  <c:v>743.1</c:v>
                </c:pt>
                <c:pt idx="590">
                  <c:v>0</c:v>
                </c:pt>
                <c:pt idx="591">
                  <c:v>1457.21</c:v>
                </c:pt>
                <c:pt idx="592">
                  <c:v>1384.49</c:v>
                </c:pt>
                <c:pt idx="593">
                  <c:v>1294.69</c:v>
                </c:pt>
                <c:pt idx="594">
                  <c:v>1289.51</c:v>
                </c:pt>
                <c:pt idx="595">
                  <c:v>1373.1</c:v>
                </c:pt>
                <c:pt idx="596">
                  <c:v>1451.89</c:v>
                </c:pt>
                <c:pt idx="597">
                  <c:v>1841.54</c:v>
                </c:pt>
                <c:pt idx="598">
                  <c:v>1794.11</c:v>
                </c:pt>
                <c:pt idx="599">
                  <c:v>1827.52</c:v>
                </c:pt>
                <c:pt idx="600">
                  <c:v>1827.52</c:v>
                </c:pt>
                <c:pt idx="601">
                  <c:v>1719.21</c:v>
                </c:pt>
                <c:pt idx="602">
                  <c:v>1659.25</c:v>
                </c:pt>
                <c:pt idx="603">
                  <c:v>1743.27</c:v>
                </c:pt>
                <c:pt idx="604">
                  <c:v>1661.04</c:v>
                </c:pt>
                <c:pt idx="605">
                  <c:v>1696.48</c:v>
                </c:pt>
                <c:pt idx="606">
                  <c:v>1625.96</c:v>
                </c:pt>
                <c:pt idx="607">
                  <c:v>1622.03</c:v>
                </c:pt>
                <c:pt idx="608">
                  <c:v>1553.6</c:v>
                </c:pt>
                <c:pt idx="609">
                  <c:v>1461.5</c:v>
                </c:pt>
                <c:pt idx="610">
                  <c:v>1372.64</c:v>
                </c:pt>
                <c:pt idx="611">
                  <c:v>1372.64</c:v>
                </c:pt>
                <c:pt idx="612">
                  <c:v>1290.52</c:v>
                </c:pt>
                <c:pt idx="613">
                  <c:v>1285.26</c:v>
                </c:pt>
                <c:pt idx="614">
                  <c:v>1370.73</c:v>
                </c:pt>
                <c:pt idx="615">
                  <c:v>1450.59</c:v>
                </c:pt>
                <c:pt idx="616">
                  <c:v>1553.79</c:v>
                </c:pt>
                <c:pt idx="617">
                  <c:v>1564.3</c:v>
                </c:pt>
                <c:pt idx="618">
                  <c:v>1425.66</c:v>
                </c:pt>
                <c:pt idx="619">
                  <c:v>1286.23</c:v>
                </c:pt>
                <c:pt idx="620">
                  <c:v>40.22</c:v>
                </c:pt>
                <c:pt idx="621">
                  <c:v>1616.19</c:v>
                </c:pt>
                <c:pt idx="622">
                  <c:v>1616.19</c:v>
                </c:pt>
                <c:pt idx="623">
                  <c:v>1556.38</c:v>
                </c:pt>
                <c:pt idx="624">
                  <c:v>1477.46</c:v>
                </c:pt>
                <c:pt idx="625">
                  <c:v>1446.01</c:v>
                </c:pt>
                <c:pt idx="626">
                  <c:v>1532.53</c:v>
                </c:pt>
                <c:pt idx="627">
                  <c:v>1617.51</c:v>
                </c:pt>
                <c:pt idx="628">
                  <c:v>469.25</c:v>
                </c:pt>
                <c:pt idx="629">
                  <c:v>432.59</c:v>
                </c:pt>
                <c:pt idx="630">
                  <c:v>353.09</c:v>
                </c:pt>
                <c:pt idx="631">
                  <c:v>253.08</c:v>
                </c:pt>
                <c:pt idx="632">
                  <c:v>137.87</c:v>
                </c:pt>
                <c:pt idx="633">
                  <c:v>137.87</c:v>
                </c:pt>
                <c:pt idx="634">
                  <c:v>42.47</c:v>
                </c:pt>
                <c:pt idx="635">
                  <c:v>122.67</c:v>
                </c:pt>
                <c:pt idx="636">
                  <c:v>1469.85</c:v>
                </c:pt>
                <c:pt idx="637">
                  <c:v>1568.23</c:v>
                </c:pt>
                <c:pt idx="638">
                  <c:v>928.36</c:v>
                </c:pt>
                <c:pt idx="639">
                  <c:v>1000.65</c:v>
                </c:pt>
                <c:pt idx="640">
                  <c:v>1064.06</c:v>
                </c:pt>
                <c:pt idx="641">
                  <c:v>1139.98</c:v>
                </c:pt>
                <c:pt idx="642">
                  <c:v>1214.24</c:v>
                </c:pt>
                <c:pt idx="643">
                  <c:v>1109.72</c:v>
                </c:pt>
                <c:pt idx="644">
                  <c:v>1109.72</c:v>
                </c:pt>
                <c:pt idx="645">
                  <c:v>1258.5999999999999</c:v>
                </c:pt>
                <c:pt idx="646">
                  <c:v>1183.3800000000001</c:v>
                </c:pt>
                <c:pt idx="647">
                  <c:v>1029.27</c:v>
                </c:pt>
                <c:pt idx="648">
                  <c:v>932.16</c:v>
                </c:pt>
                <c:pt idx="649">
                  <c:v>978.95</c:v>
                </c:pt>
                <c:pt idx="650">
                  <c:v>1049.6199999999999</c:v>
                </c:pt>
                <c:pt idx="651">
                  <c:v>1132.74</c:v>
                </c:pt>
                <c:pt idx="652">
                  <c:v>1226.75</c:v>
                </c:pt>
                <c:pt idx="653">
                  <c:v>45.82</c:v>
                </c:pt>
                <c:pt idx="654">
                  <c:v>1248.45</c:v>
                </c:pt>
                <c:pt idx="655">
                  <c:v>1248.45</c:v>
                </c:pt>
                <c:pt idx="656">
                  <c:v>1186.48</c:v>
                </c:pt>
                <c:pt idx="657">
                  <c:v>1123.96</c:v>
                </c:pt>
                <c:pt idx="658">
                  <c:v>1121.74</c:v>
                </c:pt>
                <c:pt idx="659">
                  <c:v>1184.52</c:v>
                </c:pt>
                <c:pt idx="660">
                  <c:v>1246.07</c:v>
                </c:pt>
                <c:pt idx="661">
                  <c:v>1213.1300000000001</c:v>
                </c:pt>
                <c:pt idx="662">
                  <c:v>1128.4100000000001</c:v>
                </c:pt>
                <c:pt idx="663">
                  <c:v>1092.31</c:v>
                </c:pt>
                <c:pt idx="664">
                  <c:v>1036.05</c:v>
                </c:pt>
                <c:pt idx="665">
                  <c:v>967.99</c:v>
                </c:pt>
                <c:pt idx="666">
                  <c:v>967.99</c:v>
                </c:pt>
                <c:pt idx="667">
                  <c:v>962.7</c:v>
                </c:pt>
                <c:pt idx="668">
                  <c:v>1029.98</c:v>
                </c:pt>
                <c:pt idx="669">
                  <c:v>1093.47</c:v>
                </c:pt>
                <c:pt idx="670">
                  <c:v>1063.83</c:v>
                </c:pt>
                <c:pt idx="671">
                  <c:v>978.03</c:v>
                </c:pt>
                <c:pt idx="672">
                  <c:v>912.86</c:v>
                </c:pt>
                <c:pt idx="673">
                  <c:v>852.76</c:v>
                </c:pt>
                <c:pt idx="674">
                  <c:v>771.12</c:v>
                </c:pt>
                <c:pt idx="675">
                  <c:v>773.39</c:v>
                </c:pt>
                <c:pt idx="676">
                  <c:v>312.95999999999998</c:v>
                </c:pt>
                <c:pt idx="677">
                  <c:v>312.95999999999998</c:v>
                </c:pt>
                <c:pt idx="678">
                  <c:v>485.18</c:v>
                </c:pt>
                <c:pt idx="679">
                  <c:v>0</c:v>
                </c:pt>
                <c:pt idx="680">
                  <c:v>78.28</c:v>
                </c:pt>
                <c:pt idx="681">
                  <c:v>168.89</c:v>
                </c:pt>
                <c:pt idx="682">
                  <c:v>330.17</c:v>
                </c:pt>
                <c:pt idx="683">
                  <c:v>524.20000000000005</c:v>
                </c:pt>
                <c:pt idx="684">
                  <c:v>805.96</c:v>
                </c:pt>
                <c:pt idx="685">
                  <c:v>862.46</c:v>
                </c:pt>
                <c:pt idx="686">
                  <c:v>914.09</c:v>
                </c:pt>
                <c:pt idx="687">
                  <c:v>881.58</c:v>
                </c:pt>
                <c:pt idx="688">
                  <c:v>652.54999999999995</c:v>
                </c:pt>
                <c:pt idx="689">
                  <c:v>652.54999999999995</c:v>
                </c:pt>
                <c:pt idx="690">
                  <c:v>727.34</c:v>
                </c:pt>
                <c:pt idx="691">
                  <c:v>611.45000000000005</c:v>
                </c:pt>
                <c:pt idx="692">
                  <c:v>613.02</c:v>
                </c:pt>
                <c:pt idx="693">
                  <c:v>675.4</c:v>
                </c:pt>
                <c:pt idx="694">
                  <c:v>747.24</c:v>
                </c:pt>
                <c:pt idx="695">
                  <c:v>744.66</c:v>
                </c:pt>
                <c:pt idx="696">
                  <c:v>697.92</c:v>
                </c:pt>
                <c:pt idx="697">
                  <c:v>565.79999999999995</c:v>
                </c:pt>
                <c:pt idx="698">
                  <c:v>508.09</c:v>
                </c:pt>
                <c:pt idx="699">
                  <c:v>443.32</c:v>
                </c:pt>
                <c:pt idx="700">
                  <c:v>443.32</c:v>
                </c:pt>
                <c:pt idx="701">
                  <c:v>423.37</c:v>
                </c:pt>
                <c:pt idx="702">
                  <c:v>506.93</c:v>
                </c:pt>
                <c:pt idx="703">
                  <c:v>565.79</c:v>
                </c:pt>
                <c:pt idx="704">
                  <c:v>456.3</c:v>
                </c:pt>
                <c:pt idx="705">
                  <c:v>231.19</c:v>
                </c:pt>
                <c:pt idx="706">
                  <c:v>367.5</c:v>
                </c:pt>
                <c:pt idx="707">
                  <c:v>502.23</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numCache>
              <c:extLst xmlns:c15="http://schemas.microsoft.com/office/drawing/2012/chart"/>
            </c:numRef>
          </c:xVal>
          <c:yVal>
            <c:numRef>
              <c:f>FCS!$I$11:$I$825</c:f>
              <c:numCache>
                <c:formatCode>0\+000.00</c:formatCode>
                <c:ptCount val="815"/>
                <c:pt idx="0">
                  <c:v>98.61</c:v>
                </c:pt>
                <c:pt idx="1">
                  <c:v>98.61</c:v>
                </c:pt>
                <c:pt idx="2">
                  <c:v>111.15</c:v>
                </c:pt>
                <c:pt idx="3">
                  <c:v>129.83000000000001</c:v>
                </c:pt>
                <c:pt idx="4">
                  <c:v>209.82</c:v>
                </c:pt>
                <c:pt idx="5">
                  <c:v>190.9</c:v>
                </c:pt>
                <c:pt idx="6">
                  <c:v>167.36</c:v>
                </c:pt>
                <c:pt idx="7">
                  <c:v>252.76</c:v>
                </c:pt>
                <c:pt idx="8">
                  <c:v>252.76</c:v>
                </c:pt>
                <c:pt idx="9">
                  <c:v>155.49</c:v>
                </c:pt>
                <c:pt idx="10">
                  <c:v>238.34</c:v>
                </c:pt>
                <c:pt idx="11">
                  <c:v>45.54</c:v>
                </c:pt>
                <c:pt idx="12">
                  <c:v>45.54</c:v>
                </c:pt>
                <c:pt idx="13">
                  <c:v>138.03</c:v>
                </c:pt>
                <c:pt idx="14">
                  <c:v>109.77</c:v>
                </c:pt>
                <c:pt idx="15">
                  <c:v>190.77</c:v>
                </c:pt>
                <c:pt idx="16">
                  <c:v>219.06</c:v>
                </c:pt>
                <c:pt idx="17">
                  <c:v>262.55</c:v>
                </c:pt>
                <c:pt idx="18">
                  <c:v>-45.39</c:v>
                </c:pt>
                <c:pt idx="19">
                  <c:v>24.75</c:v>
                </c:pt>
                <c:pt idx="20">
                  <c:v>18.190000000000001</c:v>
                </c:pt>
                <c:pt idx="21">
                  <c:v>84.9</c:v>
                </c:pt>
                <c:pt idx="22">
                  <c:v>19.36</c:v>
                </c:pt>
                <c:pt idx="23">
                  <c:v>19.36</c:v>
                </c:pt>
                <c:pt idx="24">
                  <c:v>25.16</c:v>
                </c:pt>
                <c:pt idx="25">
                  <c:v>-30.77</c:v>
                </c:pt>
                <c:pt idx="26">
                  <c:v>62.23</c:v>
                </c:pt>
                <c:pt idx="27">
                  <c:v>54.69</c:v>
                </c:pt>
                <c:pt idx="28">
                  <c:v>120.8</c:v>
                </c:pt>
                <c:pt idx="29">
                  <c:v>497.41</c:v>
                </c:pt>
                <c:pt idx="30">
                  <c:v>-156.69999999999999</c:v>
                </c:pt>
                <c:pt idx="31">
                  <c:v>33.1</c:v>
                </c:pt>
                <c:pt idx="32">
                  <c:v>48.5</c:v>
                </c:pt>
                <c:pt idx="33">
                  <c:v>48.98</c:v>
                </c:pt>
                <c:pt idx="34">
                  <c:v>48.98</c:v>
                </c:pt>
                <c:pt idx="35">
                  <c:v>34.65</c:v>
                </c:pt>
                <c:pt idx="36">
                  <c:v>116.49</c:v>
                </c:pt>
                <c:pt idx="37">
                  <c:v>114.06</c:v>
                </c:pt>
                <c:pt idx="38">
                  <c:v>61.48</c:v>
                </c:pt>
                <c:pt idx="39">
                  <c:v>389.14</c:v>
                </c:pt>
                <c:pt idx="40">
                  <c:v>510.87</c:v>
                </c:pt>
                <c:pt idx="41">
                  <c:v>427.05</c:v>
                </c:pt>
                <c:pt idx="42">
                  <c:v>570.42999999999995</c:v>
                </c:pt>
                <c:pt idx="43">
                  <c:v>439.21</c:v>
                </c:pt>
                <c:pt idx="44">
                  <c:v>590.98</c:v>
                </c:pt>
                <c:pt idx="45">
                  <c:v>590.98</c:v>
                </c:pt>
                <c:pt idx="46">
                  <c:v>416.6</c:v>
                </c:pt>
                <c:pt idx="47">
                  <c:v>390.98</c:v>
                </c:pt>
                <c:pt idx="48">
                  <c:v>531.83000000000004</c:v>
                </c:pt>
                <c:pt idx="49">
                  <c:v>531.59</c:v>
                </c:pt>
                <c:pt idx="50">
                  <c:v>-29.34</c:v>
                </c:pt>
                <c:pt idx="51">
                  <c:v>-25.66</c:v>
                </c:pt>
                <c:pt idx="52">
                  <c:v>19.5</c:v>
                </c:pt>
                <c:pt idx="53">
                  <c:v>-3.27</c:v>
                </c:pt>
                <c:pt idx="54">
                  <c:v>-2.73</c:v>
                </c:pt>
                <c:pt idx="55">
                  <c:v>24.13</c:v>
                </c:pt>
                <c:pt idx="56">
                  <c:v>24.13</c:v>
                </c:pt>
                <c:pt idx="57">
                  <c:v>203.83</c:v>
                </c:pt>
                <c:pt idx="58">
                  <c:v>231.38</c:v>
                </c:pt>
                <c:pt idx="59">
                  <c:v>256.33</c:v>
                </c:pt>
                <c:pt idx="60">
                  <c:v>340.75</c:v>
                </c:pt>
                <c:pt idx="61">
                  <c:v>329.98</c:v>
                </c:pt>
                <c:pt idx="62">
                  <c:v>346</c:v>
                </c:pt>
                <c:pt idx="63">
                  <c:v>61.67</c:v>
                </c:pt>
                <c:pt idx="64">
                  <c:v>270.45999999999998</c:v>
                </c:pt>
                <c:pt idx="65">
                  <c:v>257.88</c:v>
                </c:pt>
                <c:pt idx="66">
                  <c:v>228.97</c:v>
                </c:pt>
                <c:pt idx="67">
                  <c:v>228.97</c:v>
                </c:pt>
                <c:pt idx="68">
                  <c:v>390.05</c:v>
                </c:pt>
                <c:pt idx="69">
                  <c:v>339.79</c:v>
                </c:pt>
                <c:pt idx="70">
                  <c:v>329.1</c:v>
                </c:pt>
                <c:pt idx="71">
                  <c:v>425.41</c:v>
                </c:pt>
                <c:pt idx="72">
                  <c:v>488.03</c:v>
                </c:pt>
                <c:pt idx="73">
                  <c:v>233.58</c:v>
                </c:pt>
                <c:pt idx="74">
                  <c:v>293.83999999999997</c:v>
                </c:pt>
                <c:pt idx="75">
                  <c:v>382.2</c:v>
                </c:pt>
                <c:pt idx="76">
                  <c:v>-2.89</c:v>
                </c:pt>
                <c:pt idx="77">
                  <c:v>264.16999999999996</c:v>
                </c:pt>
                <c:pt idx="78">
                  <c:v>-25.24</c:v>
                </c:pt>
                <c:pt idx="79">
                  <c:v>-25.24</c:v>
                </c:pt>
                <c:pt idx="80">
                  <c:v>-29.59</c:v>
                </c:pt>
                <c:pt idx="81">
                  <c:v>236.13</c:v>
                </c:pt>
                <c:pt idx="82">
                  <c:v>215.5</c:v>
                </c:pt>
                <c:pt idx="83">
                  <c:v>306.61</c:v>
                </c:pt>
                <c:pt idx="84">
                  <c:v>316.54000000000002</c:v>
                </c:pt>
                <c:pt idx="85">
                  <c:v>429.7</c:v>
                </c:pt>
                <c:pt idx="86">
                  <c:v>410.1</c:v>
                </c:pt>
                <c:pt idx="87">
                  <c:v>516.82000000000005</c:v>
                </c:pt>
                <c:pt idx="88">
                  <c:v>536.03</c:v>
                </c:pt>
                <c:pt idx="89">
                  <c:v>612.91999999999996</c:v>
                </c:pt>
                <c:pt idx="90">
                  <c:v>612.91999999999996</c:v>
                </c:pt>
                <c:pt idx="91">
                  <c:v>60.65</c:v>
                </c:pt>
                <c:pt idx="92">
                  <c:v>431.62</c:v>
                </c:pt>
                <c:pt idx="93">
                  <c:v>436.65</c:v>
                </c:pt>
                <c:pt idx="94">
                  <c:v>413.32</c:v>
                </c:pt>
                <c:pt idx="95">
                  <c:v>396.62</c:v>
                </c:pt>
                <c:pt idx="96">
                  <c:v>504.71</c:v>
                </c:pt>
                <c:pt idx="97">
                  <c:v>532.79</c:v>
                </c:pt>
                <c:pt idx="98">
                  <c:v>528.34</c:v>
                </c:pt>
                <c:pt idx="99">
                  <c:v>497.08</c:v>
                </c:pt>
                <c:pt idx="100">
                  <c:v>298.68</c:v>
                </c:pt>
                <c:pt idx="101">
                  <c:v>298.68</c:v>
                </c:pt>
                <c:pt idx="102">
                  <c:v>235.82</c:v>
                </c:pt>
                <c:pt idx="103">
                  <c:v>304.12</c:v>
                </c:pt>
                <c:pt idx="104">
                  <c:v>425.64</c:v>
                </c:pt>
                <c:pt idx="105">
                  <c:v>374.13</c:v>
                </c:pt>
                <c:pt idx="106">
                  <c:v>373.19</c:v>
                </c:pt>
                <c:pt idx="107">
                  <c:v>227.58</c:v>
                </c:pt>
                <c:pt idx="108">
                  <c:v>240.06</c:v>
                </c:pt>
                <c:pt idx="109">
                  <c:v>234.34</c:v>
                </c:pt>
                <c:pt idx="110">
                  <c:v>307.2</c:v>
                </c:pt>
                <c:pt idx="111">
                  <c:v>321.32</c:v>
                </c:pt>
                <c:pt idx="112">
                  <c:v>321.32</c:v>
                </c:pt>
                <c:pt idx="113">
                  <c:v>349.88</c:v>
                </c:pt>
                <c:pt idx="114">
                  <c:v>-26.63</c:v>
                </c:pt>
                <c:pt idx="115">
                  <c:v>-25.17</c:v>
                </c:pt>
                <c:pt idx="116">
                  <c:v>64.7</c:v>
                </c:pt>
                <c:pt idx="117">
                  <c:v>-25.31</c:v>
                </c:pt>
                <c:pt idx="118">
                  <c:v>54.08</c:v>
                </c:pt>
                <c:pt idx="119">
                  <c:v>96.44</c:v>
                </c:pt>
                <c:pt idx="120">
                  <c:v>106.96</c:v>
                </c:pt>
                <c:pt idx="121">
                  <c:v>125.01</c:v>
                </c:pt>
                <c:pt idx="122">
                  <c:v>106.87</c:v>
                </c:pt>
                <c:pt idx="123">
                  <c:v>59.97</c:v>
                </c:pt>
                <c:pt idx="124">
                  <c:v>59.97</c:v>
                </c:pt>
                <c:pt idx="125">
                  <c:v>8.83</c:v>
                </c:pt>
                <c:pt idx="126">
                  <c:v>62.01</c:v>
                </c:pt>
                <c:pt idx="127">
                  <c:v>199.45</c:v>
                </c:pt>
                <c:pt idx="128">
                  <c:v>-26.06</c:v>
                </c:pt>
                <c:pt idx="129">
                  <c:v>39.15</c:v>
                </c:pt>
                <c:pt idx="130">
                  <c:v>67.989999999999995</c:v>
                </c:pt>
                <c:pt idx="131">
                  <c:v>68.62</c:v>
                </c:pt>
                <c:pt idx="132">
                  <c:v>145.31</c:v>
                </c:pt>
                <c:pt idx="133">
                  <c:v>141.80000000000001</c:v>
                </c:pt>
                <c:pt idx="134">
                  <c:v>186.88</c:v>
                </c:pt>
                <c:pt idx="135">
                  <c:v>255.33</c:v>
                </c:pt>
                <c:pt idx="136">
                  <c:v>255.33</c:v>
                </c:pt>
                <c:pt idx="137">
                  <c:v>239.55</c:v>
                </c:pt>
                <c:pt idx="138">
                  <c:v>348.21</c:v>
                </c:pt>
                <c:pt idx="139">
                  <c:v>322.11</c:v>
                </c:pt>
                <c:pt idx="140">
                  <c:v>289.18</c:v>
                </c:pt>
                <c:pt idx="141">
                  <c:v>366.51</c:v>
                </c:pt>
                <c:pt idx="142">
                  <c:v>403.68</c:v>
                </c:pt>
                <c:pt idx="143">
                  <c:v>462.45</c:v>
                </c:pt>
                <c:pt idx="144">
                  <c:v>253.49</c:v>
                </c:pt>
                <c:pt idx="145">
                  <c:v>228.02</c:v>
                </c:pt>
                <c:pt idx="146">
                  <c:v>203.96</c:v>
                </c:pt>
                <c:pt idx="147">
                  <c:v>203.96</c:v>
                </c:pt>
                <c:pt idx="148">
                  <c:v>286.26</c:v>
                </c:pt>
                <c:pt idx="149">
                  <c:v>303.69</c:v>
                </c:pt>
                <c:pt idx="150">
                  <c:v>364.43</c:v>
                </c:pt>
                <c:pt idx="151">
                  <c:v>399.5</c:v>
                </c:pt>
                <c:pt idx="152">
                  <c:v>43.74</c:v>
                </c:pt>
                <c:pt idx="153">
                  <c:v>-24.95</c:v>
                </c:pt>
                <c:pt idx="154">
                  <c:v>55.49</c:v>
                </c:pt>
                <c:pt idx="155">
                  <c:v>92.13</c:v>
                </c:pt>
                <c:pt idx="156">
                  <c:v>90.36</c:v>
                </c:pt>
                <c:pt idx="157">
                  <c:v>145.94999999999999</c:v>
                </c:pt>
                <c:pt idx="158">
                  <c:v>145.94999999999999</c:v>
                </c:pt>
                <c:pt idx="159">
                  <c:v>169.5</c:v>
                </c:pt>
                <c:pt idx="160">
                  <c:v>116.35</c:v>
                </c:pt>
                <c:pt idx="161">
                  <c:v>200.29</c:v>
                </c:pt>
                <c:pt idx="162">
                  <c:v>276.07</c:v>
                </c:pt>
                <c:pt idx="163">
                  <c:v>240.7</c:v>
                </c:pt>
                <c:pt idx="164">
                  <c:v>296.26</c:v>
                </c:pt>
                <c:pt idx="165">
                  <c:v>498.79</c:v>
                </c:pt>
                <c:pt idx="166">
                  <c:v>592.70000000000005</c:v>
                </c:pt>
                <c:pt idx="167">
                  <c:v>458.75</c:v>
                </c:pt>
                <c:pt idx="168">
                  <c:v>416.04</c:v>
                </c:pt>
                <c:pt idx="169">
                  <c:v>416.04</c:v>
                </c:pt>
                <c:pt idx="170">
                  <c:v>516.91</c:v>
                </c:pt>
                <c:pt idx="171">
                  <c:v>546.49</c:v>
                </c:pt>
                <c:pt idx="172">
                  <c:v>634.92999999999995</c:v>
                </c:pt>
                <c:pt idx="173">
                  <c:v>35.64</c:v>
                </c:pt>
                <c:pt idx="174">
                  <c:v>-25.45</c:v>
                </c:pt>
                <c:pt idx="175">
                  <c:v>18.899999999999999</c:v>
                </c:pt>
                <c:pt idx="176">
                  <c:v>-116.35</c:v>
                </c:pt>
                <c:pt idx="177">
                  <c:v>-62.86</c:v>
                </c:pt>
                <c:pt idx="178">
                  <c:v>-136.27000000000001</c:v>
                </c:pt>
                <c:pt idx="179">
                  <c:v>-143.18</c:v>
                </c:pt>
                <c:pt idx="180">
                  <c:v>-158.47</c:v>
                </c:pt>
                <c:pt idx="181">
                  <c:v>-158.47</c:v>
                </c:pt>
                <c:pt idx="182">
                  <c:v>-77.41</c:v>
                </c:pt>
                <c:pt idx="183">
                  <c:v>-69.040000000000006</c:v>
                </c:pt>
                <c:pt idx="184">
                  <c:v>-74.98</c:v>
                </c:pt>
                <c:pt idx="185">
                  <c:v>-20.420000000000002</c:v>
                </c:pt>
                <c:pt idx="186">
                  <c:v>-4.8899999999999997</c:v>
                </c:pt>
                <c:pt idx="187">
                  <c:v>0.54</c:v>
                </c:pt>
                <c:pt idx="188">
                  <c:v>-25.32</c:v>
                </c:pt>
                <c:pt idx="189">
                  <c:v>-162.91</c:v>
                </c:pt>
                <c:pt idx="190">
                  <c:v>-191.98</c:v>
                </c:pt>
                <c:pt idx="191">
                  <c:v>204.35</c:v>
                </c:pt>
                <c:pt idx="192">
                  <c:v>204.35</c:v>
                </c:pt>
                <c:pt idx="193">
                  <c:v>234.95</c:v>
                </c:pt>
                <c:pt idx="194">
                  <c:v>267.49</c:v>
                </c:pt>
                <c:pt idx="195">
                  <c:v>340.83</c:v>
                </c:pt>
                <c:pt idx="196">
                  <c:v>315</c:v>
                </c:pt>
                <c:pt idx="197">
                  <c:v>279.11</c:v>
                </c:pt>
                <c:pt idx="198">
                  <c:v>413</c:v>
                </c:pt>
                <c:pt idx="199">
                  <c:v>270.45</c:v>
                </c:pt>
                <c:pt idx="200">
                  <c:v>257.51</c:v>
                </c:pt>
                <c:pt idx="201">
                  <c:v>247.06</c:v>
                </c:pt>
                <c:pt idx="202">
                  <c:v>326.85000000000002</c:v>
                </c:pt>
                <c:pt idx="203">
                  <c:v>326.85000000000002</c:v>
                </c:pt>
                <c:pt idx="204">
                  <c:v>345.91</c:v>
                </c:pt>
                <c:pt idx="205">
                  <c:v>353.69</c:v>
                </c:pt>
                <c:pt idx="206">
                  <c:v>399.26</c:v>
                </c:pt>
                <c:pt idx="207">
                  <c:v>-55.84</c:v>
                </c:pt>
                <c:pt idx="208">
                  <c:v>-219.98</c:v>
                </c:pt>
                <c:pt idx="209">
                  <c:v>-71.47</c:v>
                </c:pt>
                <c:pt idx="210">
                  <c:v>44.4</c:v>
                </c:pt>
                <c:pt idx="211">
                  <c:v>-182.78</c:v>
                </c:pt>
                <c:pt idx="212">
                  <c:v>422.09</c:v>
                </c:pt>
                <c:pt idx="213">
                  <c:v>456.99</c:v>
                </c:pt>
                <c:pt idx="214">
                  <c:v>449.63</c:v>
                </c:pt>
                <c:pt idx="215">
                  <c:v>449.63</c:v>
                </c:pt>
                <c:pt idx="216">
                  <c:v>470.73</c:v>
                </c:pt>
                <c:pt idx="217">
                  <c:v>426.81</c:v>
                </c:pt>
                <c:pt idx="218">
                  <c:v>518.08000000000004</c:v>
                </c:pt>
                <c:pt idx="219">
                  <c:v>526.25</c:v>
                </c:pt>
                <c:pt idx="220">
                  <c:v>569.37</c:v>
                </c:pt>
                <c:pt idx="221">
                  <c:v>526.41</c:v>
                </c:pt>
                <c:pt idx="222">
                  <c:v>520.32000000000005</c:v>
                </c:pt>
                <c:pt idx="223">
                  <c:v>621.04</c:v>
                </c:pt>
                <c:pt idx="224">
                  <c:v>607.79</c:v>
                </c:pt>
                <c:pt idx="225">
                  <c:v>43</c:v>
                </c:pt>
                <c:pt idx="226">
                  <c:v>43</c:v>
                </c:pt>
                <c:pt idx="227">
                  <c:v>77.44</c:v>
                </c:pt>
                <c:pt idx="228">
                  <c:v>121.54</c:v>
                </c:pt>
                <c:pt idx="229">
                  <c:v>153.59</c:v>
                </c:pt>
                <c:pt idx="230">
                  <c:v>66.11</c:v>
                </c:pt>
                <c:pt idx="231">
                  <c:v>70.760000000000005</c:v>
                </c:pt>
                <c:pt idx="232">
                  <c:v>52.74</c:v>
                </c:pt>
                <c:pt idx="233">
                  <c:v>-10.54</c:v>
                </c:pt>
                <c:pt idx="234">
                  <c:v>470.43</c:v>
                </c:pt>
                <c:pt idx="235">
                  <c:v>413.55</c:v>
                </c:pt>
                <c:pt idx="236">
                  <c:v>593.96</c:v>
                </c:pt>
                <c:pt idx="237">
                  <c:v>593.96</c:v>
                </c:pt>
                <c:pt idx="238">
                  <c:v>390.33</c:v>
                </c:pt>
                <c:pt idx="239">
                  <c:v>508.43</c:v>
                </c:pt>
                <c:pt idx="240">
                  <c:v>529.74</c:v>
                </c:pt>
                <c:pt idx="241">
                  <c:v>566.95000000000005</c:v>
                </c:pt>
                <c:pt idx="242">
                  <c:v>414.22</c:v>
                </c:pt>
                <c:pt idx="243">
                  <c:v>538.19000000000005</c:v>
                </c:pt>
                <c:pt idx="244">
                  <c:v>477.8</c:v>
                </c:pt>
                <c:pt idx="245">
                  <c:v>396.95</c:v>
                </c:pt>
                <c:pt idx="246">
                  <c:v>258.5</c:v>
                </c:pt>
                <c:pt idx="247">
                  <c:v>231.5</c:v>
                </c:pt>
                <c:pt idx="248">
                  <c:v>237.27</c:v>
                </c:pt>
                <c:pt idx="249">
                  <c:v>237.27</c:v>
                </c:pt>
                <c:pt idx="250">
                  <c:v>296.44</c:v>
                </c:pt>
                <c:pt idx="251">
                  <c:v>337.52</c:v>
                </c:pt>
                <c:pt idx="252">
                  <c:v>365.38</c:v>
                </c:pt>
                <c:pt idx="253">
                  <c:v>337.41</c:v>
                </c:pt>
                <c:pt idx="254">
                  <c:v>269.42</c:v>
                </c:pt>
                <c:pt idx="255">
                  <c:v>250.35</c:v>
                </c:pt>
                <c:pt idx="256">
                  <c:v>212.3</c:v>
                </c:pt>
                <c:pt idx="257">
                  <c:v>346.49</c:v>
                </c:pt>
                <c:pt idx="258">
                  <c:v>372.96</c:v>
                </c:pt>
                <c:pt idx="259">
                  <c:v>328.28</c:v>
                </c:pt>
                <c:pt idx="260">
                  <c:v>328.28</c:v>
                </c:pt>
                <c:pt idx="261">
                  <c:v>308.64999999999998</c:v>
                </c:pt>
                <c:pt idx="262">
                  <c:v>160.21</c:v>
                </c:pt>
                <c:pt idx="263">
                  <c:v>42.6</c:v>
                </c:pt>
                <c:pt idx="264">
                  <c:v>289.76</c:v>
                </c:pt>
                <c:pt idx="265">
                  <c:v>289.57</c:v>
                </c:pt>
                <c:pt idx="266">
                  <c:v>252.92</c:v>
                </c:pt>
                <c:pt idx="267">
                  <c:v>371.78</c:v>
                </c:pt>
                <c:pt idx="268">
                  <c:v>413.57</c:v>
                </c:pt>
                <c:pt idx="269">
                  <c:v>398</c:v>
                </c:pt>
                <c:pt idx="270">
                  <c:v>447.8</c:v>
                </c:pt>
                <c:pt idx="271">
                  <c:v>-8.01</c:v>
                </c:pt>
                <c:pt idx="272">
                  <c:v>-8.01</c:v>
                </c:pt>
                <c:pt idx="273">
                  <c:v>-26.95</c:v>
                </c:pt>
                <c:pt idx="274">
                  <c:v>116.93</c:v>
                </c:pt>
                <c:pt idx="275">
                  <c:v>83.8</c:v>
                </c:pt>
                <c:pt idx="276">
                  <c:v>269.77999999999997</c:v>
                </c:pt>
                <c:pt idx="277">
                  <c:v>211.36</c:v>
                </c:pt>
                <c:pt idx="278">
                  <c:v>206.95</c:v>
                </c:pt>
                <c:pt idx="279">
                  <c:v>185.85</c:v>
                </c:pt>
                <c:pt idx="280">
                  <c:v>-10.16</c:v>
                </c:pt>
                <c:pt idx="281">
                  <c:v>29.33</c:v>
                </c:pt>
                <c:pt idx="282">
                  <c:v>188.01</c:v>
                </c:pt>
                <c:pt idx="283">
                  <c:v>188.01</c:v>
                </c:pt>
                <c:pt idx="284">
                  <c:v>190.9</c:v>
                </c:pt>
                <c:pt idx="285">
                  <c:v>280.32</c:v>
                </c:pt>
                <c:pt idx="286">
                  <c:v>275.42</c:v>
                </c:pt>
                <c:pt idx="287">
                  <c:v>334.78</c:v>
                </c:pt>
                <c:pt idx="288">
                  <c:v>-29.77</c:v>
                </c:pt>
                <c:pt idx="289">
                  <c:v>25.14</c:v>
                </c:pt>
                <c:pt idx="290">
                  <c:v>-21.15</c:v>
                </c:pt>
                <c:pt idx="291">
                  <c:v>415.77</c:v>
                </c:pt>
                <c:pt idx="292">
                  <c:v>204.33</c:v>
                </c:pt>
                <c:pt idx="293">
                  <c:v>331.44</c:v>
                </c:pt>
                <c:pt idx="294">
                  <c:v>331.44</c:v>
                </c:pt>
                <c:pt idx="295">
                  <c:v>219.49</c:v>
                </c:pt>
                <c:pt idx="296">
                  <c:v>386.56</c:v>
                </c:pt>
                <c:pt idx="297">
                  <c:v>290.16000000000003</c:v>
                </c:pt>
                <c:pt idx="298">
                  <c:v>249.27</c:v>
                </c:pt>
                <c:pt idx="299">
                  <c:v>348.86</c:v>
                </c:pt>
                <c:pt idx="300">
                  <c:v>263.93</c:v>
                </c:pt>
                <c:pt idx="301">
                  <c:v>400.66</c:v>
                </c:pt>
                <c:pt idx="302">
                  <c:v>297.20999999999998</c:v>
                </c:pt>
                <c:pt idx="303">
                  <c:v>444.05</c:v>
                </c:pt>
                <c:pt idx="304">
                  <c:v>324.64999999999998</c:v>
                </c:pt>
                <c:pt idx="305">
                  <c:v>324.64999999999998</c:v>
                </c:pt>
                <c:pt idx="306">
                  <c:v>304.92</c:v>
                </c:pt>
                <c:pt idx="307">
                  <c:v>411.69</c:v>
                </c:pt>
                <c:pt idx="308">
                  <c:v>474.91</c:v>
                </c:pt>
                <c:pt idx="309">
                  <c:v>397.16</c:v>
                </c:pt>
                <c:pt idx="310">
                  <c:v>427.93</c:v>
                </c:pt>
                <c:pt idx="311">
                  <c:v>454.34</c:v>
                </c:pt>
                <c:pt idx="312">
                  <c:v>573.61</c:v>
                </c:pt>
                <c:pt idx="313">
                  <c:v>506.16</c:v>
                </c:pt>
                <c:pt idx="314">
                  <c:v>480.15</c:v>
                </c:pt>
                <c:pt idx="315">
                  <c:v>590.74</c:v>
                </c:pt>
                <c:pt idx="316">
                  <c:v>590.74</c:v>
                </c:pt>
                <c:pt idx="317">
                  <c:v>563.29999999999995</c:v>
                </c:pt>
                <c:pt idx="318">
                  <c:v>476.06</c:v>
                </c:pt>
                <c:pt idx="319">
                  <c:v>425.38</c:v>
                </c:pt>
                <c:pt idx="320">
                  <c:v>438.72</c:v>
                </c:pt>
                <c:pt idx="321">
                  <c:v>459.95</c:v>
                </c:pt>
                <c:pt idx="322">
                  <c:v>601.26</c:v>
                </c:pt>
                <c:pt idx="323">
                  <c:v>534.03</c:v>
                </c:pt>
                <c:pt idx="324">
                  <c:v>603.80999999999995</c:v>
                </c:pt>
                <c:pt idx="325">
                  <c:v>240.39</c:v>
                </c:pt>
                <c:pt idx="326">
                  <c:v>207.84</c:v>
                </c:pt>
                <c:pt idx="327">
                  <c:v>313.88</c:v>
                </c:pt>
                <c:pt idx="328">
                  <c:v>313.88</c:v>
                </c:pt>
                <c:pt idx="329">
                  <c:v>369.24</c:v>
                </c:pt>
                <c:pt idx="330">
                  <c:v>346.54</c:v>
                </c:pt>
                <c:pt idx="331">
                  <c:v>310.91000000000003</c:v>
                </c:pt>
                <c:pt idx="332">
                  <c:v>233.94</c:v>
                </c:pt>
                <c:pt idx="333">
                  <c:v>215.76</c:v>
                </c:pt>
                <c:pt idx="334">
                  <c:v>200.94</c:v>
                </c:pt>
                <c:pt idx="335">
                  <c:v>341.06</c:v>
                </c:pt>
                <c:pt idx="336">
                  <c:v>331.2</c:v>
                </c:pt>
                <c:pt idx="337">
                  <c:v>325.01</c:v>
                </c:pt>
                <c:pt idx="338">
                  <c:v>274.48</c:v>
                </c:pt>
                <c:pt idx="339">
                  <c:v>274.48</c:v>
                </c:pt>
                <c:pt idx="340">
                  <c:v>216.1</c:v>
                </c:pt>
                <c:pt idx="341">
                  <c:v>175.32</c:v>
                </c:pt>
                <c:pt idx="342">
                  <c:v>282.14999999999998</c:v>
                </c:pt>
                <c:pt idx="343">
                  <c:v>318.23</c:v>
                </c:pt>
                <c:pt idx="344">
                  <c:v>399.55</c:v>
                </c:pt>
                <c:pt idx="345">
                  <c:v>421.5</c:v>
                </c:pt>
                <c:pt idx="346">
                  <c:v>448.92</c:v>
                </c:pt>
                <c:pt idx="347">
                  <c:v>549.16999999999996</c:v>
                </c:pt>
                <c:pt idx="348">
                  <c:v>514.22</c:v>
                </c:pt>
                <c:pt idx="349">
                  <c:v>500.76</c:v>
                </c:pt>
                <c:pt idx="350">
                  <c:v>500.76</c:v>
                </c:pt>
                <c:pt idx="351">
                  <c:v>585.12</c:v>
                </c:pt>
                <c:pt idx="352">
                  <c:v>586.07000000000005</c:v>
                </c:pt>
                <c:pt idx="353">
                  <c:v>39.479999999999997</c:v>
                </c:pt>
                <c:pt idx="354">
                  <c:v>-123.62</c:v>
                </c:pt>
                <c:pt idx="355">
                  <c:v>-99.37</c:v>
                </c:pt>
                <c:pt idx="356">
                  <c:v>-58.74</c:v>
                </c:pt>
                <c:pt idx="357">
                  <c:v>-17.350000000000001</c:v>
                </c:pt>
                <c:pt idx="358">
                  <c:v>33.979999999999997</c:v>
                </c:pt>
                <c:pt idx="359">
                  <c:v>89.24</c:v>
                </c:pt>
                <c:pt idx="360">
                  <c:v>108.02</c:v>
                </c:pt>
                <c:pt idx="361">
                  <c:v>30.07</c:v>
                </c:pt>
                <c:pt idx="362">
                  <c:v>30.07</c:v>
                </c:pt>
                <c:pt idx="363">
                  <c:v>61.4</c:v>
                </c:pt>
                <c:pt idx="364">
                  <c:v>-11.92</c:v>
                </c:pt>
                <c:pt idx="365">
                  <c:v>84.72</c:v>
                </c:pt>
                <c:pt idx="366">
                  <c:v>113</c:v>
                </c:pt>
                <c:pt idx="367">
                  <c:v>-3.25</c:v>
                </c:pt>
                <c:pt idx="368">
                  <c:v>-171.88</c:v>
                </c:pt>
                <c:pt idx="369">
                  <c:v>-133.86000000000001</c:v>
                </c:pt>
                <c:pt idx="370">
                  <c:v>-146.97999999999999</c:v>
                </c:pt>
                <c:pt idx="371">
                  <c:v>-57.09</c:v>
                </c:pt>
                <c:pt idx="372">
                  <c:v>0</c:v>
                </c:pt>
                <c:pt idx="373">
                  <c:v>-3.1</c:v>
                </c:pt>
                <c:pt idx="374">
                  <c:v>-5.33</c:v>
                </c:pt>
                <c:pt idx="375">
                  <c:v>-5.33</c:v>
                </c:pt>
                <c:pt idx="376">
                  <c:v>234.27</c:v>
                </c:pt>
                <c:pt idx="377">
                  <c:v>264.72000000000003</c:v>
                </c:pt>
                <c:pt idx="378">
                  <c:v>314.55</c:v>
                </c:pt>
                <c:pt idx="379">
                  <c:v>420.85</c:v>
                </c:pt>
                <c:pt idx="380">
                  <c:v>339.41</c:v>
                </c:pt>
                <c:pt idx="381">
                  <c:v>344.3</c:v>
                </c:pt>
                <c:pt idx="382">
                  <c:v>406.18</c:v>
                </c:pt>
                <c:pt idx="383">
                  <c:v>471.19</c:v>
                </c:pt>
                <c:pt idx="384">
                  <c:v>-3.98</c:v>
                </c:pt>
                <c:pt idx="385">
                  <c:v>26.7</c:v>
                </c:pt>
                <c:pt idx="386">
                  <c:v>26.7</c:v>
                </c:pt>
                <c:pt idx="387">
                  <c:v>-29.44</c:v>
                </c:pt>
                <c:pt idx="388">
                  <c:v>305.8</c:v>
                </c:pt>
                <c:pt idx="389">
                  <c:v>330.64</c:v>
                </c:pt>
                <c:pt idx="390">
                  <c:v>350.36</c:v>
                </c:pt>
                <c:pt idx="391">
                  <c:v>373.41</c:v>
                </c:pt>
                <c:pt idx="392">
                  <c:v>462.29</c:v>
                </c:pt>
                <c:pt idx="393">
                  <c:v>436.38</c:v>
                </c:pt>
                <c:pt idx="394">
                  <c:v>432.89</c:v>
                </c:pt>
                <c:pt idx="395">
                  <c:v>416.58</c:v>
                </c:pt>
                <c:pt idx="396">
                  <c:v>526.92999999999995</c:v>
                </c:pt>
                <c:pt idx="397">
                  <c:v>526.92999999999995</c:v>
                </c:pt>
                <c:pt idx="398">
                  <c:v>533.91999999999996</c:v>
                </c:pt>
                <c:pt idx="399">
                  <c:v>543.95000000000005</c:v>
                </c:pt>
                <c:pt idx="400">
                  <c:v>598.66</c:v>
                </c:pt>
                <c:pt idx="401">
                  <c:v>-22.56</c:v>
                </c:pt>
                <c:pt idx="402">
                  <c:v>-23.08</c:v>
                </c:pt>
                <c:pt idx="403">
                  <c:v>110.87</c:v>
                </c:pt>
                <c:pt idx="404">
                  <c:v>191.7</c:v>
                </c:pt>
                <c:pt idx="405">
                  <c:v>244.07</c:v>
                </c:pt>
                <c:pt idx="406">
                  <c:v>111.98</c:v>
                </c:pt>
                <c:pt idx="407">
                  <c:v>161.04</c:v>
                </c:pt>
                <c:pt idx="408">
                  <c:v>161.04</c:v>
                </c:pt>
                <c:pt idx="409">
                  <c:v>108.42</c:v>
                </c:pt>
                <c:pt idx="410">
                  <c:v>246.12</c:v>
                </c:pt>
                <c:pt idx="411">
                  <c:v>205.65</c:v>
                </c:pt>
                <c:pt idx="412">
                  <c:v>48.93</c:v>
                </c:pt>
                <c:pt idx="413">
                  <c:v>131.37</c:v>
                </c:pt>
                <c:pt idx="414">
                  <c:v>240.48</c:v>
                </c:pt>
                <c:pt idx="415">
                  <c:v>360.01</c:v>
                </c:pt>
                <c:pt idx="416">
                  <c:v>78.81</c:v>
                </c:pt>
                <c:pt idx="417">
                  <c:v>128.19</c:v>
                </c:pt>
                <c:pt idx="418">
                  <c:v>206.99</c:v>
                </c:pt>
                <c:pt idx="419">
                  <c:v>209.34</c:v>
                </c:pt>
                <c:pt idx="420">
                  <c:v>209.34</c:v>
                </c:pt>
                <c:pt idx="421">
                  <c:v>151.13999999999999</c:v>
                </c:pt>
                <c:pt idx="422">
                  <c:v>270.82</c:v>
                </c:pt>
                <c:pt idx="423">
                  <c:v>261.45</c:v>
                </c:pt>
                <c:pt idx="424">
                  <c:v>335.16</c:v>
                </c:pt>
                <c:pt idx="425">
                  <c:v>302.64999999999998</c:v>
                </c:pt>
                <c:pt idx="426">
                  <c:v>302.08999999999997</c:v>
                </c:pt>
                <c:pt idx="427">
                  <c:v>397.48</c:v>
                </c:pt>
                <c:pt idx="428">
                  <c:v>392.19</c:v>
                </c:pt>
                <c:pt idx="429">
                  <c:v>406.67</c:v>
                </c:pt>
                <c:pt idx="430">
                  <c:v>232.42</c:v>
                </c:pt>
                <c:pt idx="431">
                  <c:v>232.42</c:v>
                </c:pt>
                <c:pt idx="432">
                  <c:v>-25.04</c:v>
                </c:pt>
                <c:pt idx="433">
                  <c:v>203.72</c:v>
                </c:pt>
                <c:pt idx="434">
                  <c:v>247</c:v>
                </c:pt>
                <c:pt idx="435">
                  <c:v>294.66000000000003</c:v>
                </c:pt>
                <c:pt idx="436">
                  <c:v>383.01</c:v>
                </c:pt>
                <c:pt idx="437">
                  <c:v>338.51</c:v>
                </c:pt>
                <c:pt idx="438">
                  <c:v>295.88</c:v>
                </c:pt>
                <c:pt idx="439">
                  <c:v>316.44</c:v>
                </c:pt>
                <c:pt idx="440">
                  <c:v>370.81</c:v>
                </c:pt>
                <c:pt idx="441">
                  <c:v>485.67</c:v>
                </c:pt>
                <c:pt idx="442">
                  <c:v>485.67</c:v>
                </c:pt>
                <c:pt idx="443">
                  <c:v>93.36</c:v>
                </c:pt>
                <c:pt idx="444">
                  <c:v>113.52</c:v>
                </c:pt>
                <c:pt idx="445">
                  <c:v>142.16999999999999</c:v>
                </c:pt>
                <c:pt idx="446">
                  <c:v>246.12</c:v>
                </c:pt>
                <c:pt idx="447">
                  <c:v>206.51</c:v>
                </c:pt>
                <c:pt idx="448">
                  <c:v>187.8</c:v>
                </c:pt>
                <c:pt idx="449">
                  <c:v>372.31</c:v>
                </c:pt>
                <c:pt idx="450">
                  <c:v>467.37</c:v>
                </c:pt>
                <c:pt idx="451">
                  <c:v>22.6</c:v>
                </c:pt>
                <c:pt idx="452">
                  <c:v>21.06</c:v>
                </c:pt>
                <c:pt idx="453">
                  <c:v>21.06</c:v>
                </c:pt>
                <c:pt idx="454">
                  <c:v>50.31</c:v>
                </c:pt>
                <c:pt idx="455">
                  <c:v>-28.87</c:v>
                </c:pt>
                <c:pt idx="456">
                  <c:v>340.1</c:v>
                </c:pt>
                <c:pt idx="457">
                  <c:v>49.08</c:v>
                </c:pt>
                <c:pt idx="458">
                  <c:v>326.67</c:v>
                </c:pt>
                <c:pt idx="459">
                  <c:v>401.41</c:v>
                </c:pt>
                <c:pt idx="460">
                  <c:v>-27.18</c:v>
                </c:pt>
                <c:pt idx="461">
                  <c:v>379.02</c:v>
                </c:pt>
                <c:pt idx="462">
                  <c:v>350.38</c:v>
                </c:pt>
                <c:pt idx="463">
                  <c:v>432.04</c:v>
                </c:pt>
                <c:pt idx="464">
                  <c:v>464.72</c:v>
                </c:pt>
                <c:pt idx="465">
                  <c:v>464.72</c:v>
                </c:pt>
                <c:pt idx="466">
                  <c:v>516</c:v>
                </c:pt>
                <c:pt idx="467">
                  <c:v>16.11</c:v>
                </c:pt>
                <c:pt idx="468">
                  <c:v>317.12</c:v>
                </c:pt>
                <c:pt idx="469">
                  <c:v>280.60000000000002</c:v>
                </c:pt>
                <c:pt idx="470">
                  <c:v>290.98</c:v>
                </c:pt>
                <c:pt idx="471">
                  <c:v>359.18</c:v>
                </c:pt>
                <c:pt idx="472">
                  <c:v>417.5</c:v>
                </c:pt>
                <c:pt idx="473">
                  <c:v>515.13</c:v>
                </c:pt>
                <c:pt idx="474">
                  <c:v>114.04</c:v>
                </c:pt>
                <c:pt idx="475">
                  <c:v>108.52</c:v>
                </c:pt>
                <c:pt idx="476">
                  <c:v>108.52</c:v>
                </c:pt>
                <c:pt idx="477">
                  <c:v>189.99</c:v>
                </c:pt>
                <c:pt idx="478">
                  <c:v>185.98</c:v>
                </c:pt>
                <c:pt idx="479">
                  <c:v>276.75</c:v>
                </c:pt>
                <c:pt idx="480">
                  <c:v>41.33</c:v>
                </c:pt>
                <c:pt idx="481">
                  <c:v>-182.45</c:v>
                </c:pt>
                <c:pt idx="482">
                  <c:v>-200.29</c:v>
                </c:pt>
                <c:pt idx="483">
                  <c:v>-157.61000000000001</c:v>
                </c:pt>
                <c:pt idx="484">
                  <c:v>-16.690000000000001</c:v>
                </c:pt>
                <c:pt idx="485">
                  <c:v>-95.63</c:v>
                </c:pt>
                <c:pt idx="486">
                  <c:v>-80.56</c:v>
                </c:pt>
                <c:pt idx="487">
                  <c:v>-80.56</c:v>
                </c:pt>
                <c:pt idx="488">
                  <c:v>142.29</c:v>
                </c:pt>
                <c:pt idx="489">
                  <c:v>198.41</c:v>
                </c:pt>
                <c:pt idx="490">
                  <c:v>98.66</c:v>
                </c:pt>
                <c:pt idx="491">
                  <c:v>99.56</c:v>
                </c:pt>
                <c:pt idx="492">
                  <c:v>276.31</c:v>
                </c:pt>
                <c:pt idx="493">
                  <c:v>101.32</c:v>
                </c:pt>
                <c:pt idx="494">
                  <c:v>192.35</c:v>
                </c:pt>
                <c:pt idx="495">
                  <c:v>234.53</c:v>
                </c:pt>
                <c:pt idx="496">
                  <c:v>58.66</c:v>
                </c:pt>
                <c:pt idx="497">
                  <c:v>237.24</c:v>
                </c:pt>
                <c:pt idx="498">
                  <c:v>237.24</c:v>
                </c:pt>
                <c:pt idx="499">
                  <c:v>374.59</c:v>
                </c:pt>
                <c:pt idx="500">
                  <c:v>304.17</c:v>
                </c:pt>
                <c:pt idx="501">
                  <c:v>-212.03</c:v>
                </c:pt>
                <c:pt idx="502">
                  <c:v>244.53</c:v>
                </c:pt>
                <c:pt idx="503">
                  <c:v>230.94</c:v>
                </c:pt>
                <c:pt idx="504">
                  <c:v>287.63</c:v>
                </c:pt>
                <c:pt idx="505">
                  <c:v>338.4</c:v>
                </c:pt>
                <c:pt idx="506">
                  <c:v>336.74</c:v>
                </c:pt>
                <c:pt idx="507">
                  <c:v>384.46</c:v>
                </c:pt>
                <c:pt idx="508">
                  <c:v>41.61</c:v>
                </c:pt>
                <c:pt idx="509">
                  <c:v>234.38</c:v>
                </c:pt>
                <c:pt idx="510">
                  <c:v>234.38</c:v>
                </c:pt>
                <c:pt idx="511">
                  <c:v>214.09</c:v>
                </c:pt>
                <c:pt idx="512">
                  <c:v>196.74</c:v>
                </c:pt>
                <c:pt idx="513">
                  <c:v>299.82</c:v>
                </c:pt>
                <c:pt idx="514">
                  <c:v>311.45999999999998</c:v>
                </c:pt>
                <c:pt idx="515">
                  <c:v>317.72000000000003</c:v>
                </c:pt>
                <c:pt idx="516">
                  <c:v>426.02</c:v>
                </c:pt>
                <c:pt idx="517">
                  <c:v>420.09</c:v>
                </c:pt>
                <c:pt idx="518">
                  <c:v>389.41</c:v>
                </c:pt>
                <c:pt idx="519">
                  <c:v>538.33000000000004</c:v>
                </c:pt>
                <c:pt idx="520">
                  <c:v>573.19000000000005</c:v>
                </c:pt>
                <c:pt idx="521">
                  <c:v>573.19000000000005</c:v>
                </c:pt>
                <c:pt idx="522">
                  <c:v>494.23</c:v>
                </c:pt>
                <c:pt idx="523">
                  <c:v>614.03</c:v>
                </c:pt>
                <c:pt idx="524">
                  <c:v>48.99</c:v>
                </c:pt>
                <c:pt idx="525">
                  <c:v>74.77</c:v>
                </c:pt>
                <c:pt idx="526">
                  <c:v>124.21</c:v>
                </c:pt>
                <c:pt idx="527">
                  <c:v>149.75</c:v>
                </c:pt>
                <c:pt idx="528">
                  <c:v>105.54</c:v>
                </c:pt>
                <c:pt idx="529">
                  <c:v>351.48</c:v>
                </c:pt>
                <c:pt idx="530">
                  <c:v>334.99</c:v>
                </c:pt>
                <c:pt idx="531">
                  <c:v>430.47</c:v>
                </c:pt>
                <c:pt idx="532">
                  <c:v>430.47</c:v>
                </c:pt>
                <c:pt idx="533">
                  <c:v>464.61</c:v>
                </c:pt>
                <c:pt idx="534">
                  <c:v>593.46</c:v>
                </c:pt>
                <c:pt idx="535">
                  <c:v>581.91</c:v>
                </c:pt>
                <c:pt idx="536">
                  <c:v>368.96</c:v>
                </c:pt>
                <c:pt idx="537">
                  <c:v>474.86</c:v>
                </c:pt>
                <c:pt idx="538">
                  <c:v>620.16</c:v>
                </c:pt>
                <c:pt idx="539">
                  <c:v>-145.72999999999999</c:v>
                </c:pt>
                <c:pt idx="540">
                  <c:v>-33.78</c:v>
                </c:pt>
                <c:pt idx="541">
                  <c:v>-156.87</c:v>
                </c:pt>
                <c:pt idx="542">
                  <c:v>-167.08</c:v>
                </c:pt>
                <c:pt idx="543">
                  <c:v>-167.08</c:v>
                </c:pt>
                <c:pt idx="544">
                  <c:v>-63.85</c:v>
                </c:pt>
                <c:pt idx="545">
                  <c:v>-13.55</c:v>
                </c:pt>
                <c:pt idx="546">
                  <c:v>-169.55</c:v>
                </c:pt>
                <c:pt idx="547">
                  <c:v>-67.63</c:v>
                </c:pt>
                <c:pt idx="548">
                  <c:v>-133.96</c:v>
                </c:pt>
                <c:pt idx="549">
                  <c:v>-91.62</c:v>
                </c:pt>
                <c:pt idx="550">
                  <c:v>-41.14</c:v>
                </c:pt>
                <c:pt idx="551">
                  <c:v>44.52</c:v>
                </c:pt>
                <c:pt idx="552">
                  <c:v>-16.079999999999998</c:v>
                </c:pt>
                <c:pt idx="553">
                  <c:v>51.54</c:v>
                </c:pt>
                <c:pt idx="554">
                  <c:v>51.54</c:v>
                </c:pt>
                <c:pt idx="555">
                  <c:v>-52.84</c:v>
                </c:pt>
                <c:pt idx="556">
                  <c:v>80.12</c:v>
                </c:pt>
                <c:pt idx="557">
                  <c:v>147.87</c:v>
                </c:pt>
                <c:pt idx="558">
                  <c:v>60.26</c:v>
                </c:pt>
                <c:pt idx="559">
                  <c:v>38.340000000000003</c:v>
                </c:pt>
                <c:pt idx="560">
                  <c:v>160.56</c:v>
                </c:pt>
                <c:pt idx="561">
                  <c:v>34.67</c:v>
                </c:pt>
                <c:pt idx="562">
                  <c:v>210.27</c:v>
                </c:pt>
                <c:pt idx="563">
                  <c:v>119.53</c:v>
                </c:pt>
                <c:pt idx="564">
                  <c:v>33.47</c:v>
                </c:pt>
                <c:pt idx="565">
                  <c:v>131.07</c:v>
                </c:pt>
                <c:pt idx="566">
                  <c:v>131.07</c:v>
                </c:pt>
                <c:pt idx="567">
                  <c:v>232.01</c:v>
                </c:pt>
                <c:pt idx="568">
                  <c:v>-23.62</c:v>
                </c:pt>
                <c:pt idx="569">
                  <c:v>14.82</c:v>
                </c:pt>
                <c:pt idx="570">
                  <c:v>40.53</c:v>
                </c:pt>
                <c:pt idx="571">
                  <c:v>169.23</c:v>
                </c:pt>
                <c:pt idx="572">
                  <c:v>134.04</c:v>
                </c:pt>
                <c:pt idx="573">
                  <c:v>57.94</c:v>
                </c:pt>
                <c:pt idx="574">
                  <c:v>133.57</c:v>
                </c:pt>
                <c:pt idx="575">
                  <c:v>111.35</c:v>
                </c:pt>
                <c:pt idx="576">
                  <c:v>119.68</c:v>
                </c:pt>
                <c:pt idx="577">
                  <c:v>119.68</c:v>
                </c:pt>
                <c:pt idx="578">
                  <c:v>211.02</c:v>
                </c:pt>
                <c:pt idx="579">
                  <c:v>202.63</c:v>
                </c:pt>
                <c:pt idx="580">
                  <c:v>302.56</c:v>
                </c:pt>
                <c:pt idx="581">
                  <c:v>111.69</c:v>
                </c:pt>
                <c:pt idx="582">
                  <c:v>86.98</c:v>
                </c:pt>
                <c:pt idx="583">
                  <c:v>44.78</c:v>
                </c:pt>
                <c:pt idx="584">
                  <c:v>132.13</c:v>
                </c:pt>
                <c:pt idx="585">
                  <c:v>158.58000000000001</c:v>
                </c:pt>
                <c:pt idx="586">
                  <c:v>185.3</c:v>
                </c:pt>
                <c:pt idx="587">
                  <c:v>235.45</c:v>
                </c:pt>
                <c:pt idx="588">
                  <c:v>235.45</c:v>
                </c:pt>
                <c:pt idx="589">
                  <c:v>201.69</c:v>
                </c:pt>
                <c:pt idx="590">
                  <c:v>520.01</c:v>
                </c:pt>
                <c:pt idx="591">
                  <c:v>461.98</c:v>
                </c:pt>
                <c:pt idx="592">
                  <c:v>427.55</c:v>
                </c:pt>
                <c:pt idx="593">
                  <c:v>394.15</c:v>
                </c:pt>
                <c:pt idx="594">
                  <c:v>494.19</c:v>
                </c:pt>
                <c:pt idx="595">
                  <c:v>507.67</c:v>
                </c:pt>
                <c:pt idx="596">
                  <c:v>561.38</c:v>
                </c:pt>
                <c:pt idx="597">
                  <c:v>446.48</c:v>
                </c:pt>
                <c:pt idx="598">
                  <c:v>452.71</c:v>
                </c:pt>
                <c:pt idx="599">
                  <c:v>540.16</c:v>
                </c:pt>
                <c:pt idx="600">
                  <c:v>540.16</c:v>
                </c:pt>
                <c:pt idx="601">
                  <c:v>451.39</c:v>
                </c:pt>
                <c:pt idx="602">
                  <c:v>486.88</c:v>
                </c:pt>
                <c:pt idx="603">
                  <c:v>553.96</c:v>
                </c:pt>
                <c:pt idx="604">
                  <c:v>548.54999999999995</c:v>
                </c:pt>
                <c:pt idx="605">
                  <c:v>540.55999999999995</c:v>
                </c:pt>
                <c:pt idx="606">
                  <c:v>324.22000000000003</c:v>
                </c:pt>
                <c:pt idx="607">
                  <c:v>431.25</c:v>
                </c:pt>
                <c:pt idx="608">
                  <c:v>282.77</c:v>
                </c:pt>
                <c:pt idx="609">
                  <c:v>261.5</c:v>
                </c:pt>
                <c:pt idx="610">
                  <c:v>264.48</c:v>
                </c:pt>
                <c:pt idx="611">
                  <c:v>264.48</c:v>
                </c:pt>
                <c:pt idx="612">
                  <c:v>222.7</c:v>
                </c:pt>
                <c:pt idx="613">
                  <c:v>311.19</c:v>
                </c:pt>
                <c:pt idx="614">
                  <c:v>349.71</c:v>
                </c:pt>
                <c:pt idx="615">
                  <c:v>350.81</c:v>
                </c:pt>
                <c:pt idx="616">
                  <c:v>356.28</c:v>
                </c:pt>
                <c:pt idx="617">
                  <c:v>421.72</c:v>
                </c:pt>
                <c:pt idx="618">
                  <c:v>432.43</c:v>
                </c:pt>
                <c:pt idx="619">
                  <c:v>396.53</c:v>
                </c:pt>
                <c:pt idx="620">
                  <c:v>-16.14</c:v>
                </c:pt>
                <c:pt idx="621">
                  <c:v>161.53</c:v>
                </c:pt>
                <c:pt idx="622">
                  <c:v>161.53</c:v>
                </c:pt>
                <c:pt idx="623">
                  <c:v>129.65</c:v>
                </c:pt>
                <c:pt idx="624">
                  <c:v>108.72</c:v>
                </c:pt>
                <c:pt idx="625">
                  <c:v>166.69</c:v>
                </c:pt>
                <c:pt idx="626">
                  <c:v>196.52</c:v>
                </c:pt>
                <c:pt idx="627">
                  <c:v>235.72</c:v>
                </c:pt>
                <c:pt idx="628">
                  <c:v>141.65</c:v>
                </c:pt>
                <c:pt idx="629">
                  <c:v>120.37</c:v>
                </c:pt>
                <c:pt idx="630">
                  <c:v>137.09</c:v>
                </c:pt>
                <c:pt idx="631">
                  <c:v>102.64</c:v>
                </c:pt>
                <c:pt idx="632">
                  <c:v>80.150000000000006</c:v>
                </c:pt>
                <c:pt idx="633">
                  <c:v>80.150000000000006</c:v>
                </c:pt>
                <c:pt idx="634">
                  <c:v>-15.78</c:v>
                </c:pt>
                <c:pt idx="635">
                  <c:v>175.29</c:v>
                </c:pt>
                <c:pt idx="636">
                  <c:v>310.08</c:v>
                </c:pt>
                <c:pt idx="637">
                  <c:v>336.01</c:v>
                </c:pt>
                <c:pt idx="638">
                  <c:v>440.73</c:v>
                </c:pt>
                <c:pt idx="639">
                  <c:v>466.12</c:v>
                </c:pt>
                <c:pt idx="640">
                  <c:v>496.73</c:v>
                </c:pt>
                <c:pt idx="641">
                  <c:v>479.15</c:v>
                </c:pt>
                <c:pt idx="642">
                  <c:v>438.4</c:v>
                </c:pt>
                <c:pt idx="643">
                  <c:v>545.51</c:v>
                </c:pt>
                <c:pt idx="644">
                  <c:v>545.51</c:v>
                </c:pt>
                <c:pt idx="645">
                  <c:v>503.53</c:v>
                </c:pt>
                <c:pt idx="646">
                  <c:v>526.48</c:v>
                </c:pt>
                <c:pt idx="647">
                  <c:v>542.4</c:v>
                </c:pt>
                <c:pt idx="648">
                  <c:v>548.4</c:v>
                </c:pt>
                <c:pt idx="649">
                  <c:v>625.63</c:v>
                </c:pt>
                <c:pt idx="650">
                  <c:v>638.01</c:v>
                </c:pt>
                <c:pt idx="651">
                  <c:v>624.67999999999995</c:v>
                </c:pt>
                <c:pt idx="652">
                  <c:v>610.19000000000005</c:v>
                </c:pt>
                <c:pt idx="653">
                  <c:v>-17.3</c:v>
                </c:pt>
                <c:pt idx="654">
                  <c:v>196.13</c:v>
                </c:pt>
                <c:pt idx="655">
                  <c:v>196.13</c:v>
                </c:pt>
                <c:pt idx="656">
                  <c:v>227.57</c:v>
                </c:pt>
                <c:pt idx="657">
                  <c:v>261.88</c:v>
                </c:pt>
                <c:pt idx="658">
                  <c:v>337.76</c:v>
                </c:pt>
                <c:pt idx="659">
                  <c:v>307.89999999999998</c:v>
                </c:pt>
                <c:pt idx="660">
                  <c:v>331.57</c:v>
                </c:pt>
                <c:pt idx="661">
                  <c:v>372.2</c:v>
                </c:pt>
                <c:pt idx="662">
                  <c:v>415.38</c:v>
                </c:pt>
                <c:pt idx="663">
                  <c:v>258.13</c:v>
                </c:pt>
                <c:pt idx="664">
                  <c:v>243.7</c:v>
                </c:pt>
                <c:pt idx="665">
                  <c:v>228.45</c:v>
                </c:pt>
                <c:pt idx="666">
                  <c:v>228.45</c:v>
                </c:pt>
                <c:pt idx="667">
                  <c:v>304.29000000000002</c:v>
                </c:pt>
                <c:pt idx="668">
                  <c:v>329.22</c:v>
                </c:pt>
                <c:pt idx="669">
                  <c:v>350.26</c:v>
                </c:pt>
                <c:pt idx="670">
                  <c:v>419.46</c:v>
                </c:pt>
                <c:pt idx="671">
                  <c:v>389.05</c:v>
                </c:pt>
                <c:pt idx="672">
                  <c:v>465.72</c:v>
                </c:pt>
                <c:pt idx="673">
                  <c:v>436.2</c:v>
                </c:pt>
                <c:pt idx="674">
                  <c:v>407.24</c:v>
                </c:pt>
                <c:pt idx="675">
                  <c:v>473.51</c:v>
                </c:pt>
                <c:pt idx="676">
                  <c:v>63.42</c:v>
                </c:pt>
                <c:pt idx="677">
                  <c:v>63.42</c:v>
                </c:pt>
                <c:pt idx="678">
                  <c:v>64.19</c:v>
                </c:pt>
                <c:pt idx="679">
                  <c:v>480.01</c:v>
                </c:pt>
                <c:pt idx="680">
                  <c:v>14.63</c:v>
                </c:pt>
                <c:pt idx="681">
                  <c:v>73.45</c:v>
                </c:pt>
                <c:pt idx="682">
                  <c:v>87.28</c:v>
                </c:pt>
                <c:pt idx="683">
                  <c:v>67.510000000000005</c:v>
                </c:pt>
                <c:pt idx="684">
                  <c:v>542.46</c:v>
                </c:pt>
                <c:pt idx="685">
                  <c:v>534.09</c:v>
                </c:pt>
                <c:pt idx="686">
                  <c:v>581.4</c:v>
                </c:pt>
                <c:pt idx="687">
                  <c:v>609.22</c:v>
                </c:pt>
                <c:pt idx="688">
                  <c:v>401.2</c:v>
                </c:pt>
                <c:pt idx="689">
                  <c:v>401.2</c:v>
                </c:pt>
                <c:pt idx="690">
                  <c:v>423.07</c:v>
                </c:pt>
                <c:pt idx="691">
                  <c:v>442.4</c:v>
                </c:pt>
                <c:pt idx="692">
                  <c:v>506.38</c:v>
                </c:pt>
                <c:pt idx="693">
                  <c:v>498.55</c:v>
                </c:pt>
                <c:pt idx="694">
                  <c:v>505.29</c:v>
                </c:pt>
                <c:pt idx="695">
                  <c:v>615.05999999999995</c:v>
                </c:pt>
                <c:pt idx="696">
                  <c:v>565.61</c:v>
                </c:pt>
                <c:pt idx="697">
                  <c:v>361.95</c:v>
                </c:pt>
                <c:pt idx="698">
                  <c:v>334.38</c:v>
                </c:pt>
                <c:pt idx="699">
                  <c:v>314.64999999999998</c:v>
                </c:pt>
                <c:pt idx="700">
                  <c:v>314.64999999999998</c:v>
                </c:pt>
                <c:pt idx="701">
                  <c:v>386.04</c:v>
                </c:pt>
                <c:pt idx="702">
                  <c:v>419.08</c:v>
                </c:pt>
                <c:pt idx="703">
                  <c:v>462.93</c:v>
                </c:pt>
                <c:pt idx="704">
                  <c:v>436.38</c:v>
                </c:pt>
                <c:pt idx="705">
                  <c:v>41.59</c:v>
                </c:pt>
                <c:pt idx="706">
                  <c:v>39.729999999999997</c:v>
                </c:pt>
                <c:pt idx="707">
                  <c:v>43.85</c:v>
                </c:pt>
              </c:numCache>
              <c:extLst xmlns:c15="http://schemas.microsoft.com/office/drawing/2012/chart"/>
            </c:numRef>
          </c:yVal>
          <c:smooth val="0"/>
          <c:extLst xmlns:c15="http://schemas.microsoft.com/office/drawing/2012/chart">
            <c:ext xmlns:c16="http://schemas.microsoft.com/office/drawing/2014/chart" uri="{C3380CC4-5D6E-409C-BE32-E72D297353CC}">
              <c16:uniqueId val="{00000001-4F3C-47F5-BB9E-FED5FA569E47}"/>
            </c:ext>
          </c:extLst>
        </c:ser>
        <c:ser>
          <c:idx val="2"/>
          <c:order val="3"/>
          <c:tx>
            <c:v>Fallas</c:v>
          </c:tx>
          <c:spPr>
            <a:ln w="19050" cap="rnd">
              <a:noFill/>
              <a:round/>
            </a:ln>
            <a:effectLst/>
          </c:spPr>
          <c:marker>
            <c:symbol val="circle"/>
            <c:size val="4"/>
            <c:spPr>
              <a:solidFill>
                <a:srgbClr val="FF0000"/>
              </a:solidFill>
              <a:ln w="9525">
                <a:solidFill>
                  <a:srgbClr val="FF0000"/>
                </a:solidFill>
              </a:ln>
              <a:effectLst/>
            </c:spPr>
          </c:marker>
          <c:dLbls>
            <c:dLbl>
              <c:idx val="0"/>
              <c:tx>
                <c:rich>
                  <a:bodyPr/>
                  <a:lstStyle/>
                  <a:p>
                    <a:fld id="{263C69A8-EB23-4307-B229-5A918BAA5AE4}"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1-4F3C-47F5-BB9E-FED5FA569E47}"/>
                </c:ext>
              </c:extLst>
            </c:dLbl>
            <c:dLbl>
              <c:idx val="1"/>
              <c:tx>
                <c:rich>
                  <a:bodyPr/>
                  <a:lstStyle/>
                  <a:p>
                    <a:fld id="{76694D28-03A5-47DD-84CE-0F0897A39CA8}" type="CELLRANGE">
                      <a:rPr lang="es-PE"/>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2-4F3C-47F5-BB9E-FED5FA569E47}"/>
                </c:ext>
              </c:extLst>
            </c:dLbl>
            <c:dLbl>
              <c:idx val="2"/>
              <c:tx>
                <c:rich>
                  <a:bodyPr/>
                  <a:lstStyle/>
                  <a:p>
                    <a:fld id="{C32B37EC-2CAE-423C-8150-4341FAD02265}"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4F3C-47F5-BB9E-FED5FA569E47}"/>
                </c:ext>
              </c:extLst>
            </c:dLbl>
            <c:dLbl>
              <c:idx val="3"/>
              <c:tx>
                <c:rich>
                  <a:bodyPr/>
                  <a:lstStyle/>
                  <a:p>
                    <a:fld id="{68BF4F92-3C82-434E-8B89-C67B2D45A171}"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4-4F3C-47F5-BB9E-FED5FA569E47}"/>
                </c:ext>
              </c:extLst>
            </c:dLbl>
            <c:dLbl>
              <c:idx val="4"/>
              <c:tx>
                <c:rich>
                  <a:bodyPr/>
                  <a:lstStyle/>
                  <a:p>
                    <a:fld id="{2DE97DF9-DFA1-476F-948A-023D19CD02A4}"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4F3C-47F5-BB9E-FED5FA569E47}"/>
                </c:ext>
              </c:extLst>
            </c:dLbl>
            <c:dLbl>
              <c:idx val="5"/>
              <c:tx>
                <c:rich>
                  <a:bodyPr/>
                  <a:lstStyle/>
                  <a:p>
                    <a:fld id="{8333B964-01E9-462D-B442-A3FD9FBB45F6}"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6-4F3C-47F5-BB9E-FED5FA569E47}"/>
                </c:ext>
              </c:extLst>
            </c:dLbl>
            <c:dLbl>
              <c:idx val="6"/>
              <c:tx>
                <c:rich>
                  <a:bodyPr/>
                  <a:lstStyle/>
                  <a:p>
                    <a:fld id="{FF84BBF8-03A3-417C-8B43-7281D513D3D7}"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7-4F3C-47F5-BB9E-FED5FA569E47}"/>
                </c:ext>
              </c:extLst>
            </c:dLbl>
            <c:dLbl>
              <c:idx val="7"/>
              <c:tx>
                <c:rich>
                  <a:bodyPr/>
                  <a:lstStyle/>
                  <a:p>
                    <a:fld id="{9628DA54-6B9B-4FA2-A421-95D591017328}"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8-4F3C-47F5-BB9E-FED5FA569E47}"/>
                </c:ext>
              </c:extLst>
            </c:dLbl>
            <c:dLbl>
              <c:idx val="8"/>
              <c:tx>
                <c:rich>
                  <a:bodyPr/>
                  <a:lstStyle/>
                  <a:p>
                    <a:fld id="{5365A19F-FF33-4AA0-89E0-5CE5D282494B}"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4F3C-47F5-BB9E-FED5FA569E47}"/>
                </c:ext>
              </c:extLst>
            </c:dLbl>
            <c:dLbl>
              <c:idx val="9"/>
              <c:tx>
                <c:rich>
                  <a:bodyPr/>
                  <a:lstStyle/>
                  <a:p>
                    <a:fld id="{86F086A6-14A1-479A-912F-57DA0779EE5A}"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A-4F3C-47F5-BB9E-FED5FA569E47}"/>
                </c:ext>
              </c:extLst>
            </c:dLbl>
            <c:dLbl>
              <c:idx val="10"/>
              <c:tx>
                <c:rich>
                  <a:bodyPr/>
                  <a:lstStyle/>
                  <a:p>
                    <a:fld id="{AC0E7F11-E9D6-41EE-BB82-BC8B156E216D}"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4F3C-47F5-BB9E-FED5FA569E47}"/>
                </c:ext>
              </c:extLst>
            </c:dLbl>
            <c:dLbl>
              <c:idx val="11"/>
              <c:tx>
                <c:rich>
                  <a:bodyPr/>
                  <a:lstStyle/>
                  <a:p>
                    <a:fld id="{4BBFD7E4-4F24-47C8-9A0C-F31E86F36A36}"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C-4F3C-47F5-BB9E-FED5FA569E47}"/>
                </c:ext>
              </c:extLst>
            </c:dLbl>
            <c:dLbl>
              <c:idx val="12"/>
              <c:tx>
                <c:rich>
                  <a:bodyPr/>
                  <a:lstStyle/>
                  <a:p>
                    <a:fld id="{0674D6F2-7825-4653-A3DE-1B55E19F25FA}"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D-4F3C-47F5-BB9E-FED5FA569E47}"/>
                </c:ext>
              </c:extLst>
            </c:dLbl>
            <c:dLbl>
              <c:idx val="13"/>
              <c:tx>
                <c:rich>
                  <a:bodyPr/>
                  <a:lstStyle/>
                  <a:p>
                    <a:fld id="{7C81D481-8618-4FA3-830A-101447836A94}"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E-4F3C-47F5-BB9E-FED5FA569E47}"/>
                </c:ext>
              </c:extLst>
            </c:dLbl>
            <c:dLbl>
              <c:idx val="14"/>
              <c:tx>
                <c:rich>
                  <a:bodyPr/>
                  <a:lstStyle/>
                  <a:p>
                    <a:fld id="{6E8F9C4A-4E1E-42DD-9562-A8FD1E62F714}"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F-4F3C-47F5-BB9E-FED5FA569E47}"/>
                </c:ext>
              </c:extLst>
            </c:dLbl>
            <c:dLbl>
              <c:idx val="15"/>
              <c:tx>
                <c:rich>
                  <a:bodyPr/>
                  <a:lstStyle/>
                  <a:p>
                    <a:fld id="{E2BE927D-0835-48B9-A4CE-92337993D91C}"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0-4F3C-47F5-BB9E-FED5FA569E47}"/>
                </c:ext>
              </c:extLst>
            </c:dLbl>
            <c:dLbl>
              <c:idx val="16"/>
              <c:tx>
                <c:rich>
                  <a:bodyPr/>
                  <a:lstStyle/>
                  <a:p>
                    <a:fld id="{D79CE11D-2126-445C-A912-1A27F3F3F543}"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1-4F3C-47F5-BB9E-FED5FA569E47}"/>
                </c:ext>
              </c:extLst>
            </c:dLbl>
            <c:dLbl>
              <c:idx val="17"/>
              <c:tx>
                <c:rich>
                  <a:bodyPr/>
                  <a:lstStyle/>
                  <a:p>
                    <a:fld id="{2C7027E9-5535-426A-BD23-A12A6F80C174}"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2-4F3C-47F5-BB9E-FED5FA569E47}"/>
                </c:ext>
              </c:extLst>
            </c:dLbl>
            <c:dLbl>
              <c:idx val="18"/>
              <c:tx>
                <c:rich>
                  <a:bodyPr/>
                  <a:lstStyle/>
                  <a:p>
                    <a:fld id="{D4D358BF-FD8A-4D09-9CB5-9A2D1D67897D}"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3-4F3C-47F5-BB9E-FED5FA569E47}"/>
                </c:ext>
              </c:extLst>
            </c:dLbl>
            <c:dLbl>
              <c:idx val="19"/>
              <c:tx>
                <c:rich>
                  <a:bodyPr/>
                  <a:lstStyle/>
                  <a:p>
                    <a:fld id="{454633FE-2140-490A-B1B6-955835871C47}"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4-4F3C-47F5-BB9E-FED5FA569E47}"/>
                </c:ext>
              </c:extLst>
            </c:dLbl>
            <c:dLbl>
              <c:idx val="20"/>
              <c:tx>
                <c:rich>
                  <a:bodyPr/>
                  <a:lstStyle/>
                  <a:p>
                    <a:fld id="{398823B3-35CE-4A1B-8485-43384354C73A}"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5-4F3C-47F5-BB9E-FED5FA569E47}"/>
                </c:ext>
              </c:extLst>
            </c:dLbl>
            <c:dLbl>
              <c:idx val="21"/>
              <c:tx>
                <c:rich>
                  <a:bodyPr/>
                  <a:lstStyle/>
                  <a:p>
                    <a:fld id="{9C7311F2-5BA1-4A45-851D-00902EF99BE4}"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6-4F3C-47F5-BB9E-FED5FA569E47}"/>
                </c:ext>
              </c:extLst>
            </c:dLbl>
            <c:dLbl>
              <c:idx val="22"/>
              <c:tx>
                <c:rich>
                  <a:bodyPr/>
                  <a:lstStyle/>
                  <a:p>
                    <a:fld id="{474A25D6-BF34-4AF4-A594-8B0A7C663CC5}"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7-4F3C-47F5-BB9E-FED5FA569E47}"/>
                </c:ext>
              </c:extLst>
            </c:dLbl>
            <c:dLbl>
              <c:idx val="23"/>
              <c:tx>
                <c:rich>
                  <a:bodyPr/>
                  <a:lstStyle/>
                  <a:p>
                    <a:fld id="{E6243A9F-48EB-45C3-9F58-CA841360AF29}"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8-4F3C-47F5-BB9E-FED5FA569E47}"/>
                </c:ext>
              </c:extLst>
            </c:dLbl>
            <c:dLbl>
              <c:idx val="24"/>
              <c:tx>
                <c:rich>
                  <a:bodyPr/>
                  <a:lstStyle/>
                  <a:p>
                    <a:fld id="{7C022CFC-4F42-4D0B-B38B-DEFDAFC67F64}"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9-4F3C-47F5-BB9E-FED5FA569E47}"/>
                </c:ext>
              </c:extLst>
            </c:dLbl>
            <c:dLbl>
              <c:idx val="25"/>
              <c:tx>
                <c:rich>
                  <a:bodyPr/>
                  <a:lstStyle/>
                  <a:p>
                    <a:fld id="{5DFBA4C3-343D-458A-9948-F75F4727CF5F}"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A-4F3C-47F5-BB9E-FED5FA569E47}"/>
                </c:ext>
              </c:extLst>
            </c:dLbl>
            <c:dLbl>
              <c:idx val="26"/>
              <c:tx>
                <c:rich>
                  <a:bodyPr/>
                  <a:lstStyle/>
                  <a:p>
                    <a:fld id="{2A77B170-88A8-428F-B861-FB741A412ABB}"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B-4F3C-47F5-BB9E-FED5FA569E47}"/>
                </c:ext>
              </c:extLst>
            </c:dLbl>
            <c:dLbl>
              <c:idx val="27"/>
              <c:tx>
                <c:rich>
                  <a:bodyPr/>
                  <a:lstStyle/>
                  <a:p>
                    <a:fld id="{446CAA2F-BDE2-4754-8163-1C669257CD86}"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C-4F3C-47F5-BB9E-FED5FA569E47}"/>
                </c:ext>
              </c:extLst>
            </c:dLbl>
            <c:dLbl>
              <c:idx val="28"/>
              <c:tx>
                <c:rich>
                  <a:bodyPr/>
                  <a:lstStyle/>
                  <a:p>
                    <a:fld id="{65D03EC6-560A-4F72-9D8B-C817D4E3C581}"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D-4F3C-47F5-BB9E-FED5FA569E47}"/>
                </c:ext>
              </c:extLst>
            </c:dLbl>
            <c:dLbl>
              <c:idx val="29"/>
              <c:tx>
                <c:rich>
                  <a:bodyPr/>
                  <a:lstStyle/>
                  <a:p>
                    <a:fld id="{B055607D-37BA-47FC-B305-750AA46ADF08}"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E-4F3C-47F5-BB9E-FED5FA569E47}"/>
                </c:ext>
              </c:extLst>
            </c:dLbl>
            <c:dLbl>
              <c:idx val="30"/>
              <c:tx>
                <c:rich>
                  <a:bodyPr/>
                  <a:lstStyle/>
                  <a:p>
                    <a:fld id="{744FD9C6-6AD7-47EB-B8A0-519C7B284BC3}"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F-4F3C-47F5-BB9E-FED5FA569E47}"/>
                </c:ext>
              </c:extLst>
            </c:dLbl>
            <c:dLbl>
              <c:idx val="31"/>
              <c:tx>
                <c:rich>
                  <a:bodyPr/>
                  <a:lstStyle/>
                  <a:p>
                    <a:fld id="{6A0A4222-0A08-4E30-8A95-1E4C70762691}"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0-4F3C-47F5-BB9E-FED5FA569E47}"/>
                </c:ext>
              </c:extLst>
            </c:dLbl>
            <c:dLbl>
              <c:idx val="32"/>
              <c:tx>
                <c:rich>
                  <a:bodyPr/>
                  <a:lstStyle/>
                  <a:p>
                    <a:fld id="{84BD9A01-E488-4046-911B-2A3C1D6FF13A}"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1-4F3C-47F5-BB9E-FED5FA569E47}"/>
                </c:ext>
              </c:extLst>
            </c:dLbl>
            <c:dLbl>
              <c:idx val="33"/>
              <c:tx>
                <c:rich>
                  <a:bodyPr/>
                  <a:lstStyle/>
                  <a:p>
                    <a:fld id="{A663FF5A-2EF3-4FCA-AD32-6ED9AACDAE68}"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2-4F3C-47F5-BB9E-FED5FA569E47}"/>
                </c:ext>
              </c:extLst>
            </c:dLbl>
            <c:dLbl>
              <c:idx val="34"/>
              <c:tx>
                <c:rich>
                  <a:bodyPr/>
                  <a:lstStyle/>
                  <a:p>
                    <a:fld id="{31F54B93-F205-4451-B155-F7940E15940D}"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3-4F3C-47F5-BB9E-FED5FA569E47}"/>
                </c:ext>
              </c:extLst>
            </c:dLbl>
            <c:dLbl>
              <c:idx val="35"/>
              <c:tx>
                <c:rich>
                  <a:bodyPr/>
                  <a:lstStyle/>
                  <a:p>
                    <a:fld id="{7EC785EE-EDD9-4CAD-BC32-4E786FFA3AB4}"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4-4F3C-47F5-BB9E-FED5FA569E47}"/>
                </c:ext>
              </c:extLst>
            </c:dLbl>
            <c:dLbl>
              <c:idx val="36"/>
              <c:tx>
                <c:rich>
                  <a:bodyPr/>
                  <a:lstStyle/>
                  <a:p>
                    <a:fld id="{EB72175B-AC73-49BB-B9D0-85F57EB44FE7}"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5-4F3C-47F5-BB9E-FED5FA569E47}"/>
                </c:ext>
              </c:extLst>
            </c:dLbl>
            <c:dLbl>
              <c:idx val="37"/>
              <c:tx>
                <c:rich>
                  <a:bodyPr/>
                  <a:lstStyle/>
                  <a:p>
                    <a:fld id="{407250E5-D1C0-4298-B071-B2E6A0EF3725}"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6-4F3C-47F5-BB9E-FED5FA569E47}"/>
                </c:ext>
              </c:extLst>
            </c:dLbl>
            <c:dLbl>
              <c:idx val="38"/>
              <c:tx>
                <c:rich>
                  <a:bodyPr/>
                  <a:lstStyle/>
                  <a:p>
                    <a:fld id="{99FFC459-EC69-4A27-A28F-ED5BCE25EDAE}"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7-4F3C-47F5-BB9E-FED5FA569E47}"/>
                </c:ext>
              </c:extLst>
            </c:dLbl>
            <c:dLbl>
              <c:idx val="39"/>
              <c:tx>
                <c:rich>
                  <a:bodyPr/>
                  <a:lstStyle/>
                  <a:p>
                    <a:fld id="{9E3D2627-B3CC-4C32-A79E-9BE6F5EEC3F4}"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8-4F3C-47F5-BB9E-FED5FA569E47}"/>
                </c:ext>
              </c:extLst>
            </c:dLbl>
            <c:dLbl>
              <c:idx val="40"/>
              <c:tx>
                <c:rich>
                  <a:bodyPr/>
                  <a:lstStyle/>
                  <a:p>
                    <a:fld id="{E0887E9E-789D-4F9F-A486-8B5D9850E234}"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9-4F3C-47F5-BB9E-FED5FA569E47}"/>
                </c:ext>
              </c:extLst>
            </c:dLbl>
            <c:dLbl>
              <c:idx val="41"/>
              <c:tx>
                <c:rich>
                  <a:bodyPr/>
                  <a:lstStyle/>
                  <a:p>
                    <a:fld id="{BFA14184-4923-4210-81E5-3F33A70B8C6D}"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A-4F3C-47F5-BB9E-FED5FA569E47}"/>
                </c:ext>
              </c:extLst>
            </c:dLbl>
            <c:dLbl>
              <c:idx val="42"/>
              <c:tx>
                <c:rich>
                  <a:bodyPr/>
                  <a:lstStyle/>
                  <a:p>
                    <a:fld id="{52129C58-3365-4322-8E81-354ACBB93497}"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B-4F3C-47F5-BB9E-FED5FA569E47}"/>
                </c:ext>
              </c:extLst>
            </c:dLbl>
            <c:dLbl>
              <c:idx val="43"/>
              <c:tx>
                <c:rich>
                  <a:bodyPr/>
                  <a:lstStyle/>
                  <a:p>
                    <a:fld id="{97388A22-F1C3-4598-AA78-2F801F8064BF}"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C-4F3C-47F5-BB9E-FED5FA569E47}"/>
                </c:ext>
              </c:extLst>
            </c:dLbl>
            <c:dLbl>
              <c:idx val="44"/>
              <c:tx>
                <c:rich>
                  <a:bodyPr/>
                  <a:lstStyle/>
                  <a:p>
                    <a:fld id="{C683B1B2-BB54-4756-A3A5-07F41985BDF2}"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D-4F3C-47F5-BB9E-FED5FA569E47}"/>
                </c:ext>
              </c:extLst>
            </c:dLbl>
            <c:dLbl>
              <c:idx val="45"/>
              <c:tx>
                <c:rich>
                  <a:bodyPr/>
                  <a:lstStyle/>
                  <a:p>
                    <a:fld id="{F264AA1E-46D2-4EFB-8240-474ABDC417CF}"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E-4F3C-47F5-BB9E-FED5FA569E47}"/>
                </c:ext>
              </c:extLst>
            </c:dLbl>
            <c:dLbl>
              <c:idx val="46"/>
              <c:tx>
                <c:rich>
                  <a:bodyPr/>
                  <a:lstStyle/>
                  <a:p>
                    <a:fld id="{F08CEE6B-8ADE-4E95-9C44-0FEC4704D0C7}"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F-4F3C-47F5-BB9E-FED5FA569E47}"/>
                </c:ext>
              </c:extLst>
            </c:dLbl>
            <c:dLbl>
              <c:idx val="47"/>
              <c:tx>
                <c:rich>
                  <a:bodyPr/>
                  <a:lstStyle/>
                  <a:p>
                    <a:fld id="{CD2C0F99-0335-4811-9382-78DCB06E998F}"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0-4F3C-47F5-BB9E-FED5FA569E47}"/>
                </c:ext>
              </c:extLst>
            </c:dLbl>
            <c:dLbl>
              <c:idx val="48"/>
              <c:tx>
                <c:rich>
                  <a:bodyPr/>
                  <a:lstStyle/>
                  <a:p>
                    <a:fld id="{3DA07406-34E5-4BE3-B92C-EBFDBE20BB63}"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1-4F3C-47F5-BB9E-FED5FA569E47}"/>
                </c:ext>
              </c:extLst>
            </c:dLbl>
            <c:dLbl>
              <c:idx val="49"/>
              <c:tx>
                <c:rich>
                  <a:bodyPr/>
                  <a:lstStyle/>
                  <a:p>
                    <a:fld id="{EF8C4F79-0A78-4661-AD97-7586EA2CDF45}"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2-4F3C-47F5-BB9E-FED5FA569E47}"/>
                </c:ext>
              </c:extLst>
            </c:dLbl>
            <c:dLbl>
              <c:idx val="50"/>
              <c:tx>
                <c:rich>
                  <a:bodyPr/>
                  <a:lstStyle/>
                  <a:p>
                    <a:fld id="{4AAF6314-4271-4005-9E7A-3FB893547CF9}"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3-4F3C-47F5-BB9E-FED5FA569E47}"/>
                </c:ext>
              </c:extLst>
            </c:dLbl>
            <c:dLbl>
              <c:idx val="51"/>
              <c:tx>
                <c:rich>
                  <a:bodyPr/>
                  <a:lstStyle/>
                  <a:p>
                    <a:fld id="{9AD5A9E7-8B68-453D-812C-15D1FE4BF51D}"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4-4F3C-47F5-BB9E-FED5FA569E47}"/>
                </c:ext>
              </c:extLst>
            </c:dLbl>
            <c:dLbl>
              <c:idx val="52"/>
              <c:tx>
                <c:rich>
                  <a:bodyPr/>
                  <a:lstStyle/>
                  <a:p>
                    <a:fld id="{6E7F807C-FB3C-42F9-8770-DDF03E107B5A}"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5-4F3C-47F5-BB9E-FED5FA569E47}"/>
                </c:ext>
              </c:extLst>
            </c:dLbl>
            <c:dLbl>
              <c:idx val="53"/>
              <c:tx>
                <c:rich>
                  <a:bodyPr/>
                  <a:lstStyle/>
                  <a:p>
                    <a:fld id="{84AF5553-E0D7-4634-AC02-3D73C16A5D37}"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6-4F3C-47F5-BB9E-FED5FA569E47}"/>
                </c:ext>
              </c:extLst>
            </c:dLbl>
            <c:dLbl>
              <c:idx val="54"/>
              <c:tx>
                <c:rich>
                  <a:bodyPr/>
                  <a:lstStyle/>
                  <a:p>
                    <a:fld id="{F48554F8-519C-40B8-8662-586306F4DFE0}"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7-4F3C-47F5-BB9E-FED5FA569E47}"/>
                </c:ext>
              </c:extLst>
            </c:dLbl>
            <c:dLbl>
              <c:idx val="55"/>
              <c:tx>
                <c:rich>
                  <a:bodyPr/>
                  <a:lstStyle/>
                  <a:p>
                    <a:fld id="{BDC6630A-92B0-4645-A469-38AFD17EB6F6}"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8-4F3C-47F5-BB9E-FED5FA569E47}"/>
                </c:ext>
              </c:extLst>
            </c:dLbl>
            <c:dLbl>
              <c:idx val="56"/>
              <c:tx>
                <c:rich>
                  <a:bodyPr/>
                  <a:lstStyle/>
                  <a:p>
                    <a:fld id="{867B1125-0CB2-4C2B-AC2D-22E88451151C}"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9-4F3C-47F5-BB9E-FED5FA569E47}"/>
                </c:ext>
              </c:extLst>
            </c:dLbl>
            <c:dLbl>
              <c:idx val="57"/>
              <c:tx>
                <c:rich>
                  <a:bodyPr/>
                  <a:lstStyle/>
                  <a:p>
                    <a:fld id="{D1EB51A8-CB53-48F9-A81A-87E0D6D15540}"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A-4F3C-47F5-BB9E-FED5FA569E47}"/>
                </c:ext>
              </c:extLst>
            </c:dLbl>
            <c:dLbl>
              <c:idx val="58"/>
              <c:tx>
                <c:rich>
                  <a:bodyPr/>
                  <a:lstStyle/>
                  <a:p>
                    <a:fld id="{AEB83B2C-13FF-46C7-96DB-4610F14115D8}"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B-4F3C-47F5-BB9E-FED5FA569E47}"/>
                </c:ext>
              </c:extLst>
            </c:dLbl>
            <c:dLbl>
              <c:idx val="59"/>
              <c:tx>
                <c:rich>
                  <a:bodyPr/>
                  <a:lstStyle/>
                  <a:p>
                    <a:fld id="{0E2B96EC-416F-467B-A779-EE33A2F99AE6}"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C-4F3C-47F5-BB9E-FED5FA569E47}"/>
                </c:ext>
              </c:extLst>
            </c:dLbl>
            <c:dLbl>
              <c:idx val="60"/>
              <c:tx>
                <c:rich>
                  <a:bodyPr/>
                  <a:lstStyle/>
                  <a:p>
                    <a:fld id="{962B3527-CA63-40C4-9923-B59D2F6722C0}"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D-4F3C-47F5-BB9E-FED5FA569E47}"/>
                </c:ext>
              </c:extLst>
            </c:dLbl>
            <c:dLbl>
              <c:idx val="61"/>
              <c:tx>
                <c:rich>
                  <a:bodyPr/>
                  <a:lstStyle/>
                  <a:p>
                    <a:fld id="{14A2763C-BB9C-4FC7-9863-2640D0542C15}"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E-4F3C-47F5-BB9E-FED5FA569E47}"/>
                </c:ext>
              </c:extLst>
            </c:dLbl>
            <c:dLbl>
              <c:idx val="62"/>
              <c:tx>
                <c:rich>
                  <a:bodyPr/>
                  <a:lstStyle/>
                  <a:p>
                    <a:fld id="{BAF14554-F574-4819-86BE-13D985824A4B}"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F-4F3C-47F5-BB9E-FED5FA569E47}"/>
                </c:ext>
              </c:extLst>
            </c:dLbl>
            <c:dLbl>
              <c:idx val="63"/>
              <c:tx>
                <c:rich>
                  <a:bodyPr/>
                  <a:lstStyle/>
                  <a:p>
                    <a:fld id="{E6A00E5F-47A7-4707-B1F0-9486FBCA5261}"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0-4F3C-47F5-BB9E-FED5FA569E47}"/>
                </c:ext>
              </c:extLst>
            </c:dLbl>
            <c:dLbl>
              <c:idx val="64"/>
              <c:tx>
                <c:rich>
                  <a:bodyPr/>
                  <a:lstStyle/>
                  <a:p>
                    <a:fld id="{30C5191B-A068-4A4A-B090-8AD2D7CD844C}"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1-4F3C-47F5-BB9E-FED5FA569E47}"/>
                </c:ext>
              </c:extLst>
            </c:dLbl>
            <c:dLbl>
              <c:idx val="65"/>
              <c:tx>
                <c:rich>
                  <a:bodyPr/>
                  <a:lstStyle/>
                  <a:p>
                    <a:fld id="{30980623-1688-473A-99CC-CD8FFDFF1669}"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2-4F3C-47F5-BB9E-FED5FA569E47}"/>
                </c:ext>
              </c:extLst>
            </c:dLbl>
            <c:dLbl>
              <c:idx val="66"/>
              <c:tx>
                <c:rich>
                  <a:bodyPr/>
                  <a:lstStyle/>
                  <a:p>
                    <a:fld id="{2D0E9CC0-5A00-4B6E-B778-B942FF73278E}"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3-4F3C-47F5-BB9E-FED5FA569E47}"/>
                </c:ext>
              </c:extLst>
            </c:dLbl>
            <c:dLbl>
              <c:idx val="67"/>
              <c:tx>
                <c:rich>
                  <a:bodyPr/>
                  <a:lstStyle/>
                  <a:p>
                    <a:fld id="{1464FC10-F9EE-4D47-A2E9-5D732A72850B}"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4-4F3C-47F5-BB9E-FED5FA569E47}"/>
                </c:ext>
              </c:extLst>
            </c:dLbl>
            <c:dLbl>
              <c:idx val="68"/>
              <c:tx>
                <c:rich>
                  <a:bodyPr/>
                  <a:lstStyle/>
                  <a:p>
                    <a:fld id="{48CDC7D2-5FF0-4FA1-9711-8EB46B2862A2}"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5-4F3C-47F5-BB9E-FED5FA569E47}"/>
                </c:ext>
              </c:extLst>
            </c:dLbl>
            <c:dLbl>
              <c:idx val="69"/>
              <c:tx>
                <c:rich>
                  <a:bodyPr/>
                  <a:lstStyle/>
                  <a:p>
                    <a:fld id="{5D7E971F-D4EB-45ED-AAF3-18E7A85B3E68}"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6-4F3C-47F5-BB9E-FED5FA569E47}"/>
                </c:ext>
              </c:extLst>
            </c:dLbl>
            <c:dLbl>
              <c:idx val="70"/>
              <c:tx>
                <c:rich>
                  <a:bodyPr/>
                  <a:lstStyle/>
                  <a:p>
                    <a:fld id="{C94661CC-BE9A-430E-8EDF-A80801CEB27F}"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7-4F3C-47F5-BB9E-FED5FA569E47}"/>
                </c:ext>
              </c:extLst>
            </c:dLbl>
            <c:dLbl>
              <c:idx val="71"/>
              <c:tx>
                <c:rich>
                  <a:bodyPr/>
                  <a:lstStyle/>
                  <a:p>
                    <a:fld id="{70CBDE25-F4A6-477A-8B71-937B56081CEB}"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8-4F3C-47F5-BB9E-FED5FA569E47}"/>
                </c:ext>
              </c:extLst>
            </c:dLbl>
            <c:dLbl>
              <c:idx val="72"/>
              <c:tx>
                <c:rich>
                  <a:bodyPr/>
                  <a:lstStyle/>
                  <a:p>
                    <a:fld id="{BD515EBD-0E2F-480A-8637-42B51CA99A16}"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9-4F3C-47F5-BB9E-FED5FA569E47}"/>
                </c:ext>
              </c:extLst>
            </c:dLbl>
            <c:dLbl>
              <c:idx val="73"/>
              <c:tx>
                <c:rich>
                  <a:bodyPr/>
                  <a:lstStyle/>
                  <a:p>
                    <a:fld id="{F2207E98-552F-41C6-862B-F939CCB0D02A}"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A-4F3C-47F5-BB9E-FED5FA569E47}"/>
                </c:ext>
              </c:extLst>
            </c:dLbl>
            <c:dLbl>
              <c:idx val="74"/>
              <c:tx>
                <c:rich>
                  <a:bodyPr/>
                  <a:lstStyle/>
                  <a:p>
                    <a:fld id="{C1AE0171-E4D4-4970-B397-843A786B8E6F}"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F72B-4B28-BD67-7705B2CC1F60}"/>
                </c:ext>
              </c:extLst>
            </c:dLbl>
            <c:dLbl>
              <c:idx val="75"/>
              <c:tx>
                <c:rich>
                  <a:bodyPr/>
                  <a:lstStyle/>
                  <a:p>
                    <a:fld id="{A736D3C6-9EAF-4823-9E91-1067C63E402B}"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C-4F3C-47F5-BB9E-FED5FA569E47}"/>
                </c:ext>
              </c:extLst>
            </c:dLbl>
            <c:dLbl>
              <c:idx val="76"/>
              <c:tx>
                <c:rich>
                  <a:bodyPr/>
                  <a:lstStyle/>
                  <a:p>
                    <a:fld id="{3B50D2B0-F83D-48C5-A90A-1EFB92292D9C}"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D-4F3C-47F5-BB9E-FED5FA569E47}"/>
                </c:ext>
              </c:extLst>
            </c:dLbl>
            <c:dLbl>
              <c:idx val="77"/>
              <c:tx>
                <c:rich>
                  <a:bodyPr/>
                  <a:lstStyle/>
                  <a:p>
                    <a:fld id="{ECBDFB27-E993-40B7-BC9B-7F9177EE7199}"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E-4F3C-47F5-BB9E-FED5FA569E47}"/>
                </c:ext>
              </c:extLst>
            </c:dLbl>
            <c:dLbl>
              <c:idx val="78"/>
              <c:tx>
                <c:rich>
                  <a:bodyPr/>
                  <a:lstStyle/>
                  <a:p>
                    <a:fld id="{AB6551D2-9B67-4720-9DBC-634EF990C336}"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F-4F3C-47F5-BB9E-FED5FA569E47}"/>
                </c:ext>
              </c:extLst>
            </c:dLbl>
            <c:dLbl>
              <c:idx val="79"/>
              <c:tx>
                <c:rich>
                  <a:bodyPr/>
                  <a:lstStyle/>
                  <a:p>
                    <a:fld id="{7F097E44-CE9A-489E-B0FD-2493AECA50F9}"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5855-489E-B5BB-26EE067BDB3C}"/>
                </c:ext>
              </c:extLst>
            </c:dLbl>
            <c:dLbl>
              <c:idx val="80"/>
              <c:tx>
                <c:rich>
                  <a:bodyPr/>
                  <a:lstStyle/>
                  <a:p>
                    <a:fld id="{660A7477-A4D1-45B4-A6E5-851D7AAD223C}"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5855-489E-B5BB-26EE067BDB3C}"/>
                </c:ext>
              </c:extLst>
            </c:dLbl>
            <c:dLbl>
              <c:idx val="81"/>
              <c:tx>
                <c:rich>
                  <a:bodyPr/>
                  <a:lstStyle/>
                  <a:p>
                    <a:fld id="{102CC4B7-1893-40E2-BA72-06B527A00A05}"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5855-489E-B5BB-26EE067BDB3C}"/>
                </c:ext>
              </c:extLst>
            </c:dLbl>
            <c:dLbl>
              <c:idx val="82"/>
              <c:tx>
                <c:rich>
                  <a:bodyPr/>
                  <a:lstStyle/>
                  <a:p>
                    <a:fld id="{D1EBC4FE-455E-47A8-B0DC-7E0503FA0A11}"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5855-489E-B5BB-26EE067BDB3C}"/>
                </c:ext>
              </c:extLst>
            </c:dLbl>
            <c:dLbl>
              <c:idx val="83"/>
              <c:tx>
                <c:rich>
                  <a:bodyPr/>
                  <a:lstStyle/>
                  <a:p>
                    <a:fld id="{5532DB5E-8488-454F-9439-9A6A574B5A0C}"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5855-489E-B5BB-26EE067BDB3C}"/>
                </c:ext>
              </c:extLst>
            </c:dLbl>
            <c:dLbl>
              <c:idx val="84"/>
              <c:tx>
                <c:rich>
                  <a:bodyPr/>
                  <a:lstStyle/>
                  <a:p>
                    <a:fld id="{CC01511B-337B-43E1-BBB5-C14040F0C84F}"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5855-489E-B5BB-26EE067BDB3C}"/>
                </c:ext>
              </c:extLst>
            </c:dLbl>
            <c:dLbl>
              <c:idx val="85"/>
              <c:tx>
                <c:rich>
                  <a:bodyPr/>
                  <a:lstStyle/>
                  <a:p>
                    <a:fld id="{80D353BC-A708-427C-8168-23D0D3556755}"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5855-489E-B5BB-26EE067BDB3C}"/>
                </c:ext>
              </c:extLst>
            </c:dLbl>
            <c:dLbl>
              <c:idx val="86"/>
              <c:tx>
                <c:rich>
                  <a:bodyPr/>
                  <a:lstStyle/>
                  <a:p>
                    <a:fld id="{A6B12D1C-95BB-4A4F-81FA-371F9F8CA162}"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5855-489E-B5BB-26EE067BDB3C}"/>
                </c:ext>
              </c:extLst>
            </c:dLbl>
            <c:dLbl>
              <c:idx val="87"/>
              <c:tx>
                <c:rich>
                  <a:bodyPr/>
                  <a:lstStyle/>
                  <a:p>
                    <a:fld id="{E69623C0-F468-46B0-8ED0-C21D701A01B5}"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5855-489E-B5BB-26EE067BDB3C}"/>
                </c:ext>
              </c:extLst>
            </c:dLbl>
            <c:dLbl>
              <c:idx val="88"/>
              <c:tx>
                <c:rich>
                  <a:bodyPr/>
                  <a:lstStyle/>
                  <a:p>
                    <a:fld id="{BE3642F0-5819-487F-8345-2C4A40812E2B}"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5855-489E-B5BB-26EE067BDB3C}"/>
                </c:ext>
              </c:extLst>
            </c:dLbl>
            <c:dLbl>
              <c:idx val="89"/>
              <c:tx>
                <c:rich>
                  <a:bodyPr/>
                  <a:lstStyle/>
                  <a:p>
                    <a:fld id="{F7374BDA-F97E-4FE4-B908-10ADF9FE3D02}"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5855-489E-B5BB-26EE067BDB3C}"/>
                </c:ext>
              </c:extLst>
            </c:dLbl>
            <c:dLbl>
              <c:idx val="90"/>
              <c:tx>
                <c:rich>
                  <a:bodyPr/>
                  <a:lstStyle/>
                  <a:p>
                    <a:fld id="{B35CFF47-7B4E-4D99-957E-1BF3F3C7E0CF}"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5855-489E-B5BB-26EE067BDB3C}"/>
                </c:ext>
              </c:extLst>
            </c:dLbl>
            <c:dLbl>
              <c:idx val="91"/>
              <c:tx>
                <c:rich>
                  <a:bodyPr/>
                  <a:lstStyle/>
                  <a:p>
                    <a:fld id="{CD391892-8E5D-49B3-8B64-FEB08B019B6E}"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5855-489E-B5BB-26EE067BDB3C}"/>
                </c:ext>
              </c:extLst>
            </c:dLbl>
            <c:dLbl>
              <c:idx val="92"/>
              <c:tx>
                <c:rich>
                  <a:bodyPr/>
                  <a:lstStyle/>
                  <a:p>
                    <a:fld id="{B0605105-950E-49F7-B2AA-7EB7285C3902}"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5855-489E-B5BB-26EE067BDB3C}"/>
                </c:ext>
              </c:extLst>
            </c:dLbl>
            <c:dLbl>
              <c:idx val="93"/>
              <c:tx>
                <c:rich>
                  <a:bodyPr/>
                  <a:lstStyle/>
                  <a:p>
                    <a:fld id="{8AF0440D-D108-473C-B92E-8A3A31D575D7}"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5855-489E-B5BB-26EE067BDB3C}"/>
                </c:ext>
              </c:extLst>
            </c:dLbl>
            <c:dLbl>
              <c:idx val="94"/>
              <c:tx>
                <c:rich>
                  <a:bodyPr/>
                  <a:lstStyle/>
                  <a:p>
                    <a:fld id="{3DF4019F-5AB4-46D1-A5C1-A9EC61D80C6E}"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5855-489E-B5BB-26EE067BDB3C}"/>
                </c:ext>
              </c:extLst>
            </c:dLbl>
            <c:dLbl>
              <c:idx val="95"/>
              <c:tx>
                <c:rich>
                  <a:bodyPr/>
                  <a:lstStyle/>
                  <a:p>
                    <a:fld id="{1B44897B-A2E5-4D1E-83E7-407DF869BBA1}"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5855-489E-B5BB-26EE067BDB3C}"/>
                </c:ext>
              </c:extLst>
            </c:dLbl>
            <c:dLbl>
              <c:idx val="96"/>
              <c:tx>
                <c:rich>
                  <a:bodyPr/>
                  <a:lstStyle/>
                  <a:p>
                    <a:fld id="{EE5B40A3-6AC7-40F6-9CC9-2FA3D3309B56}"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5855-489E-B5BB-26EE067BDB3C}"/>
                </c:ext>
              </c:extLst>
            </c:dLbl>
            <c:dLbl>
              <c:idx val="97"/>
              <c:tx>
                <c:rich>
                  <a:bodyPr/>
                  <a:lstStyle/>
                  <a:p>
                    <a:fld id="{E0ADF502-2A4E-4A58-B294-7B027B457C5B}"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5855-489E-B5BB-26EE067BDB3C}"/>
                </c:ext>
              </c:extLst>
            </c:dLbl>
            <c:dLbl>
              <c:idx val="98"/>
              <c:tx>
                <c:rich>
                  <a:bodyPr/>
                  <a:lstStyle/>
                  <a:p>
                    <a:fld id="{AF1835CA-6B2F-40CE-8FCE-C3A79FB8636F}"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5855-489E-B5BB-26EE067BDB3C}"/>
                </c:ext>
              </c:extLst>
            </c:dLbl>
            <c:dLbl>
              <c:idx val="99"/>
              <c:tx>
                <c:rich>
                  <a:bodyPr/>
                  <a:lstStyle/>
                  <a:p>
                    <a:fld id="{DBF30E1D-D035-4638-8DC8-04ACD9F95373}"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4-5855-489E-B5BB-26EE067BDB3C}"/>
                </c:ext>
              </c:extLst>
            </c:dLbl>
            <c:dLbl>
              <c:idx val="100"/>
              <c:tx>
                <c:rich>
                  <a:bodyPr/>
                  <a:lstStyle/>
                  <a:p>
                    <a:fld id="{12F15C2D-722D-459A-885C-6298EADAF697}"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5855-489E-B5BB-26EE067BDB3C}"/>
                </c:ext>
              </c:extLst>
            </c:dLbl>
            <c:dLbl>
              <c:idx val="101"/>
              <c:tx>
                <c:rich>
                  <a:bodyPr/>
                  <a:lstStyle/>
                  <a:p>
                    <a:fld id="{F8DF9AF2-43F9-445F-A5D6-EBE9FDDC3437}"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6-5855-489E-B5BB-26EE067BDB3C}"/>
                </c:ext>
              </c:extLst>
            </c:dLbl>
            <c:dLbl>
              <c:idx val="102"/>
              <c:tx>
                <c:rich>
                  <a:bodyPr/>
                  <a:lstStyle/>
                  <a:p>
                    <a:fld id="{D4CEE40A-3432-49F6-937B-0D3F3ABED977}"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7-5855-489E-B5BB-26EE067BDB3C}"/>
                </c:ext>
              </c:extLst>
            </c:dLbl>
            <c:dLbl>
              <c:idx val="103"/>
              <c:tx>
                <c:rich>
                  <a:bodyPr/>
                  <a:lstStyle/>
                  <a:p>
                    <a:fld id="{0BD9BA6A-FF6A-47C3-98ED-5F709636202A}"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8-5855-489E-B5BB-26EE067BDB3C}"/>
                </c:ext>
              </c:extLst>
            </c:dLbl>
            <c:dLbl>
              <c:idx val="104"/>
              <c:tx>
                <c:rich>
                  <a:bodyPr/>
                  <a:lstStyle/>
                  <a:p>
                    <a:fld id="{6C96542C-8BCE-48FC-A080-E37CA8FF74DB}"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5855-489E-B5BB-26EE067BDB3C}"/>
                </c:ext>
              </c:extLst>
            </c:dLbl>
            <c:dLbl>
              <c:idx val="105"/>
              <c:tx>
                <c:rich>
                  <a:bodyPr/>
                  <a:lstStyle/>
                  <a:p>
                    <a:fld id="{C2598550-A63D-456D-9247-C0B7C2868B60}"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A-5855-489E-B5BB-26EE067BDB3C}"/>
                </c:ext>
              </c:extLst>
            </c:dLbl>
            <c:dLbl>
              <c:idx val="106"/>
              <c:tx>
                <c:rich>
                  <a:bodyPr/>
                  <a:lstStyle/>
                  <a:p>
                    <a:fld id="{57B86700-9686-4EFE-862B-065E72B55E43}"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5855-489E-B5BB-26EE067BDB3C}"/>
                </c:ext>
              </c:extLst>
            </c:dLbl>
            <c:dLbl>
              <c:idx val="107"/>
              <c:tx>
                <c:rich>
                  <a:bodyPr/>
                  <a:lstStyle/>
                  <a:p>
                    <a:fld id="{E1A6D42E-977F-4192-A78D-75A6335E2C22}"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C-5855-489E-B5BB-26EE067BDB3C}"/>
                </c:ext>
              </c:extLst>
            </c:dLbl>
            <c:dLbl>
              <c:idx val="108"/>
              <c:tx>
                <c:rich>
                  <a:bodyPr/>
                  <a:lstStyle/>
                  <a:p>
                    <a:fld id="{F49A1F8D-FF98-4082-94B7-8EFE5749CE63}"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D-5855-489E-B5BB-26EE067BDB3C}"/>
                </c:ext>
              </c:extLst>
            </c:dLbl>
            <c:dLbl>
              <c:idx val="109"/>
              <c:tx>
                <c:rich>
                  <a:bodyPr/>
                  <a:lstStyle/>
                  <a:p>
                    <a:fld id="{691FEFD8-6A99-4960-B177-E25DC05E3D13}"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E-5855-489E-B5BB-26EE067BDB3C}"/>
                </c:ext>
              </c:extLst>
            </c:dLbl>
            <c:dLbl>
              <c:idx val="110"/>
              <c:tx>
                <c:rich>
                  <a:bodyPr/>
                  <a:lstStyle/>
                  <a:p>
                    <a:fld id="{0932C553-E99E-4E71-BD00-BB70C945711D}"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F-5855-489E-B5BB-26EE067BDB3C}"/>
                </c:ext>
              </c:extLst>
            </c:dLbl>
            <c:dLbl>
              <c:idx val="111"/>
              <c:tx>
                <c:rich>
                  <a:bodyPr/>
                  <a:lstStyle/>
                  <a:p>
                    <a:fld id="{0BECEF6A-149A-429C-91EA-CAB28CEDC95F}"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0-5855-489E-B5BB-26EE067BDB3C}"/>
                </c:ext>
              </c:extLst>
            </c:dLbl>
            <c:dLbl>
              <c:idx val="112"/>
              <c:tx>
                <c:rich>
                  <a:bodyPr/>
                  <a:lstStyle/>
                  <a:p>
                    <a:fld id="{3F898FCB-9CF8-4EF5-9B2D-DF690196E01A}"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1-5855-489E-B5BB-26EE067BDB3C}"/>
                </c:ext>
              </c:extLst>
            </c:dLbl>
            <c:dLbl>
              <c:idx val="113"/>
              <c:tx>
                <c:rich>
                  <a:bodyPr/>
                  <a:lstStyle/>
                  <a:p>
                    <a:fld id="{0D02D97E-4FB3-4B76-89D3-9D3082C4F1D1}"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2-5855-489E-B5BB-26EE067BDB3C}"/>
                </c:ext>
              </c:extLst>
            </c:dLbl>
            <c:dLbl>
              <c:idx val="114"/>
              <c:tx>
                <c:rich>
                  <a:bodyPr/>
                  <a:lstStyle/>
                  <a:p>
                    <a:fld id="{28924C22-9585-4E5A-9C07-C741B737D54B}"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3-5855-489E-B5BB-26EE067BDB3C}"/>
                </c:ext>
              </c:extLst>
            </c:dLbl>
            <c:dLbl>
              <c:idx val="115"/>
              <c:tx>
                <c:rich>
                  <a:bodyPr/>
                  <a:lstStyle/>
                  <a:p>
                    <a:fld id="{4A05E832-8CDD-45A7-9B59-60A4EC82737F}"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4-5855-489E-B5BB-26EE067BDB3C}"/>
                </c:ext>
              </c:extLst>
            </c:dLbl>
            <c:dLbl>
              <c:idx val="116"/>
              <c:tx>
                <c:rich>
                  <a:bodyPr/>
                  <a:lstStyle/>
                  <a:p>
                    <a:fld id="{9132E261-50DC-47F0-8F68-B23397D145E2}"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5-5855-489E-B5BB-26EE067BDB3C}"/>
                </c:ext>
              </c:extLst>
            </c:dLbl>
            <c:dLbl>
              <c:idx val="117"/>
              <c:tx>
                <c:rich>
                  <a:bodyPr/>
                  <a:lstStyle/>
                  <a:p>
                    <a:fld id="{DE4F0609-D327-4E85-A72D-D16C5D117C6E}"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C110-4146-88D1-7D9FAAADAC99}"/>
                </c:ext>
              </c:extLst>
            </c:dLbl>
            <c:dLbl>
              <c:idx val="118"/>
              <c:tx>
                <c:rich>
                  <a:bodyPr/>
                  <a:lstStyle/>
                  <a:p>
                    <a:fld id="{FA41FB2F-214B-44FF-B7B7-53E36BBBE8F1}"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C110-4146-88D1-7D9FAAADAC99}"/>
                </c:ext>
              </c:extLst>
            </c:dLbl>
            <c:dLbl>
              <c:idx val="119"/>
              <c:tx>
                <c:rich>
                  <a:bodyPr/>
                  <a:lstStyle/>
                  <a:p>
                    <a:fld id="{BB03ACBC-33A4-48AC-BFBA-6E704DD38A68}"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C110-4146-88D1-7D9FAAADAC99}"/>
                </c:ext>
              </c:extLst>
            </c:dLbl>
            <c:dLbl>
              <c:idx val="120"/>
              <c:tx>
                <c:rich>
                  <a:bodyPr/>
                  <a:lstStyle/>
                  <a:p>
                    <a:fld id="{753DD8C6-E1FF-48FB-A538-A9A547EDE078}"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C110-4146-88D1-7D9FAAADAC99}"/>
                </c:ext>
              </c:extLst>
            </c:dLbl>
            <c:dLbl>
              <c:idx val="121"/>
              <c:tx>
                <c:rich>
                  <a:bodyPr/>
                  <a:lstStyle/>
                  <a:p>
                    <a:fld id="{168D750A-50E4-45FB-88A4-144085F43A6D}"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C110-4146-88D1-7D9FAAADAC99}"/>
                </c:ext>
              </c:extLst>
            </c:dLbl>
            <c:dLbl>
              <c:idx val="122"/>
              <c:tx>
                <c:rich>
                  <a:bodyPr/>
                  <a:lstStyle/>
                  <a:p>
                    <a:fld id="{592ABA5D-CBAA-48A6-B1C5-611880E843BE}"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C110-4146-88D1-7D9FAAADAC99}"/>
                </c:ext>
              </c:extLst>
            </c:dLbl>
            <c:dLbl>
              <c:idx val="123"/>
              <c:tx>
                <c:rich>
                  <a:bodyPr/>
                  <a:lstStyle/>
                  <a:p>
                    <a:fld id="{CA7EDAAB-ECFD-406C-A035-AA73C20C3A95}"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C110-4146-88D1-7D9FAAADAC99}"/>
                </c:ext>
              </c:extLst>
            </c:dLbl>
            <c:dLbl>
              <c:idx val="124"/>
              <c:tx>
                <c:rich>
                  <a:bodyPr/>
                  <a:lstStyle/>
                  <a:p>
                    <a:fld id="{445D2818-CA4F-44E0-B3D8-05209C457A7E}"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C110-4146-88D1-7D9FAAADAC99}"/>
                </c:ext>
              </c:extLst>
            </c:dLbl>
            <c:dLbl>
              <c:idx val="125"/>
              <c:tx>
                <c:rich>
                  <a:bodyPr/>
                  <a:lstStyle/>
                  <a:p>
                    <a:fld id="{1A46F8EC-EEC9-4EB4-B800-5521AD1C24B6}"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C110-4146-88D1-7D9FAAADAC99}"/>
                </c:ext>
              </c:extLst>
            </c:dLbl>
            <c:dLbl>
              <c:idx val="126"/>
              <c:tx>
                <c:rich>
                  <a:bodyPr/>
                  <a:lstStyle/>
                  <a:p>
                    <a:fld id="{C66AB1A2-9407-4335-AFC1-7480DC353F8C}"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C110-4146-88D1-7D9FAAADAC99}"/>
                </c:ext>
              </c:extLst>
            </c:dLbl>
            <c:dLbl>
              <c:idx val="127"/>
              <c:tx>
                <c:rich>
                  <a:bodyPr/>
                  <a:lstStyle/>
                  <a:p>
                    <a:fld id="{15045603-AE4A-4268-BC1B-1563DD04FC01}"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C110-4146-88D1-7D9FAAADAC99}"/>
                </c:ext>
              </c:extLst>
            </c:dLbl>
            <c:dLbl>
              <c:idx val="128"/>
              <c:tx>
                <c:rich>
                  <a:bodyPr/>
                  <a:lstStyle/>
                  <a:p>
                    <a:fld id="{8CE2C261-94BC-4C61-B001-2DAE0E8FE9CA}"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C110-4146-88D1-7D9FAAADAC99}"/>
                </c:ext>
              </c:extLst>
            </c:dLbl>
            <c:dLbl>
              <c:idx val="129"/>
              <c:tx>
                <c:rich>
                  <a:bodyPr/>
                  <a:lstStyle/>
                  <a:p>
                    <a:fld id="{9480B2B2-FBB0-49F7-8EDC-81F436A9E11C}"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C110-4146-88D1-7D9FAAADAC99}"/>
                </c:ext>
              </c:extLst>
            </c:dLbl>
            <c:dLbl>
              <c:idx val="130"/>
              <c:tx>
                <c:rich>
                  <a:bodyPr/>
                  <a:lstStyle/>
                  <a:p>
                    <a:fld id="{C251219E-31CE-46FF-8DD2-14F2D1FB952B}"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C110-4146-88D1-7D9FAAADAC99}"/>
                </c:ext>
              </c:extLst>
            </c:dLbl>
            <c:dLbl>
              <c:idx val="131"/>
              <c:tx>
                <c:rich>
                  <a:bodyPr/>
                  <a:lstStyle/>
                  <a:p>
                    <a:fld id="{082A9D3C-4F10-4FCB-80FD-FD3732E15CC7}"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C110-4146-88D1-7D9FAAADAC99}"/>
                </c:ext>
              </c:extLst>
            </c:dLbl>
            <c:dLbl>
              <c:idx val="132"/>
              <c:tx>
                <c:rich>
                  <a:bodyPr/>
                  <a:lstStyle/>
                  <a:p>
                    <a:fld id="{D91EC61C-15DC-43B3-AC0B-BB21150A1876}"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C110-4146-88D1-7D9FAAADAC99}"/>
                </c:ext>
              </c:extLst>
            </c:dLbl>
            <c:dLbl>
              <c:idx val="133"/>
              <c:tx>
                <c:rich>
                  <a:bodyPr/>
                  <a:lstStyle/>
                  <a:p>
                    <a:fld id="{FC54569F-D913-4F44-83FC-1D2EC12E204F}"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C110-4146-88D1-7D9FAAADAC99}"/>
                </c:ext>
              </c:extLst>
            </c:dLbl>
            <c:dLbl>
              <c:idx val="134"/>
              <c:tx>
                <c:rich>
                  <a:bodyPr/>
                  <a:lstStyle/>
                  <a:p>
                    <a:fld id="{28E131D8-1DAA-45A5-802A-615D3810750C}"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C110-4146-88D1-7D9FAAADAC99}"/>
                </c:ext>
              </c:extLst>
            </c:dLbl>
            <c:dLbl>
              <c:idx val="135"/>
              <c:tx>
                <c:rich>
                  <a:bodyPr/>
                  <a:lstStyle/>
                  <a:p>
                    <a:fld id="{E8212713-F8A6-45B2-AF24-49B8F601DD63}"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C110-4146-88D1-7D9FAAADAC99}"/>
                </c:ext>
              </c:extLst>
            </c:dLbl>
            <c:dLbl>
              <c:idx val="136"/>
              <c:tx>
                <c:rich>
                  <a:bodyPr/>
                  <a:lstStyle/>
                  <a:p>
                    <a:fld id="{6D048BDD-AF9B-43F1-98B3-BCBE4D005463}"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C110-4146-88D1-7D9FAAADAC99}"/>
                </c:ext>
              </c:extLst>
            </c:dLbl>
            <c:dLbl>
              <c:idx val="137"/>
              <c:tx>
                <c:rich>
                  <a:bodyPr/>
                  <a:lstStyle/>
                  <a:p>
                    <a:fld id="{53AA65A8-CA74-406E-9A49-29409B80B259}"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4-C110-4146-88D1-7D9FAAADAC99}"/>
                </c:ext>
              </c:extLst>
            </c:dLbl>
            <c:dLbl>
              <c:idx val="138"/>
              <c:tx>
                <c:rich>
                  <a:bodyPr/>
                  <a:lstStyle/>
                  <a:p>
                    <a:fld id="{250D2AE8-A50E-4B63-B908-F626ACBE879E}"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C110-4146-88D1-7D9FAAADAC99}"/>
                </c:ext>
              </c:extLst>
            </c:dLbl>
            <c:dLbl>
              <c:idx val="139"/>
              <c:tx>
                <c:rich>
                  <a:bodyPr/>
                  <a:lstStyle/>
                  <a:p>
                    <a:fld id="{0066456C-2439-4CF9-8357-D30B2E596D42}"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6-C110-4146-88D1-7D9FAAADAC99}"/>
                </c:ext>
              </c:extLst>
            </c:dLbl>
            <c:dLbl>
              <c:idx val="140"/>
              <c:tx>
                <c:rich>
                  <a:bodyPr/>
                  <a:lstStyle/>
                  <a:p>
                    <a:fld id="{66F1D7AE-608E-45FD-A9BF-8251B5E5507B}"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7-C110-4146-88D1-7D9FAAADAC99}"/>
                </c:ext>
              </c:extLst>
            </c:dLbl>
            <c:dLbl>
              <c:idx val="141"/>
              <c:tx>
                <c:rich>
                  <a:bodyPr/>
                  <a:lstStyle/>
                  <a:p>
                    <a:fld id="{42F8CE76-5463-4306-9FFC-D5A17108A472}"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8-C110-4146-88D1-7D9FAAADAC99}"/>
                </c:ext>
              </c:extLst>
            </c:dLbl>
            <c:dLbl>
              <c:idx val="142"/>
              <c:tx>
                <c:rich>
                  <a:bodyPr/>
                  <a:lstStyle/>
                  <a:p>
                    <a:fld id="{B93DF07A-ADC6-4685-9760-98D978261BC1}"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C110-4146-88D1-7D9FAAADAC99}"/>
                </c:ext>
              </c:extLst>
            </c:dLbl>
            <c:dLbl>
              <c:idx val="143"/>
              <c:tx>
                <c:rich>
                  <a:bodyPr/>
                  <a:lstStyle/>
                  <a:p>
                    <a:fld id="{15652D8D-D290-45CB-96EE-9FA29470BC28}"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A-C110-4146-88D1-7D9FAAADAC99}"/>
                </c:ext>
              </c:extLst>
            </c:dLbl>
            <c:dLbl>
              <c:idx val="144"/>
              <c:tx>
                <c:rich>
                  <a:bodyPr/>
                  <a:lstStyle/>
                  <a:p>
                    <a:fld id="{C34C7D37-C0A9-4DB9-8093-7E92E7A5E174}"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C110-4146-88D1-7D9FAAADAC99}"/>
                </c:ext>
              </c:extLst>
            </c:dLbl>
            <c:dLbl>
              <c:idx val="145"/>
              <c:tx>
                <c:rich>
                  <a:bodyPr/>
                  <a:lstStyle/>
                  <a:p>
                    <a:fld id="{E0D7688E-592C-4A9C-92E6-F537076C6819}"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C-C110-4146-88D1-7D9FAAADAC99}"/>
                </c:ext>
              </c:extLst>
            </c:dLbl>
            <c:dLbl>
              <c:idx val="146"/>
              <c:tx>
                <c:rich>
                  <a:bodyPr/>
                  <a:lstStyle/>
                  <a:p>
                    <a:fld id="{04945A43-1958-4D3E-96AD-3297539DA9B1}"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D-C110-4146-88D1-7D9FAAADAC99}"/>
                </c:ext>
              </c:extLst>
            </c:dLbl>
            <c:dLbl>
              <c:idx val="147"/>
              <c:tx>
                <c:rich>
                  <a:bodyPr/>
                  <a:lstStyle/>
                  <a:p>
                    <a:fld id="{9B2C661A-CABD-4C33-9F91-681F937DBA92}"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E-C110-4146-88D1-7D9FAAADAC99}"/>
                </c:ext>
              </c:extLst>
            </c:dLbl>
            <c:dLbl>
              <c:idx val="148"/>
              <c:tx>
                <c:rich>
                  <a:bodyPr/>
                  <a:lstStyle/>
                  <a:p>
                    <a:fld id="{C07E0FB2-D629-4290-9C49-D1F131D3D95D}"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F-C110-4146-88D1-7D9FAAADAC99}"/>
                </c:ext>
              </c:extLst>
            </c:dLbl>
            <c:dLbl>
              <c:idx val="149"/>
              <c:tx>
                <c:rich>
                  <a:bodyPr/>
                  <a:lstStyle/>
                  <a:p>
                    <a:fld id="{D47838BE-7220-4FC4-8DFF-6CDA59E52661}"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0-C110-4146-88D1-7D9FAAADAC99}"/>
                </c:ext>
              </c:extLst>
            </c:dLbl>
            <c:dLbl>
              <c:idx val="150"/>
              <c:tx>
                <c:rich>
                  <a:bodyPr/>
                  <a:lstStyle/>
                  <a:p>
                    <a:fld id="{79808A26-7363-4F1C-ADC5-7024A084C449}"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1-C110-4146-88D1-7D9FAAADAC99}"/>
                </c:ext>
              </c:extLst>
            </c:dLbl>
            <c:dLbl>
              <c:idx val="151"/>
              <c:tx>
                <c:rich>
                  <a:bodyPr/>
                  <a:lstStyle/>
                  <a:p>
                    <a:fld id="{ADA14149-1597-459C-BA23-0FD970C03204}"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2-C110-4146-88D1-7D9FAAADAC99}"/>
                </c:ext>
              </c:extLst>
            </c:dLbl>
            <c:dLbl>
              <c:idx val="152"/>
              <c:tx>
                <c:rich>
                  <a:bodyPr/>
                  <a:lstStyle/>
                  <a:p>
                    <a:fld id="{A315CE1B-24B8-4DB8-A778-DB05BF1AF44E}"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3-C110-4146-88D1-7D9FAAADAC99}"/>
                </c:ext>
              </c:extLst>
            </c:dLbl>
            <c:dLbl>
              <c:idx val="153"/>
              <c:tx>
                <c:rich>
                  <a:bodyPr/>
                  <a:lstStyle/>
                  <a:p>
                    <a:fld id="{973A23C1-540A-408E-AE61-564F84B21612}"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4-C110-4146-88D1-7D9FAAADAC99}"/>
                </c:ext>
              </c:extLst>
            </c:dLbl>
            <c:dLbl>
              <c:idx val="154"/>
              <c:tx>
                <c:rich>
                  <a:bodyPr/>
                  <a:lstStyle/>
                  <a:p>
                    <a:fld id="{DF51C905-3704-4089-9670-7458A98ED60D}"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5-C110-4146-88D1-7D9FAAADAC99}"/>
                </c:ext>
              </c:extLst>
            </c:dLbl>
            <c:dLbl>
              <c:idx val="155"/>
              <c:tx>
                <c:rich>
                  <a:bodyPr/>
                  <a:lstStyle/>
                  <a:p>
                    <a:fld id="{63205AC9-A38F-49E0-9439-5A12886AB5F9}"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6-C110-4146-88D1-7D9FAAADAC99}"/>
                </c:ext>
              </c:extLst>
            </c:dLbl>
            <c:dLbl>
              <c:idx val="156"/>
              <c:tx>
                <c:rich>
                  <a:bodyPr/>
                  <a:lstStyle/>
                  <a:p>
                    <a:fld id="{CC51F544-2CF3-4464-884A-4FF837D93FF7}"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7-C110-4146-88D1-7D9FAAADAC99}"/>
                </c:ext>
              </c:extLst>
            </c:dLbl>
            <c:dLbl>
              <c:idx val="157"/>
              <c:tx>
                <c:rich>
                  <a:bodyPr/>
                  <a:lstStyle/>
                  <a:p>
                    <a:fld id="{7F415BF7-088A-4F97-B79F-B6BC438EBDEF}"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8-C110-4146-88D1-7D9FAAADAC99}"/>
                </c:ext>
              </c:extLst>
            </c:dLbl>
            <c:dLbl>
              <c:idx val="158"/>
              <c:tx>
                <c:rich>
                  <a:bodyPr/>
                  <a:lstStyle/>
                  <a:p>
                    <a:fld id="{8542EDD2-AF07-45F2-A884-744626FCC1EB}"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9-C110-4146-88D1-7D9FAAADAC99}"/>
                </c:ext>
              </c:extLst>
            </c:dLbl>
            <c:dLbl>
              <c:idx val="159"/>
              <c:tx>
                <c:rich>
                  <a:bodyPr/>
                  <a:lstStyle/>
                  <a:p>
                    <a:fld id="{FACD90B0-CE11-48F4-A495-1A3C8D9C7469}"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A-C110-4146-88D1-7D9FAAADAC99}"/>
                </c:ext>
              </c:extLst>
            </c:dLbl>
            <c:dLbl>
              <c:idx val="160"/>
              <c:tx>
                <c:rich>
                  <a:bodyPr/>
                  <a:lstStyle/>
                  <a:p>
                    <a:fld id="{8B38A63C-17BA-40EE-AF0D-AAD388FE78D4}"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B-C110-4146-88D1-7D9FAAADAC99}"/>
                </c:ext>
              </c:extLst>
            </c:dLbl>
            <c:dLbl>
              <c:idx val="161"/>
              <c:tx>
                <c:rich>
                  <a:bodyPr/>
                  <a:lstStyle/>
                  <a:p>
                    <a:fld id="{45E40983-C426-4E23-8509-1B06443FECEC}"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C-C110-4146-88D1-7D9FAAADAC99}"/>
                </c:ext>
              </c:extLst>
            </c:dLbl>
            <c:dLbl>
              <c:idx val="162"/>
              <c:tx>
                <c:rich>
                  <a:bodyPr/>
                  <a:lstStyle/>
                  <a:p>
                    <a:fld id="{6DBA6702-DFCB-4650-A01C-966F38ECCB50}"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D-C110-4146-88D1-7D9FAAADAC99}"/>
                </c:ext>
              </c:extLst>
            </c:dLbl>
            <c:dLbl>
              <c:idx val="163"/>
              <c:tx>
                <c:rich>
                  <a:bodyPr/>
                  <a:lstStyle/>
                  <a:p>
                    <a:fld id="{1DA40251-8888-420C-8FA1-A3DE409E7104}"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E-C110-4146-88D1-7D9FAAADAC99}"/>
                </c:ext>
              </c:extLst>
            </c:dLbl>
            <c:dLbl>
              <c:idx val="164"/>
              <c:tx>
                <c:rich>
                  <a:bodyPr/>
                  <a:lstStyle/>
                  <a:p>
                    <a:fld id="{E0CC8049-7EB3-45ED-86C4-7C52D418314E}"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F-C110-4146-88D1-7D9FAAADAC99}"/>
                </c:ext>
              </c:extLst>
            </c:dLbl>
            <c:dLbl>
              <c:idx val="165"/>
              <c:tx>
                <c:rich>
                  <a:bodyPr/>
                  <a:lstStyle/>
                  <a:p>
                    <a:fld id="{9C9215F5-6038-45FE-B5E7-18A65E77BAC9}"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0-C110-4146-88D1-7D9FAAADAC99}"/>
                </c:ext>
              </c:extLst>
            </c:dLbl>
            <c:dLbl>
              <c:idx val="166"/>
              <c:tx>
                <c:rich>
                  <a:bodyPr/>
                  <a:lstStyle/>
                  <a:p>
                    <a:fld id="{9DA4D8C0-5EC3-414A-9815-D2478E8C27DD}"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1-C110-4146-88D1-7D9FAAADAC99}"/>
                </c:ext>
              </c:extLst>
            </c:dLbl>
            <c:dLbl>
              <c:idx val="167"/>
              <c:tx>
                <c:rich>
                  <a:bodyPr/>
                  <a:lstStyle/>
                  <a:p>
                    <a:fld id="{B9F97682-4E3E-4879-B118-77EA190A4EEC}"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2-C110-4146-88D1-7D9FAAADAC99}"/>
                </c:ext>
              </c:extLst>
            </c:dLbl>
            <c:dLbl>
              <c:idx val="168"/>
              <c:tx>
                <c:rich>
                  <a:bodyPr/>
                  <a:lstStyle/>
                  <a:p>
                    <a:fld id="{A37A0821-D1F5-44C8-9734-13268E5639A4}"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3-C110-4146-88D1-7D9FAAADAC99}"/>
                </c:ext>
              </c:extLst>
            </c:dLbl>
            <c:dLbl>
              <c:idx val="169"/>
              <c:tx>
                <c:rich>
                  <a:bodyPr/>
                  <a:lstStyle/>
                  <a:p>
                    <a:fld id="{C7B0FB47-06A9-44B6-8507-21672CDCFE34}"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4-C110-4146-88D1-7D9FAAADAC99}"/>
                </c:ext>
              </c:extLst>
            </c:dLbl>
            <c:dLbl>
              <c:idx val="170"/>
              <c:tx>
                <c:rich>
                  <a:bodyPr/>
                  <a:lstStyle/>
                  <a:p>
                    <a:fld id="{E42E81BA-E7B6-4324-A272-81E2DF33D265}"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5-C110-4146-88D1-7D9FAAADAC99}"/>
                </c:ext>
              </c:extLst>
            </c:dLbl>
            <c:dLbl>
              <c:idx val="171"/>
              <c:tx>
                <c:rich>
                  <a:bodyPr/>
                  <a:lstStyle/>
                  <a:p>
                    <a:fld id="{B4902F46-3AA3-4559-9BD1-163B4CC6D2B6}"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6-C110-4146-88D1-7D9FAAADAC99}"/>
                </c:ext>
              </c:extLst>
            </c:dLbl>
            <c:dLbl>
              <c:idx val="172"/>
              <c:tx>
                <c:rich>
                  <a:bodyPr/>
                  <a:lstStyle/>
                  <a:p>
                    <a:fld id="{05E63D7F-DCC3-4967-BA2D-5B7D67B324E8}"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7-C110-4146-88D1-7D9FAAADAC99}"/>
                </c:ext>
              </c:extLst>
            </c:dLbl>
            <c:dLbl>
              <c:idx val="173"/>
              <c:tx>
                <c:rich>
                  <a:bodyPr/>
                  <a:lstStyle/>
                  <a:p>
                    <a:fld id="{7E566469-243C-4634-BB09-1A607DBC14A9}"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8-C110-4146-88D1-7D9FAAADAC99}"/>
                </c:ext>
              </c:extLst>
            </c:dLbl>
            <c:dLbl>
              <c:idx val="174"/>
              <c:tx>
                <c:rich>
                  <a:bodyPr/>
                  <a:lstStyle/>
                  <a:p>
                    <a:fld id="{AA469A5C-4582-42FB-94F1-21FACB617ABE}"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9-C110-4146-88D1-7D9FAAADAC99}"/>
                </c:ext>
              </c:extLst>
            </c:dLbl>
            <c:dLbl>
              <c:idx val="175"/>
              <c:tx>
                <c:rich>
                  <a:bodyPr/>
                  <a:lstStyle/>
                  <a:p>
                    <a:fld id="{27127510-2B6B-4294-A22B-AF2BBFD6B366}"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A-C110-4146-88D1-7D9FAAADAC99}"/>
                </c:ext>
              </c:extLst>
            </c:dLbl>
            <c:dLbl>
              <c:idx val="176"/>
              <c:tx>
                <c:rich>
                  <a:bodyPr/>
                  <a:lstStyle/>
                  <a:p>
                    <a:fld id="{B167FBDD-8DC4-4F9A-B9DE-6489F66F8D0F}"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B-C110-4146-88D1-7D9FAAADAC99}"/>
                </c:ext>
              </c:extLst>
            </c:dLbl>
            <c:dLbl>
              <c:idx val="177"/>
              <c:tx>
                <c:rich>
                  <a:bodyPr/>
                  <a:lstStyle/>
                  <a:p>
                    <a:fld id="{573D81A4-F9EE-405D-BEBD-FA86694D1946}"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C-C110-4146-88D1-7D9FAAADAC99}"/>
                </c:ext>
              </c:extLst>
            </c:dLbl>
            <c:dLbl>
              <c:idx val="178"/>
              <c:tx>
                <c:rich>
                  <a:bodyPr/>
                  <a:lstStyle/>
                  <a:p>
                    <a:fld id="{B7E7E178-4C52-40EE-B7D4-213E0F2F59FC}"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D-C110-4146-88D1-7D9FAAADAC99}"/>
                </c:ext>
              </c:extLst>
            </c:dLbl>
            <c:dLbl>
              <c:idx val="179"/>
              <c:tx>
                <c:rich>
                  <a:bodyPr/>
                  <a:lstStyle/>
                  <a:p>
                    <a:fld id="{D0D15685-1AD5-433E-8485-8EC553651A8E}"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E-C110-4146-88D1-7D9FAAADAC99}"/>
                </c:ext>
              </c:extLst>
            </c:dLbl>
            <c:dLbl>
              <c:idx val="180"/>
              <c:tx>
                <c:rich>
                  <a:bodyPr/>
                  <a:lstStyle/>
                  <a:p>
                    <a:fld id="{2187950F-1F6D-4201-B21A-BE12AE488321}"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F-C110-4146-88D1-7D9FAAADAC99}"/>
                </c:ext>
              </c:extLst>
            </c:dLbl>
            <c:dLbl>
              <c:idx val="181"/>
              <c:tx>
                <c:rich>
                  <a:bodyPr/>
                  <a:lstStyle/>
                  <a:p>
                    <a:fld id="{2F807CC7-6F56-4749-951B-54F51CEFD313}"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0-C110-4146-88D1-7D9FAAADAC99}"/>
                </c:ext>
              </c:extLst>
            </c:dLbl>
            <c:dLbl>
              <c:idx val="182"/>
              <c:tx>
                <c:rich>
                  <a:bodyPr/>
                  <a:lstStyle/>
                  <a:p>
                    <a:fld id="{EDEDA5D0-89AF-42C8-982C-6B314CDB1045}"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1-C110-4146-88D1-7D9FAAADAC99}"/>
                </c:ext>
              </c:extLst>
            </c:dLbl>
            <c:dLbl>
              <c:idx val="183"/>
              <c:tx>
                <c:rich>
                  <a:bodyPr/>
                  <a:lstStyle/>
                  <a:p>
                    <a:fld id="{CDCCF40C-54F6-40F3-8E70-A94C3FC0E8C7}"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2-C110-4146-88D1-7D9FAAADAC99}"/>
                </c:ext>
              </c:extLst>
            </c:dLbl>
            <c:dLbl>
              <c:idx val="184"/>
              <c:tx>
                <c:rich>
                  <a:bodyPr/>
                  <a:lstStyle/>
                  <a:p>
                    <a:fld id="{4E1DA23F-3243-4E3D-8965-615FBA7B9E24}"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3-C110-4146-88D1-7D9FAAADAC99}"/>
                </c:ext>
              </c:extLst>
            </c:dLbl>
            <c:dLbl>
              <c:idx val="185"/>
              <c:tx>
                <c:rich>
                  <a:bodyPr/>
                  <a:lstStyle/>
                  <a:p>
                    <a:fld id="{B4F86668-1D46-4729-BCEE-3188E016D793}"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4-C110-4146-88D1-7D9FAAADAC99}"/>
                </c:ext>
              </c:extLst>
            </c:dLbl>
            <c:dLbl>
              <c:idx val="186"/>
              <c:tx>
                <c:rich>
                  <a:bodyPr/>
                  <a:lstStyle/>
                  <a:p>
                    <a:fld id="{B6479E0A-BFB5-4D1C-88B8-BD41ACFD2641}"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5-C110-4146-88D1-7D9FAAADAC99}"/>
                </c:ext>
              </c:extLst>
            </c:dLbl>
            <c:dLbl>
              <c:idx val="187"/>
              <c:tx>
                <c:rich>
                  <a:bodyPr/>
                  <a:lstStyle/>
                  <a:p>
                    <a:fld id="{455222C5-F5D0-41BD-A408-0BACD57A220A}"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6-C110-4146-88D1-7D9FAAADAC99}"/>
                </c:ext>
              </c:extLst>
            </c:dLbl>
            <c:dLbl>
              <c:idx val="188"/>
              <c:tx>
                <c:rich>
                  <a:bodyPr/>
                  <a:lstStyle/>
                  <a:p>
                    <a:fld id="{8FD4942B-B2DE-4308-A761-719EFA2D8F68}"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7-C110-4146-88D1-7D9FAAADAC99}"/>
                </c:ext>
              </c:extLst>
            </c:dLbl>
            <c:dLbl>
              <c:idx val="189"/>
              <c:tx>
                <c:rich>
                  <a:bodyPr/>
                  <a:lstStyle/>
                  <a:p>
                    <a:fld id="{4E49CE8B-BD8F-48D8-95AE-93779B8529B5}"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8-C110-4146-88D1-7D9FAAADAC99}"/>
                </c:ext>
              </c:extLst>
            </c:dLbl>
            <c:dLbl>
              <c:idx val="190"/>
              <c:tx>
                <c:rich>
                  <a:bodyPr/>
                  <a:lstStyle/>
                  <a:p>
                    <a:fld id="{3185E9BD-3276-4F53-9F33-8B87BC6E228F}"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9-C110-4146-88D1-7D9FAAADAC99}"/>
                </c:ext>
              </c:extLst>
            </c:dLbl>
            <c:dLbl>
              <c:idx val="191"/>
              <c:tx>
                <c:rich>
                  <a:bodyPr/>
                  <a:lstStyle/>
                  <a:p>
                    <a:fld id="{281AA197-DF94-4034-9483-700A81A8D945}"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A-C110-4146-88D1-7D9FAAADAC99}"/>
                </c:ext>
              </c:extLst>
            </c:dLbl>
            <c:dLbl>
              <c:idx val="192"/>
              <c:tx>
                <c:rich>
                  <a:bodyPr/>
                  <a:lstStyle/>
                  <a:p>
                    <a:fld id="{C66C2699-27FC-4D72-A2D2-F6306AFBDB96}"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B-C110-4146-88D1-7D9FAAADAC99}"/>
                </c:ext>
              </c:extLst>
            </c:dLbl>
            <c:dLbl>
              <c:idx val="193"/>
              <c:tx>
                <c:rich>
                  <a:bodyPr/>
                  <a:lstStyle/>
                  <a:p>
                    <a:fld id="{2C5CEB44-55BD-4713-A22E-1737670CC48F}"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C-C110-4146-88D1-7D9FAAADAC99}"/>
                </c:ext>
              </c:extLst>
            </c:dLbl>
            <c:dLbl>
              <c:idx val="194"/>
              <c:tx>
                <c:rich>
                  <a:bodyPr/>
                  <a:lstStyle/>
                  <a:p>
                    <a:fld id="{E667F8DD-2EFE-4B14-965B-B53FF87A476B}"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D-C110-4146-88D1-7D9FAAADAC99}"/>
                </c:ext>
              </c:extLst>
            </c:dLbl>
            <c:dLbl>
              <c:idx val="195"/>
              <c:tx>
                <c:rich>
                  <a:bodyPr/>
                  <a:lstStyle/>
                  <a:p>
                    <a:fld id="{4A7BC780-0854-4162-AA65-DDFF7A39E5CD}"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E-C110-4146-88D1-7D9FAAADAC99}"/>
                </c:ext>
              </c:extLst>
            </c:dLbl>
            <c:dLbl>
              <c:idx val="196"/>
              <c:tx>
                <c:rich>
                  <a:bodyPr/>
                  <a:lstStyle/>
                  <a:p>
                    <a:fld id="{AFE23A3A-A1EF-4F48-8A9A-D647B632ABEC}"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F-C110-4146-88D1-7D9FAAADAC99}"/>
                </c:ext>
              </c:extLst>
            </c:dLbl>
            <c:dLbl>
              <c:idx val="197"/>
              <c:tx>
                <c:rich>
                  <a:bodyPr/>
                  <a:lstStyle/>
                  <a:p>
                    <a:fld id="{D05CA0DF-65FD-4494-AD22-4C4DBF87A0D3}"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0-C110-4146-88D1-7D9FAAADAC99}"/>
                </c:ext>
              </c:extLst>
            </c:dLbl>
            <c:dLbl>
              <c:idx val="198"/>
              <c:tx>
                <c:rich>
                  <a:bodyPr/>
                  <a:lstStyle/>
                  <a:p>
                    <a:fld id="{F7823368-DB88-47FB-9FEE-18B1E4135242}"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1-C110-4146-88D1-7D9FAAADAC99}"/>
                </c:ext>
              </c:extLst>
            </c:dLbl>
            <c:dLbl>
              <c:idx val="199"/>
              <c:tx>
                <c:rich>
                  <a:bodyPr/>
                  <a:lstStyle/>
                  <a:p>
                    <a:fld id="{77E04F1B-EDF8-4635-AAB4-6ECCABF4BFDA}"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2-C110-4146-88D1-7D9FAAADAC99}"/>
                </c:ext>
              </c:extLst>
            </c:dLbl>
            <c:dLbl>
              <c:idx val="200"/>
              <c:tx>
                <c:rich>
                  <a:bodyPr/>
                  <a:lstStyle/>
                  <a:p>
                    <a:fld id="{00931A82-76A7-4CE8-A2FF-052E9F520F56}"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3-C110-4146-88D1-7D9FAAADAC99}"/>
                </c:ext>
              </c:extLst>
            </c:dLbl>
            <c:dLbl>
              <c:idx val="201"/>
              <c:tx>
                <c:rich>
                  <a:bodyPr/>
                  <a:lstStyle/>
                  <a:p>
                    <a:fld id="{BA676700-7EA5-422C-88DF-0666958ADD60}"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4-C110-4146-88D1-7D9FAAADAC99}"/>
                </c:ext>
              </c:extLst>
            </c:dLbl>
            <c:dLbl>
              <c:idx val="202"/>
              <c:tx>
                <c:rich>
                  <a:bodyPr/>
                  <a:lstStyle/>
                  <a:p>
                    <a:fld id="{C50F216B-5A84-4128-BF91-A19FC45093B2}"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5-C110-4146-88D1-7D9FAAADAC99}"/>
                </c:ext>
              </c:extLst>
            </c:dLbl>
            <c:dLbl>
              <c:idx val="203"/>
              <c:tx>
                <c:rich>
                  <a:bodyPr/>
                  <a:lstStyle/>
                  <a:p>
                    <a:fld id="{A82E2C1C-55C1-434A-AA57-BA715013C28A}"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6-C110-4146-88D1-7D9FAAADAC99}"/>
                </c:ext>
              </c:extLst>
            </c:dLbl>
            <c:dLbl>
              <c:idx val="204"/>
              <c:tx>
                <c:rich>
                  <a:bodyPr/>
                  <a:lstStyle/>
                  <a:p>
                    <a:fld id="{EF2B389C-BFC7-4D92-8428-69F76994C4D0}"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7-C110-4146-88D1-7D9FAAADAC99}"/>
                </c:ext>
              </c:extLst>
            </c:dLbl>
            <c:dLbl>
              <c:idx val="205"/>
              <c:tx>
                <c:rich>
                  <a:bodyPr/>
                  <a:lstStyle/>
                  <a:p>
                    <a:fld id="{8C8CC897-466F-4E6F-A1F5-EB2251048054}"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8-C110-4146-88D1-7D9FAAADAC99}"/>
                </c:ext>
              </c:extLst>
            </c:dLbl>
            <c:dLbl>
              <c:idx val="206"/>
              <c:tx>
                <c:rich>
                  <a:bodyPr/>
                  <a:lstStyle/>
                  <a:p>
                    <a:fld id="{3D172B04-ABCD-4497-A2DE-4360FC10ECB0}"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9-C110-4146-88D1-7D9FAAADAC99}"/>
                </c:ext>
              </c:extLst>
            </c:dLbl>
            <c:dLbl>
              <c:idx val="207"/>
              <c:tx>
                <c:rich>
                  <a:bodyPr/>
                  <a:lstStyle/>
                  <a:p>
                    <a:fld id="{11BD19C8-3AA4-4620-A5A1-E74DEAB7DA90}"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A-C110-4146-88D1-7D9FAAADAC99}"/>
                </c:ext>
              </c:extLst>
            </c:dLbl>
            <c:dLbl>
              <c:idx val="208"/>
              <c:tx>
                <c:rich>
                  <a:bodyPr/>
                  <a:lstStyle/>
                  <a:p>
                    <a:fld id="{263F8016-88CD-4041-90D2-E75A3BF7E53F}"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B-C110-4146-88D1-7D9FAAADAC99}"/>
                </c:ext>
              </c:extLst>
            </c:dLbl>
            <c:dLbl>
              <c:idx val="209"/>
              <c:tx>
                <c:rich>
                  <a:bodyPr/>
                  <a:lstStyle/>
                  <a:p>
                    <a:fld id="{40E0AC15-C0F5-48C9-97A3-1D05685B1F56}"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C-C110-4146-88D1-7D9FAAADAC99}"/>
                </c:ext>
              </c:extLst>
            </c:dLbl>
            <c:dLbl>
              <c:idx val="210"/>
              <c:tx>
                <c:rich>
                  <a:bodyPr/>
                  <a:lstStyle/>
                  <a:p>
                    <a:fld id="{2D0407FF-C2D5-4D8E-B20A-280726003A3A}"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028D-4756-AF5E-8FEDF70BEC81}"/>
                </c:ext>
              </c:extLst>
            </c:dLbl>
            <c:dLbl>
              <c:idx val="211"/>
              <c:tx>
                <c:rich>
                  <a:bodyPr/>
                  <a:lstStyle/>
                  <a:p>
                    <a:fld id="{FCB09C0E-9590-4C02-B134-91BF690CB94F}"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E-C110-4146-88D1-7D9FAAADAC99}"/>
                </c:ext>
              </c:extLst>
            </c:dLbl>
            <c:dLbl>
              <c:idx val="212"/>
              <c:tx>
                <c:rich>
                  <a:bodyPr/>
                  <a:lstStyle/>
                  <a:p>
                    <a:fld id="{CD839BD4-23DF-4F68-B072-4EFB349F0D5C}"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F-C110-4146-88D1-7D9FAAADAC99}"/>
                </c:ext>
              </c:extLst>
            </c:dLbl>
            <c:dLbl>
              <c:idx val="213"/>
              <c:tx>
                <c:rich>
                  <a:bodyPr/>
                  <a:lstStyle/>
                  <a:p>
                    <a:fld id="{B5CCD15C-8C68-4976-A6D2-72152D73E0A6}"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0-C110-4146-88D1-7D9FAAADAC99}"/>
                </c:ext>
              </c:extLst>
            </c:dLbl>
            <c:dLbl>
              <c:idx val="214"/>
              <c:tx>
                <c:rich>
                  <a:bodyPr/>
                  <a:lstStyle/>
                  <a:p>
                    <a:fld id="{FE80AF79-A5D8-4A7C-A242-A14D51DA6FC4}"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1-C110-4146-88D1-7D9FAAADAC99}"/>
                </c:ext>
              </c:extLst>
            </c:dLbl>
            <c:dLbl>
              <c:idx val="215"/>
              <c:tx>
                <c:rich>
                  <a:bodyPr/>
                  <a:lstStyle/>
                  <a:p>
                    <a:fld id="{74A7ACB1-5B1A-4236-81F2-61C69A88C3A6}"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2-C110-4146-88D1-7D9FAAADAC99}"/>
                </c:ext>
              </c:extLst>
            </c:dLbl>
            <c:dLbl>
              <c:idx val="216"/>
              <c:tx>
                <c:rich>
                  <a:bodyPr/>
                  <a:lstStyle/>
                  <a:p>
                    <a:fld id="{ECCFFD5C-E0A9-4186-A5CB-790C59FB43B6}"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3-C110-4146-88D1-7D9FAAADAC99}"/>
                </c:ext>
              </c:extLst>
            </c:dLbl>
            <c:dLbl>
              <c:idx val="217"/>
              <c:tx>
                <c:rich>
                  <a:bodyPr/>
                  <a:lstStyle/>
                  <a:p>
                    <a:fld id="{6EB91588-DF96-4500-8DD7-B881FE48D113}"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4-C110-4146-88D1-7D9FAAADAC99}"/>
                </c:ext>
              </c:extLst>
            </c:dLbl>
            <c:dLbl>
              <c:idx val="218"/>
              <c:tx>
                <c:rich>
                  <a:bodyPr/>
                  <a:lstStyle/>
                  <a:p>
                    <a:fld id="{EF482F47-826D-4583-A044-7DC516FE3A83}"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5-C110-4146-88D1-7D9FAAADAC99}"/>
                </c:ext>
              </c:extLst>
            </c:dLbl>
            <c:dLbl>
              <c:idx val="219"/>
              <c:tx>
                <c:rich>
                  <a:bodyPr/>
                  <a:lstStyle/>
                  <a:p>
                    <a:fld id="{989EFAF0-BA93-45E3-A03E-176E85BBDE71}"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6-C110-4146-88D1-7D9FAAADAC99}"/>
                </c:ext>
              </c:extLst>
            </c:dLbl>
            <c:dLbl>
              <c:idx val="220"/>
              <c:tx>
                <c:rich>
                  <a:bodyPr/>
                  <a:lstStyle/>
                  <a:p>
                    <a:fld id="{62492B80-514E-4630-96CC-C33FA6089114}"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7-C110-4146-88D1-7D9FAAADAC99}"/>
                </c:ext>
              </c:extLst>
            </c:dLbl>
            <c:dLbl>
              <c:idx val="221"/>
              <c:tx>
                <c:rich>
                  <a:bodyPr/>
                  <a:lstStyle/>
                  <a:p>
                    <a:fld id="{385E2B18-16A2-4698-8580-E9E49A85E5C7}"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8-C110-4146-88D1-7D9FAAADAC99}"/>
                </c:ext>
              </c:extLst>
            </c:dLbl>
            <c:dLbl>
              <c:idx val="222"/>
              <c:tx>
                <c:rich>
                  <a:bodyPr/>
                  <a:lstStyle/>
                  <a:p>
                    <a:fld id="{5DA47101-8695-423E-B20A-4E5BCA26E324}"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9-C110-4146-88D1-7D9FAAADAC99}"/>
                </c:ext>
              </c:extLst>
            </c:dLbl>
            <c:dLbl>
              <c:idx val="223"/>
              <c:tx>
                <c:rich>
                  <a:bodyPr/>
                  <a:lstStyle/>
                  <a:p>
                    <a:fld id="{959C7581-7A0E-4301-BDBB-5ACF7CF78145}"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A-C110-4146-88D1-7D9FAAADAC99}"/>
                </c:ext>
              </c:extLst>
            </c:dLbl>
            <c:dLbl>
              <c:idx val="224"/>
              <c:tx>
                <c:rich>
                  <a:bodyPr/>
                  <a:lstStyle/>
                  <a:p>
                    <a:fld id="{AB2A08E9-DAD1-4B88-8B0B-F024DAAD7E24}"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B-C110-4146-88D1-7D9FAAADAC99}"/>
                </c:ext>
              </c:extLst>
            </c:dLbl>
            <c:dLbl>
              <c:idx val="225"/>
              <c:tx>
                <c:rich>
                  <a:bodyPr/>
                  <a:lstStyle/>
                  <a:p>
                    <a:fld id="{507F5EA1-E4E0-44CF-BA1F-BEB81EEEB5AE}"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C-C110-4146-88D1-7D9FAAADAC99}"/>
                </c:ext>
              </c:extLst>
            </c:dLbl>
            <c:dLbl>
              <c:idx val="226"/>
              <c:tx>
                <c:rich>
                  <a:bodyPr/>
                  <a:lstStyle/>
                  <a:p>
                    <a:fld id="{DCBF2206-E165-48EE-AC42-FA975DF08D18}"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D-C110-4146-88D1-7D9FAAADAC99}"/>
                </c:ext>
              </c:extLst>
            </c:dLbl>
            <c:dLbl>
              <c:idx val="227"/>
              <c:tx>
                <c:rich>
                  <a:bodyPr/>
                  <a:lstStyle/>
                  <a:p>
                    <a:fld id="{AEB94CF1-F634-4FA6-AEAD-0798D0A17B32}"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E-C110-4146-88D1-7D9FAAADAC99}"/>
                </c:ext>
              </c:extLst>
            </c:dLbl>
            <c:dLbl>
              <c:idx val="228"/>
              <c:tx>
                <c:rich>
                  <a:bodyPr/>
                  <a:lstStyle/>
                  <a:p>
                    <a:fld id="{C89D2EED-2DE6-4D5D-B50B-A3FEE0618400}"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F-C110-4146-88D1-7D9FAAADAC99}"/>
                </c:ext>
              </c:extLst>
            </c:dLbl>
            <c:dLbl>
              <c:idx val="229"/>
              <c:tx>
                <c:rich>
                  <a:bodyPr/>
                  <a:lstStyle/>
                  <a:p>
                    <a:fld id="{5A96DB2E-8E6D-41A0-9763-6C39972BA3AC}"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0-C110-4146-88D1-7D9FAAADAC99}"/>
                </c:ext>
              </c:extLst>
            </c:dLbl>
            <c:dLbl>
              <c:idx val="230"/>
              <c:tx>
                <c:rich>
                  <a:bodyPr/>
                  <a:lstStyle/>
                  <a:p>
                    <a:fld id="{4B142CD9-B4C9-43EA-A581-6B55B864907F}"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1-C110-4146-88D1-7D9FAAADAC99}"/>
                </c:ext>
              </c:extLst>
            </c:dLbl>
            <c:dLbl>
              <c:idx val="231"/>
              <c:tx>
                <c:rich>
                  <a:bodyPr/>
                  <a:lstStyle/>
                  <a:p>
                    <a:fld id="{D30AAF67-17AD-4B87-BC3F-78D109B53446}"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2-C110-4146-88D1-7D9FAAADAC99}"/>
                </c:ext>
              </c:extLst>
            </c:dLbl>
            <c:dLbl>
              <c:idx val="232"/>
              <c:tx>
                <c:rich>
                  <a:bodyPr/>
                  <a:lstStyle/>
                  <a:p>
                    <a:fld id="{F742DB6F-82AD-4C14-8B9F-388A4CF1B34A}"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3-C110-4146-88D1-7D9FAAADAC99}"/>
                </c:ext>
              </c:extLst>
            </c:dLbl>
            <c:dLbl>
              <c:idx val="233"/>
              <c:tx>
                <c:rich>
                  <a:bodyPr/>
                  <a:lstStyle/>
                  <a:p>
                    <a:fld id="{A5C7C550-5D38-484F-80F6-79D5045068ED}"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4-C110-4146-88D1-7D9FAAADAC99}"/>
                </c:ext>
              </c:extLst>
            </c:dLbl>
            <c:dLbl>
              <c:idx val="234"/>
              <c:tx>
                <c:rich>
                  <a:bodyPr/>
                  <a:lstStyle/>
                  <a:p>
                    <a:fld id="{50450174-7124-42A8-BB24-5878C83B56D5}"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5-C110-4146-88D1-7D9FAAADAC99}"/>
                </c:ext>
              </c:extLst>
            </c:dLbl>
            <c:dLbl>
              <c:idx val="235"/>
              <c:tx>
                <c:rich>
                  <a:bodyPr/>
                  <a:lstStyle/>
                  <a:p>
                    <a:fld id="{6302FB23-A994-4AA3-845B-00F863F4DC20}"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6-C110-4146-88D1-7D9FAAADAC99}"/>
                </c:ext>
              </c:extLst>
            </c:dLbl>
            <c:dLbl>
              <c:idx val="236"/>
              <c:tx>
                <c:rich>
                  <a:bodyPr/>
                  <a:lstStyle/>
                  <a:p>
                    <a:fld id="{83C43814-082C-4ADD-815E-393C8A8E002F}"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7-C110-4146-88D1-7D9FAAADAC99}"/>
                </c:ext>
              </c:extLst>
            </c:dLbl>
            <c:dLbl>
              <c:idx val="237"/>
              <c:tx>
                <c:rich>
                  <a:bodyPr/>
                  <a:lstStyle/>
                  <a:p>
                    <a:fld id="{76830292-AA10-4892-A760-4B5C73D70BCC}"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8-C110-4146-88D1-7D9FAAADAC99}"/>
                </c:ext>
              </c:extLst>
            </c:dLbl>
            <c:dLbl>
              <c:idx val="238"/>
              <c:tx>
                <c:rich>
                  <a:bodyPr/>
                  <a:lstStyle/>
                  <a:p>
                    <a:fld id="{A9D02121-6009-4C1A-B978-24CE5A13435B}"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9-C110-4146-88D1-7D9FAAADAC99}"/>
                </c:ext>
              </c:extLst>
            </c:dLbl>
            <c:dLbl>
              <c:idx val="239"/>
              <c:tx>
                <c:rich>
                  <a:bodyPr/>
                  <a:lstStyle/>
                  <a:p>
                    <a:fld id="{BB0EF84B-D223-473C-ACE7-46056C3396BC}"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A-C110-4146-88D1-7D9FAAADAC99}"/>
                </c:ext>
              </c:extLst>
            </c:dLbl>
            <c:dLbl>
              <c:idx val="240"/>
              <c:tx>
                <c:rich>
                  <a:bodyPr/>
                  <a:lstStyle/>
                  <a:p>
                    <a:fld id="{97C1E1EB-3B07-406F-A69A-AB8C395E5632}"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B-C110-4146-88D1-7D9FAAADAC99}"/>
                </c:ext>
              </c:extLst>
            </c:dLbl>
            <c:dLbl>
              <c:idx val="241"/>
              <c:tx>
                <c:rich>
                  <a:bodyPr/>
                  <a:lstStyle/>
                  <a:p>
                    <a:fld id="{A0055FDF-FC1B-444A-8B04-CF9F3E053D05}"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C-C110-4146-88D1-7D9FAAADAC99}"/>
                </c:ext>
              </c:extLst>
            </c:dLbl>
            <c:dLbl>
              <c:idx val="242"/>
              <c:tx>
                <c:rich>
                  <a:bodyPr/>
                  <a:lstStyle/>
                  <a:p>
                    <a:fld id="{9B6EC198-B5DF-4F6A-8892-AEEB59453480}"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D-C110-4146-88D1-7D9FAAADAC99}"/>
                </c:ext>
              </c:extLst>
            </c:dLbl>
            <c:dLbl>
              <c:idx val="243"/>
              <c:tx>
                <c:rich>
                  <a:bodyPr/>
                  <a:lstStyle/>
                  <a:p>
                    <a:fld id="{7B9D31E3-0CB9-44E5-865B-E04BB4BBBD73}"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E-C110-4146-88D1-7D9FAAADAC99}"/>
                </c:ext>
              </c:extLst>
            </c:dLbl>
            <c:dLbl>
              <c:idx val="244"/>
              <c:tx>
                <c:rich>
                  <a:bodyPr/>
                  <a:lstStyle/>
                  <a:p>
                    <a:fld id="{79826609-98F8-4435-99F2-121234A888E8}"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028D-4756-AF5E-8FEDF70BEC81}"/>
                </c:ext>
              </c:extLst>
            </c:dLbl>
            <c:dLbl>
              <c:idx val="245"/>
              <c:tx>
                <c:rich>
                  <a:bodyPr/>
                  <a:lstStyle/>
                  <a:p>
                    <a:fld id="{F41E15F8-073C-4CB4-9FFD-279FD57D6D88}"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0-C110-4146-88D1-7D9FAAADAC99}"/>
                </c:ext>
              </c:extLst>
            </c:dLbl>
            <c:dLbl>
              <c:idx val="246"/>
              <c:tx>
                <c:rich>
                  <a:bodyPr/>
                  <a:lstStyle/>
                  <a:p>
                    <a:fld id="{6518221E-EC9D-4C65-AA03-C172D1BA6175}"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1-C110-4146-88D1-7D9FAAADAC99}"/>
                </c:ext>
              </c:extLst>
            </c:dLbl>
            <c:dLbl>
              <c:idx val="247"/>
              <c:tx>
                <c:rich>
                  <a:bodyPr/>
                  <a:lstStyle/>
                  <a:p>
                    <a:fld id="{99BECDD9-6E85-4537-9B3D-653B2ADC3715}"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2-C110-4146-88D1-7D9FAAADAC99}"/>
                </c:ext>
              </c:extLst>
            </c:dLbl>
            <c:dLbl>
              <c:idx val="248"/>
              <c:tx>
                <c:rich>
                  <a:bodyPr/>
                  <a:lstStyle/>
                  <a:p>
                    <a:fld id="{8847BA65-E054-4F90-A51B-3B1C25B09032}"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3-C110-4146-88D1-7D9FAAADAC99}"/>
                </c:ext>
              </c:extLst>
            </c:dLbl>
            <c:dLbl>
              <c:idx val="249"/>
              <c:tx>
                <c:rich>
                  <a:bodyPr/>
                  <a:lstStyle/>
                  <a:p>
                    <a:fld id="{ABBB8642-D3BC-4B71-8997-83B33D97D4F0}"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4-C110-4146-88D1-7D9FAAADAC99}"/>
                </c:ext>
              </c:extLst>
            </c:dLbl>
            <c:dLbl>
              <c:idx val="250"/>
              <c:tx>
                <c:rich>
                  <a:bodyPr/>
                  <a:lstStyle/>
                  <a:p>
                    <a:fld id="{1B2BB9AB-F207-4B08-9FEA-D5E1E365367F}"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5-C110-4146-88D1-7D9FAAADAC99}"/>
                </c:ext>
              </c:extLst>
            </c:dLbl>
            <c:dLbl>
              <c:idx val="251"/>
              <c:tx>
                <c:rich>
                  <a:bodyPr/>
                  <a:lstStyle/>
                  <a:p>
                    <a:fld id="{DC51BB9C-8993-4C44-A610-0C440816D733}"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6-C110-4146-88D1-7D9FAAADAC99}"/>
                </c:ext>
              </c:extLst>
            </c:dLbl>
            <c:dLbl>
              <c:idx val="252"/>
              <c:tx>
                <c:rich>
                  <a:bodyPr/>
                  <a:lstStyle/>
                  <a:p>
                    <a:fld id="{DC0C362D-8B41-4D67-84F4-09009F160346}"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7-C110-4146-88D1-7D9FAAADAC99}"/>
                </c:ext>
              </c:extLst>
            </c:dLbl>
            <c:dLbl>
              <c:idx val="253"/>
              <c:tx>
                <c:rich>
                  <a:bodyPr/>
                  <a:lstStyle/>
                  <a:p>
                    <a:fld id="{96C96722-5528-4423-B58D-97119E68143B}"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8-C110-4146-88D1-7D9FAAADAC99}"/>
                </c:ext>
              </c:extLst>
            </c:dLbl>
            <c:dLbl>
              <c:idx val="254"/>
              <c:tx>
                <c:rich>
                  <a:bodyPr/>
                  <a:lstStyle/>
                  <a:p>
                    <a:fld id="{2DFB9C3A-9CB5-433C-8258-8DC6C8053BA5}"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9-C110-4146-88D1-7D9FAAADAC99}"/>
                </c:ext>
              </c:extLst>
            </c:dLbl>
            <c:dLbl>
              <c:idx val="255"/>
              <c:tx>
                <c:rich>
                  <a:bodyPr/>
                  <a:lstStyle/>
                  <a:p>
                    <a:fld id="{9F404006-D1A9-466F-994B-FF4E54C99EEB}"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A-C110-4146-88D1-7D9FAAADAC99}"/>
                </c:ext>
              </c:extLst>
            </c:dLbl>
            <c:dLbl>
              <c:idx val="256"/>
              <c:tx>
                <c:rich>
                  <a:bodyPr/>
                  <a:lstStyle/>
                  <a:p>
                    <a:fld id="{F6A832C1-9708-45DD-8ADA-F6A41EA7477D}"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B-C110-4146-88D1-7D9FAAADAC99}"/>
                </c:ext>
              </c:extLst>
            </c:dLbl>
            <c:dLbl>
              <c:idx val="257"/>
              <c:tx>
                <c:rich>
                  <a:bodyPr/>
                  <a:lstStyle/>
                  <a:p>
                    <a:fld id="{E868C701-01D1-4385-A5B2-8C4893F12E57}"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C-C110-4146-88D1-7D9FAAADAC99}"/>
                </c:ext>
              </c:extLst>
            </c:dLbl>
            <c:dLbl>
              <c:idx val="258"/>
              <c:tx>
                <c:rich>
                  <a:bodyPr/>
                  <a:lstStyle/>
                  <a:p>
                    <a:fld id="{080CCF12-51E0-450C-BDFF-71B669697BA1}"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D-C110-4146-88D1-7D9FAAADAC99}"/>
                </c:ext>
              </c:extLst>
            </c:dLbl>
            <c:dLbl>
              <c:idx val="259"/>
              <c:tx>
                <c:rich>
                  <a:bodyPr/>
                  <a:lstStyle/>
                  <a:p>
                    <a:fld id="{C3A58B93-7202-40A5-8911-588486A93A0C}"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E-C110-4146-88D1-7D9FAAADAC99}"/>
                </c:ext>
              </c:extLst>
            </c:dLbl>
            <c:dLbl>
              <c:idx val="260"/>
              <c:tx>
                <c:rich>
                  <a:bodyPr/>
                  <a:lstStyle/>
                  <a:p>
                    <a:fld id="{49558CFB-A034-4F45-8211-105E35D3F045}"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F-C110-4146-88D1-7D9FAAADAC99}"/>
                </c:ext>
              </c:extLst>
            </c:dLbl>
            <c:dLbl>
              <c:idx val="261"/>
              <c:tx>
                <c:rich>
                  <a:bodyPr/>
                  <a:lstStyle/>
                  <a:p>
                    <a:fld id="{C108DCD0-8F3B-478D-8A27-DF747019E146}"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90-C110-4146-88D1-7D9FAAADAC99}"/>
                </c:ext>
              </c:extLst>
            </c:dLbl>
            <c:dLbl>
              <c:idx val="262"/>
              <c:tx>
                <c:rich>
                  <a:bodyPr/>
                  <a:lstStyle/>
                  <a:p>
                    <a:fld id="{338A488B-426D-4B88-AF07-C6EFBE81E172}"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028D-4756-AF5E-8FEDF70BEC81}"/>
                </c:ext>
              </c:extLst>
            </c:dLbl>
            <c:dLbl>
              <c:idx val="263"/>
              <c:tx>
                <c:rich>
                  <a:bodyPr/>
                  <a:lstStyle/>
                  <a:p>
                    <a:fld id="{7592A8C7-F7B1-4001-B1B7-21C16837B7DA}"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92-C110-4146-88D1-7D9FAAADAC99}"/>
                </c:ext>
              </c:extLst>
            </c:dLbl>
            <c:dLbl>
              <c:idx val="264"/>
              <c:tx>
                <c:rich>
                  <a:bodyPr/>
                  <a:lstStyle/>
                  <a:p>
                    <a:fld id="{19A7276A-817C-4E0D-8413-041933E76E9C}"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93-C110-4146-88D1-7D9FAAADAC99}"/>
                </c:ext>
              </c:extLst>
            </c:dLbl>
            <c:dLbl>
              <c:idx val="265"/>
              <c:tx>
                <c:rich>
                  <a:bodyPr/>
                  <a:lstStyle/>
                  <a:p>
                    <a:fld id="{D48EE11F-9ED2-4D47-A3BB-F30343021B21}"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94-C110-4146-88D1-7D9FAAADAC99}"/>
                </c:ext>
              </c:extLst>
            </c:dLbl>
            <c:dLbl>
              <c:idx val="266"/>
              <c:tx>
                <c:rich>
                  <a:bodyPr/>
                  <a:lstStyle/>
                  <a:p>
                    <a:fld id="{38C397B9-B75E-436F-8473-8C35AC194F15}"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95-C110-4146-88D1-7D9FAAADAC99}"/>
                </c:ext>
              </c:extLst>
            </c:dLbl>
            <c:dLbl>
              <c:idx val="267"/>
              <c:tx>
                <c:rich>
                  <a:bodyPr/>
                  <a:lstStyle/>
                  <a:p>
                    <a:fld id="{0202CCDF-1FB8-40E0-B9B5-66935751D011}"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96-C110-4146-88D1-7D9FAAADAC99}"/>
                </c:ext>
              </c:extLst>
            </c:dLbl>
            <c:dLbl>
              <c:idx val="268"/>
              <c:tx>
                <c:rich>
                  <a:bodyPr/>
                  <a:lstStyle/>
                  <a:p>
                    <a:fld id="{AD5F29D8-ACAA-431A-9C92-0F366688AA06}"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97-C110-4146-88D1-7D9FAAADAC99}"/>
                </c:ext>
              </c:extLst>
            </c:dLbl>
            <c:dLbl>
              <c:idx val="269"/>
              <c:tx>
                <c:rich>
                  <a:bodyPr/>
                  <a:lstStyle/>
                  <a:p>
                    <a:fld id="{65097C55-1946-4855-8C58-6EA5211B7F97}"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98-C110-4146-88D1-7D9FAAADAC99}"/>
                </c:ext>
              </c:extLst>
            </c:dLbl>
            <c:dLbl>
              <c:idx val="270"/>
              <c:tx>
                <c:rich>
                  <a:bodyPr/>
                  <a:lstStyle/>
                  <a:p>
                    <a:fld id="{95E3DBB2-1BB2-415B-AD6D-A2B001B5FA23}"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99-C110-4146-88D1-7D9FAAADAC99}"/>
                </c:ext>
              </c:extLst>
            </c:dLbl>
            <c:dLbl>
              <c:idx val="271"/>
              <c:tx>
                <c:rich>
                  <a:bodyPr/>
                  <a:lstStyle/>
                  <a:p>
                    <a:fld id="{087E1DAC-FFC3-4137-BE1D-05628E00B294}"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9A-C110-4146-88D1-7D9FAAADAC99}"/>
                </c:ext>
              </c:extLst>
            </c:dLbl>
            <c:dLbl>
              <c:idx val="272"/>
              <c:tx>
                <c:rich>
                  <a:bodyPr/>
                  <a:lstStyle/>
                  <a:p>
                    <a:fld id="{0B975A90-D5B9-469B-B553-9C230BEAD5DB}"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9B-C110-4146-88D1-7D9FAAADAC99}"/>
                </c:ext>
              </c:extLst>
            </c:dLbl>
            <c:dLbl>
              <c:idx val="273"/>
              <c:tx>
                <c:rich>
                  <a:bodyPr/>
                  <a:lstStyle/>
                  <a:p>
                    <a:fld id="{7A867FE7-41BA-4B34-85C4-722BC0047DAE}"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9C-C110-4146-88D1-7D9FAAADAC99}"/>
                </c:ext>
              </c:extLst>
            </c:dLbl>
            <c:dLbl>
              <c:idx val="274"/>
              <c:tx>
                <c:rich>
                  <a:bodyPr/>
                  <a:lstStyle/>
                  <a:p>
                    <a:fld id="{35BF5865-04D6-4E6B-BB76-3D40648C1B70}"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9D-C110-4146-88D1-7D9FAAADAC99}"/>
                </c:ext>
              </c:extLst>
            </c:dLbl>
            <c:dLbl>
              <c:idx val="275"/>
              <c:tx>
                <c:rich>
                  <a:bodyPr/>
                  <a:lstStyle/>
                  <a:p>
                    <a:fld id="{89A3744C-E8CC-4396-A99F-6D8A1F40DF3C}"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9E-C110-4146-88D1-7D9FAAADAC99}"/>
                </c:ext>
              </c:extLst>
            </c:dLbl>
            <c:dLbl>
              <c:idx val="276"/>
              <c:tx>
                <c:rich>
                  <a:bodyPr/>
                  <a:lstStyle/>
                  <a:p>
                    <a:fld id="{CC45948A-BA00-4E93-AD7B-113A3604A37D}"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9F-C110-4146-88D1-7D9FAAADAC99}"/>
                </c:ext>
              </c:extLst>
            </c:dLbl>
            <c:dLbl>
              <c:idx val="277"/>
              <c:tx>
                <c:rich>
                  <a:bodyPr/>
                  <a:lstStyle/>
                  <a:p>
                    <a:fld id="{C15D7B72-F54F-4BEC-8DFD-12B5FF90380C}"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0-C110-4146-88D1-7D9FAAADAC99}"/>
                </c:ext>
              </c:extLst>
            </c:dLbl>
            <c:dLbl>
              <c:idx val="278"/>
              <c:tx>
                <c:rich>
                  <a:bodyPr/>
                  <a:lstStyle/>
                  <a:p>
                    <a:fld id="{4AF3D100-BA1C-4942-A960-9B0228DD5CC0}"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1-C110-4146-88D1-7D9FAAADAC99}"/>
                </c:ext>
              </c:extLst>
            </c:dLbl>
            <c:dLbl>
              <c:idx val="279"/>
              <c:tx>
                <c:rich>
                  <a:bodyPr/>
                  <a:lstStyle/>
                  <a:p>
                    <a:fld id="{BD292E9A-73AF-49EF-8993-CD9773376942}"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2-C110-4146-88D1-7D9FAAADAC99}"/>
                </c:ext>
              </c:extLst>
            </c:dLbl>
            <c:dLbl>
              <c:idx val="280"/>
              <c:tx>
                <c:rich>
                  <a:bodyPr/>
                  <a:lstStyle/>
                  <a:p>
                    <a:fld id="{0558F20E-A89F-47D3-9BAB-6AB7A4D485FA}"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3-C110-4146-88D1-7D9FAAADAC99}"/>
                </c:ext>
              </c:extLst>
            </c:dLbl>
            <c:dLbl>
              <c:idx val="281"/>
              <c:tx>
                <c:rich>
                  <a:bodyPr/>
                  <a:lstStyle/>
                  <a:p>
                    <a:fld id="{90802773-2EB9-405C-AB01-B5283E9579DB}"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4-C110-4146-88D1-7D9FAAADAC99}"/>
                </c:ext>
              </c:extLst>
            </c:dLbl>
            <c:dLbl>
              <c:idx val="282"/>
              <c:tx>
                <c:rich>
                  <a:bodyPr/>
                  <a:lstStyle/>
                  <a:p>
                    <a:fld id="{3DE9ABDC-DB7B-4F88-8628-A5FE6E575768}"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5-C110-4146-88D1-7D9FAAADAC99}"/>
                </c:ext>
              </c:extLst>
            </c:dLbl>
            <c:dLbl>
              <c:idx val="283"/>
              <c:tx>
                <c:rich>
                  <a:bodyPr/>
                  <a:lstStyle/>
                  <a:p>
                    <a:fld id="{D7CC919B-71C0-4A22-BE64-4A6A87A220DC}"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6-C110-4146-88D1-7D9FAAADAC99}"/>
                </c:ext>
              </c:extLst>
            </c:dLbl>
            <c:dLbl>
              <c:idx val="284"/>
              <c:tx>
                <c:rich>
                  <a:bodyPr/>
                  <a:lstStyle/>
                  <a:p>
                    <a:fld id="{E8E2FC99-C1BD-4A6D-8671-00ABC1E5D20B}"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7-C110-4146-88D1-7D9FAAADAC99}"/>
                </c:ext>
              </c:extLst>
            </c:dLbl>
            <c:dLbl>
              <c:idx val="285"/>
              <c:tx>
                <c:rich>
                  <a:bodyPr/>
                  <a:lstStyle/>
                  <a:p>
                    <a:fld id="{61943773-9152-458F-9131-4C161E1F35AF}"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8-C110-4146-88D1-7D9FAAADAC99}"/>
                </c:ext>
              </c:extLst>
            </c:dLbl>
            <c:dLbl>
              <c:idx val="286"/>
              <c:tx>
                <c:rich>
                  <a:bodyPr/>
                  <a:lstStyle/>
                  <a:p>
                    <a:fld id="{D769213F-8E7C-42B7-8114-0FB8F7F556FD}"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9-C110-4146-88D1-7D9FAAADAC99}"/>
                </c:ext>
              </c:extLst>
            </c:dLbl>
            <c:dLbl>
              <c:idx val="287"/>
              <c:tx>
                <c:rich>
                  <a:bodyPr/>
                  <a:lstStyle/>
                  <a:p>
                    <a:fld id="{AD726012-C589-40F9-8D23-A722668F2D50}"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A-C110-4146-88D1-7D9FAAADAC99}"/>
                </c:ext>
              </c:extLst>
            </c:dLbl>
            <c:dLbl>
              <c:idx val="288"/>
              <c:tx>
                <c:rich>
                  <a:bodyPr/>
                  <a:lstStyle/>
                  <a:p>
                    <a:fld id="{B27FDF99-B9F5-497F-ADD7-4C03E9E017A4}"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B-C110-4146-88D1-7D9FAAADAC99}"/>
                </c:ext>
              </c:extLst>
            </c:dLbl>
            <c:dLbl>
              <c:idx val="289"/>
              <c:tx>
                <c:rich>
                  <a:bodyPr/>
                  <a:lstStyle/>
                  <a:p>
                    <a:fld id="{2B48FB5D-E0D1-459C-B849-4188930248E3}"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C-C110-4146-88D1-7D9FAAADAC99}"/>
                </c:ext>
              </c:extLst>
            </c:dLbl>
            <c:dLbl>
              <c:idx val="290"/>
              <c:tx>
                <c:rich>
                  <a:bodyPr/>
                  <a:lstStyle/>
                  <a:p>
                    <a:fld id="{B409325E-67B4-4006-B1A1-4C7776C7B485}"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D-C110-4146-88D1-7D9FAAADAC99}"/>
                </c:ext>
              </c:extLst>
            </c:dLbl>
            <c:dLbl>
              <c:idx val="291"/>
              <c:tx>
                <c:rich>
                  <a:bodyPr/>
                  <a:lstStyle/>
                  <a:p>
                    <a:fld id="{ED9B4141-4A66-4028-ABAE-E37099E225F6}"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E-C110-4146-88D1-7D9FAAADAC99}"/>
                </c:ext>
              </c:extLst>
            </c:dLbl>
            <c:dLbl>
              <c:idx val="292"/>
              <c:tx>
                <c:rich>
                  <a:bodyPr/>
                  <a:lstStyle/>
                  <a:p>
                    <a:fld id="{08591E58-9805-41BE-AC19-2169B94F88D7}"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F-C110-4146-88D1-7D9FAAADAC99}"/>
                </c:ext>
              </c:extLst>
            </c:dLbl>
            <c:dLbl>
              <c:idx val="293"/>
              <c:tx>
                <c:rich>
                  <a:bodyPr/>
                  <a:lstStyle/>
                  <a:p>
                    <a:fld id="{8FF97362-E41B-4504-B9F7-D5C276F9AFEC}"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0-C110-4146-88D1-7D9FAAADAC99}"/>
                </c:ext>
              </c:extLst>
            </c:dLbl>
            <c:dLbl>
              <c:idx val="294"/>
              <c:tx>
                <c:rich>
                  <a:bodyPr/>
                  <a:lstStyle/>
                  <a:p>
                    <a:fld id="{8184F7BE-DC7C-49B8-B3BB-38A269380501}"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1-C110-4146-88D1-7D9FAAADAC99}"/>
                </c:ext>
              </c:extLst>
            </c:dLbl>
            <c:dLbl>
              <c:idx val="295"/>
              <c:tx>
                <c:rich>
                  <a:bodyPr/>
                  <a:lstStyle/>
                  <a:p>
                    <a:fld id="{36B42866-851A-4ABA-A125-8F51BE7E9670}"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2-C110-4146-88D1-7D9FAAADAC99}"/>
                </c:ext>
              </c:extLst>
            </c:dLbl>
            <c:dLbl>
              <c:idx val="296"/>
              <c:tx>
                <c:rich>
                  <a:bodyPr/>
                  <a:lstStyle/>
                  <a:p>
                    <a:fld id="{F4E5E6D7-C4B3-4C27-AE09-4EB77D5B70C6}"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3-C110-4146-88D1-7D9FAAADAC99}"/>
                </c:ext>
              </c:extLst>
            </c:dLbl>
            <c:dLbl>
              <c:idx val="297"/>
              <c:tx>
                <c:rich>
                  <a:bodyPr/>
                  <a:lstStyle/>
                  <a:p>
                    <a:fld id="{DFE77825-0937-4099-B4CA-F98F68F68E94}"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4-C110-4146-88D1-7D9FAAADAC99}"/>
                </c:ext>
              </c:extLst>
            </c:dLbl>
            <c:dLbl>
              <c:idx val="298"/>
              <c:tx>
                <c:rich>
                  <a:bodyPr/>
                  <a:lstStyle/>
                  <a:p>
                    <a:fld id="{BE8586CB-9636-490E-B497-24B06E5FAB57}"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5-C110-4146-88D1-7D9FAAADAC99}"/>
                </c:ext>
              </c:extLst>
            </c:dLbl>
            <c:dLbl>
              <c:idx val="299"/>
              <c:tx>
                <c:rich>
                  <a:bodyPr/>
                  <a:lstStyle/>
                  <a:p>
                    <a:fld id="{33152EF4-44DB-4756-B05D-A68ED42D0ABA}"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6-C110-4146-88D1-7D9FAAADAC99}"/>
                </c:ext>
              </c:extLst>
            </c:dLbl>
            <c:dLbl>
              <c:idx val="300"/>
              <c:tx>
                <c:rich>
                  <a:bodyPr/>
                  <a:lstStyle/>
                  <a:p>
                    <a:fld id="{26A2F895-0749-48AC-8192-939AD81E4700}"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7-C110-4146-88D1-7D9FAAADAC99}"/>
                </c:ext>
              </c:extLst>
            </c:dLbl>
            <c:dLbl>
              <c:idx val="301"/>
              <c:tx>
                <c:rich>
                  <a:bodyPr/>
                  <a:lstStyle/>
                  <a:p>
                    <a:fld id="{701BCCA6-77A3-475E-8C8B-46C41E684749}"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8-C110-4146-88D1-7D9FAAADAC99}"/>
                </c:ext>
              </c:extLst>
            </c:dLbl>
            <c:dLbl>
              <c:idx val="302"/>
              <c:tx>
                <c:rich>
                  <a:bodyPr/>
                  <a:lstStyle/>
                  <a:p>
                    <a:fld id="{1F0D6763-89F1-4E40-9627-767F8CBFCDF9}"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9-C110-4146-88D1-7D9FAAADAC99}"/>
                </c:ext>
              </c:extLst>
            </c:dLbl>
            <c:dLbl>
              <c:idx val="303"/>
              <c:tx>
                <c:rich>
                  <a:bodyPr/>
                  <a:lstStyle/>
                  <a:p>
                    <a:fld id="{0D983348-7983-4968-BABB-CB8F1BE93867}"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A-C110-4146-88D1-7D9FAAADAC99}"/>
                </c:ext>
              </c:extLst>
            </c:dLbl>
            <c:dLbl>
              <c:idx val="304"/>
              <c:tx>
                <c:rich>
                  <a:bodyPr/>
                  <a:lstStyle/>
                  <a:p>
                    <a:fld id="{43BEB36E-FB8D-4615-B576-CEB9B3924888}"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B-C110-4146-88D1-7D9FAAADAC99}"/>
                </c:ext>
              </c:extLst>
            </c:dLbl>
            <c:dLbl>
              <c:idx val="305"/>
              <c:tx>
                <c:rich>
                  <a:bodyPr/>
                  <a:lstStyle/>
                  <a:p>
                    <a:fld id="{5DBB2940-7578-4C99-BA31-DD986351C0E0}"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C-C110-4146-88D1-7D9FAAADAC99}"/>
                </c:ext>
              </c:extLst>
            </c:dLbl>
            <c:dLbl>
              <c:idx val="306"/>
              <c:tx>
                <c:rich>
                  <a:bodyPr/>
                  <a:lstStyle/>
                  <a:p>
                    <a:fld id="{71FD89EB-97E1-423A-9FCA-13BD62EFAE4F}"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D-C110-4146-88D1-7D9FAAADAC99}"/>
                </c:ext>
              </c:extLst>
            </c:dLbl>
            <c:dLbl>
              <c:idx val="307"/>
              <c:tx>
                <c:rich>
                  <a:bodyPr/>
                  <a:lstStyle/>
                  <a:p>
                    <a:fld id="{293D557C-3354-4C19-9A44-624E2ED8C5E2}"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E-C110-4146-88D1-7D9FAAADAC99}"/>
                </c:ext>
              </c:extLst>
            </c:dLbl>
            <c:dLbl>
              <c:idx val="308"/>
              <c:tx>
                <c:rich>
                  <a:bodyPr/>
                  <a:lstStyle/>
                  <a:p>
                    <a:fld id="{5BE2856D-DCB0-45BB-8B70-076A27D6835F}"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F-C110-4146-88D1-7D9FAAADAC99}"/>
                </c:ext>
              </c:extLst>
            </c:dLbl>
            <c:dLbl>
              <c:idx val="309"/>
              <c:tx>
                <c:rich>
                  <a:bodyPr/>
                  <a:lstStyle/>
                  <a:p>
                    <a:fld id="{55E8AD43-0E0E-4E41-A324-6A705DB20333}"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0-C110-4146-88D1-7D9FAAADAC99}"/>
                </c:ext>
              </c:extLst>
            </c:dLbl>
            <c:dLbl>
              <c:idx val="310"/>
              <c:tx>
                <c:rich>
                  <a:bodyPr/>
                  <a:lstStyle/>
                  <a:p>
                    <a:fld id="{303C122B-0820-4F7B-8E9B-A28ABDB688F6}"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1-C110-4146-88D1-7D9FAAADAC99}"/>
                </c:ext>
              </c:extLst>
            </c:dLbl>
            <c:dLbl>
              <c:idx val="311"/>
              <c:tx>
                <c:rich>
                  <a:bodyPr/>
                  <a:lstStyle/>
                  <a:p>
                    <a:fld id="{C9F1966C-2306-41F5-A4E7-A5D07C4C2188}"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2-C110-4146-88D1-7D9FAAADAC99}"/>
                </c:ext>
              </c:extLst>
            </c:dLbl>
            <c:dLbl>
              <c:idx val="312"/>
              <c:tx>
                <c:rich>
                  <a:bodyPr/>
                  <a:lstStyle/>
                  <a:p>
                    <a:fld id="{2136CE77-8707-4104-B3F0-D2F0FCAB45A6}"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3-C110-4146-88D1-7D9FAAADAC99}"/>
                </c:ext>
              </c:extLst>
            </c:dLbl>
            <c:dLbl>
              <c:idx val="313"/>
              <c:tx>
                <c:rich>
                  <a:bodyPr/>
                  <a:lstStyle/>
                  <a:p>
                    <a:fld id="{99DADC35-3740-472C-B208-6D64D335D4E0}"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4-C110-4146-88D1-7D9FAAADAC99}"/>
                </c:ext>
              </c:extLst>
            </c:dLbl>
            <c:dLbl>
              <c:idx val="314"/>
              <c:tx>
                <c:rich>
                  <a:bodyPr/>
                  <a:lstStyle/>
                  <a:p>
                    <a:fld id="{B2FF0DE0-A2B1-4CF6-8399-D4E9E647A1C0}"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5-C110-4146-88D1-7D9FAAADAC99}"/>
                </c:ext>
              </c:extLst>
            </c:dLbl>
            <c:dLbl>
              <c:idx val="315"/>
              <c:tx>
                <c:rich>
                  <a:bodyPr/>
                  <a:lstStyle/>
                  <a:p>
                    <a:fld id="{D18B384B-BEEF-446C-A287-7C4A50A20BD4}"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6-C110-4146-88D1-7D9FAAADAC99}"/>
                </c:ext>
              </c:extLst>
            </c:dLbl>
            <c:dLbl>
              <c:idx val="316"/>
              <c:tx>
                <c:rich>
                  <a:bodyPr/>
                  <a:lstStyle/>
                  <a:p>
                    <a:fld id="{43D3C0D7-8843-4FCF-8041-BE1AF876F06E}"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7-C110-4146-88D1-7D9FAAADAC99}"/>
                </c:ext>
              </c:extLst>
            </c:dLbl>
            <c:dLbl>
              <c:idx val="317"/>
              <c:tx>
                <c:rich>
                  <a:bodyPr/>
                  <a:lstStyle/>
                  <a:p>
                    <a:fld id="{D4C46551-0A2E-4884-B990-A19964831428}"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8-C110-4146-88D1-7D9FAAADAC99}"/>
                </c:ext>
              </c:extLst>
            </c:dLbl>
            <c:dLbl>
              <c:idx val="318"/>
              <c:tx>
                <c:rich>
                  <a:bodyPr/>
                  <a:lstStyle/>
                  <a:p>
                    <a:fld id="{5AE6B29B-BE7D-457E-A823-21E983B5B6EE}"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028D-4756-AF5E-8FEDF70BEC81}"/>
                </c:ext>
              </c:extLst>
            </c:dLbl>
            <c:dLbl>
              <c:idx val="319"/>
              <c:tx>
                <c:rich>
                  <a:bodyPr/>
                  <a:lstStyle/>
                  <a:p>
                    <a:fld id="{1751A491-859F-40C1-B165-AF2E81756DFD}"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A-C110-4146-88D1-7D9FAAADAC99}"/>
                </c:ext>
              </c:extLst>
            </c:dLbl>
            <c:dLbl>
              <c:idx val="320"/>
              <c:tx>
                <c:rich>
                  <a:bodyPr/>
                  <a:lstStyle/>
                  <a:p>
                    <a:fld id="{1B415422-F354-47F9-A2AC-6EE8060B975A}"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B-C110-4146-88D1-7D9FAAADAC99}"/>
                </c:ext>
              </c:extLst>
            </c:dLbl>
            <c:dLbl>
              <c:idx val="321"/>
              <c:tx>
                <c:rich>
                  <a:bodyPr/>
                  <a:lstStyle/>
                  <a:p>
                    <a:fld id="{14C9F980-AECA-41BF-90C0-79E55071FC63}"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C-C110-4146-88D1-7D9FAAADAC99}"/>
                </c:ext>
              </c:extLst>
            </c:dLbl>
            <c:dLbl>
              <c:idx val="322"/>
              <c:tx>
                <c:rich>
                  <a:bodyPr/>
                  <a:lstStyle/>
                  <a:p>
                    <a:fld id="{F4A577CB-A265-40D2-9DB0-FC2001C45C4C}"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D-C110-4146-88D1-7D9FAAADAC99}"/>
                </c:ext>
              </c:extLst>
            </c:dLbl>
            <c:dLbl>
              <c:idx val="323"/>
              <c:tx>
                <c:rich>
                  <a:bodyPr/>
                  <a:lstStyle/>
                  <a:p>
                    <a:fld id="{0AF6BBD4-D13F-405D-AE7F-813AEA9B56C3}"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E-C110-4146-88D1-7D9FAAADAC99}"/>
                </c:ext>
              </c:extLst>
            </c:dLbl>
            <c:dLbl>
              <c:idx val="324"/>
              <c:tx>
                <c:rich>
                  <a:bodyPr/>
                  <a:lstStyle/>
                  <a:p>
                    <a:fld id="{ACFC1EF7-5714-4B97-AFF0-88CC807D2C9A}"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F-C110-4146-88D1-7D9FAAADAC99}"/>
                </c:ext>
              </c:extLst>
            </c:dLbl>
            <c:dLbl>
              <c:idx val="325"/>
              <c:tx>
                <c:rich>
                  <a:bodyPr/>
                  <a:lstStyle/>
                  <a:p>
                    <a:fld id="{609E6E0C-DB2B-440F-9849-05825D131971}"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D0-C110-4146-88D1-7D9FAAADAC99}"/>
                </c:ext>
              </c:extLst>
            </c:dLbl>
            <c:dLbl>
              <c:idx val="326"/>
              <c:tx>
                <c:rich>
                  <a:bodyPr/>
                  <a:lstStyle/>
                  <a:p>
                    <a:fld id="{D53EAD8E-2802-43BE-842F-5CAB73DB47A8}"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D1-C110-4146-88D1-7D9FAAADAC99}"/>
                </c:ext>
              </c:extLst>
            </c:dLbl>
            <c:dLbl>
              <c:idx val="327"/>
              <c:tx>
                <c:rich>
                  <a:bodyPr/>
                  <a:lstStyle/>
                  <a:p>
                    <a:fld id="{1A3AB535-6EAD-4FB4-B66C-EA51FE82E535}"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D2-C110-4146-88D1-7D9FAAADAC99}"/>
                </c:ext>
              </c:extLst>
            </c:dLbl>
            <c:dLbl>
              <c:idx val="328"/>
              <c:tx>
                <c:rich>
                  <a:bodyPr/>
                  <a:lstStyle/>
                  <a:p>
                    <a:fld id="{257F858B-B6B8-416E-8B90-8AB7E8906CD4}"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D3-C110-4146-88D1-7D9FAAADAC99}"/>
                </c:ext>
              </c:extLst>
            </c:dLbl>
            <c:dLbl>
              <c:idx val="329"/>
              <c:tx>
                <c:rich>
                  <a:bodyPr/>
                  <a:lstStyle/>
                  <a:p>
                    <a:fld id="{7BD518CD-B067-4CF9-A6FA-8CCCF960BAA9}"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D4-C110-4146-88D1-7D9FAAADAC99}"/>
                </c:ext>
              </c:extLst>
            </c:dLbl>
            <c:dLbl>
              <c:idx val="330"/>
              <c:tx>
                <c:rich>
                  <a:bodyPr/>
                  <a:lstStyle/>
                  <a:p>
                    <a:fld id="{10B66129-62AE-4C62-98DE-9E1598D11F77}"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D5-C110-4146-88D1-7D9FAAADAC99}"/>
                </c:ext>
              </c:extLst>
            </c:dLbl>
            <c:dLbl>
              <c:idx val="331"/>
              <c:tx>
                <c:rich>
                  <a:bodyPr/>
                  <a:lstStyle/>
                  <a:p>
                    <a:fld id="{7C7DD000-6F76-4DD8-894E-5FB36C2A1E37}"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D6-C110-4146-88D1-7D9FAAADAC99}"/>
                </c:ext>
              </c:extLst>
            </c:dLbl>
            <c:dLbl>
              <c:idx val="332"/>
              <c:tx>
                <c:rich>
                  <a:bodyPr/>
                  <a:lstStyle/>
                  <a:p>
                    <a:fld id="{B3E67E60-CDF6-4782-B86E-32EFA788AFEB}"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D7-C110-4146-88D1-7D9FAAADAC99}"/>
                </c:ext>
              </c:extLst>
            </c:dLbl>
            <c:dLbl>
              <c:idx val="333"/>
              <c:tx>
                <c:rich>
                  <a:bodyPr/>
                  <a:lstStyle/>
                  <a:p>
                    <a:fld id="{FDE824DF-5A8C-4C8A-AB68-0316B6DBBBAD}"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D8-C110-4146-88D1-7D9FAAADAC99}"/>
                </c:ext>
              </c:extLst>
            </c:dLbl>
            <c:dLbl>
              <c:idx val="334"/>
              <c:tx>
                <c:rich>
                  <a:bodyPr/>
                  <a:lstStyle/>
                  <a:p>
                    <a:fld id="{038BD26B-A4BD-40FF-9D30-F705DC2464FD}"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D9-C110-4146-88D1-7D9FAAADAC99}"/>
                </c:ext>
              </c:extLst>
            </c:dLbl>
            <c:dLbl>
              <c:idx val="335"/>
              <c:tx>
                <c:rich>
                  <a:bodyPr/>
                  <a:lstStyle/>
                  <a:p>
                    <a:fld id="{65CC938E-0E43-4393-930A-9FECCAF26DBA}"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DA-C110-4146-88D1-7D9FAAADAC99}"/>
                </c:ext>
              </c:extLst>
            </c:dLbl>
            <c:dLbl>
              <c:idx val="336"/>
              <c:tx>
                <c:rich>
                  <a:bodyPr/>
                  <a:lstStyle/>
                  <a:p>
                    <a:fld id="{09BF26C4-4F6B-4599-8CCD-D960E900C687}"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DB-C110-4146-88D1-7D9FAAADAC99}"/>
                </c:ext>
              </c:extLst>
            </c:dLbl>
            <c:dLbl>
              <c:idx val="337"/>
              <c:tx>
                <c:rich>
                  <a:bodyPr/>
                  <a:lstStyle/>
                  <a:p>
                    <a:fld id="{093086B1-92D2-4A15-892C-B4CB62EBACB8}"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DC-C110-4146-88D1-7D9FAAADAC99}"/>
                </c:ext>
              </c:extLst>
            </c:dLbl>
            <c:dLbl>
              <c:idx val="338"/>
              <c:tx>
                <c:rich>
                  <a:bodyPr/>
                  <a:lstStyle/>
                  <a:p>
                    <a:fld id="{E0DBAAFD-3CFF-41A5-868A-8C39A62E5A06}"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DD-C110-4146-88D1-7D9FAAADAC99}"/>
                </c:ext>
              </c:extLst>
            </c:dLbl>
            <c:dLbl>
              <c:idx val="339"/>
              <c:tx>
                <c:rich>
                  <a:bodyPr/>
                  <a:lstStyle/>
                  <a:p>
                    <a:fld id="{C18F62F4-4DEE-48A3-A299-D70194FEA236}"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DE-C110-4146-88D1-7D9FAAADAC99}"/>
                </c:ext>
              </c:extLst>
            </c:dLbl>
            <c:dLbl>
              <c:idx val="340"/>
              <c:tx>
                <c:rich>
                  <a:bodyPr/>
                  <a:lstStyle/>
                  <a:p>
                    <a:fld id="{E56F1852-B662-4B30-8D87-0CF57A31BAE0}"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DF-C110-4146-88D1-7D9FAAADAC99}"/>
                </c:ext>
              </c:extLst>
            </c:dLbl>
            <c:dLbl>
              <c:idx val="341"/>
              <c:tx>
                <c:rich>
                  <a:bodyPr/>
                  <a:lstStyle/>
                  <a:p>
                    <a:fld id="{7969D8DC-B80A-445E-8FD1-C42419DAF862}"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E0-C110-4146-88D1-7D9FAAADAC99}"/>
                </c:ext>
              </c:extLst>
            </c:dLbl>
            <c:dLbl>
              <c:idx val="342"/>
              <c:tx>
                <c:rich>
                  <a:bodyPr/>
                  <a:lstStyle/>
                  <a:p>
                    <a:fld id="{AAD8654C-2F64-4E7F-A2B2-CE2EB85FD7D4}"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E1-C110-4146-88D1-7D9FAAADAC99}"/>
                </c:ext>
              </c:extLst>
            </c:dLbl>
            <c:dLbl>
              <c:idx val="343"/>
              <c:tx>
                <c:rich>
                  <a:bodyPr/>
                  <a:lstStyle/>
                  <a:p>
                    <a:fld id="{53F3611C-862B-4874-B5A2-D253353C4169}"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E2-C110-4146-88D1-7D9FAAADAC99}"/>
                </c:ext>
              </c:extLst>
            </c:dLbl>
            <c:dLbl>
              <c:idx val="344"/>
              <c:tx>
                <c:rich>
                  <a:bodyPr/>
                  <a:lstStyle/>
                  <a:p>
                    <a:fld id="{A5D3B751-FA33-4C20-8457-5FBB6C658795}"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E3-C110-4146-88D1-7D9FAAADAC99}"/>
                </c:ext>
              </c:extLst>
            </c:dLbl>
            <c:dLbl>
              <c:idx val="345"/>
              <c:tx>
                <c:rich>
                  <a:bodyPr/>
                  <a:lstStyle/>
                  <a:p>
                    <a:fld id="{D718A45B-09EC-458F-8CF3-1D87896921CD}"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E4-C110-4146-88D1-7D9FAAADAC99}"/>
                </c:ext>
              </c:extLst>
            </c:dLbl>
            <c:dLbl>
              <c:idx val="346"/>
              <c:tx>
                <c:rich>
                  <a:bodyPr/>
                  <a:lstStyle/>
                  <a:p>
                    <a:fld id="{E7AC909C-DEFE-4A03-B962-98C462516AFB}"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E5-C110-4146-88D1-7D9FAAADAC99}"/>
                </c:ext>
              </c:extLst>
            </c:dLbl>
            <c:dLbl>
              <c:idx val="347"/>
              <c:tx>
                <c:rich>
                  <a:bodyPr/>
                  <a:lstStyle/>
                  <a:p>
                    <a:fld id="{AEA8797E-81E8-4588-A287-9C2776423792}"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E6-C110-4146-88D1-7D9FAAADAC99}"/>
                </c:ext>
              </c:extLst>
            </c:dLbl>
            <c:dLbl>
              <c:idx val="348"/>
              <c:tx>
                <c:rich>
                  <a:bodyPr/>
                  <a:lstStyle/>
                  <a:p>
                    <a:fld id="{AF0BE6E3-12D5-4A12-B499-8A8FEBEB66BB}"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E7-C110-4146-88D1-7D9FAAADAC99}"/>
                </c:ext>
              </c:extLst>
            </c:dLbl>
            <c:dLbl>
              <c:idx val="349"/>
              <c:tx>
                <c:rich>
                  <a:bodyPr/>
                  <a:lstStyle/>
                  <a:p>
                    <a:fld id="{03F61569-B638-45C3-B8A4-E24442951AD4}"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E8-C110-4146-88D1-7D9FAAADAC99}"/>
                </c:ext>
              </c:extLst>
            </c:dLbl>
            <c:dLbl>
              <c:idx val="350"/>
              <c:tx>
                <c:rich>
                  <a:bodyPr/>
                  <a:lstStyle/>
                  <a:p>
                    <a:fld id="{08A83265-AAEE-4074-B9FC-8ECE8EAE9B1D}"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E9-C110-4146-88D1-7D9FAAADAC99}"/>
                </c:ext>
              </c:extLst>
            </c:dLbl>
            <c:dLbl>
              <c:idx val="351"/>
              <c:tx>
                <c:rich>
                  <a:bodyPr/>
                  <a:lstStyle/>
                  <a:p>
                    <a:fld id="{FB6FF5EF-38DF-4647-9A6C-A0EC3A963CE9}"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EA-C110-4146-88D1-7D9FAAADAC99}"/>
                </c:ext>
              </c:extLst>
            </c:dLbl>
            <c:dLbl>
              <c:idx val="352"/>
              <c:tx>
                <c:rich>
                  <a:bodyPr/>
                  <a:lstStyle/>
                  <a:p>
                    <a:fld id="{56DCAC36-4B21-4282-9377-04CA4F9EF0F5}"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EB-C110-4146-88D1-7D9FAAADAC99}"/>
                </c:ext>
              </c:extLst>
            </c:dLbl>
            <c:dLbl>
              <c:idx val="353"/>
              <c:tx>
                <c:rich>
                  <a:bodyPr/>
                  <a:lstStyle/>
                  <a:p>
                    <a:fld id="{9AB89A47-1EB7-4158-9D50-48924E2CC1B9}"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028D-4756-AF5E-8FEDF70BEC81}"/>
                </c:ext>
              </c:extLst>
            </c:dLbl>
            <c:dLbl>
              <c:idx val="354"/>
              <c:tx>
                <c:rich>
                  <a:bodyPr/>
                  <a:lstStyle/>
                  <a:p>
                    <a:fld id="{EF0DB2CD-56DF-400A-A610-14A3E953CBB3}"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ED-C110-4146-88D1-7D9FAAADAC99}"/>
                </c:ext>
              </c:extLst>
            </c:dLbl>
            <c:dLbl>
              <c:idx val="355"/>
              <c:tx>
                <c:rich>
                  <a:bodyPr/>
                  <a:lstStyle/>
                  <a:p>
                    <a:fld id="{4792904B-4119-45F1-BCD4-F2DFD5756AAC}"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EE-C110-4146-88D1-7D9FAAADAC99}"/>
                </c:ext>
              </c:extLst>
            </c:dLbl>
            <c:dLbl>
              <c:idx val="356"/>
              <c:tx>
                <c:rich>
                  <a:bodyPr/>
                  <a:lstStyle/>
                  <a:p>
                    <a:fld id="{66CF749B-8D7C-49E3-AD5F-A2055ABCAB43}"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EF-C110-4146-88D1-7D9FAAADAC99}"/>
                </c:ext>
              </c:extLst>
            </c:dLbl>
            <c:dLbl>
              <c:idx val="357"/>
              <c:tx>
                <c:rich>
                  <a:bodyPr/>
                  <a:lstStyle/>
                  <a:p>
                    <a:fld id="{22F4DEE3-BD36-4B45-AB58-5BC05A1548FC}"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F0-C110-4146-88D1-7D9FAAADAC99}"/>
                </c:ext>
              </c:extLst>
            </c:dLbl>
            <c:dLbl>
              <c:idx val="358"/>
              <c:tx>
                <c:rich>
                  <a:bodyPr/>
                  <a:lstStyle/>
                  <a:p>
                    <a:fld id="{F4A1FD49-1973-4590-90BF-4D9017A7C9CE}"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F1-C110-4146-88D1-7D9FAAADAC99}"/>
                </c:ext>
              </c:extLst>
            </c:dLbl>
            <c:dLbl>
              <c:idx val="359"/>
              <c:tx>
                <c:rich>
                  <a:bodyPr/>
                  <a:lstStyle/>
                  <a:p>
                    <a:fld id="{73A8A2A9-3EFC-4427-9B09-2D799D4A3D83}"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F2-C110-4146-88D1-7D9FAAADAC99}"/>
                </c:ext>
              </c:extLst>
            </c:dLbl>
            <c:dLbl>
              <c:idx val="360"/>
              <c:tx>
                <c:rich>
                  <a:bodyPr/>
                  <a:lstStyle/>
                  <a:p>
                    <a:fld id="{1750E6F7-F51A-405A-A5F8-3B635088A506}"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F3-C110-4146-88D1-7D9FAAADAC99}"/>
                </c:ext>
              </c:extLst>
            </c:dLbl>
            <c:dLbl>
              <c:idx val="361"/>
              <c:tx>
                <c:rich>
                  <a:bodyPr/>
                  <a:lstStyle/>
                  <a:p>
                    <a:fld id="{AD4AADE1-CE9E-4FD8-9CA8-BE780ABC75DA}"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F4-C110-4146-88D1-7D9FAAADAC99}"/>
                </c:ext>
              </c:extLst>
            </c:dLbl>
            <c:dLbl>
              <c:idx val="362"/>
              <c:tx>
                <c:rich>
                  <a:bodyPr/>
                  <a:lstStyle/>
                  <a:p>
                    <a:fld id="{D679A563-63A0-4946-8272-7FCCFECE7BB2}"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F5-C110-4146-88D1-7D9FAAADAC99}"/>
                </c:ext>
              </c:extLst>
            </c:dLbl>
            <c:dLbl>
              <c:idx val="363"/>
              <c:tx>
                <c:rich>
                  <a:bodyPr/>
                  <a:lstStyle/>
                  <a:p>
                    <a:fld id="{C21DE89D-445C-4C92-BE2D-D00C29EE3AD4}"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F6-C110-4146-88D1-7D9FAAADAC99}"/>
                </c:ext>
              </c:extLst>
            </c:dLbl>
            <c:dLbl>
              <c:idx val="364"/>
              <c:tx>
                <c:rich>
                  <a:bodyPr/>
                  <a:lstStyle/>
                  <a:p>
                    <a:fld id="{2F6D401A-6696-4DB1-A3DA-ED7C9659676D}"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F7-C110-4146-88D1-7D9FAAADAC99}"/>
                </c:ext>
              </c:extLst>
            </c:dLbl>
            <c:dLbl>
              <c:idx val="365"/>
              <c:tx>
                <c:rich>
                  <a:bodyPr/>
                  <a:lstStyle/>
                  <a:p>
                    <a:fld id="{3FAD90D7-8328-46AF-9C1F-A9549CC031BD}"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F8-C110-4146-88D1-7D9FAAADAC99}"/>
                </c:ext>
              </c:extLst>
            </c:dLbl>
            <c:dLbl>
              <c:idx val="366"/>
              <c:tx>
                <c:rich>
                  <a:bodyPr/>
                  <a:lstStyle/>
                  <a:p>
                    <a:fld id="{16954CC9-0656-4489-B6FB-A0FC7D90E5CF}"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F9-C110-4146-88D1-7D9FAAADAC99}"/>
                </c:ext>
              </c:extLst>
            </c:dLbl>
            <c:dLbl>
              <c:idx val="367"/>
              <c:tx>
                <c:rich>
                  <a:bodyPr/>
                  <a:lstStyle/>
                  <a:p>
                    <a:fld id="{5FE66EE4-7B9B-4EB8-AF70-6178BE049DAF}"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028D-4756-AF5E-8FEDF70BEC81}"/>
                </c:ext>
              </c:extLst>
            </c:dLbl>
            <c:dLbl>
              <c:idx val="368"/>
              <c:tx>
                <c:rich>
                  <a:bodyPr/>
                  <a:lstStyle/>
                  <a:p>
                    <a:fld id="{5539F543-0D4B-4BC8-8D68-BC5ED1855E5B}"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FB-C110-4146-88D1-7D9FAAADAC99}"/>
                </c:ext>
              </c:extLst>
            </c:dLbl>
            <c:dLbl>
              <c:idx val="369"/>
              <c:tx>
                <c:rich>
                  <a:bodyPr/>
                  <a:lstStyle/>
                  <a:p>
                    <a:fld id="{C2456862-8F82-4C5F-BFEC-CF76CF198E36}"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FC-C110-4146-88D1-7D9FAAADAC99}"/>
                </c:ext>
              </c:extLst>
            </c:dLbl>
            <c:dLbl>
              <c:idx val="370"/>
              <c:tx>
                <c:rich>
                  <a:bodyPr/>
                  <a:lstStyle/>
                  <a:p>
                    <a:fld id="{5CBB1BCE-DE43-47DF-BDA4-789B2610010D}"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FD-C110-4146-88D1-7D9FAAADAC99}"/>
                </c:ext>
              </c:extLst>
            </c:dLbl>
            <c:dLbl>
              <c:idx val="371"/>
              <c:tx>
                <c:rich>
                  <a:bodyPr/>
                  <a:lstStyle/>
                  <a:p>
                    <a:fld id="{A7D50E5C-B24C-4EA0-B8B9-031AB42CEE6F}"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FE-C110-4146-88D1-7D9FAAADAC99}"/>
                </c:ext>
              </c:extLst>
            </c:dLbl>
            <c:dLbl>
              <c:idx val="372"/>
              <c:tx>
                <c:rich>
                  <a:bodyPr/>
                  <a:lstStyle/>
                  <a:p>
                    <a:fld id="{0E407DA6-7CD7-4764-8812-D8432890150E}"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028D-4756-AF5E-8FEDF70BEC81}"/>
                </c:ext>
              </c:extLst>
            </c:dLbl>
            <c:dLbl>
              <c:idx val="373"/>
              <c:tx>
                <c:rich>
                  <a:bodyPr/>
                  <a:lstStyle/>
                  <a:p>
                    <a:fld id="{96D5DEBE-E9CC-4756-8CD5-677CF0392FEB}"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00-C110-4146-88D1-7D9FAAADAC99}"/>
                </c:ext>
              </c:extLst>
            </c:dLbl>
            <c:dLbl>
              <c:idx val="374"/>
              <c:tx>
                <c:rich>
                  <a:bodyPr/>
                  <a:lstStyle/>
                  <a:p>
                    <a:fld id="{15F72FA3-414C-49A7-80E5-6346FD64E4CA}"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01-C110-4146-88D1-7D9FAAADAC99}"/>
                </c:ext>
              </c:extLst>
            </c:dLbl>
            <c:dLbl>
              <c:idx val="375"/>
              <c:tx>
                <c:rich>
                  <a:bodyPr/>
                  <a:lstStyle/>
                  <a:p>
                    <a:fld id="{6E3AE1E3-B065-4EB7-A4CA-A96544DB7B80}"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02-C110-4146-88D1-7D9FAAADAC99}"/>
                </c:ext>
              </c:extLst>
            </c:dLbl>
            <c:dLbl>
              <c:idx val="376"/>
              <c:tx>
                <c:rich>
                  <a:bodyPr/>
                  <a:lstStyle/>
                  <a:p>
                    <a:fld id="{E3287949-78C8-47CA-8BA2-CC365F133F04}"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03-C110-4146-88D1-7D9FAAADAC99}"/>
                </c:ext>
              </c:extLst>
            </c:dLbl>
            <c:dLbl>
              <c:idx val="377"/>
              <c:tx>
                <c:rich>
                  <a:bodyPr/>
                  <a:lstStyle/>
                  <a:p>
                    <a:fld id="{08AE88B1-6515-42FA-A3C0-DCC88A348F60}"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04-C110-4146-88D1-7D9FAAADAC99}"/>
                </c:ext>
              </c:extLst>
            </c:dLbl>
            <c:dLbl>
              <c:idx val="378"/>
              <c:tx>
                <c:rich>
                  <a:bodyPr/>
                  <a:lstStyle/>
                  <a:p>
                    <a:fld id="{A5D793F3-9585-42E7-B0D2-DE68963DD402}"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05-C110-4146-88D1-7D9FAAADAC99}"/>
                </c:ext>
              </c:extLst>
            </c:dLbl>
            <c:dLbl>
              <c:idx val="379"/>
              <c:tx>
                <c:rich>
                  <a:bodyPr/>
                  <a:lstStyle/>
                  <a:p>
                    <a:fld id="{C658B27E-2F13-4BDD-ABEA-D07D6BC89398}"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06-C110-4146-88D1-7D9FAAADAC99}"/>
                </c:ext>
              </c:extLst>
            </c:dLbl>
            <c:dLbl>
              <c:idx val="380"/>
              <c:tx>
                <c:rich>
                  <a:bodyPr/>
                  <a:lstStyle/>
                  <a:p>
                    <a:fld id="{B0564325-34A3-4BB8-B6DC-E376E3AF866C}"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07-C110-4146-88D1-7D9FAAADAC99}"/>
                </c:ext>
              </c:extLst>
            </c:dLbl>
            <c:dLbl>
              <c:idx val="381"/>
              <c:tx>
                <c:rich>
                  <a:bodyPr/>
                  <a:lstStyle/>
                  <a:p>
                    <a:fld id="{71C030F1-53CA-4A30-8F93-A063515354CF}"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08-C110-4146-88D1-7D9FAAADAC99}"/>
                </c:ext>
              </c:extLst>
            </c:dLbl>
            <c:dLbl>
              <c:idx val="382"/>
              <c:tx>
                <c:rich>
                  <a:bodyPr/>
                  <a:lstStyle/>
                  <a:p>
                    <a:fld id="{2444B01A-6956-48B8-8F7C-0BF3950E2F53}"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09-C110-4146-88D1-7D9FAAADAC99}"/>
                </c:ext>
              </c:extLst>
            </c:dLbl>
            <c:dLbl>
              <c:idx val="383"/>
              <c:tx>
                <c:rich>
                  <a:bodyPr/>
                  <a:lstStyle/>
                  <a:p>
                    <a:fld id="{690A9A5A-411C-415F-BCA0-15472F1C9D89}"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0A-C110-4146-88D1-7D9FAAADAC99}"/>
                </c:ext>
              </c:extLst>
            </c:dLbl>
            <c:dLbl>
              <c:idx val="384"/>
              <c:tx>
                <c:rich>
                  <a:bodyPr/>
                  <a:lstStyle/>
                  <a:p>
                    <a:fld id="{442AE6E0-6D20-40D4-992A-DED162DDBD0E}"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0B-C110-4146-88D1-7D9FAAADAC99}"/>
                </c:ext>
              </c:extLst>
            </c:dLbl>
            <c:dLbl>
              <c:idx val="385"/>
              <c:tx>
                <c:rich>
                  <a:bodyPr/>
                  <a:lstStyle/>
                  <a:p>
                    <a:fld id="{4E9A9A39-543D-4661-9FF0-5D8DD41B7570}"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0C-C110-4146-88D1-7D9FAAADAC99}"/>
                </c:ext>
              </c:extLst>
            </c:dLbl>
            <c:dLbl>
              <c:idx val="386"/>
              <c:tx>
                <c:rich>
                  <a:bodyPr/>
                  <a:lstStyle/>
                  <a:p>
                    <a:fld id="{2F8098BB-F4E6-4EC3-A00F-CD80205FBDC3}"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0D-C110-4146-88D1-7D9FAAADAC99}"/>
                </c:ext>
              </c:extLst>
            </c:dLbl>
            <c:dLbl>
              <c:idx val="387"/>
              <c:tx>
                <c:rich>
                  <a:bodyPr/>
                  <a:lstStyle/>
                  <a:p>
                    <a:fld id="{A8A2F198-23E5-4C11-B4C1-27E96EC01074}"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0E-C110-4146-88D1-7D9FAAADAC99}"/>
                </c:ext>
              </c:extLst>
            </c:dLbl>
            <c:dLbl>
              <c:idx val="388"/>
              <c:tx>
                <c:rich>
                  <a:bodyPr/>
                  <a:lstStyle/>
                  <a:p>
                    <a:fld id="{43D26D61-E7A5-48D5-909D-106F2C6DDCAC}"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0F-C110-4146-88D1-7D9FAAADAC99}"/>
                </c:ext>
              </c:extLst>
            </c:dLbl>
            <c:dLbl>
              <c:idx val="389"/>
              <c:tx>
                <c:rich>
                  <a:bodyPr/>
                  <a:lstStyle/>
                  <a:p>
                    <a:fld id="{E0A329AB-3FF6-4F49-BF00-8811DDE763D7}"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10-C110-4146-88D1-7D9FAAADAC99}"/>
                </c:ext>
              </c:extLst>
            </c:dLbl>
            <c:dLbl>
              <c:idx val="390"/>
              <c:tx>
                <c:rich>
                  <a:bodyPr/>
                  <a:lstStyle/>
                  <a:p>
                    <a:fld id="{DA20E301-6FD5-43DB-A92F-BD8AAA53938F}"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11-C110-4146-88D1-7D9FAAADAC99}"/>
                </c:ext>
              </c:extLst>
            </c:dLbl>
            <c:dLbl>
              <c:idx val="391"/>
              <c:tx>
                <c:rich>
                  <a:bodyPr/>
                  <a:lstStyle/>
                  <a:p>
                    <a:fld id="{B4230C61-CF22-443F-8C98-CC605ABA7C39}"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12-C110-4146-88D1-7D9FAAADAC99}"/>
                </c:ext>
              </c:extLst>
            </c:dLbl>
            <c:dLbl>
              <c:idx val="392"/>
              <c:tx>
                <c:rich>
                  <a:bodyPr/>
                  <a:lstStyle/>
                  <a:p>
                    <a:fld id="{835F87AE-8EDB-4AFA-8CA4-9E0DA5B09AD0}"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13-C110-4146-88D1-7D9FAAADAC99}"/>
                </c:ext>
              </c:extLst>
            </c:dLbl>
            <c:dLbl>
              <c:idx val="393"/>
              <c:tx>
                <c:rich>
                  <a:bodyPr/>
                  <a:lstStyle/>
                  <a:p>
                    <a:fld id="{FDD3D1D8-617A-438B-BFAF-BF789924FE7C}"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14-C110-4146-88D1-7D9FAAADAC99}"/>
                </c:ext>
              </c:extLst>
            </c:dLbl>
            <c:dLbl>
              <c:idx val="394"/>
              <c:tx>
                <c:rich>
                  <a:bodyPr/>
                  <a:lstStyle/>
                  <a:p>
                    <a:fld id="{7014FCDE-B3FF-405C-8D0A-6089F4775703}"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15-C110-4146-88D1-7D9FAAADAC99}"/>
                </c:ext>
              </c:extLst>
            </c:dLbl>
            <c:dLbl>
              <c:idx val="395"/>
              <c:tx>
                <c:rich>
                  <a:bodyPr/>
                  <a:lstStyle/>
                  <a:p>
                    <a:fld id="{897F5810-372C-492F-B067-381EC7F5D62F}"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16-C110-4146-88D1-7D9FAAADAC99}"/>
                </c:ext>
              </c:extLst>
            </c:dLbl>
            <c:dLbl>
              <c:idx val="396"/>
              <c:tx>
                <c:rich>
                  <a:bodyPr/>
                  <a:lstStyle/>
                  <a:p>
                    <a:fld id="{DA22DC1E-B459-4CCC-9419-B01492B66D4B}"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17-C110-4146-88D1-7D9FAAADAC99}"/>
                </c:ext>
              </c:extLst>
            </c:dLbl>
            <c:dLbl>
              <c:idx val="397"/>
              <c:tx>
                <c:rich>
                  <a:bodyPr/>
                  <a:lstStyle/>
                  <a:p>
                    <a:fld id="{8FC19DF6-15F8-47D5-82B8-3CE6500878DA}"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18-C110-4146-88D1-7D9FAAADAC99}"/>
                </c:ext>
              </c:extLst>
            </c:dLbl>
            <c:dLbl>
              <c:idx val="398"/>
              <c:tx>
                <c:rich>
                  <a:bodyPr/>
                  <a:lstStyle/>
                  <a:p>
                    <a:fld id="{2B155A13-FA82-43D1-A0A3-991E118BFDBB}"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19-C110-4146-88D1-7D9FAAADAC99}"/>
                </c:ext>
              </c:extLst>
            </c:dLbl>
            <c:dLbl>
              <c:idx val="399"/>
              <c:tx>
                <c:rich>
                  <a:bodyPr/>
                  <a:lstStyle/>
                  <a:p>
                    <a:fld id="{FECA61A0-1C53-4EB7-9F8B-C41F0ECCC6DF}"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1A-C110-4146-88D1-7D9FAAADAC99}"/>
                </c:ext>
              </c:extLst>
            </c:dLbl>
            <c:dLbl>
              <c:idx val="400"/>
              <c:tx>
                <c:rich>
                  <a:bodyPr/>
                  <a:lstStyle/>
                  <a:p>
                    <a:fld id="{B2FB7ACE-611A-4CF5-B831-4C64DC640C1D}"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1B-C110-4146-88D1-7D9FAAADAC99}"/>
                </c:ext>
              </c:extLst>
            </c:dLbl>
            <c:dLbl>
              <c:idx val="401"/>
              <c:tx>
                <c:rich>
                  <a:bodyPr/>
                  <a:lstStyle/>
                  <a:p>
                    <a:fld id="{ED6FC43A-CB4B-48E6-8975-C6A47943E426}"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1C-C110-4146-88D1-7D9FAAADAC99}"/>
                </c:ext>
              </c:extLst>
            </c:dLbl>
            <c:dLbl>
              <c:idx val="402"/>
              <c:tx>
                <c:rich>
                  <a:bodyPr/>
                  <a:lstStyle/>
                  <a:p>
                    <a:fld id="{E8581355-68F4-490D-BC13-F2BBC0B47684}"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1D-C110-4146-88D1-7D9FAAADAC99}"/>
                </c:ext>
              </c:extLst>
            </c:dLbl>
            <c:dLbl>
              <c:idx val="403"/>
              <c:tx>
                <c:rich>
                  <a:bodyPr/>
                  <a:lstStyle/>
                  <a:p>
                    <a:fld id="{65E60186-979A-40FF-9A2E-60FA6286356D}"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1E-C110-4146-88D1-7D9FAAADAC99}"/>
                </c:ext>
              </c:extLst>
            </c:dLbl>
            <c:dLbl>
              <c:idx val="404"/>
              <c:tx>
                <c:rich>
                  <a:bodyPr/>
                  <a:lstStyle/>
                  <a:p>
                    <a:fld id="{70B305F2-F640-4A27-AB37-EA040CA8F12B}"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1F-C110-4146-88D1-7D9FAAADAC99}"/>
                </c:ext>
              </c:extLst>
            </c:dLbl>
            <c:dLbl>
              <c:idx val="405"/>
              <c:tx>
                <c:rich>
                  <a:bodyPr/>
                  <a:lstStyle/>
                  <a:p>
                    <a:fld id="{D6C45FB5-AB4E-473B-886F-60E30A4522D8}"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20-C110-4146-88D1-7D9FAAADAC99}"/>
                </c:ext>
              </c:extLst>
            </c:dLbl>
            <c:dLbl>
              <c:idx val="406"/>
              <c:tx>
                <c:rich>
                  <a:bodyPr/>
                  <a:lstStyle/>
                  <a:p>
                    <a:fld id="{19E1ABB3-48EF-47B0-A222-9264A63B0FE4}"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21-C110-4146-88D1-7D9FAAADAC99}"/>
                </c:ext>
              </c:extLst>
            </c:dLbl>
            <c:dLbl>
              <c:idx val="407"/>
              <c:tx>
                <c:rich>
                  <a:bodyPr/>
                  <a:lstStyle/>
                  <a:p>
                    <a:fld id="{350CFBBE-9146-4FF0-8B9F-FBDC69FFAB85}"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22-C110-4146-88D1-7D9FAAADAC99}"/>
                </c:ext>
              </c:extLst>
            </c:dLbl>
            <c:dLbl>
              <c:idx val="408"/>
              <c:tx>
                <c:rich>
                  <a:bodyPr/>
                  <a:lstStyle/>
                  <a:p>
                    <a:fld id="{A09AD8CF-F61B-4F12-805B-09251077E63D}"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23-C110-4146-88D1-7D9FAAADAC99}"/>
                </c:ext>
              </c:extLst>
            </c:dLbl>
            <c:dLbl>
              <c:idx val="409"/>
              <c:tx>
                <c:rich>
                  <a:bodyPr/>
                  <a:lstStyle/>
                  <a:p>
                    <a:fld id="{90B7386A-AFAA-4515-AF0A-74626916D79B}"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24-C110-4146-88D1-7D9FAAADAC99}"/>
                </c:ext>
              </c:extLst>
            </c:dLbl>
            <c:dLbl>
              <c:idx val="410"/>
              <c:tx>
                <c:rich>
                  <a:bodyPr/>
                  <a:lstStyle/>
                  <a:p>
                    <a:fld id="{914CA4BD-C435-41FC-824A-22B69311240F}"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25-C110-4146-88D1-7D9FAAADAC99}"/>
                </c:ext>
              </c:extLst>
            </c:dLbl>
            <c:dLbl>
              <c:idx val="411"/>
              <c:tx>
                <c:rich>
                  <a:bodyPr/>
                  <a:lstStyle/>
                  <a:p>
                    <a:fld id="{462B7A14-CC0D-4387-8DAC-F51BCC26C030}"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26-C110-4146-88D1-7D9FAAADAC99}"/>
                </c:ext>
              </c:extLst>
            </c:dLbl>
            <c:dLbl>
              <c:idx val="412"/>
              <c:tx>
                <c:rich>
                  <a:bodyPr/>
                  <a:lstStyle/>
                  <a:p>
                    <a:fld id="{399AE435-B2E5-4E49-B8F6-B63DA9AF4D5C}"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27-C110-4146-88D1-7D9FAAADAC99}"/>
                </c:ext>
              </c:extLst>
            </c:dLbl>
            <c:dLbl>
              <c:idx val="413"/>
              <c:tx>
                <c:rich>
                  <a:bodyPr/>
                  <a:lstStyle/>
                  <a:p>
                    <a:fld id="{3620D2A8-47C4-43AA-A60E-90FD616CC0D1}"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28-C110-4146-88D1-7D9FAAADAC99}"/>
                </c:ext>
              </c:extLst>
            </c:dLbl>
            <c:dLbl>
              <c:idx val="414"/>
              <c:tx>
                <c:rich>
                  <a:bodyPr/>
                  <a:lstStyle/>
                  <a:p>
                    <a:fld id="{0F1A7076-C88B-4625-8F54-75A6B99632FC}"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29-C110-4146-88D1-7D9FAAADAC99}"/>
                </c:ext>
              </c:extLst>
            </c:dLbl>
            <c:dLbl>
              <c:idx val="415"/>
              <c:tx>
                <c:rich>
                  <a:bodyPr/>
                  <a:lstStyle/>
                  <a:p>
                    <a:fld id="{2EE51749-96A1-4CCA-9DED-63DA8030C79E}"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028D-4756-AF5E-8FEDF70BEC81}"/>
                </c:ext>
              </c:extLst>
            </c:dLbl>
            <c:dLbl>
              <c:idx val="416"/>
              <c:tx>
                <c:rich>
                  <a:bodyPr/>
                  <a:lstStyle/>
                  <a:p>
                    <a:fld id="{1BC3DAE6-69E1-49CE-AB82-423F14D4FCAB}"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2B-C110-4146-88D1-7D9FAAADAC99}"/>
                </c:ext>
              </c:extLst>
            </c:dLbl>
            <c:dLbl>
              <c:idx val="417"/>
              <c:tx>
                <c:rich>
                  <a:bodyPr/>
                  <a:lstStyle/>
                  <a:p>
                    <a:fld id="{A1861058-3115-41EF-B747-278C2BBCA9A2}"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2C-C110-4146-88D1-7D9FAAADAC99}"/>
                </c:ext>
              </c:extLst>
            </c:dLbl>
            <c:dLbl>
              <c:idx val="418"/>
              <c:tx>
                <c:rich>
                  <a:bodyPr/>
                  <a:lstStyle/>
                  <a:p>
                    <a:fld id="{C5C26F68-8BFB-4F93-A6FB-8E8CC1D587A0}"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2D-C110-4146-88D1-7D9FAAADAC99}"/>
                </c:ext>
              </c:extLst>
            </c:dLbl>
            <c:dLbl>
              <c:idx val="419"/>
              <c:tx>
                <c:rich>
                  <a:bodyPr/>
                  <a:lstStyle/>
                  <a:p>
                    <a:fld id="{4DD1802E-7089-452E-801F-24FF060EDDAD}"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2E-C110-4146-88D1-7D9FAAADAC99}"/>
                </c:ext>
              </c:extLst>
            </c:dLbl>
            <c:dLbl>
              <c:idx val="420"/>
              <c:tx>
                <c:rich>
                  <a:bodyPr/>
                  <a:lstStyle/>
                  <a:p>
                    <a:fld id="{CA82B4BC-A0D3-4F2C-8A3C-4A81EB0AA8A8}"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2F-C110-4146-88D1-7D9FAAADAC99}"/>
                </c:ext>
              </c:extLst>
            </c:dLbl>
            <c:dLbl>
              <c:idx val="421"/>
              <c:tx>
                <c:rich>
                  <a:bodyPr/>
                  <a:lstStyle/>
                  <a:p>
                    <a:fld id="{A7E44A11-A4EF-4484-AD6E-4EEF35B430AB}"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30-C110-4146-88D1-7D9FAAADAC99}"/>
                </c:ext>
              </c:extLst>
            </c:dLbl>
            <c:dLbl>
              <c:idx val="422"/>
              <c:tx>
                <c:rich>
                  <a:bodyPr/>
                  <a:lstStyle/>
                  <a:p>
                    <a:fld id="{F1760214-59C5-425D-8CC2-55EE49A9237E}"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31-C110-4146-88D1-7D9FAAADAC99}"/>
                </c:ext>
              </c:extLst>
            </c:dLbl>
            <c:dLbl>
              <c:idx val="423"/>
              <c:tx>
                <c:rich>
                  <a:bodyPr/>
                  <a:lstStyle/>
                  <a:p>
                    <a:fld id="{8D44B777-2E19-4779-A513-7D6A312C094A}"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32-C110-4146-88D1-7D9FAAADAC99}"/>
                </c:ext>
              </c:extLst>
            </c:dLbl>
            <c:dLbl>
              <c:idx val="424"/>
              <c:tx>
                <c:rich>
                  <a:bodyPr/>
                  <a:lstStyle/>
                  <a:p>
                    <a:fld id="{127810AA-D254-4AF7-A240-0B27C4CFC614}"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33-C110-4146-88D1-7D9FAAADAC99}"/>
                </c:ext>
              </c:extLst>
            </c:dLbl>
            <c:dLbl>
              <c:idx val="425"/>
              <c:tx>
                <c:rich>
                  <a:bodyPr/>
                  <a:lstStyle/>
                  <a:p>
                    <a:fld id="{3960B039-3D1F-4CCE-A8B6-C3D7B544B3A6}"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34-C110-4146-88D1-7D9FAAADAC99}"/>
                </c:ext>
              </c:extLst>
            </c:dLbl>
            <c:dLbl>
              <c:idx val="426"/>
              <c:tx>
                <c:rich>
                  <a:bodyPr/>
                  <a:lstStyle/>
                  <a:p>
                    <a:fld id="{BD0C0E06-B471-4476-82AD-58F4CA265444}"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35-C110-4146-88D1-7D9FAAADAC99}"/>
                </c:ext>
              </c:extLst>
            </c:dLbl>
            <c:dLbl>
              <c:idx val="427"/>
              <c:tx>
                <c:rich>
                  <a:bodyPr/>
                  <a:lstStyle/>
                  <a:p>
                    <a:fld id="{5CB48DAD-92FD-4813-ABE0-BAEDCFF99DA7}"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36-C110-4146-88D1-7D9FAAADAC99}"/>
                </c:ext>
              </c:extLst>
            </c:dLbl>
            <c:dLbl>
              <c:idx val="428"/>
              <c:tx>
                <c:rich>
                  <a:bodyPr/>
                  <a:lstStyle/>
                  <a:p>
                    <a:fld id="{AF9F36B1-1E01-4C2F-BA90-19688D10AB61}"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37-C110-4146-88D1-7D9FAAADAC99}"/>
                </c:ext>
              </c:extLst>
            </c:dLbl>
            <c:dLbl>
              <c:idx val="429"/>
              <c:tx>
                <c:rich>
                  <a:bodyPr/>
                  <a:lstStyle/>
                  <a:p>
                    <a:fld id="{84EEDFB4-B5AF-4A0F-BD52-438140DFA787}"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38-C110-4146-88D1-7D9FAAADAC99}"/>
                </c:ext>
              </c:extLst>
            </c:dLbl>
            <c:dLbl>
              <c:idx val="430"/>
              <c:tx>
                <c:rich>
                  <a:bodyPr/>
                  <a:lstStyle/>
                  <a:p>
                    <a:fld id="{8391F3C4-E3B4-4DF7-936F-C8BA143F37DE}"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39-C110-4146-88D1-7D9FAAADAC99}"/>
                </c:ext>
              </c:extLst>
            </c:dLbl>
            <c:dLbl>
              <c:idx val="431"/>
              <c:tx>
                <c:rich>
                  <a:bodyPr/>
                  <a:lstStyle/>
                  <a:p>
                    <a:fld id="{89D6DD2A-A255-4501-A6B6-967E07EEF2E0}"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3A-C110-4146-88D1-7D9FAAADAC99}"/>
                </c:ext>
              </c:extLst>
            </c:dLbl>
            <c:dLbl>
              <c:idx val="432"/>
              <c:tx>
                <c:rich>
                  <a:bodyPr/>
                  <a:lstStyle/>
                  <a:p>
                    <a:fld id="{780D103F-6CAB-4F34-B0FC-002A8FC95573}"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3B-C110-4146-88D1-7D9FAAADAC99}"/>
                </c:ext>
              </c:extLst>
            </c:dLbl>
            <c:dLbl>
              <c:idx val="433"/>
              <c:tx>
                <c:rich>
                  <a:bodyPr/>
                  <a:lstStyle/>
                  <a:p>
                    <a:fld id="{689F1A70-7A40-4841-916B-C51C384B710A}"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3C-C110-4146-88D1-7D9FAAADAC99}"/>
                </c:ext>
              </c:extLst>
            </c:dLbl>
            <c:dLbl>
              <c:idx val="434"/>
              <c:tx>
                <c:rich>
                  <a:bodyPr/>
                  <a:lstStyle/>
                  <a:p>
                    <a:fld id="{0E862091-EDEF-476A-9F8F-5E5304D3E672}"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3D-C110-4146-88D1-7D9FAAADAC99}"/>
                </c:ext>
              </c:extLst>
            </c:dLbl>
            <c:dLbl>
              <c:idx val="435"/>
              <c:tx>
                <c:rich>
                  <a:bodyPr/>
                  <a:lstStyle/>
                  <a:p>
                    <a:fld id="{6D80A668-0263-4C88-93A6-2BD25DABCEE2}"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3E-C110-4146-88D1-7D9FAAADAC99}"/>
                </c:ext>
              </c:extLst>
            </c:dLbl>
            <c:dLbl>
              <c:idx val="436"/>
              <c:tx>
                <c:rich>
                  <a:bodyPr/>
                  <a:lstStyle/>
                  <a:p>
                    <a:fld id="{FCF51BD2-5E5D-4D25-8049-9A3F4A2D6F4F}"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3F-C110-4146-88D1-7D9FAAADAC99}"/>
                </c:ext>
              </c:extLst>
            </c:dLbl>
            <c:dLbl>
              <c:idx val="437"/>
              <c:tx>
                <c:rich>
                  <a:bodyPr/>
                  <a:lstStyle/>
                  <a:p>
                    <a:fld id="{A8D75C24-A858-4A81-8A92-C88469EEB2F1}"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40-C110-4146-88D1-7D9FAAADAC99}"/>
                </c:ext>
              </c:extLst>
            </c:dLbl>
            <c:dLbl>
              <c:idx val="438"/>
              <c:tx>
                <c:rich>
                  <a:bodyPr/>
                  <a:lstStyle/>
                  <a:p>
                    <a:fld id="{D57A6489-0238-4E2B-8E79-B15ED1B642D4}"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41-C110-4146-88D1-7D9FAAADAC99}"/>
                </c:ext>
              </c:extLst>
            </c:dLbl>
            <c:dLbl>
              <c:idx val="439"/>
              <c:tx>
                <c:rich>
                  <a:bodyPr/>
                  <a:lstStyle/>
                  <a:p>
                    <a:fld id="{8E963A23-5328-4BD7-ACC7-D499743FA868}"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42-C110-4146-88D1-7D9FAAADAC99}"/>
                </c:ext>
              </c:extLst>
            </c:dLbl>
            <c:dLbl>
              <c:idx val="440"/>
              <c:tx>
                <c:rich>
                  <a:bodyPr/>
                  <a:lstStyle/>
                  <a:p>
                    <a:fld id="{9DDAB36F-A90B-4989-9FD5-13324CBE821F}"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43-C110-4146-88D1-7D9FAAADAC99}"/>
                </c:ext>
              </c:extLst>
            </c:dLbl>
            <c:dLbl>
              <c:idx val="441"/>
              <c:tx>
                <c:rich>
                  <a:bodyPr/>
                  <a:lstStyle/>
                  <a:p>
                    <a:fld id="{FB6BD733-310A-489B-AA91-0F204F2586A0}"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44-C110-4146-88D1-7D9FAAADAC99}"/>
                </c:ext>
              </c:extLst>
            </c:dLbl>
            <c:dLbl>
              <c:idx val="442"/>
              <c:tx>
                <c:rich>
                  <a:bodyPr/>
                  <a:lstStyle/>
                  <a:p>
                    <a:fld id="{39D2AF57-1D00-4F7B-ACE6-93CC9854A8DF}"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45-C110-4146-88D1-7D9FAAADAC99}"/>
                </c:ext>
              </c:extLst>
            </c:dLbl>
            <c:dLbl>
              <c:idx val="443"/>
              <c:tx>
                <c:rich>
                  <a:bodyPr/>
                  <a:lstStyle/>
                  <a:p>
                    <a:fld id="{732A3A83-F094-4ED4-A1B6-A0BB29A944BD}"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46-C110-4146-88D1-7D9FAAADAC99}"/>
                </c:ext>
              </c:extLst>
            </c:dLbl>
            <c:dLbl>
              <c:idx val="444"/>
              <c:tx>
                <c:rich>
                  <a:bodyPr/>
                  <a:lstStyle/>
                  <a:p>
                    <a:fld id="{1BF4E166-5687-4FCB-BCC1-E642C36B3AB9}"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47-C110-4146-88D1-7D9FAAADAC99}"/>
                </c:ext>
              </c:extLst>
            </c:dLbl>
            <c:dLbl>
              <c:idx val="445"/>
              <c:tx>
                <c:rich>
                  <a:bodyPr/>
                  <a:lstStyle/>
                  <a:p>
                    <a:fld id="{988FA29F-C964-4A37-A5C0-FD72B5903D4E}"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48-C110-4146-88D1-7D9FAAADAC99}"/>
                </c:ext>
              </c:extLst>
            </c:dLbl>
            <c:dLbl>
              <c:idx val="446"/>
              <c:tx>
                <c:rich>
                  <a:bodyPr/>
                  <a:lstStyle/>
                  <a:p>
                    <a:fld id="{B59EC7CB-CCAD-4B45-B8EA-A3AA1DFBD062}"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49-C110-4146-88D1-7D9FAAADAC99}"/>
                </c:ext>
              </c:extLst>
            </c:dLbl>
            <c:dLbl>
              <c:idx val="447"/>
              <c:tx>
                <c:rich>
                  <a:bodyPr/>
                  <a:lstStyle/>
                  <a:p>
                    <a:fld id="{6EDB1F34-3730-4D5E-B368-101D73B0C414}"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4A-C110-4146-88D1-7D9FAAADAC99}"/>
                </c:ext>
              </c:extLst>
            </c:dLbl>
            <c:dLbl>
              <c:idx val="448"/>
              <c:tx>
                <c:rich>
                  <a:bodyPr/>
                  <a:lstStyle/>
                  <a:p>
                    <a:fld id="{B3667742-3ACF-4F2E-AA50-894197EAFE00}"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4B-C110-4146-88D1-7D9FAAADAC99}"/>
                </c:ext>
              </c:extLst>
            </c:dLbl>
            <c:dLbl>
              <c:idx val="449"/>
              <c:tx>
                <c:rich>
                  <a:bodyPr/>
                  <a:lstStyle/>
                  <a:p>
                    <a:fld id="{B6A5E43B-BA2B-4B05-BC2A-5A730ACD3250}"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4C-C110-4146-88D1-7D9FAAADAC99}"/>
                </c:ext>
              </c:extLst>
            </c:dLbl>
            <c:dLbl>
              <c:idx val="450"/>
              <c:tx>
                <c:rich>
                  <a:bodyPr/>
                  <a:lstStyle/>
                  <a:p>
                    <a:fld id="{3B4D5C35-BE31-4DA7-9764-086848248461}"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4D-C110-4146-88D1-7D9FAAADAC99}"/>
                </c:ext>
              </c:extLst>
            </c:dLbl>
            <c:dLbl>
              <c:idx val="451"/>
              <c:tx>
                <c:rich>
                  <a:bodyPr/>
                  <a:lstStyle/>
                  <a:p>
                    <a:fld id="{8B65D8AC-DA1C-4AC9-85D4-27BC47B581F1}"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4E-C110-4146-88D1-7D9FAAADAC99}"/>
                </c:ext>
              </c:extLst>
            </c:dLbl>
            <c:dLbl>
              <c:idx val="452"/>
              <c:tx>
                <c:rich>
                  <a:bodyPr/>
                  <a:lstStyle/>
                  <a:p>
                    <a:fld id="{40D48E91-1CCD-48E0-89DB-35871141A942}"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4F-C110-4146-88D1-7D9FAAADAC99}"/>
                </c:ext>
              </c:extLst>
            </c:dLbl>
            <c:dLbl>
              <c:idx val="453"/>
              <c:tx>
                <c:rich>
                  <a:bodyPr/>
                  <a:lstStyle/>
                  <a:p>
                    <a:fld id="{00E55C2A-EAA0-4FB3-AFC4-C2F04CEEEA30}"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50-C110-4146-88D1-7D9FAAADAC99}"/>
                </c:ext>
              </c:extLst>
            </c:dLbl>
            <c:dLbl>
              <c:idx val="454"/>
              <c:tx>
                <c:rich>
                  <a:bodyPr/>
                  <a:lstStyle/>
                  <a:p>
                    <a:fld id="{C2DEE3D2-9456-4B77-9211-C6F0CCE4770E}"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51-C110-4146-88D1-7D9FAAADAC99}"/>
                </c:ext>
              </c:extLst>
            </c:dLbl>
            <c:dLbl>
              <c:idx val="455"/>
              <c:tx>
                <c:rich>
                  <a:bodyPr/>
                  <a:lstStyle/>
                  <a:p>
                    <a:fld id="{3F9FBB40-4A98-4633-834B-3FF5A24457AF}"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52-C110-4146-88D1-7D9FAAADAC99}"/>
                </c:ext>
              </c:extLst>
            </c:dLbl>
            <c:dLbl>
              <c:idx val="456"/>
              <c:tx>
                <c:rich>
                  <a:bodyPr/>
                  <a:lstStyle/>
                  <a:p>
                    <a:fld id="{C0990049-E7B7-4518-9C6C-E9FA6A2CECBC}"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028D-4756-AF5E-8FEDF70BEC81}"/>
                </c:ext>
              </c:extLst>
            </c:dLbl>
            <c:dLbl>
              <c:idx val="457"/>
              <c:tx>
                <c:rich>
                  <a:bodyPr/>
                  <a:lstStyle/>
                  <a:p>
                    <a:fld id="{303B8843-7E77-4C2F-9C38-FD97909BFF22}"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54-C110-4146-88D1-7D9FAAADAC99}"/>
                </c:ext>
              </c:extLst>
            </c:dLbl>
            <c:dLbl>
              <c:idx val="458"/>
              <c:tx>
                <c:rich>
                  <a:bodyPr/>
                  <a:lstStyle/>
                  <a:p>
                    <a:fld id="{6E2FFB27-7B7B-4E06-9863-F9F7A2E09D85}"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55-C110-4146-88D1-7D9FAAADAC99}"/>
                </c:ext>
              </c:extLst>
            </c:dLbl>
            <c:dLbl>
              <c:idx val="459"/>
              <c:tx>
                <c:rich>
                  <a:bodyPr/>
                  <a:lstStyle/>
                  <a:p>
                    <a:fld id="{E81104F8-1361-404B-84A3-63C5548D6B63}"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56-C110-4146-88D1-7D9FAAADAC99}"/>
                </c:ext>
              </c:extLst>
            </c:dLbl>
            <c:dLbl>
              <c:idx val="460"/>
              <c:tx>
                <c:rich>
                  <a:bodyPr/>
                  <a:lstStyle/>
                  <a:p>
                    <a:fld id="{1CB313C4-179B-44DC-970D-28B3F0338694}"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57-C110-4146-88D1-7D9FAAADAC99}"/>
                </c:ext>
              </c:extLst>
            </c:dLbl>
            <c:dLbl>
              <c:idx val="461"/>
              <c:tx>
                <c:rich>
                  <a:bodyPr/>
                  <a:lstStyle/>
                  <a:p>
                    <a:fld id="{9AE694F9-E5ED-4252-AF1A-0F9895814F4F}"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58-C110-4146-88D1-7D9FAAADAC99}"/>
                </c:ext>
              </c:extLst>
            </c:dLbl>
            <c:dLbl>
              <c:idx val="462"/>
              <c:tx>
                <c:rich>
                  <a:bodyPr/>
                  <a:lstStyle/>
                  <a:p>
                    <a:fld id="{3F386B55-9EE1-43EF-B7BF-B6FE9A996F80}"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59-C110-4146-88D1-7D9FAAADAC99}"/>
                </c:ext>
              </c:extLst>
            </c:dLbl>
            <c:dLbl>
              <c:idx val="463"/>
              <c:tx>
                <c:rich>
                  <a:bodyPr/>
                  <a:lstStyle/>
                  <a:p>
                    <a:fld id="{69D1F7C3-A13A-4377-B7AD-96CA3F503F09}"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5A-C110-4146-88D1-7D9FAAADAC99}"/>
                </c:ext>
              </c:extLst>
            </c:dLbl>
            <c:dLbl>
              <c:idx val="464"/>
              <c:tx>
                <c:rich>
                  <a:bodyPr/>
                  <a:lstStyle/>
                  <a:p>
                    <a:fld id="{03DB15FC-8935-4B26-86AE-268C7546D5B1}"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5B-C110-4146-88D1-7D9FAAADAC99}"/>
                </c:ext>
              </c:extLst>
            </c:dLbl>
            <c:dLbl>
              <c:idx val="465"/>
              <c:tx>
                <c:rich>
                  <a:bodyPr/>
                  <a:lstStyle/>
                  <a:p>
                    <a:fld id="{051318A5-23AC-4552-993C-47FC793448E3}"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5C-C110-4146-88D1-7D9FAAADAC99}"/>
                </c:ext>
              </c:extLst>
            </c:dLbl>
            <c:dLbl>
              <c:idx val="466"/>
              <c:tx>
                <c:rich>
                  <a:bodyPr/>
                  <a:lstStyle/>
                  <a:p>
                    <a:fld id="{94218F0D-EFA0-444D-9FEF-E0B74C9FD599}"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5D-C110-4146-88D1-7D9FAAADAC99}"/>
                </c:ext>
              </c:extLst>
            </c:dLbl>
            <c:dLbl>
              <c:idx val="467"/>
              <c:tx>
                <c:rich>
                  <a:bodyPr/>
                  <a:lstStyle/>
                  <a:p>
                    <a:fld id="{57C0737E-C9D1-4815-AA58-D2ADDF2F9C5C}"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5E-C110-4146-88D1-7D9FAAADAC99}"/>
                </c:ext>
              </c:extLst>
            </c:dLbl>
            <c:dLbl>
              <c:idx val="468"/>
              <c:tx>
                <c:rich>
                  <a:bodyPr/>
                  <a:lstStyle/>
                  <a:p>
                    <a:fld id="{8C536CFB-9177-44CB-AB09-9652B92D13FF}"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028D-4756-AF5E-8FEDF70BEC81}"/>
                </c:ext>
              </c:extLst>
            </c:dLbl>
            <c:dLbl>
              <c:idx val="469"/>
              <c:tx>
                <c:rich>
                  <a:bodyPr/>
                  <a:lstStyle/>
                  <a:p>
                    <a:fld id="{15DBE8CA-A3B2-4A4D-9E93-FDBDAB039B38}"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028D-4756-AF5E-8FEDF70BEC81}"/>
                </c:ext>
              </c:extLst>
            </c:dLbl>
            <c:dLbl>
              <c:idx val="470"/>
              <c:tx>
                <c:rich>
                  <a:bodyPr/>
                  <a:lstStyle/>
                  <a:p>
                    <a:fld id="{EBEBB688-4D93-4EE8-94B0-571D6C4E1C9E}"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028D-4756-AF5E-8FEDF70BEC81}"/>
                </c:ext>
              </c:extLst>
            </c:dLbl>
            <c:dLbl>
              <c:idx val="471"/>
              <c:tx>
                <c:rich>
                  <a:bodyPr/>
                  <a:lstStyle/>
                  <a:p>
                    <a:fld id="{DBD6270B-DF4D-4061-9914-A741E79D7775}"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028D-4756-AF5E-8FEDF70BEC81}"/>
                </c:ext>
              </c:extLst>
            </c:dLbl>
            <c:dLbl>
              <c:idx val="472"/>
              <c:tx>
                <c:rich>
                  <a:bodyPr/>
                  <a:lstStyle/>
                  <a:p>
                    <a:fld id="{EB2BFBAA-B827-4EC6-B29E-8D3B5471B15E}"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028D-4756-AF5E-8FEDF70BEC81}"/>
                </c:ext>
              </c:extLst>
            </c:dLbl>
            <c:dLbl>
              <c:idx val="473"/>
              <c:tx>
                <c:rich>
                  <a:bodyPr/>
                  <a:lstStyle/>
                  <a:p>
                    <a:fld id="{E9273ADE-50EF-4D23-881F-C897D7D499D0}"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028D-4756-AF5E-8FEDF70BEC81}"/>
                </c:ext>
              </c:extLst>
            </c:dLbl>
            <c:dLbl>
              <c:idx val="474"/>
              <c:tx>
                <c:rich>
                  <a:bodyPr/>
                  <a:lstStyle/>
                  <a:p>
                    <a:fld id="{B8BA2159-7706-4A54-820E-4220D1C60989}"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028D-4756-AF5E-8FEDF70BEC81}"/>
                </c:ext>
              </c:extLst>
            </c:dLbl>
            <c:dLbl>
              <c:idx val="475"/>
              <c:tx>
                <c:rich>
                  <a:bodyPr/>
                  <a:lstStyle/>
                  <a:p>
                    <a:fld id="{F6C2D0CD-5FF1-4287-BC10-0CA5446D2DC7}"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028D-4756-AF5E-8FEDF70BEC81}"/>
                </c:ext>
              </c:extLst>
            </c:dLbl>
            <c:dLbl>
              <c:idx val="476"/>
              <c:tx>
                <c:rich>
                  <a:bodyPr/>
                  <a:lstStyle/>
                  <a:p>
                    <a:fld id="{C74409B2-C804-43BC-AAF8-BDDDE839AF94}"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028D-4756-AF5E-8FEDF70BEC81}"/>
                </c:ext>
              </c:extLst>
            </c:dLbl>
            <c:dLbl>
              <c:idx val="477"/>
              <c:tx>
                <c:rich>
                  <a:bodyPr/>
                  <a:lstStyle/>
                  <a:p>
                    <a:fld id="{BDB6D1B2-AC2F-4AF2-8883-776DD3DE9D60}"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028D-4756-AF5E-8FEDF70BEC81}"/>
                </c:ext>
              </c:extLst>
            </c:dLbl>
            <c:dLbl>
              <c:idx val="478"/>
              <c:tx>
                <c:rich>
                  <a:bodyPr/>
                  <a:lstStyle/>
                  <a:p>
                    <a:fld id="{BAF3EF37-DB51-447C-ADB3-1A27C5F6A775}"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028D-4756-AF5E-8FEDF70BEC81}"/>
                </c:ext>
              </c:extLst>
            </c:dLbl>
            <c:dLbl>
              <c:idx val="479"/>
              <c:tx>
                <c:rich>
                  <a:bodyPr/>
                  <a:lstStyle/>
                  <a:p>
                    <a:fld id="{C3A75E3A-B3AA-440D-AB8B-08D3D14DBD31}"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4-028D-4756-AF5E-8FEDF70BEC81}"/>
                </c:ext>
              </c:extLst>
            </c:dLbl>
            <c:dLbl>
              <c:idx val="480"/>
              <c:tx>
                <c:rich>
                  <a:bodyPr/>
                  <a:lstStyle/>
                  <a:p>
                    <a:fld id="{2C5693C1-AFEC-4E9A-A80B-B0E9DF719C52}"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028D-4756-AF5E-8FEDF70BEC81}"/>
                </c:ext>
              </c:extLst>
            </c:dLbl>
            <c:dLbl>
              <c:idx val="481"/>
              <c:tx>
                <c:rich>
                  <a:bodyPr/>
                  <a:lstStyle/>
                  <a:p>
                    <a:fld id="{5256753B-039F-4F87-8C4C-8CBE9F81FE48}"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6-028D-4756-AF5E-8FEDF70BEC81}"/>
                </c:ext>
              </c:extLst>
            </c:dLbl>
            <c:dLbl>
              <c:idx val="482"/>
              <c:tx>
                <c:rich>
                  <a:bodyPr/>
                  <a:lstStyle/>
                  <a:p>
                    <a:fld id="{BC2933BE-3B69-4544-8F5B-09DDA0A4264B}"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7-028D-4756-AF5E-8FEDF70BEC81}"/>
                </c:ext>
              </c:extLst>
            </c:dLbl>
            <c:dLbl>
              <c:idx val="483"/>
              <c:tx>
                <c:rich>
                  <a:bodyPr/>
                  <a:lstStyle/>
                  <a:p>
                    <a:fld id="{A02B4E6B-B061-4A8E-85D5-A731B9B195E4}"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8-028D-4756-AF5E-8FEDF70BEC81}"/>
                </c:ext>
              </c:extLst>
            </c:dLbl>
            <c:dLbl>
              <c:idx val="484"/>
              <c:tx>
                <c:rich>
                  <a:bodyPr/>
                  <a:lstStyle/>
                  <a:p>
                    <a:fld id="{DC58940F-1544-4E90-873F-5AAF6186A217}"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028D-4756-AF5E-8FEDF70BEC81}"/>
                </c:ext>
              </c:extLst>
            </c:dLbl>
            <c:dLbl>
              <c:idx val="485"/>
              <c:tx>
                <c:rich>
                  <a:bodyPr/>
                  <a:lstStyle/>
                  <a:p>
                    <a:fld id="{B5D2E9AA-15A7-460C-9327-DDF928916C51}"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A-028D-4756-AF5E-8FEDF70BEC81}"/>
                </c:ext>
              </c:extLst>
            </c:dLbl>
            <c:dLbl>
              <c:idx val="486"/>
              <c:tx>
                <c:rich>
                  <a:bodyPr/>
                  <a:lstStyle/>
                  <a:p>
                    <a:fld id="{B6D86BCD-21DD-4D86-932D-99B900B1E109}"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028D-4756-AF5E-8FEDF70BEC81}"/>
                </c:ext>
              </c:extLst>
            </c:dLbl>
            <c:dLbl>
              <c:idx val="487"/>
              <c:tx>
                <c:rich>
                  <a:bodyPr/>
                  <a:lstStyle/>
                  <a:p>
                    <a:fld id="{445A4BD0-FD09-4965-8863-39E9A9F4A052}"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C-028D-4756-AF5E-8FEDF70BEC81}"/>
                </c:ext>
              </c:extLst>
            </c:dLbl>
            <c:dLbl>
              <c:idx val="488"/>
              <c:tx>
                <c:rich>
                  <a:bodyPr/>
                  <a:lstStyle/>
                  <a:p>
                    <a:fld id="{5EBB9C39-36F3-440F-AE2A-BA0369A8C979}"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D-028D-4756-AF5E-8FEDF70BEC81}"/>
                </c:ext>
              </c:extLst>
            </c:dLbl>
            <c:dLbl>
              <c:idx val="489"/>
              <c:tx>
                <c:rich>
                  <a:bodyPr/>
                  <a:lstStyle/>
                  <a:p>
                    <a:fld id="{AAA950C6-E4AA-4089-8D04-60E2D603ED68}"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E-028D-4756-AF5E-8FEDF70BEC81}"/>
                </c:ext>
              </c:extLst>
            </c:dLbl>
            <c:dLbl>
              <c:idx val="490"/>
              <c:tx>
                <c:rich>
                  <a:bodyPr/>
                  <a:lstStyle/>
                  <a:p>
                    <a:fld id="{480A4C86-2826-4DE1-A48E-EA338B9A2FDE}"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F-028D-4756-AF5E-8FEDF70BEC81}"/>
                </c:ext>
              </c:extLst>
            </c:dLbl>
            <c:dLbl>
              <c:idx val="491"/>
              <c:tx>
                <c:rich>
                  <a:bodyPr/>
                  <a:lstStyle/>
                  <a:p>
                    <a:fld id="{4B3F1D35-91CB-4F9C-9146-FD239EF473B9}"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0-028D-4756-AF5E-8FEDF70BEC81}"/>
                </c:ext>
              </c:extLst>
            </c:dLbl>
            <c:dLbl>
              <c:idx val="492"/>
              <c:tx>
                <c:rich>
                  <a:bodyPr/>
                  <a:lstStyle/>
                  <a:p>
                    <a:fld id="{710C85F4-04EC-4362-976F-A6573CB5D6BF}"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1-028D-4756-AF5E-8FEDF70BEC81}"/>
                </c:ext>
              </c:extLst>
            </c:dLbl>
            <c:dLbl>
              <c:idx val="493"/>
              <c:tx>
                <c:rich>
                  <a:bodyPr/>
                  <a:lstStyle/>
                  <a:p>
                    <a:fld id="{6005F4C2-2B82-4C88-830C-D0D0FD6648A6}"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2-028D-4756-AF5E-8FEDF70BEC81}"/>
                </c:ext>
              </c:extLst>
            </c:dLbl>
            <c:dLbl>
              <c:idx val="494"/>
              <c:tx>
                <c:rich>
                  <a:bodyPr/>
                  <a:lstStyle/>
                  <a:p>
                    <a:fld id="{1BBE92EF-441A-4B79-AE28-A7F7EC73A0EA}"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3-028D-4756-AF5E-8FEDF70BEC81}"/>
                </c:ext>
              </c:extLst>
            </c:dLbl>
            <c:dLbl>
              <c:idx val="495"/>
              <c:tx>
                <c:rich>
                  <a:bodyPr/>
                  <a:lstStyle/>
                  <a:p>
                    <a:fld id="{D972067E-DB8E-4BE2-9C70-373E811D0106}"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4-028D-4756-AF5E-8FEDF70BEC81}"/>
                </c:ext>
              </c:extLst>
            </c:dLbl>
            <c:dLbl>
              <c:idx val="496"/>
              <c:tx>
                <c:rich>
                  <a:bodyPr/>
                  <a:lstStyle/>
                  <a:p>
                    <a:fld id="{2CE7AF43-C629-409A-A86C-E28DA241100B}"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5-028D-4756-AF5E-8FEDF70BEC81}"/>
                </c:ext>
              </c:extLst>
            </c:dLbl>
            <c:dLbl>
              <c:idx val="497"/>
              <c:tx>
                <c:rich>
                  <a:bodyPr/>
                  <a:lstStyle/>
                  <a:p>
                    <a:fld id="{55C43805-0A46-43CF-84B7-291BA38024D2}"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6-028D-4756-AF5E-8FEDF70BEC81}"/>
                </c:ext>
              </c:extLst>
            </c:dLbl>
            <c:dLbl>
              <c:idx val="498"/>
              <c:tx>
                <c:rich>
                  <a:bodyPr/>
                  <a:lstStyle/>
                  <a:p>
                    <a:fld id="{DB2C434D-D580-49CD-8DF8-055BE81D8747}"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7-028D-4756-AF5E-8FEDF70BEC81}"/>
                </c:ext>
              </c:extLst>
            </c:dLbl>
            <c:dLbl>
              <c:idx val="499"/>
              <c:tx>
                <c:rich>
                  <a:bodyPr/>
                  <a:lstStyle/>
                  <a:p>
                    <a:fld id="{E00650D4-AB5C-4E0D-91E5-BEAD2DE1A3DB}"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8-028D-4756-AF5E-8FEDF70BEC81}"/>
                </c:ext>
              </c:extLst>
            </c:dLbl>
            <c:dLbl>
              <c:idx val="500"/>
              <c:tx>
                <c:rich>
                  <a:bodyPr/>
                  <a:lstStyle/>
                  <a:p>
                    <a:fld id="{8AD25E05-4E3C-4AB1-A940-FFA12F9A0815}"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9-028D-4756-AF5E-8FEDF70BEC81}"/>
                </c:ext>
              </c:extLst>
            </c:dLbl>
            <c:dLbl>
              <c:idx val="501"/>
              <c:tx>
                <c:rich>
                  <a:bodyPr/>
                  <a:lstStyle/>
                  <a:p>
                    <a:fld id="{636AC5BD-33A2-4E09-9786-BE0DE195FC13}"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A-028D-4756-AF5E-8FEDF70BEC81}"/>
                </c:ext>
              </c:extLst>
            </c:dLbl>
            <c:dLbl>
              <c:idx val="502"/>
              <c:tx>
                <c:rich>
                  <a:bodyPr/>
                  <a:lstStyle/>
                  <a:p>
                    <a:fld id="{1183722D-DFD0-4B0B-9F88-77F956911BB0}"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B-028D-4756-AF5E-8FEDF70BEC81}"/>
                </c:ext>
              </c:extLst>
            </c:dLbl>
            <c:dLbl>
              <c:idx val="503"/>
              <c:tx>
                <c:rich>
                  <a:bodyPr/>
                  <a:lstStyle/>
                  <a:p>
                    <a:fld id="{51167032-72BE-48D1-8FF6-86BE29899AA0}"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C-028D-4756-AF5E-8FEDF70BEC81}"/>
                </c:ext>
              </c:extLst>
            </c:dLbl>
            <c:dLbl>
              <c:idx val="504"/>
              <c:tx>
                <c:rich>
                  <a:bodyPr/>
                  <a:lstStyle/>
                  <a:p>
                    <a:fld id="{B88D4A4C-6113-4FB3-B67A-705C73257685}"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D-028D-4756-AF5E-8FEDF70BEC81}"/>
                </c:ext>
              </c:extLst>
            </c:dLbl>
            <c:dLbl>
              <c:idx val="505"/>
              <c:tx>
                <c:rich>
                  <a:bodyPr/>
                  <a:lstStyle/>
                  <a:p>
                    <a:fld id="{E231B3D5-B5E1-4372-ACB7-7A2855997660}"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E-028D-4756-AF5E-8FEDF70BEC81}"/>
                </c:ext>
              </c:extLst>
            </c:dLbl>
            <c:dLbl>
              <c:idx val="506"/>
              <c:tx>
                <c:rich>
                  <a:bodyPr/>
                  <a:lstStyle/>
                  <a:p>
                    <a:fld id="{68F9AD4D-27BC-47E7-ACE8-E937CA041F53}"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F-028D-4756-AF5E-8FEDF70BEC81}"/>
                </c:ext>
              </c:extLst>
            </c:dLbl>
            <c:dLbl>
              <c:idx val="507"/>
              <c:tx>
                <c:rich>
                  <a:bodyPr/>
                  <a:lstStyle/>
                  <a:p>
                    <a:fld id="{B4B51C8C-B764-44A8-9D70-AA35B0BA1F17}"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0-028D-4756-AF5E-8FEDF70BEC81}"/>
                </c:ext>
              </c:extLst>
            </c:dLbl>
            <c:dLbl>
              <c:idx val="508"/>
              <c:tx>
                <c:rich>
                  <a:bodyPr/>
                  <a:lstStyle/>
                  <a:p>
                    <a:fld id="{A93F3B75-80B7-42C7-BB4C-A3768386997E}"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1-028D-4756-AF5E-8FEDF70BEC81}"/>
                </c:ext>
              </c:extLst>
            </c:dLbl>
            <c:dLbl>
              <c:idx val="509"/>
              <c:tx>
                <c:rich>
                  <a:bodyPr/>
                  <a:lstStyle/>
                  <a:p>
                    <a:fld id="{18E77A44-0103-4CF2-912B-F7891EF914FE}"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2-028D-4756-AF5E-8FEDF70BEC81}"/>
                </c:ext>
              </c:extLst>
            </c:dLbl>
            <c:dLbl>
              <c:idx val="510"/>
              <c:tx>
                <c:rich>
                  <a:bodyPr/>
                  <a:lstStyle/>
                  <a:p>
                    <a:fld id="{1DD19382-1644-4603-807D-4D444A71DE21}"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3-028D-4756-AF5E-8FEDF70BEC81}"/>
                </c:ext>
              </c:extLst>
            </c:dLbl>
            <c:dLbl>
              <c:idx val="511"/>
              <c:tx>
                <c:rich>
                  <a:bodyPr/>
                  <a:lstStyle/>
                  <a:p>
                    <a:fld id="{2B78FF58-EB2D-477D-B460-398E0791659B}"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4-028D-4756-AF5E-8FEDF70BEC81}"/>
                </c:ext>
              </c:extLst>
            </c:dLbl>
            <c:dLbl>
              <c:idx val="512"/>
              <c:tx>
                <c:rich>
                  <a:bodyPr/>
                  <a:lstStyle/>
                  <a:p>
                    <a:fld id="{2C4015C4-AD14-4712-9AC5-5477BE21CB46}"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5-028D-4756-AF5E-8FEDF70BEC81}"/>
                </c:ext>
              </c:extLst>
            </c:dLbl>
            <c:dLbl>
              <c:idx val="513"/>
              <c:tx>
                <c:rich>
                  <a:bodyPr/>
                  <a:lstStyle/>
                  <a:p>
                    <a:fld id="{46A3FDD7-F00F-456A-B054-2D58D605B197}"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6-028D-4756-AF5E-8FEDF70BEC81}"/>
                </c:ext>
              </c:extLst>
            </c:dLbl>
            <c:dLbl>
              <c:idx val="514"/>
              <c:tx>
                <c:rich>
                  <a:bodyPr/>
                  <a:lstStyle/>
                  <a:p>
                    <a:fld id="{70A3CDA2-4F73-4A83-B0E9-4BC084CAA6AF}"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7-028D-4756-AF5E-8FEDF70BEC81}"/>
                </c:ext>
              </c:extLst>
            </c:dLbl>
            <c:dLbl>
              <c:idx val="515"/>
              <c:tx>
                <c:rich>
                  <a:bodyPr/>
                  <a:lstStyle/>
                  <a:p>
                    <a:fld id="{0D02D446-64B8-4579-8FFE-3BA85677AB86}"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8-028D-4756-AF5E-8FEDF70BEC81}"/>
                </c:ext>
              </c:extLst>
            </c:dLbl>
            <c:dLbl>
              <c:idx val="516"/>
              <c:tx>
                <c:rich>
                  <a:bodyPr/>
                  <a:lstStyle/>
                  <a:p>
                    <a:fld id="{E9FE2092-D154-426E-A889-7BE9818C123C}"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9-028D-4756-AF5E-8FEDF70BEC81}"/>
                </c:ext>
              </c:extLst>
            </c:dLbl>
            <c:dLbl>
              <c:idx val="517"/>
              <c:tx>
                <c:rich>
                  <a:bodyPr/>
                  <a:lstStyle/>
                  <a:p>
                    <a:fld id="{7255A273-09EE-4F8D-A294-6A92EA03700B}"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A-028D-4756-AF5E-8FEDF70BEC81}"/>
                </c:ext>
              </c:extLst>
            </c:dLbl>
            <c:dLbl>
              <c:idx val="518"/>
              <c:tx>
                <c:rich>
                  <a:bodyPr/>
                  <a:lstStyle/>
                  <a:p>
                    <a:fld id="{CBDA2010-1C98-4455-B359-C25E83E5D52D}"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B-028D-4756-AF5E-8FEDF70BEC81}"/>
                </c:ext>
              </c:extLst>
            </c:dLbl>
            <c:dLbl>
              <c:idx val="519"/>
              <c:tx>
                <c:rich>
                  <a:bodyPr/>
                  <a:lstStyle/>
                  <a:p>
                    <a:fld id="{A36B6815-F411-4136-A2F9-2A4DB32E26DD}"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C-028D-4756-AF5E-8FEDF70BEC81}"/>
                </c:ext>
              </c:extLst>
            </c:dLbl>
            <c:dLbl>
              <c:idx val="520"/>
              <c:tx>
                <c:rich>
                  <a:bodyPr/>
                  <a:lstStyle/>
                  <a:p>
                    <a:fld id="{9A911F32-05C5-4B85-AFEB-9CEC9B83352E}"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D-028D-4756-AF5E-8FEDF70BEC81}"/>
                </c:ext>
              </c:extLst>
            </c:dLbl>
            <c:dLbl>
              <c:idx val="521"/>
              <c:tx>
                <c:rich>
                  <a:bodyPr/>
                  <a:lstStyle/>
                  <a:p>
                    <a:fld id="{3EF336D7-29BD-4A53-9055-55FFA118AB4D}"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E-028D-4756-AF5E-8FEDF70BEC81}"/>
                </c:ext>
              </c:extLst>
            </c:dLbl>
            <c:dLbl>
              <c:idx val="522"/>
              <c:tx>
                <c:rich>
                  <a:bodyPr/>
                  <a:lstStyle/>
                  <a:p>
                    <a:fld id="{FC3AB923-967A-4C63-A7AA-0D673E1E2EDC}"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F-028D-4756-AF5E-8FEDF70BEC81}"/>
                </c:ext>
              </c:extLst>
            </c:dLbl>
            <c:dLbl>
              <c:idx val="523"/>
              <c:tx>
                <c:rich>
                  <a:bodyPr/>
                  <a:lstStyle/>
                  <a:p>
                    <a:fld id="{3F57A67B-AA90-4178-9026-6D3FCEA2EDD5}"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0-028D-4756-AF5E-8FEDF70BEC81}"/>
                </c:ext>
              </c:extLst>
            </c:dLbl>
            <c:dLbl>
              <c:idx val="524"/>
              <c:tx>
                <c:rich>
                  <a:bodyPr/>
                  <a:lstStyle/>
                  <a:p>
                    <a:fld id="{B27528A3-5558-4001-A9EF-71B9E835ED1F}"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1-028D-4756-AF5E-8FEDF70BEC81}"/>
                </c:ext>
              </c:extLst>
            </c:dLbl>
            <c:dLbl>
              <c:idx val="525"/>
              <c:tx>
                <c:rich>
                  <a:bodyPr/>
                  <a:lstStyle/>
                  <a:p>
                    <a:fld id="{B3460E78-BE92-4C15-9C41-4610BF2D19FD}"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2-028D-4756-AF5E-8FEDF70BEC81}"/>
                </c:ext>
              </c:extLst>
            </c:dLbl>
            <c:dLbl>
              <c:idx val="526"/>
              <c:tx>
                <c:rich>
                  <a:bodyPr/>
                  <a:lstStyle/>
                  <a:p>
                    <a:fld id="{6068C78E-13D3-4B5E-B2B6-8810E47099A4}"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3-028D-4756-AF5E-8FEDF70BEC81}"/>
                </c:ext>
              </c:extLst>
            </c:dLbl>
            <c:dLbl>
              <c:idx val="527"/>
              <c:tx>
                <c:rich>
                  <a:bodyPr/>
                  <a:lstStyle/>
                  <a:p>
                    <a:fld id="{41BE93DE-B103-469C-B749-32CFEC673A4D}"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4-028D-4756-AF5E-8FEDF70BEC81}"/>
                </c:ext>
              </c:extLst>
            </c:dLbl>
            <c:dLbl>
              <c:idx val="528"/>
              <c:tx>
                <c:rich>
                  <a:bodyPr/>
                  <a:lstStyle/>
                  <a:p>
                    <a:fld id="{10DB79DE-1A15-41F1-AE97-665AED9DB556}"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5-028D-4756-AF5E-8FEDF70BEC81}"/>
                </c:ext>
              </c:extLst>
            </c:dLbl>
            <c:dLbl>
              <c:idx val="529"/>
              <c:tx>
                <c:rich>
                  <a:bodyPr/>
                  <a:lstStyle/>
                  <a:p>
                    <a:fld id="{06858BBE-8031-4971-A687-700D4F9736FA}"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6-028D-4756-AF5E-8FEDF70BEC81}"/>
                </c:ext>
              </c:extLst>
            </c:dLbl>
            <c:dLbl>
              <c:idx val="530"/>
              <c:tx>
                <c:rich>
                  <a:bodyPr/>
                  <a:lstStyle/>
                  <a:p>
                    <a:fld id="{50CCF9D5-FA3A-41D4-A052-6849D689FE0A}"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7-028D-4756-AF5E-8FEDF70BEC81}"/>
                </c:ext>
              </c:extLst>
            </c:dLbl>
            <c:dLbl>
              <c:idx val="531"/>
              <c:tx>
                <c:rich>
                  <a:bodyPr/>
                  <a:lstStyle/>
                  <a:p>
                    <a:fld id="{0D5F22D4-AD0C-4E3E-81EB-1FFAFD77CA49}"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8-028D-4756-AF5E-8FEDF70BEC81}"/>
                </c:ext>
              </c:extLst>
            </c:dLbl>
            <c:dLbl>
              <c:idx val="532"/>
              <c:tx>
                <c:rich>
                  <a:bodyPr/>
                  <a:lstStyle/>
                  <a:p>
                    <a:fld id="{14837654-8432-42F3-BEF9-3ED4E0832590}"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9-028D-4756-AF5E-8FEDF70BEC81}"/>
                </c:ext>
              </c:extLst>
            </c:dLbl>
            <c:dLbl>
              <c:idx val="533"/>
              <c:tx>
                <c:rich>
                  <a:bodyPr/>
                  <a:lstStyle/>
                  <a:p>
                    <a:fld id="{F941CD83-7892-4DD0-B25C-2E147AB14262}"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A-028D-4756-AF5E-8FEDF70BEC81}"/>
                </c:ext>
              </c:extLst>
            </c:dLbl>
            <c:dLbl>
              <c:idx val="534"/>
              <c:tx>
                <c:rich>
                  <a:bodyPr/>
                  <a:lstStyle/>
                  <a:p>
                    <a:fld id="{DC8CE9B8-57BA-40C9-9611-86EFF0956CB0}"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B-028D-4756-AF5E-8FEDF70BEC81}"/>
                </c:ext>
              </c:extLst>
            </c:dLbl>
            <c:dLbl>
              <c:idx val="535"/>
              <c:tx>
                <c:rich>
                  <a:bodyPr/>
                  <a:lstStyle/>
                  <a:p>
                    <a:fld id="{21CE48B6-489C-454B-BB24-B60C464830F2}"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C-028D-4756-AF5E-8FEDF70BEC81}"/>
                </c:ext>
              </c:extLst>
            </c:dLbl>
            <c:dLbl>
              <c:idx val="536"/>
              <c:tx>
                <c:rich>
                  <a:bodyPr/>
                  <a:lstStyle/>
                  <a:p>
                    <a:fld id="{B588A3AA-4D15-4F57-B1DB-03EBDFDB9482}"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D-028D-4756-AF5E-8FEDF70BEC81}"/>
                </c:ext>
              </c:extLst>
            </c:dLbl>
            <c:dLbl>
              <c:idx val="537"/>
              <c:tx>
                <c:rich>
                  <a:bodyPr/>
                  <a:lstStyle/>
                  <a:p>
                    <a:fld id="{B1FCE205-A69D-4FBE-A568-D9999F3559CF}"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E-028D-4756-AF5E-8FEDF70BEC81}"/>
                </c:ext>
              </c:extLst>
            </c:dLbl>
            <c:dLbl>
              <c:idx val="538"/>
              <c:tx>
                <c:rich>
                  <a:bodyPr/>
                  <a:lstStyle/>
                  <a:p>
                    <a:fld id="{0A5CC22B-86FE-4D09-A577-9996D6B56F14}"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F-028D-4756-AF5E-8FEDF70BEC81}"/>
                </c:ext>
              </c:extLst>
            </c:dLbl>
            <c:dLbl>
              <c:idx val="539"/>
              <c:tx>
                <c:rich>
                  <a:bodyPr/>
                  <a:lstStyle/>
                  <a:p>
                    <a:fld id="{C8D55332-D2B6-4E15-AC1E-F228B8F54D03}"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0-028D-4756-AF5E-8FEDF70BEC81}"/>
                </c:ext>
              </c:extLst>
            </c:dLbl>
            <c:dLbl>
              <c:idx val="540"/>
              <c:tx>
                <c:rich>
                  <a:bodyPr/>
                  <a:lstStyle/>
                  <a:p>
                    <a:fld id="{759A022F-A6AA-4557-8360-01381C4BD551}"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1-028D-4756-AF5E-8FEDF70BEC81}"/>
                </c:ext>
              </c:extLst>
            </c:dLbl>
            <c:dLbl>
              <c:idx val="541"/>
              <c:tx>
                <c:rich>
                  <a:bodyPr/>
                  <a:lstStyle/>
                  <a:p>
                    <a:fld id="{1BB84AC4-3E1F-4DDA-B4DC-3710BFA8E7B6}"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2-028D-4756-AF5E-8FEDF70BEC81}"/>
                </c:ext>
              </c:extLst>
            </c:dLbl>
            <c:dLbl>
              <c:idx val="542"/>
              <c:tx>
                <c:rich>
                  <a:bodyPr/>
                  <a:lstStyle/>
                  <a:p>
                    <a:fld id="{A45C3243-F70B-4BB1-81CE-1033A88A77E6}"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3-028D-4756-AF5E-8FEDF70BEC81}"/>
                </c:ext>
              </c:extLst>
            </c:dLbl>
            <c:dLbl>
              <c:idx val="543"/>
              <c:tx>
                <c:rich>
                  <a:bodyPr/>
                  <a:lstStyle/>
                  <a:p>
                    <a:fld id="{9F6837D2-5C28-4B5E-8930-F99F45665606}"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4-028D-4756-AF5E-8FEDF70BEC81}"/>
                </c:ext>
              </c:extLst>
            </c:dLbl>
            <c:dLbl>
              <c:idx val="544"/>
              <c:tx>
                <c:rich>
                  <a:bodyPr/>
                  <a:lstStyle/>
                  <a:p>
                    <a:fld id="{723A1398-528A-4093-AD26-84FBBC3D0724}"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5-028D-4756-AF5E-8FEDF70BEC81}"/>
                </c:ext>
              </c:extLst>
            </c:dLbl>
            <c:dLbl>
              <c:idx val="545"/>
              <c:tx>
                <c:rich>
                  <a:bodyPr/>
                  <a:lstStyle/>
                  <a:p>
                    <a:fld id="{A33191DF-CF88-4A65-8DBE-B34C173F5522}"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6-028D-4756-AF5E-8FEDF70BEC81}"/>
                </c:ext>
              </c:extLst>
            </c:dLbl>
            <c:dLbl>
              <c:idx val="546"/>
              <c:tx>
                <c:rich>
                  <a:bodyPr/>
                  <a:lstStyle/>
                  <a:p>
                    <a:fld id="{A7A8DBDD-06D9-4798-BF10-E4500EC9EB1C}"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7-028D-4756-AF5E-8FEDF70BEC81}"/>
                </c:ext>
              </c:extLst>
            </c:dLbl>
            <c:dLbl>
              <c:idx val="547"/>
              <c:tx>
                <c:rich>
                  <a:bodyPr/>
                  <a:lstStyle/>
                  <a:p>
                    <a:fld id="{715EEC1F-9CD5-475C-803E-CFD3CDE718E6}"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8-028D-4756-AF5E-8FEDF70BEC81}"/>
                </c:ext>
              </c:extLst>
            </c:dLbl>
            <c:dLbl>
              <c:idx val="548"/>
              <c:tx>
                <c:rich>
                  <a:bodyPr/>
                  <a:lstStyle/>
                  <a:p>
                    <a:fld id="{47D91B27-214D-4927-B7AB-D150EED56E52}"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9-028D-4756-AF5E-8FEDF70BEC81}"/>
                </c:ext>
              </c:extLst>
            </c:dLbl>
            <c:dLbl>
              <c:idx val="549"/>
              <c:tx>
                <c:rich>
                  <a:bodyPr/>
                  <a:lstStyle/>
                  <a:p>
                    <a:fld id="{DF49AD5C-B5EC-4706-9D6C-F5C0B4D36C32}"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A-028D-4756-AF5E-8FEDF70BEC81}"/>
                </c:ext>
              </c:extLst>
            </c:dLbl>
            <c:dLbl>
              <c:idx val="550"/>
              <c:tx>
                <c:rich>
                  <a:bodyPr/>
                  <a:lstStyle/>
                  <a:p>
                    <a:fld id="{B9BAFE81-7E98-497F-B4DB-AF5A69823A9B}"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B-028D-4756-AF5E-8FEDF70BEC81}"/>
                </c:ext>
              </c:extLst>
            </c:dLbl>
            <c:dLbl>
              <c:idx val="551"/>
              <c:tx>
                <c:rich>
                  <a:bodyPr/>
                  <a:lstStyle/>
                  <a:p>
                    <a:fld id="{0C2E4EB4-E003-4A8A-A3CA-B3947A9F6006}"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C-028D-4756-AF5E-8FEDF70BEC81}"/>
                </c:ext>
              </c:extLst>
            </c:dLbl>
            <c:dLbl>
              <c:idx val="552"/>
              <c:tx>
                <c:rich>
                  <a:bodyPr/>
                  <a:lstStyle/>
                  <a:p>
                    <a:fld id="{8646155B-0FD4-4F8F-9BB7-8A534FBC0937}"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D-028D-4756-AF5E-8FEDF70BEC81}"/>
                </c:ext>
              </c:extLst>
            </c:dLbl>
            <c:dLbl>
              <c:idx val="553"/>
              <c:tx>
                <c:rich>
                  <a:bodyPr/>
                  <a:lstStyle/>
                  <a:p>
                    <a:fld id="{77CEC80E-B7F1-4EE9-B3B3-484F8A308C36}"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E-028D-4756-AF5E-8FEDF70BEC81}"/>
                </c:ext>
              </c:extLst>
            </c:dLbl>
            <c:dLbl>
              <c:idx val="554"/>
              <c:tx>
                <c:rich>
                  <a:bodyPr/>
                  <a:lstStyle/>
                  <a:p>
                    <a:fld id="{C64E3CD4-3A10-44E3-8495-B9B832EDF5D4}"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F-028D-4756-AF5E-8FEDF70BEC81}"/>
                </c:ext>
              </c:extLst>
            </c:dLbl>
            <c:dLbl>
              <c:idx val="555"/>
              <c:tx>
                <c:rich>
                  <a:bodyPr/>
                  <a:lstStyle/>
                  <a:p>
                    <a:fld id="{12241E2A-D45E-4E4B-AF14-219D995815CA}"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0-028D-4756-AF5E-8FEDF70BEC81}"/>
                </c:ext>
              </c:extLst>
            </c:dLbl>
            <c:dLbl>
              <c:idx val="556"/>
              <c:tx>
                <c:rich>
                  <a:bodyPr/>
                  <a:lstStyle/>
                  <a:p>
                    <a:fld id="{801E6D0A-1A59-4432-B4AC-468D26C08C75}"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1-028D-4756-AF5E-8FEDF70BEC81}"/>
                </c:ext>
              </c:extLst>
            </c:dLbl>
            <c:dLbl>
              <c:idx val="557"/>
              <c:tx>
                <c:rich>
                  <a:bodyPr/>
                  <a:lstStyle/>
                  <a:p>
                    <a:fld id="{B053E606-65E9-4CDF-8DA6-F15572683E63}"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2-028D-4756-AF5E-8FEDF70BEC81}"/>
                </c:ext>
              </c:extLst>
            </c:dLbl>
            <c:dLbl>
              <c:idx val="558"/>
              <c:tx>
                <c:rich>
                  <a:bodyPr/>
                  <a:lstStyle/>
                  <a:p>
                    <a:fld id="{B62522BB-52AF-481D-8D21-C8FCD4765AFA}"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3-028D-4756-AF5E-8FEDF70BEC81}"/>
                </c:ext>
              </c:extLst>
            </c:dLbl>
            <c:dLbl>
              <c:idx val="559"/>
              <c:tx>
                <c:rich>
                  <a:bodyPr/>
                  <a:lstStyle/>
                  <a:p>
                    <a:fld id="{1D09680F-C21E-4E32-BB1C-8B2767F316EB}"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4-028D-4756-AF5E-8FEDF70BEC81}"/>
                </c:ext>
              </c:extLst>
            </c:dLbl>
            <c:dLbl>
              <c:idx val="560"/>
              <c:tx>
                <c:rich>
                  <a:bodyPr/>
                  <a:lstStyle/>
                  <a:p>
                    <a:fld id="{9E55043D-BAE7-45CF-87E3-40ACDBCECB4C}"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5-028D-4756-AF5E-8FEDF70BEC81}"/>
                </c:ext>
              </c:extLst>
            </c:dLbl>
            <c:dLbl>
              <c:idx val="561"/>
              <c:tx>
                <c:rich>
                  <a:bodyPr/>
                  <a:lstStyle/>
                  <a:p>
                    <a:fld id="{AB8804F0-74FE-46C2-92B6-B513EBFDC71D}"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6-028D-4756-AF5E-8FEDF70BEC81}"/>
                </c:ext>
              </c:extLst>
            </c:dLbl>
            <c:dLbl>
              <c:idx val="562"/>
              <c:tx>
                <c:rich>
                  <a:bodyPr/>
                  <a:lstStyle/>
                  <a:p>
                    <a:fld id="{53F80BB9-D77B-4478-BB86-AA95D8E0C344}"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7-028D-4756-AF5E-8FEDF70BEC81}"/>
                </c:ext>
              </c:extLst>
            </c:dLbl>
            <c:dLbl>
              <c:idx val="563"/>
              <c:tx>
                <c:rich>
                  <a:bodyPr/>
                  <a:lstStyle/>
                  <a:p>
                    <a:fld id="{3CD13B09-5B22-4495-B164-53BA7B351C7D}"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8-028D-4756-AF5E-8FEDF70BEC81}"/>
                </c:ext>
              </c:extLst>
            </c:dLbl>
            <c:dLbl>
              <c:idx val="564"/>
              <c:tx>
                <c:rich>
                  <a:bodyPr/>
                  <a:lstStyle/>
                  <a:p>
                    <a:fld id="{6BAC0710-5821-4A7C-8FE1-CF6CC1198C1F}"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9-028D-4756-AF5E-8FEDF70BEC81}"/>
                </c:ext>
              </c:extLst>
            </c:dLbl>
            <c:dLbl>
              <c:idx val="565"/>
              <c:tx>
                <c:rich>
                  <a:bodyPr/>
                  <a:lstStyle/>
                  <a:p>
                    <a:fld id="{832D8DF4-8CB1-4307-AC98-B2C24C2B0F26}"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A-028D-4756-AF5E-8FEDF70BEC81}"/>
                </c:ext>
              </c:extLst>
            </c:dLbl>
            <c:dLbl>
              <c:idx val="566"/>
              <c:tx>
                <c:rich>
                  <a:bodyPr/>
                  <a:lstStyle/>
                  <a:p>
                    <a:fld id="{94BB46E7-506E-44EA-9CA2-26678BF67E67}"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B-028D-4756-AF5E-8FEDF70BEC81}"/>
                </c:ext>
              </c:extLst>
            </c:dLbl>
            <c:dLbl>
              <c:idx val="567"/>
              <c:tx>
                <c:rich>
                  <a:bodyPr/>
                  <a:lstStyle/>
                  <a:p>
                    <a:fld id="{6F72C091-97E5-4F0A-895C-35871E50B2C2}"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C-028D-4756-AF5E-8FEDF70BEC81}"/>
                </c:ext>
              </c:extLst>
            </c:dLbl>
            <c:dLbl>
              <c:idx val="568"/>
              <c:tx>
                <c:rich>
                  <a:bodyPr/>
                  <a:lstStyle/>
                  <a:p>
                    <a:fld id="{F304237B-E1EA-4572-BB0A-008A9B8F7F7D}"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D-028D-4756-AF5E-8FEDF70BEC81}"/>
                </c:ext>
              </c:extLst>
            </c:dLbl>
            <c:dLbl>
              <c:idx val="569"/>
              <c:tx>
                <c:rich>
                  <a:bodyPr/>
                  <a:lstStyle/>
                  <a:p>
                    <a:fld id="{22EE83AD-05DC-4D87-95F8-40F6AD9D000D}"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E-028D-4756-AF5E-8FEDF70BEC81}"/>
                </c:ext>
              </c:extLst>
            </c:dLbl>
            <c:dLbl>
              <c:idx val="570"/>
              <c:tx>
                <c:rich>
                  <a:bodyPr/>
                  <a:lstStyle/>
                  <a:p>
                    <a:fld id="{A644301D-3C17-4579-A35D-B88C251361F8}"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F-028D-4756-AF5E-8FEDF70BEC81}"/>
                </c:ext>
              </c:extLst>
            </c:dLbl>
            <c:dLbl>
              <c:idx val="571"/>
              <c:tx>
                <c:rich>
                  <a:bodyPr/>
                  <a:lstStyle/>
                  <a:p>
                    <a:fld id="{9635D0E3-DA0C-405E-AD0F-69A1B8021CD9}"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0-028D-4756-AF5E-8FEDF70BEC81}"/>
                </c:ext>
              </c:extLst>
            </c:dLbl>
            <c:dLbl>
              <c:idx val="572"/>
              <c:tx>
                <c:rich>
                  <a:bodyPr/>
                  <a:lstStyle/>
                  <a:p>
                    <a:fld id="{3642764C-13A1-41BA-873D-8EAF9A45C3FF}"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1-028D-4756-AF5E-8FEDF70BEC81}"/>
                </c:ext>
              </c:extLst>
            </c:dLbl>
            <c:dLbl>
              <c:idx val="573"/>
              <c:tx>
                <c:rich>
                  <a:bodyPr/>
                  <a:lstStyle/>
                  <a:p>
                    <a:fld id="{7A0296B5-FCA7-4A55-A6E2-590BF2FB73D7}"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2-028D-4756-AF5E-8FEDF70BEC81}"/>
                </c:ext>
              </c:extLst>
            </c:dLbl>
            <c:dLbl>
              <c:idx val="574"/>
              <c:tx>
                <c:rich>
                  <a:bodyPr/>
                  <a:lstStyle/>
                  <a:p>
                    <a:fld id="{0AFC83EA-4356-4FC5-8226-0340D2D2992C}"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3-028D-4756-AF5E-8FEDF70BEC81}"/>
                </c:ext>
              </c:extLst>
            </c:dLbl>
            <c:dLbl>
              <c:idx val="575"/>
              <c:tx>
                <c:rich>
                  <a:bodyPr/>
                  <a:lstStyle/>
                  <a:p>
                    <a:fld id="{664F10A2-2075-4476-944F-E083420C3FB8}"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4-028D-4756-AF5E-8FEDF70BEC81}"/>
                </c:ext>
              </c:extLst>
            </c:dLbl>
            <c:dLbl>
              <c:idx val="576"/>
              <c:tx>
                <c:rich>
                  <a:bodyPr/>
                  <a:lstStyle/>
                  <a:p>
                    <a:fld id="{472478A7-7352-4CBD-BA48-173745EE8CFF}"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5-028D-4756-AF5E-8FEDF70BEC81}"/>
                </c:ext>
              </c:extLst>
            </c:dLbl>
            <c:dLbl>
              <c:idx val="577"/>
              <c:tx>
                <c:rich>
                  <a:bodyPr/>
                  <a:lstStyle/>
                  <a:p>
                    <a:fld id="{DB502D5A-01AB-415F-9F96-90A7C074B53C}"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6-028D-4756-AF5E-8FEDF70BEC81}"/>
                </c:ext>
              </c:extLst>
            </c:dLbl>
            <c:dLbl>
              <c:idx val="578"/>
              <c:tx>
                <c:rich>
                  <a:bodyPr/>
                  <a:lstStyle/>
                  <a:p>
                    <a:fld id="{CEF227BE-233D-4334-A6AE-AFE5AD5F9A22}"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7-028D-4756-AF5E-8FEDF70BEC81}"/>
                </c:ext>
              </c:extLst>
            </c:dLbl>
            <c:dLbl>
              <c:idx val="579"/>
              <c:tx>
                <c:rich>
                  <a:bodyPr/>
                  <a:lstStyle/>
                  <a:p>
                    <a:fld id="{9C58C80F-BF0D-430E-B9F2-46BC62A22258}"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8-028D-4756-AF5E-8FEDF70BEC81}"/>
                </c:ext>
              </c:extLst>
            </c:dLbl>
            <c:dLbl>
              <c:idx val="580"/>
              <c:tx>
                <c:rich>
                  <a:bodyPr/>
                  <a:lstStyle/>
                  <a:p>
                    <a:fld id="{B14FFAEB-24AA-47AA-A1EB-3D914F17585A}"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9-028D-4756-AF5E-8FEDF70BEC81}"/>
                </c:ext>
              </c:extLst>
            </c:dLbl>
            <c:dLbl>
              <c:idx val="581"/>
              <c:tx>
                <c:rich>
                  <a:bodyPr/>
                  <a:lstStyle/>
                  <a:p>
                    <a:fld id="{1DFDB498-2320-4F33-8418-AC4264622586}"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A-028D-4756-AF5E-8FEDF70BEC81}"/>
                </c:ext>
              </c:extLst>
            </c:dLbl>
            <c:dLbl>
              <c:idx val="582"/>
              <c:tx>
                <c:rich>
                  <a:bodyPr/>
                  <a:lstStyle/>
                  <a:p>
                    <a:fld id="{99667763-0BDE-4502-822D-5874F660F2BA}"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B-028D-4756-AF5E-8FEDF70BEC81}"/>
                </c:ext>
              </c:extLst>
            </c:dLbl>
            <c:dLbl>
              <c:idx val="583"/>
              <c:tx>
                <c:rich>
                  <a:bodyPr/>
                  <a:lstStyle/>
                  <a:p>
                    <a:fld id="{BEA8AF98-7125-443C-8480-26402C9F8459}"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C-028D-4756-AF5E-8FEDF70BEC81}"/>
                </c:ext>
              </c:extLst>
            </c:dLbl>
            <c:dLbl>
              <c:idx val="584"/>
              <c:tx>
                <c:rich>
                  <a:bodyPr/>
                  <a:lstStyle/>
                  <a:p>
                    <a:fld id="{83CAD6A2-3B3D-4E9C-BB34-EC68ACF26053}"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D-028D-4756-AF5E-8FEDF70BEC81}"/>
                </c:ext>
              </c:extLst>
            </c:dLbl>
            <c:dLbl>
              <c:idx val="585"/>
              <c:tx>
                <c:rich>
                  <a:bodyPr/>
                  <a:lstStyle/>
                  <a:p>
                    <a:fld id="{C2771A9A-3297-41D2-AF08-89616AF29E56}"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E-028D-4756-AF5E-8FEDF70BEC81}"/>
                </c:ext>
              </c:extLst>
            </c:dLbl>
            <c:dLbl>
              <c:idx val="586"/>
              <c:tx>
                <c:rich>
                  <a:bodyPr/>
                  <a:lstStyle/>
                  <a:p>
                    <a:fld id="{02DBB4BB-0D35-4E2B-891C-03ED5F34C47F}"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F-028D-4756-AF5E-8FEDF70BEC81}"/>
                </c:ext>
              </c:extLst>
            </c:dLbl>
            <c:dLbl>
              <c:idx val="587"/>
              <c:tx>
                <c:rich>
                  <a:bodyPr/>
                  <a:lstStyle/>
                  <a:p>
                    <a:fld id="{BE3F2F1E-9BF9-4079-9D81-65FC0856B5F4}"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0-028D-4756-AF5E-8FEDF70BEC81}"/>
                </c:ext>
              </c:extLst>
            </c:dLbl>
            <c:dLbl>
              <c:idx val="588"/>
              <c:tx>
                <c:rich>
                  <a:bodyPr/>
                  <a:lstStyle/>
                  <a:p>
                    <a:fld id="{C43246F3-9245-4590-8569-4C774FCA238F}"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1-028D-4756-AF5E-8FEDF70BEC81}"/>
                </c:ext>
              </c:extLst>
            </c:dLbl>
            <c:dLbl>
              <c:idx val="589"/>
              <c:tx>
                <c:rich>
                  <a:bodyPr/>
                  <a:lstStyle/>
                  <a:p>
                    <a:fld id="{81C0B4A9-55C2-4824-A64B-13B7983E1964}"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2-028D-4756-AF5E-8FEDF70BEC81}"/>
                </c:ext>
              </c:extLst>
            </c:dLbl>
            <c:dLbl>
              <c:idx val="590"/>
              <c:tx>
                <c:rich>
                  <a:bodyPr/>
                  <a:lstStyle/>
                  <a:p>
                    <a:fld id="{E550270D-5B5F-4C91-A28B-71291DE6365E}"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3-028D-4756-AF5E-8FEDF70BEC81}"/>
                </c:ext>
              </c:extLst>
            </c:dLbl>
            <c:dLbl>
              <c:idx val="591"/>
              <c:tx>
                <c:rich>
                  <a:bodyPr/>
                  <a:lstStyle/>
                  <a:p>
                    <a:fld id="{8DABD763-082D-4A42-B1C2-541FC2905C96}"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4-028D-4756-AF5E-8FEDF70BEC81}"/>
                </c:ext>
              </c:extLst>
            </c:dLbl>
            <c:dLbl>
              <c:idx val="592"/>
              <c:tx>
                <c:rich>
                  <a:bodyPr/>
                  <a:lstStyle/>
                  <a:p>
                    <a:fld id="{2E9567A8-4B54-46C2-9C83-AEAB5A017746}"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5-028D-4756-AF5E-8FEDF70BEC81}"/>
                </c:ext>
              </c:extLst>
            </c:dLbl>
            <c:dLbl>
              <c:idx val="593"/>
              <c:tx>
                <c:rich>
                  <a:bodyPr/>
                  <a:lstStyle/>
                  <a:p>
                    <a:fld id="{0F9309B1-AE9D-4AB0-B7CD-956612F09C4B}"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6-028D-4756-AF5E-8FEDF70BEC81}"/>
                </c:ext>
              </c:extLst>
            </c:dLbl>
            <c:dLbl>
              <c:idx val="594"/>
              <c:tx>
                <c:rich>
                  <a:bodyPr/>
                  <a:lstStyle/>
                  <a:p>
                    <a:fld id="{6C6C35A2-CC03-4D81-8D2C-BECE52F97E50}"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7-028D-4756-AF5E-8FEDF70BEC81}"/>
                </c:ext>
              </c:extLst>
            </c:dLbl>
            <c:dLbl>
              <c:idx val="595"/>
              <c:tx>
                <c:rich>
                  <a:bodyPr/>
                  <a:lstStyle/>
                  <a:p>
                    <a:fld id="{41B2AE37-AF69-4246-B95D-95FC4F5F3386}"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8-028D-4756-AF5E-8FEDF70BEC81}"/>
                </c:ext>
              </c:extLst>
            </c:dLbl>
            <c:dLbl>
              <c:idx val="596"/>
              <c:tx>
                <c:rich>
                  <a:bodyPr/>
                  <a:lstStyle/>
                  <a:p>
                    <a:fld id="{D3489E77-C12A-4CD4-8B25-BB185F45B066}"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9-028D-4756-AF5E-8FEDF70BEC81}"/>
                </c:ext>
              </c:extLst>
            </c:dLbl>
            <c:dLbl>
              <c:idx val="597"/>
              <c:tx>
                <c:rich>
                  <a:bodyPr/>
                  <a:lstStyle/>
                  <a:p>
                    <a:fld id="{DB49D376-AA2E-44E8-BDB4-BB1F131CDF0B}"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A-028D-4756-AF5E-8FEDF70BEC81}"/>
                </c:ext>
              </c:extLst>
            </c:dLbl>
            <c:dLbl>
              <c:idx val="598"/>
              <c:tx>
                <c:rich>
                  <a:bodyPr/>
                  <a:lstStyle/>
                  <a:p>
                    <a:fld id="{4137A369-CC6B-4037-90D8-E72789A00E91}"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B-028D-4756-AF5E-8FEDF70BEC81}"/>
                </c:ext>
              </c:extLst>
            </c:dLbl>
            <c:dLbl>
              <c:idx val="599"/>
              <c:tx>
                <c:rich>
                  <a:bodyPr/>
                  <a:lstStyle/>
                  <a:p>
                    <a:fld id="{A325D460-E1A3-4E58-85D4-A4F4E3E9C678}"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C-028D-4756-AF5E-8FEDF70BEC81}"/>
                </c:ext>
              </c:extLst>
            </c:dLbl>
            <c:dLbl>
              <c:idx val="600"/>
              <c:tx>
                <c:rich>
                  <a:bodyPr/>
                  <a:lstStyle/>
                  <a:p>
                    <a:fld id="{1541C003-A11B-4A9B-AB44-F85542829CC4}"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D-028D-4756-AF5E-8FEDF70BEC81}"/>
                </c:ext>
              </c:extLst>
            </c:dLbl>
            <c:dLbl>
              <c:idx val="601"/>
              <c:tx>
                <c:rich>
                  <a:bodyPr/>
                  <a:lstStyle/>
                  <a:p>
                    <a:fld id="{D9232A59-612B-4B71-929F-39075600F6F4}"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E-028D-4756-AF5E-8FEDF70BEC81}"/>
                </c:ext>
              </c:extLst>
            </c:dLbl>
            <c:dLbl>
              <c:idx val="602"/>
              <c:tx>
                <c:rich>
                  <a:bodyPr/>
                  <a:lstStyle/>
                  <a:p>
                    <a:fld id="{5A6CFB10-05C4-46C8-854E-B3CDB599408F}"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F-028D-4756-AF5E-8FEDF70BEC81}"/>
                </c:ext>
              </c:extLst>
            </c:dLbl>
            <c:dLbl>
              <c:idx val="603"/>
              <c:tx>
                <c:rich>
                  <a:bodyPr/>
                  <a:lstStyle/>
                  <a:p>
                    <a:fld id="{99E50241-E27D-41CB-8359-F117273931A4}"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90-028D-4756-AF5E-8FEDF70BEC81}"/>
                </c:ext>
              </c:extLst>
            </c:dLbl>
            <c:dLbl>
              <c:idx val="604"/>
              <c:tx>
                <c:rich>
                  <a:bodyPr/>
                  <a:lstStyle/>
                  <a:p>
                    <a:fld id="{65F530E5-1015-4B2E-8635-7C5748FCD3F1}"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91-028D-4756-AF5E-8FEDF70BEC81}"/>
                </c:ext>
              </c:extLst>
            </c:dLbl>
            <c:dLbl>
              <c:idx val="605"/>
              <c:tx>
                <c:rich>
                  <a:bodyPr/>
                  <a:lstStyle/>
                  <a:p>
                    <a:fld id="{26E4F9E5-14E9-489B-9E37-0AA2227538ED}"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92-028D-4756-AF5E-8FEDF70BEC81}"/>
                </c:ext>
              </c:extLst>
            </c:dLbl>
            <c:dLbl>
              <c:idx val="606"/>
              <c:tx>
                <c:rich>
                  <a:bodyPr/>
                  <a:lstStyle/>
                  <a:p>
                    <a:fld id="{6C0B6171-0C62-4F95-A936-541A014DDE87}"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93-028D-4756-AF5E-8FEDF70BEC81}"/>
                </c:ext>
              </c:extLst>
            </c:dLbl>
            <c:dLbl>
              <c:idx val="607"/>
              <c:tx>
                <c:rich>
                  <a:bodyPr/>
                  <a:lstStyle/>
                  <a:p>
                    <a:fld id="{B7581860-EAE2-41A2-827B-2AFAFE722D49}"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94-028D-4756-AF5E-8FEDF70BEC81}"/>
                </c:ext>
              </c:extLst>
            </c:dLbl>
            <c:dLbl>
              <c:idx val="608"/>
              <c:tx>
                <c:rich>
                  <a:bodyPr/>
                  <a:lstStyle/>
                  <a:p>
                    <a:fld id="{FF4C0B0A-AD9F-49A2-B372-5129E5D57D89}"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95-028D-4756-AF5E-8FEDF70BEC81}"/>
                </c:ext>
              </c:extLst>
            </c:dLbl>
            <c:dLbl>
              <c:idx val="609"/>
              <c:tx>
                <c:rich>
                  <a:bodyPr/>
                  <a:lstStyle/>
                  <a:p>
                    <a:fld id="{C56D8BCF-897A-4766-8AA2-58E753A96994}"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96-028D-4756-AF5E-8FEDF70BEC81}"/>
                </c:ext>
              </c:extLst>
            </c:dLbl>
            <c:dLbl>
              <c:idx val="610"/>
              <c:tx>
                <c:rich>
                  <a:bodyPr/>
                  <a:lstStyle/>
                  <a:p>
                    <a:fld id="{814A6242-746A-42CB-AF0E-98B2B869CE4A}"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97-028D-4756-AF5E-8FEDF70BEC81}"/>
                </c:ext>
              </c:extLst>
            </c:dLbl>
            <c:dLbl>
              <c:idx val="611"/>
              <c:tx>
                <c:rich>
                  <a:bodyPr/>
                  <a:lstStyle/>
                  <a:p>
                    <a:fld id="{D25B0FF1-6289-499A-8156-9EEFAEB30FFD}"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98-028D-4756-AF5E-8FEDF70BEC81}"/>
                </c:ext>
              </c:extLst>
            </c:dLbl>
            <c:dLbl>
              <c:idx val="612"/>
              <c:tx>
                <c:rich>
                  <a:bodyPr/>
                  <a:lstStyle/>
                  <a:p>
                    <a:fld id="{75A35AAB-FE72-4AFD-9F41-DD8CBC805F1B}"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99-028D-4756-AF5E-8FEDF70BEC81}"/>
                </c:ext>
              </c:extLst>
            </c:dLbl>
            <c:dLbl>
              <c:idx val="613"/>
              <c:tx>
                <c:rich>
                  <a:bodyPr/>
                  <a:lstStyle/>
                  <a:p>
                    <a:fld id="{B6D9F07E-892D-4C3E-8D83-D7225153D112}"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9A-028D-4756-AF5E-8FEDF70BEC81}"/>
                </c:ext>
              </c:extLst>
            </c:dLbl>
            <c:dLbl>
              <c:idx val="614"/>
              <c:tx>
                <c:rich>
                  <a:bodyPr/>
                  <a:lstStyle/>
                  <a:p>
                    <a:fld id="{FD119B34-32A3-4D65-B6F2-C3BCCDA51A37}"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9B-028D-4756-AF5E-8FEDF70BEC81}"/>
                </c:ext>
              </c:extLst>
            </c:dLbl>
            <c:dLbl>
              <c:idx val="615"/>
              <c:tx>
                <c:rich>
                  <a:bodyPr/>
                  <a:lstStyle/>
                  <a:p>
                    <a:fld id="{5D818405-5659-4E44-A91B-77114F8D9BFF}"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9C-028D-4756-AF5E-8FEDF70BEC81}"/>
                </c:ext>
              </c:extLst>
            </c:dLbl>
            <c:dLbl>
              <c:idx val="616"/>
              <c:tx>
                <c:rich>
                  <a:bodyPr/>
                  <a:lstStyle/>
                  <a:p>
                    <a:fld id="{F7296A82-4269-4772-A9C0-2D17AA93EA19}"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9D-028D-4756-AF5E-8FEDF70BEC81}"/>
                </c:ext>
              </c:extLst>
            </c:dLbl>
            <c:dLbl>
              <c:idx val="617"/>
              <c:tx>
                <c:rich>
                  <a:bodyPr/>
                  <a:lstStyle/>
                  <a:p>
                    <a:fld id="{61CEC49F-1B64-434B-BB2D-E475462CEA04}"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9E-028D-4756-AF5E-8FEDF70BEC81}"/>
                </c:ext>
              </c:extLst>
            </c:dLbl>
            <c:dLbl>
              <c:idx val="618"/>
              <c:tx>
                <c:rich>
                  <a:bodyPr/>
                  <a:lstStyle/>
                  <a:p>
                    <a:fld id="{7945B71E-E2ED-4B7E-86C0-2474E3757227}"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9F-028D-4756-AF5E-8FEDF70BEC81}"/>
                </c:ext>
              </c:extLst>
            </c:dLbl>
            <c:dLbl>
              <c:idx val="619"/>
              <c:tx>
                <c:rich>
                  <a:bodyPr/>
                  <a:lstStyle/>
                  <a:p>
                    <a:fld id="{C343A475-1054-4564-A1ED-0CA34A5391FC}"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0-028D-4756-AF5E-8FEDF70BEC81}"/>
                </c:ext>
              </c:extLst>
            </c:dLbl>
            <c:dLbl>
              <c:idx val="620"/>
              <c:tx>
                <c:rich>
                  <a:bodyPr/>
                  <a:lstStyle/>
                  <a:p>
                    <a:fld id="{BAA3175A-F4DB-4B62-A6F4-14387C8D88E9}"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1-028D-4756-AF5E-8FEDF70BEC81}"/>
                </c:ext>
              </c:extLst>
            </c:dLbl>
            <c:dLbl>
              <c:idx val="621"/>
              <c:tx>
                <c:rich>
                  <a:bodyPr/>
                  <a:lstStyle/>
                  <a:p>
                    <a:fld id="{8E0ADA06-35BD-4D61-8728-7B4F8F25400E}"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2-028D-4756-AF5E-8FEDF70BEC81}"/>
                </c:ext>
              </c:extLst>
            </c:dLbl>
            <c:dLbl>
              <c:idx val="622"/>
              <c:tx>
                <c:rich>
                  <a:bodyPr/>
                  <a:lstStyle/>
                  <a:p>
                    <a:fld id="{03E6BB6C-181B-452A-803A-BAD454A9DB6E}"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3-028D-4756-AF5E-8FEDF70BEC81}"/>
                </c:ext>
              </c:extLst>
            </c:dLbl>
            <c:dLbl>
              <c:idx val="623"/>
              <c:tx>
                <c:rich>
                  <a:bodyPr/>
                  <a:lstStyle/>
                  <a:p>
                    <a:fld id="{1D43CB2B-1127-4A8C-92FE-0E9538F70DD7}"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4-028D-4756-AF5E-8FEDF70BEC81}"/>
                </c:ext>
              </c:extLst>
            </c:dLbl>
            <c:dLbl>
              <c:idx val="624"/>
              <c:tx>
                <c:rich>
                  <a:bodyPr/>
                  <a:lstStyle/>
                  <a:p>
                    <a:fld id="{ACE11A27-5F93-4960-8F8D-4D81E7583D22}"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5-028D-4756-AF5E-8FEDF70BEC81}"/>
                </c:ext>
              </c:extLst>
            </c:dLbl>
            <c:dLbl>
              <c:idx val="625"/>
              <c:tx>
                <c:rich>
                  <a:bodyPr/>
                  <a:lstStyle/>
                  <a:p>
                    <a:fld id="{9D028F02-CCE8-4436-8304-FC59B87E4042}"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6-028D-4756-AF5E-8FEDF70BEC81}"/>
                </c:ext>
              </c:extLst>
            </c:dLbl>
            <c:dLbl>
              <c:idx val="626"/>
              <c:tx>
                <c:rich>
                  <a:bodyPr/>
                  <a:lstStyle/>
                  <a:p>
                    <a:fld id="{2469E5A3-97B5-4CF0-BF50-A3955DE21F12}"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7-028D-4756-AF5E-8FEDF70BEC81}"/>
                </c:ext>
              </c:extLst>
            </c:dLbl>
            <c:dLbl>
              <c:idx val="627"/>
              <c:tx>
                <c:rich>
                  <a:bodyPr/>
                  <a:lstStyle/>
                  <a:p>
                    <a:fld id="{AE53AC63-21C8-47A7-8BB7-F0F55B9EDDD8}"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8-028D-4756-AF5E-8FEDF70BEC81}"/>
                </c:ext>
              </c:extLst>
            </c:dLbl>
            <c:dLbl>
              <c:idx val="628"/>
              <c:tx>
                <c:rich>
                  <a:bodyPr/>
                  <a:lstStyle/>
                  <a:p>
                    <a:fld id="{A6A977B7-A767-4E62-81B8-D6924612B40A}"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9-028D-4756-AF5E-8FEDF70BEC81}"/>
                </c:ext>
              </c:extLst>
            </c:dLbl>
            <c:dLbl>
              <c:idx val="629"/>
              <c:tx>
                <c:rich>
                  <a:bodyPr/>
                  <a:lstStyle/>
                  <a:p>
                    <a:fld id="{E0D9B576-A080-4165-A7C7-927181DE95F3}"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A-028D-4756-AF5E-8FEDF70BEC81}"/>
                </c:ext>
              </c:extLst>
            </c:dLbl>
            <c:dLbl>
              <c:idx val="630"/>
              <c:tx>
                <c:rich>
                  <a:bodyPr/>
                  <a:lstStyle/>
                  <a:p>
                    <a:fld id="{2857CA0D-EA30-494C-AD36-8603B0B61511}"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B-028D-4756-AF5E-8FEDF70BEC81}"/>
                </c:ext>
              </c:extLst>
            </c:dLbl>
            <c:dLbl>
              <c:idx val="631"/>
              <c:tx>
                <c:rich>
                  <a:bodyPr/>
                  <a:lstStyle/>
                  <a:p>
                    <a:fld id="{B3B96A5C-04D7-434D-8FC6-E04BC151A499}"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C-028D-4756-AF5E-8FEDF70BEC81}"/>
                </c:ext>
              </c:extLst>
            </c:dLbl>
            <c:dLbl>
              <c:idx val="632"/>
              <c:tx>
                <c:rich>
                  <a:bodyPr/>
                  <a:lstStyle/>
                  <a:p>
                    <a:fld id="{65C18270-3FB5-4A98-9ED5-D1ED0D474C25}"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D-028D-4756-AF5E-8FEDF70BEC81}"/>
                </c:ext>
              </c:extLst>
            </c:dLbl>
            <c:dLbl>
              <c:idx val="633"/>
              <c:tx>
                <c:rich>
                  <a:bodyPr/>
                  <a:lstStyle/>
                  <a:p>
                    <a:fld id="{2D15D55F-5C88-4880-A63C-5157BDDE4FBC}"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E-028D-4756-AF5E-8FEDF70BEC81}"/>
                </c:ext>
              </c:extLst>
            </c:dLbl>
            <c:dLbl>
              <c:idx val="634"/>
              <c:tx>
                <c:rich>
                  <a:bodyPr/>
                  <a:lstStyle/>
                  <a:p>
                    <a:fld id="{6C212E16-DDBC-416A-8DDF-23BB0FFDE860}"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F-028D-4756-AF5E-8FEDF70BEC81}"/>
                </c:ext>
              </c:extLst>
            </c:dLbl>
            <c:dLbl>
              <c:idx val="635"/>
              <c:tx>
                <c:rich>
                  <a:bodyPr/>
                  <a:lstStyle/>
                  <a:p>
                    <a:fld id="{8421622D-647A-4A6C-B3D4-3A21C9D9EAC3}"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0-028D-4756-AF5E-8FEDF70BEC81}"/>
                </c:ext>
              </c:extLst>
            </c:dLbl>
            <c:dLbl>
              <c:idx val="636"/>
              <c:tx>
                <c:rich>
                  <a:bodyPr/>
                  <a:lstStyle/>
                  <a:p>
                    <a:fld id="{C2480869-85F0-47C6-BED9-3B10F0611E22}"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1-028D-4756-AF5E-8FEDF70BEC81}"/>
                </c:ext>
              </c:extLst>
            </c:dLbl>
            <c:dLbl>
              <c:idx val="637"/>
              <c:tx>
                <c:rich>
                  <a:bodyPr/>
                  <a:lstStyle/>
                  <a:p>
                    <a:fld id="{23B558B6-915F-4494-85F7-B38CB8226CF1}"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2-028D-4756-AF5E-8FEDF70BEC81}"/>
                </c:ext>
              </c:extLst>
            </c:dLbl>
            <c:dLbl>
              <c:idx val="638"/>
              <c:tx>
                <c:rich>
                  <a:bodyPr/>
                  <a:lstStyle/>
                  <a:p>
                    <a:fld id="{7811244F-D41D-4243-9558-29AFF78FBCDF}"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3-028D-4756-AF5E-8FEDF70BEC81}"/>
                </c:ext>
              </c:extLst>
            </c:dLbl>
            <c:dLbl>
              <c:idx val="639"/>
              <c:tx>
                <c:rich>
                  <a:bodyPr/>
                  <a:lstStyle/>
                  <a:p>
                    <a:fld id="{892198A7-F469-461F-B48A-38E0FEE3D2B3}"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4-028D-4756-AF5E-8FEDF70BEC81}"/>
                </c:ext>
              </c:extLst>
            </c:dLbl>
            <c:dLbl>
              <c:idx val="640"/>
              <c:tx>
                <c:rich>
                  <a:bodyPr/>
                  <a:lstStyle/>
                  <a:p>
                    <a:fld id="{AF3D9E75-EC84-4107-96F3-162A5132807F}"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5-028D-4756-AF5E-8FEDF70BEC81}"/>
                </c:ext>
              </c:extLst>
            </c:dLbl>
            <c:dLbl>
              <c:idx val="641"/>
              <c:tx>
                <c:rich>
                  <a:bodyPr/>
                  <a:lstStyle/>
                  <a:p>
                    <a:fld id="{1C592C4A-98A2-4A65-88DB-427C683CF3E5}"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6-028D-4756-AF5E-8FEDF70BEC81}"/>
                </c:ext>
              </c:extLst>
            </c:dLbl>
            <c:dLbl>
              <c:idx val="642"/>
              <c:tx>
                <c:rich>
                  <a:bodyPr/>
                  <a:lstStyle/>
                  <a:p>
                    <a:fld id="{AF69FA04-AAC8-448A-823E-E1BA14198A69}"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7-028D-4756-AF5E-8FEDF70BEC81}"/>
                </c:ext>
              </c:extLst>
            </c:dLbl>
            <c:dLbl>
              <c:idx val="643"/>
              <c:tx>
                <c:rich>
                  <a:bodyPr/>
                  <a:lstStyle/>
                  <a:p>
                    <a:fld id="{304E5E3B-8591-427D-8669-5AB60ABDECE9}"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8-028D-4756-AF5E-8FEDF70BEC81}"/>
                </c:ext>
              </c:extLst>
            </c:dLbl>
            <c:dLbl>
              <c:idx val="644"/>
              <c:tx>
                <c:rich>
                  <a:bodyPr/>
                  <a:lstStyle/>
                  <a:p>
                    <a:fld id="{8C3154F3-4907-474A-A6F8-57E9D286F053}"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9-028D-4756-AF5E-8FEDF70BEC81}"/>
                </c:ext>
              </c:extLst>
            </c:dLbl>
            <c:dLbl>
              <c:idx val="645"/>
              <c:tx>
                <c:rich>
                  <a:bodyPr/>
                  <a:lstStyle/>
                  <a:p>
                    <a:fld id="{216AB922-D588-4B62-9C09-CC6F9726EDFB}"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A-028D-4756-AF5E-8FEDF70BEC81}"/>
                </c:ext>
              </c:extLst>
            </c:dLbl>
            <c:dLbl>
              <c:idx val="646"/>
              <c:tx>
                <c:rich>
                  <a:bodyPr/>
                  <a:lstStyle/>
                  <a:p>
                    <a:fld id="{5D2067DE-78AE-4891-80AA-DEBC20E29223}"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B-028D-4756-AF5E-8FEDF70BEC81}"/>
                </c:ext>
              </c:extLst>
            </c:dLbl>
            <c:dLbl>
              <c:idx val="647"/>
              <c:tx>
                <c:rich>
                  <a:bodyPr/>
                  <a:lstStyle/>
                  <a:p>
                    <a:fld id="{9E28FE8A-306F-462C-936F-3E0DCABAC1D9}"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C-028D-4756-AF5E-8FEDF70BEC81}"/>
                </c:ext>
              </c:extLst>
            </c:dLbl>
            <c:dLbl>
              <c:idx val="648"/>
              <c:tx>
                <c:rich>
                  <a:bodyPr/>
                  <a:lstStyle/>
                  <a:p>
                    <a:fld id="{34D2CBBD-6443-41D9-B862-62F890E691D6}"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D-028D-4756-AF5E-8FEDF70BEC81}"/>
                </c:ext>
              </c:extLst>
            </c:dLbl>
            <c:dLbl>
              <c:idx val="649"/>
              <c:tx>
                <c:rich>
                  <a:bodyPr/>
                  <a:lstStyle/>
                  <a:p>
                    <a:fld id="{EC2F3EC9-B493-4C41-AD4D-7FCF533BA09A}"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E-028D-4756-AF5E-8FEDF70BEC81}"/>
                </c:ext>
              </c:extLst>
            </c:dLbl>
            <c:dLbl>
              <c:idx val="650"/>
              <c:tx>
                <c:rich>
                  <a:bodyPr/>
                  <a:lstStyle/>
                  <a:p>
                    <a:fld id="{A898E039-7348-4661-A644-F9D2A597BFB1}"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F-028D-4756-AF5E-8FEDF70BEC81}"/>
                </c:ext>
              </c:extLst>
            </c:dLbl>
            <c:dLbl>
              <c:idx val="651"/>
              <c:tx>
                <c:rich>
                  <a:bodyPr/>
                  <a:lstStyle/>
                  <a:p>
                    <a:fld id="{AE91886F-38E9-42CB-89A6-E864CBBDD588}"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0-028D-4756-AF5E-8FEDF70BEC81}"/>
                </c:ext>
              </c:extLst>
            </c:dLbl>
            <c:dLbl>
              <c:idx val="652"/>
              <c:tx>
                <c:rich>
                  <a:bodyPr/>
                  <a:lstStyle/>
                  <a:p>
                    <a:fld id="{422A43CD-0D13-45FD-AF7C-1C06688ADC2E}"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1-028D-4756-AF5E-8FEDF70BEC81}"/>
                </c:ext>
              </c:extLst>
            </c:dLbl>
            <c:dLbl>
              <c:idx val="653"/>
              <c:tx>
                <c:rich>
                  <a:bodyPr/>
                  <a:lstStyle/>
                  <a:p>
                    <a:fld id="{A4408D98-FE65-4DF8-951B-AA09055BD93D}"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2-028D-4756-AF5E-8FEDF70BEC81}"/>
                </c:ext>
              </c:extLst>
            </c:dLbl>
            <c:dLbl>
              <c:idx val="654"/>
              <c:tx>
                <c:rich>
                  <a:bodyPr/>
                  <a:lstStyle/>
                  <a:p>
                    <a:fld id="{984A3113-2E85-415F-A3EE-2EB6DF555282}"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3-028D-4756-AF5E-8FEDF70BEC81}"/>
                </c:ext>
              </c:extLst>
            </c:dLbl>
            <c:dLbl>
              <c:idx val="655"/>
              <c:tx>
                <c:rich>
                  <a:bodyPr/>
                  <a:lstStyle/>
                  <a:p>
                    <a:fld id="{3561A759-1097-4B2D-B52C-C6241BC0BFD4}"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4-028D-4756-AF5E-8FEDF70BEC81}"/>
                </c:ext>
              </c:extLst>
            </c:dLbl>
            <c:dLbl>
              <c:idx val="656"/>
              <c:tx>
                <c:rich>
                  <a:bodyPr/>
                  <a:lstStyle/>
                  <a:p>
                    <a:fld id="{93BDC438-5242-4E3D-839A-9D647839EE54}"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5-028D-4756-AF5E-8FEDF70BEC81}"/>
                </c:ext>
              </c:extLst>
            </c:dLbl>
            <c:dLbl>
              <c:idx val="657"/>
              <c:tx>
                <c:rich>
                  <a:bodyPr/>
                  <a:lstStyle/>
                  <a:p>
                    <a:fld id="{27F2717F-31FA-4442-90A5-D70C4FF018A3}"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6-028D-4756-AF5E-8FEDF70BEC81}"/>
                </c:ext>
              </c:extLst>
            </c:dLbl>
            <c:dLbl>
              <c:idx val="658"/>
              <c:tx>
                <c:rich>
                  <a:bodyPr/>
                  <a:lstStyle/>
                  <a:p>
                    <a:fld id="{4D33100F-308E-496A-BAAE-67FD8BAB6944}"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7-028D-4756-AF5E-8FEDF70BEC81}"/>
                </c:ext>
              </c:extLst>
            </c:dLbl>
            <c:dLbl>
              <c:idx val="659"/>
              <c:tx>
                <c:rich>
                  <a:bodyPr/>
                  <a:lstStyle/>
                  <a:p>
                    <a:fld id="{2F55A6F5-26FD-4AFB-912A-40698F389F15}"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8-028D-4756-AF5E-8FEDF70BEC81}"/>
                </c:ext>
              </c:extLst>
            </c:dLbl>
            <c:dLbl>
              <c:idx val="660"/>
              <c:tx>
                <c:rich>
                  <a:bodyPr/>
                  <a:lstStyle/>
                  <a:p>
                    <a:fld id="{6F3D18E0-E9D0-4CE5-A669-5C6080181331}"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9-028D-4756-AF5E-8FEDF70BEC81}"/>
                </c:ext>
              </c:extLst>
            </c:dLbl>
            <c:dLbl>
              <c:idx val="661"/>
              <c:tx>
                <c:rich>
                  <a:bodyPr/>
                  <a:lstStyle/>
                  <a:p>
                    <a:fld id="{18E04442-B8FA-470F-B582-A6898DA30D57}"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A-028D-4756-AF5E-8FEDF70BEC81}"/>
                </c:ext>
              </c:extLst>
            </c:dLbl>
            <c:dLbl>
              <c:idx val="662"/>
              <c:tx>
                <c:rich>
                  <a:bodyPr/>
                  <a:lstStyle/>
                  <a:p>
                    <a:fld id="{8470E31A-607E-463C-8A19-4F8ED9B3ED1D}"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B-028D-4756-AF5E-8FEDF70BEC81}"/>
                </c:ext>
              </c:extLst>
            </c:dLbl>
            <c:dLbl>
              <c:idx val="663"/>
              <c:tx>
                <c:rich>
                  <a:bodyPr/>
                  <a:lstStyle/>
                  <a:p>
                    <a:fld id="{C1622439-7C1E-4847-A969-05BF5B4A118E}"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C-028D-4756-AF5E-8FEDF70BEC81}"/>
                </c:ext>
              </c:extLst>
            </c:dLbl>
            <c:dLbl>
              <c:idx val="664"/>
              <c:tx>
                <c:rich>
                  <a:bodyPr/>
                  <a:lstStyle/>
                  <a:p>
                    <a:fld id="{B407D066-F62A-476C-B32F-219F022C913C}"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D-028D-4756-AF5E-8FEDF70BEC81}"/>
                </c:ext>
              </c:extLst>
            </c:dLbl>
            <c:dLbl>
              <c:idx val="665"/>
              <c:tx>
                <c:rich>
                  <a:bodyPr/>
                  <a:lstStyle/>
                  <a:p>
                    <a:fld id="{AC29C734-5F0F-4595-8E21-8988FF0F3A3A}"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E-028D-4756-AF5E-8FEDF70BEC81}"/>
                </c:ext>
              </c:extLst>
            </c:dLbl>
            <c:dLbl>
              <c:idx val="666"/>
              <c:tx>
                <c:rich>
                  <a:bodyPr/>
                  <a:lstStyle/>
                  <a:p>
                    <a:fld id="{BCF82BE7-E08A-4831-8626-EE8B1D18220F}"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F-028D-4756-AF5E-8FEDF70BEC81}"/>
                </c:ext>
              </c:extLst>
            </c:dLbl>
            <c:dLbl>
              <c:idx val="667"/>
              <c:tx>
                <c:rich>
                  <a:bodyPr/>
                  <a:lstStyle/>
                  <a:p>
                    <a:fld id="{94F3A637-6464-48CA-8A4E-15F656715B1E}"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D0-028D-4756-AF5E-8FEDF70BEC81}"/>
                </c:ext>
              </c:extLst>
            </c:dLbl>
            <c:dLbl>
              <c:idx val="668"/>
              <c:tx>
                <c:rich>
                  <a:bodyPr/>
                  <a:lstStyle/>
                  <a:p>
                    <a:fld id="{6515791C-4154-4A7C-BDEB-86AACD142674}"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D1-028D-4756-AF5E-8FEDF70BEC81}"/>
                </c:ext>
              </c:extLst>
            </c:dLbl>
            <c:dLbl>
              <c:idx val="669"/>
              <c:tx>
                <c:rich>
                  <a:bodyPr/>
                  <a:lstStyle/>
                  <a:p>
                    <a:fld id="{34DF4A53-C052-4A53-9CF4-864E2199BD3A}"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D2-028D-4756-AF5E-8FEDF70BEC81}"/>
                </c:ext>
              </c:extLst>
            </c:dLbl>
            <c:dLbl>
              <c:idx val="670"/>
              <c:tx>
                <c:rich>
                  <a:bodyPr/>
                  <a:lstStyle/>
                  <a:p>
                    <a:fld id="{4C338693-8858-47EE-8807-30419A197E5F}"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D3-028D-4756-AF5E-8FEDF70BEC81}"/>
                </c:ext>
              </c:extLst>
            </c:dLbl>
            <c:dLbl>
              <c:idx val="671"/>
              <c:tx>
                <c:rich>
                  <a:bodyPr/>
                  <a:lstStyle/>
                  <a:p>
                    <a:fld id="{DC45D643-C6B9-4534-82EB-B9B960C2B267}"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D4-028D-4756-AF5E-8FEDF70BEC81}"/>
                </c:ext>
              </c:extLst>
            </c:dLbl>
            <c:dLbl>
              <c:idx val="672"/>
              <c:tx>
                <c:rich>
                  <a:bodyPr/>
                  <a:lstStyle/>
                  <a:p>
                    <a:fld id="{435D0DC5-89C1-42A2-8AEF-1805E5CCC3D1}"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D5-028D-4756-AF5E-8FEDF70BEC81}"/>
                </c:ext>
              </c:extLst>
            </c:dLbl>
            <c:dLbl>
              <c:idx val="673"/>
              <c:tx>
                <c:rich>
                  <a:bodyPr/>
                  <a:lstStyle/>
                  <a:p>
                    <a:fld id="{3E637984-4DEC-4483-8DF6-6B60C034AC27}"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D6-028D-4756-AF5E-8FEDF70BEC81}"/>
                </c:ext>
              </c:extLst>
            </c:dLbl>
            <c:dLbl>
              <c:idx val="674"/>
              <c:tx>
                <c:rich>
                  <a:bodyPr/>
                  <a:lstStyle/>
                  <a:p>
                    <a:fld id="{C2D2D6CB-03F1-466A-A976-3613A23BE263}"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D7-028D-4756-AF5E-8FEDF70BEC81}"/>
                </c:ext>
              </c:extLst>
            </c:dLbl>
            <c:dLbl>
              <c:idx val="675"/>
              <c:tx>
                <c:rich>
                  <a:bodyPr/>
                  <a:lstStyle/>
                  <a:p>
                    <a:fld id="{A4CEC8EE-A8A5-484B-8A29-DE5C5D687FF8}"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D8-028D-4756-AF5E-8FEDF70BEC81}"/>
                </c:ext>
              </c:extLst>
            </c:dLbl>
            <c:dLbl>
              <c:idx val="676"/>
              <c:tx>
                <c:rich>
                  <a:bodyPr/>
                  <a:lstStyle/>
                  <a:p>
                    <a:fld id="{4D863FB6-B6E5-4D4D-BBFD-C085D4AB4288}"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D9-028D-4756-AF5E-8FEDF70BEC81}"/>
                </c:ext>
              </c:extLst>
            </c:dLbl>
            <c:dLbl>
              <c:idx val="677"/>
              <c:tx>
                <c:rich>
                  <a:bodyPr/>
                  <a:lstStyle/>
                  <a:p>
                    <a:fld id="{13CCE19A-6757-48D7-BE16-921843FC2271}"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DA-028D-4756-AF5E-8FEDF70BEC81}"/>
                </c:ext>
              </c:extLst>
            </c:dLbl>
            <c:dLbl>
              <c:idx val="678"/>
              <c:tx>
                <c:rich>
                  <a:bodyPr/>
                  <a:lstStyle/>
                  <a:p>
                    <a:fld id="{3E10EF98-E601-415C-A79C-F25292A8BF91}"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DB-028D-4756-AF5E-8FEDF70BEC81}"/>
                </c:ext>
              </c:extLst>
            </c:dLbl>
            <c:dLbl>
              <c:idx val="679"/>
              <c:tx>
                <c:rich>
                  <a:bodyPr/>
                  <a:lstStyle/>
                  <a:p>
                    <a:fld id="{C565BFC6-F38C-42E8-8000-D8B0D3864E5E}"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DC-028D-4756-AF5E-8FEDF70BEC81}"/>
                </c:ext>
              </c:extLst>
            </c:dLbl>
            <c:dLbl>
              <c:idx val="680"/>
              <c:tx>
                <c:rich>
                  <a:bodyPr/>
                  <a:lstStyle/>
                  <a:p>
                    <a:fld id="{D5BD7DC3-A378-4DDA-809B-D1526BD6F927}"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DD-028D-4756-AF5E-8FEDF70BEC81}"/>
                </c:ext>
              </c:extLst>
            </c:dLbl>
            <c:dLbl>
              <c:idx val="681"/>
              <c:tx>
                <c:rich>
                  <a:bodyPr/>
                  <a:lstStyle/>
                  <a:p>
                    <a:fld id="{E38A2C56-564B-4843-9B07-95B661DABC31}"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DE-028D-4756-AF5E-8FEDF70BEC81}"/>
                </c:ext>
              </c:extLst>
            </c:dLbl>
            <c:dLbl>
              <c:idx val="682"/>
              <c:tx>
                <c:rich>
                  <a:bodyPr/>
                  <a:lstStyle/>
                  <a:p>
                    <a:fld id="{8ECA6B83-C55F-4F32-85C6-5E36A40DD3F9}"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DF-028D-4756-AF5E-8FEDF70BEC81}"/>
                </c:ext>
              </c:extLst>
            </c:dLbl>
            <c:dLbl>
              <c:idx val="683"/>
              <c:tx>
                <c:rich>
                  <a:bodyPr/>
                  <a:lstStyle/>
                  <a:p>
                    <a:fld id="{0512CAD1-8F8E-463A-8DA2-FF887B103CBB}"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E0-028D-4756-AF5E-8FEDF70BEC81}"/>
                </c:ext>
              </c:extLst>
            </c:dLbl>
            <c:dLbl>
              <c:idx val="684"/>
              <c:tx>
                <c:rich>
                  <a:bodyPr/>
                  <a:lstStyle/>
                  <a:p>
                    <a:fld id="{3337BAD8-F6FA-4E2F-B98C-C5A85EF71A45}"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E1-028D-4756-AF5E-8FEDF70BEC81}"/>
                </c:ext>
              </c:extLst>
            </c:dLbl>
            <c:dLbl>
              <c:idx val="685"/>
              <c:tx>
                <c:rich>
                  <a:bodyPr/>
                  <a:lstStyle/>
                  <a:p>
                    <a:fld id="{B0698999-1BF4-4D2E-809E-58BE4B8BC153}"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E2-028D-4756-AF5E-8FEDF70BEC81}"/>
                </c:ext>
              </c:extLst>
            </c:dLbl>
            <c:dLbl>
              <c:idx val="686"/>
              <c:tx>
                <c:rich>
                  <a:bodyPr/>
                  <a:lstStyle/>
                  <a:p>
                    <a:fld id="{0075DEDF-0C65-4B66-A7A3-ACA12BC1CE5A}"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E3-028D-4756-AF5E-8FEDF70BEC81}"/>
                </c:ext>
              </c:extLst>
            </c:dLbl>
            <c:dLbl>
              <c:idx val="687"/>
              <c:tx>
                <c:rich>
                  <a:bodyPr/>
                  <a:lstStyle/>
                  <a:p>
                    <a:fld id="{22FB4F6B-EFB2-4CF1-B262-820F45F9161E}"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E4-028D-4756-AF5E-8FEDF70BEC81}"/>
                </c:ext>
              </c:extLst>
            </c:dLbl>
            <c:dLbl>
              <c:idx val="688"/>
              <c:tx>
                <c:rich>
                  <a:bodyPr/>
                  <a:lstStyle/>
                  <a:p>
                    <a:fld id="{69D05DE0-4A31-4478-8DF5-F9C0C3B0FE8E}"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E5-028D-4756-AF5E-8FEDF70BEC81}"/>
                </c:ext>
              </c:extLst>
            </c:dLbl>
            <c:dLbl>
              <c:idx val="689"/>
              <c:tx>
                <c:rich>
                  <a:bodyPr/>
                  <a:lstStyle/>
                  <a:p>
                    <a:fld id="{2147E5B4-6A8C-4716-B4BA-332834C201CF}"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E6-028D-4756-AF5E-8FEDF70BEC81}"/>
                </c:ext>
              </c:extLst>
            </c:dLbl>
            <c:dLbl>
              <c:idx val="690"/>
              <c:tx>
                <c:rich>
                  <a:bodyPr/>
                  <a:lstStyle/>
                  <a:p>
                    <a:fld id="{1621C064-8AED-42B6-B2B1-9F0EB588E718}"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E7-028D-4756-AF5E-8FEDF70BEC81}"/>
                </c:ext>
              </c:extLst>
            </c:dLbl>
            <c:dLbl>
              <c:idx val="691"/>
              <c:tx>
                <c:rich>
                  <a:bodyPr/>
                  <a:lstStyle/>
                  <a:p>
                    <a:fld id="{C8FEED28-CCDF-49E4-9AB1-F8BFB8F091ED}"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E338-4093-A9EB-C877E57D4E54}"/>
                </c:ext>
              </c:extLst>
            </c:dLbl>
            <c:dLbl>
              <c:idx val="692"/>
              <c:tx>
                <c:rich>
                  <a:bodyPr/>
                  <a:lstStyle/>
                  <a:p>
                    <a:fld id="{C8D45EFB-FDE6-4B42-8BB6-E176BB2BF17F}"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E338-4093-A9EB-C877E57D4E54}"/>
                </c:ext>
              </c:extLst>
            </c:dLbl>
            <c:dLbl>
              <c:idx val="693"/>
              <c:tx>
                <c:rich>
                  <a:bodyPr/>
                  <a:lstStyle/>
                  <a:p>
                    <a:fld id="{4D2B6BD0-5D3E-41A4-B067-227DB9D9D6B6}"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E338-4093-A9EB-C877E57D4E54}"/>
                </c:ext>
              </c:extLst>
            </c:dLbl>
            <c:dLbl>
              <c:idx val="694"/>
              <c:tx>
                <c:rich>
                  <a:bodyPr/>
                  <a:lstStyle/>
                  <a:p>
                    <a:fld id="{D6BF2F03-7228-45CB-82FB-D7942806BFA4}"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E338-4093-A9EB-C877E57D4E54}"/>
                </c:ext>
              </c:extLst>
            </c:dLbl>
            <c:dLbl>
              <c:idx val="695"/>
              <c:tx>
                <c:rich>
                  <a:bodyPr/>
                  <a:lstStyle/>
                  <a:p>
                    <a:fld id="{AF6E89E9-76BF-4EAD-8CD2-D00381E26F42}"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E338-4093-A9EB-C877E57D4E54}"/>
                </c:ext>
              </c:extLst>
            </c:dLbl>
            <c:dLbl>
              <c:idx val="696"/>
              <c:tx>
                <c:rich>
                  <a:bodyPr/>
                  <a:lstStyle/>
                  <a:p>
                    <a:fld id="{CE2A8703-15F2-4F03-84D0-74676587ED44}"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E338-4093-A9EB-C877E57D4E54}"/>
                </c:ext>
              </c:extLst>
            </c:dLbl>
            <c:dLbl>
              <c:idx val="697"/>
              <c:tx>
                <c:rich>
                  <a:bodyPr/>
                  <a:lstStyle/>
                  <a:p>
                    <a:fld id="{ACFD5016-72A7-47AA-96FC-1AD401B55804}"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E338-4093-A9EB-C877E57D4E54}"/>
                </c:ext>
              </c:extLst>
            </c:dLbl>
            <c:dLbl>
              <c:idx val="698"/>
              <c:tx>
                <c:rich>
                  <a:bodyPr/>
                  <a:lstStyle/>
                  <a:p>
                    <a:fld id="{E75F33E9-992C-44CE-A1C5-EBE822F9CEB6}"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E338-4093-A9EB-C877E57D4E54}"/>
                </c:ext>
              </c:extLst>
            </c:dLbl>
            <c:dLbl>
              <c:idx val="699"/>
              <c:tx>
                <c:rich>
                  <a:bodyPr/>
                  <a:lstStyle/>
                  <a:p>
                    <a:fld id="{AEE2EAE5-613E-4418-9567-55690040F84E}"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E338-4093-A9EB-C877E57D4E54}"/>
                </c:ext>
              </c:extLst>
            </c:dLbl>
            <c:dLbl>
              <c:idx val="700"/>
              <c:tx>
                <c:rich>
                  <a:bodyPr/>
                  <a:lstStyle/>
                  <a:p>
                    <a:fld id="{7BA95737-62A9-42B5-B6DA-387ACEF09C53}"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E338-4093-A9EB-C877E57D4E54}"/>
                </c:ext>
              </c:extLst>
            </c:dLbl>
            <c:dLbl>
              <c:idx val="701"/>
              <c:tx>
                <c:rich>
                  <a:bodyPr/>
                  <a:lstStyle/>
                  <a:p>
                    <a:fld id="{3FF91A61-5AA7-4245-B836-8F3B7AC7879C}"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E338-4093-A9EB-C877E57D4E54}"/>
                </c:ext>
              </c:extLst>
            </c:dLbl>
            <c:dLbl>
              <c:idx val="702"/>
              <c:tx>
                <c:rich>
                  <a:bodyPr/>
                  <a:lstStyle/>
                  <a:p>
                    <a:fld id="{91AE98F9-47AF-4044-9D35-26852C0E4A88}"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E338-4093-A9EB-C877E57D4E54}"/>
                </c:ext>
              </c:extLst>
            </c:dLbl>
            <c:dLbl>
              <c:idx val="703"/>
              <c:tx>
                <c:rich>
                  <a:bodyPr/>
                  <a:lstStyle/>
                  <a:p>
                    <a:fld id="{6A007B5A-BF2B-4076-ADEC-E8352280B9DD}"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E338-4093-A9EB-C877E57D4E54}"/>
                </c:ext>
              </c:extLst>
            </c:dLbl>
            <c:dLbl>
              <c:idx val="704"/>
              <c:tx>
                <c:rich>
                  <a:bodyPr/>
                  <a:lstStyle/>
                  <a:p>
                    <a:fld id="{DFC22C32-42EE-4084-B4E3-E221C75FB5B7}"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E338-4093-A9EB-C877E57D4E54}"/>
                </c:ext>
              </c:extLst>
            </c:dLbl>
            <c:dLbl>
              <c:idx val="705"/>
              <c:tx>
                <c:rich>
                  <a:bodyPr/>
                  <a:lstStyle/>
                  <a:p>
                    <a:fld id="{9A18828F-4793-4316-9660-B9062FFA574A}"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E338-4093-A9EB-C877E57D4E54}"/>
                </c:ext>
              </c:extLst>
            </c:dLbl>
            <c:dLbl>
              <c:idx val="706"/>
              <c:tx>
                <c:rich>
                  <a:bodyPr/>
                  <a:lstStyle/>
                  <a:p>
                    <a:fld id="{C065ABA2-4B10-45A1-84B7-B0DC00DC920F}"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E338-4093-A9EB-C877E57D4E54}"/>
                </c:ext>
              </c:extLst>
            </c:dLbl>
            <c:dLbl>
              <c:idx val="707"/>
              <c:tx>
                <c:rich>
                  <a:bodyPr/>
                  <a:lstStyle/>
                  <a:p>
                    <a:fld id="{76172743-B036-4BE4-B2EB-33D5D606810F}"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E338-4093-A9EB-C877E57D4E54}"/>
                </c:ext>
              </c:extLst>
            </c:dLbl>
            <c:dLbl>
              <c:idx val="708"/>
              <c:tx>
                <c:rich>
                  <a:bodyPr/>
                  <a:lstStyle/>
                  <a:p>
                    <a:fld id="{5FF6B864-7446-4266-A011-B4995D074DDC}"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1-E338-4093-A9EB-C877E57D4E54}"/>
                </c:ext>
              </c:extLst>
            </c:dLbl>
            <c:dLbl>
              <c:idx val="709"/>
              <c:tx>
                <c:rich>
                  <a:bodyPr/>
                  <a:lstStyle/>
                  <a:p>
                    <a:fld id="{4B13CA75-9BD5-4106-96E4-AA58355353D0}"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2-E338-4093-A9EB-C877E57D4E54}"/>
                </c:ext>
              </c:extLst>
            </c:dLbl>
            <c:dLbl>
              <c:idx val="710"/>
              <c:tx>
                <c:rich>
                  <a:bodyPr/>
                  <a:lstStyle/>
                  <a:p>
                    <a:fld id="{EDFC13D2-38FD-4DA5-91B2-411FE156E459}"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3-E338-4093-A9EB-C877E57D4E54}"/>
                </c:ext>
              </c:extLst>
            </c:dLbl>
            <c:dLbl>
              <c:idx val="711"/>
              <c:tx>
                <c:rich>
                  <a:bodyPr/>
                  <a:lstStyle/>
                  <a:p>
                    <a:fld id="{BA899288-EDD2-43D1-9826-8D4F38A26C5F}"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4-E338-4093-A9EB-C877E57D4E54}"/>
                </c:ext>
              </c:extLst>
            </c:dLbl>
            <c:dLbl>
              <c:idx val="712"/>
              <c:tx>
                <c:rich>
                  <a:bodyPr/>
                  <a:lstStyle/>
                  <a:p>
                    <a:fld id="{A20F1985-A082-433F-BEE3-BE426D029AD3}"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5-E338-4093-A9EB-C877E57D4E54}"/>
                </c:ext>
              </c:extLst>
            </c:dLbl>
            <c:dLbl>
              <c:idx val="713"/>
              <c:tx>
                <c:rich>
                  <a:bodyPr/>
                  <a:lstStyle/>
                  <a:p>
                    <a:fld id="{34924C27-8D04-4A4D-84C0-A0FFCAEAEC81}"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6-E338-4093-A9EB-C877E57D4E54}"/>
                </c:ext>
              </c:extLst>
            </c:dLbl>
            <c:dLbl>
              <c:idx val="714"/>
              <c:tx>
                <c:rich>
                  <a:bodyPr/>
                  <a:lstStyle/>
                  <a:p>
                    <a:fld id="{9B5808F9-07C1-4DED-847A-12DF82E006B1}"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7-E338-4093-A9EB-C877E57D4E54}"/>
                </c:ext>
              </c:extLst>
            </c:dLbl>
            <c:dLbl>
              <c:idx val="715"/>
              <c:tx>
                <c:rich>
                  <a:bodyPr/>
                  <a:lstStyle/>
                  <a:p>
                    <a:fld id="{0603521C-9042-4BA9-90DB-5D6D4C3A7F47}"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8-E338-4093-A9EB-C877E57D4E54}"/>
                </c:ext>
              </c:extLst>
            </c:dLbl>
            <c:dLbl>
              <c:idx val="716"/>
              <c:tx>
                <c:rich>
                  <a:bodyPr/>
                  <a:lstStyle/>
                  <a:p>
                    <a:fld id="{867155C9-F830-41CA-B14C-590475794277}"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9-E338-4093-A9EB-C877E57D4E54}"/>
                </c:ext>
              </c:extLst>
            </c:dLbl>
            <c:dLbl>
              <c:idx val="717"/>
              <c:tx>
                <c:rich>
                  <a:bodyPr/>
                  <a:lstStyle/>
                  <a:p>
                    <a:fld id="{38A5D042-1347-4C8B-9648-07EAEFA84BA5}"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A-E338-4093-A9EB-C877E57D4E54}"/>
                </c:ext>
              </c:extLst>
            </c:dLbl>
            <c:dLbl>
              <c:idx val="718"/>
              <c:tx>
                <c:rich>
                  <a:bodyPr/>
                  <a:lstStyle/>
                  <a:p>
                    <a:fld id="{A5DC1C3B-ACF1-4701-B538-B73677A27F53}"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B-E338-4093-A9EB-C877E57D4E54}"/>
                </c:ext>
              </c:extLst>
            </c:dLbl>
            <c:dLbl>
              <c:idx val="719"/>
              <c:tx>
                <c:rich>
                  <a:bodyPr/>
                  <a:lstStyle/>
                  <a:p>
                    <a:fld id="{60E9B78F-16DD-432C-8FC7-734B80A899F0}"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C-E338-4093-A9EB-C877E57D4E54}"/>
                </c:ext>
              </c:extLst>
            </c:dLbl>
            <c:dLbl>
              <c:idx val="720"/>
              <c:tx>
                <c:rich>
                  <a:bodyPr/>
                  <a:lstStyle/>
                  <a:p>
                    <a:fld id="{66AFF22F-28A3-41BF-B985-2A777630E849}"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D-E338-4093-A9EB-C877E57D4E54}"/>
                </c:ext>
              </c:extLst>
            </c:dLbl>
            <c:dLbl>
              <c:idx val="721"/>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E-E338-4093-A9EB-C877E57D4E54}"/>
                </c:ext>
              </c:extLst>
            </c:dLbl>
            <c:dLbl>
              <c:idx val="722"/>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F-E338-4093-A9EB-C877E57D4E54}"/>
                </c:ext>
              </c:extLst>
            </c:dLbl>
            <c:dLbl>
              <c:idx val="723"/>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0-E338-4093-A9EB-C877E57D4E54}"/>
                </c:ext>
              </c:extLst>
            </c:dLbl>
            <c:dLbl>
              <c:idx val="724"/>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1-E338-4093-A9EB-C877E57D4E54}"/>
                </c:ext>
              </c:extLst>
            </c:dLbl>
            <c:dLbl>
              <c:idx val="725"/>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2-E338-4093-A9EB-C877E57D4E54}"/>
                </c:ext>
              </c:extLst>
            </c:dLbl>
            <c:dLbl>
              <c:idx val="726"/>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3-E338-4093-A9EB-C877E57D4E54}"/>
                </c:ext>
              </c:extLst>
            </c:dLbl>
            <c:dLbl>
              <c:idx val="727"/>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4-E338-4093-A9EB-C877E57D4E54}"/>
                </c:ext>
              </c:extLst>
            </c:dLbl>
            <c:dLbl>
              <c:idx val="728"/>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5-E338-4093-A9EB-C877E57D4E54}"/>
                </c:ext>
              </c:extLst>
            </c:dLbl>
            <c:dLbl>
              <c:idx val="729"/>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6-E338-4093-A9EB-C877E57D4E54}"/>
                </c:ext>
              </c:extLst>
            </c:dLbl>
            <c:dLbl>
              <c:idx val="730"/>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7-E338-4093-A9EB-C877E57D4E54}"/>
                </c:ext>
              </c:extLst>
            </c:dLbl>
            <c:dLbl>
              <c:idx val="731"/>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8-E338-4093-A9EB-C877E57D4E54}"/>
                </c:ext>
              </c:extLst>
            </c:dLbl>
            <c:dLbl>
              <c:idx val="732"/>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9-E338-4093-A9EB-C877E57D4E54}"/>
                </c:ext>
              </c:extLst>
            </c:dLbl>
            <c:dLbl>
              <c:idx val="733"/>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A-E338-4093-A9EB-C877E57D4E54}"/>
                </c:ext>
              </c:extLst>
            </c:dLbl>
            <c:dLbl>
              <c:idx val="734"/>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B-E338-4093-A9EB-C877E57D4E54}"/>
                </c:ext>
              </c:extLst>
            </c:dLbl>
            <c:dLbl>
              <c:idx val="735"/>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C-E338-4093-A9EB-C877E57D4E54}"/>
                </c:ext>
              </c:extLst>
            </c:dLbl>
            <c:dLbl>
              <c:idx val="736"/>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D-E338-4093-A9EB-C877E57D4E54}"/>
                </c:ext>
              </c:extLst>
            </c:dLbl>
            <c:dLbl>
              <c:idx val="737"/>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E-E338-4093-A9EB-C877E57D4E54}"/>
                </c:ext>
              </c:extLst>
            </c:dLbl>
            <c:dLbl>
              <c:idx val="738"/>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F-E338-4093-A9EB-C877E57D4E54}"/>
                </c:ext>
              </c:extLst>
            </c:dLbl>
            <c:dLbl>
              <c:idx val="739"/>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0-E338-4093-A9EB-C877E57D4E54}"/>
                </c:ext>
              </c:extLst>
            </c:dLbl>
            <c:dLbl>
              <c:idx val="740"/>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1-E338-4093-A9EB-C877E57D4E54}"/>
                </c:ext>
              </c:extLst>
            </c:dLbl>
            <c:dLbl>
              <c:idx val="741"/>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2-E338-4093-A9EB-C877E57D4E54}"/>
                </c:ext>
              </c:extLst>
            </c:dLbl>
            <c:dLbl>
              <c:idx val="742"/>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3-E338-4093-A9EB-C877E57D4E54}"/>
                </c:ext>
              </c:extLst>
            </c:dLbl>
            <c:dLbl>
              <c:idx val="743"/>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4-E338-4093-A9EB-C877E57D4E54}"/>
                </c:ext>
              </c:extLst>
            </c:dLbl>
            <c:dLbl>
              <c:idx val="744"/>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5-E338-4093-A9EB-C877E57D4E54}"/>
                </c:ext>
              </c:extLst>
            </c:dLbl>
            <c:dLbl>
              <c:idx val="745"/>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6-E338-4093-A9EB-C877E57D4E54}"/>
                </c:ext>
              </c:extLst>
            </c:dLbl>
            <c:dLbl>
              <c:idx val="746"/>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7-E338-4093-A9EB-C877E57D4E54}"/>
                </c:ext>
              </c:extLst>
            </c:dLbl>
            <c:dLbl>
              <c:idx val="747"/>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8-E338-4093-A9EB-C877E57D4E54}"/>
                </c:ext>
              </c:extLst>
            </c:dLbl>
            <c:dLbl>
              <c:idx val="748"/>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9-E338-4093-A9EB-C877E57D4E54}"/>
                </c:ext>
              </c:extLst>
            </c:dLbl>
            <c:dLbl>
              <c:idx val="749"/>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A-E338-4093-A9EB-C877E57D4E54}"/>
                </c:ext>
              </c:extLst>
            </c:dLbl>
            <c:dLbl>
              <c:idx val="750"/>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B-E338-4093-A9EB-C877E57D4E54}"/>
                </c:ext>
              </c:extLst>
            </c:dLbl>
            <c:dLbl>
              <c:idx val="751"/>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C-E338-4093-A9EB-C877E57D4E54}"/>
                </c:ext>
              </c:extLst>
            </c:dLbl>
            <c:dLbl>
              <c:idx val="752"/>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D-E338-4093-A9EB-C877E57D4E54}"/>
                </c:ext>
              </c:extLst>
            </c:dLbl>
            <c:dLbl>
              <c:idx val="753"/>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E-E338-4093-A9EB-C877E57D4E54}"/>
                </c:ext>
              </c:extLst>
            </c:dLbl>
            <c:dLbl>
              <c:idx val="754"/>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F-E338-4093-A9EB-C877E57D4E54}"/>
                </c:ext>
              </c:extLst>
            </c:dLbl>
            <c:dLbl>
              <c:idx val="755"/>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0-E338-4093-A9EB-C877E57D4E54}"/>
                </c:ext>
              </c:extLst>
            </c:dLbl>
            <c:dLbl>
              <c:idx val="756"/>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1-E338-4093-A9EB-C877E57D4E54}"/>
                </c:ext>
              </c:extLst>
            </c:dLbl>
            <c:dLbl>
              <c:idx val="757"/>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2-E338-4093-A9EB-C877E57D4E54}"/>
                </c:ext>
              </c:extLst>
            </c:dLbl>
            <c:dLbl>
              <c:idx val="758"/>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3-E338-4093-A9EB-C877E57D4E54}"/>
                </c:ext>
              </c:extLst>
            </c:dLbl>
            <c:dLbl>
              <c:idx val="759"/>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4-E338-4093-A9EB-C877E57D4E54}"/>
                </c:ext>
              </c:extLst>
            </c:dLbl>
            <c:dLbl>
              <c:idx val="760"/>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5-E338-4093-A9EB-C877E57D4E54}"/>
                </c:ext>
              </c:extLst>
            </c:dLbl>
            <c:dLbl>
              <c:idx val="761"/>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6-E338-4093-A9EB-C877E57D4E54}"/>
                </c:ext>
              </c:extLst>
            </c:dLbl>
            <c:dLbl>
              <c:idx val="762"/>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7-E338-4093-A9EB-C877E57D4E54}"/>
                </c:ext>
              </c:extLst>
            </c:dLbl>
            <c:dLbl>
              <c:idx val="763"/>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8-E338-4093-A9EB-C877E57D4E54}"/>
                </c:ext>
              </c:extLst>
            </c:dLbl>
            <c:dLbl>
              <c:idx val="764"/>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9-E338-4093-A9EB-C877E57D4E54}"/>
                </c:ext>
              </c:extLst>
            </c:dLbl>
            <c:dLbl>
              <c:idx val="765"/>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A-E338-4093-A9EB-C877E57D4E54}"/>
                </c:ext>
              </c:extLst>
            </c:dLbl>
            <c:dLbl>
              <c:idx val="766"/>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B-E338-4093-A9EB-C877E57D4E54}"/>
                </c:ext>
              </c:extLst>
            </c:dLbl>
            <c:dLbl>
              <c:idx val="767"/>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C-E338-4093-A9EB-C877E57D4E54}"/>
                </c:ext>
              </c:extLst>
            </c:dLbl>
            <c:dLbl>
              <c:idx val="768"/>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D-E338-4093-A9EB-C877E57D4E54}"/>
                </c:ext>
              </c:extLst>
            </c:dLbl>
            <c:dLbl>
              <c:idx val="769"/>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E-E338-4093-A9EB-C877E57D4E54}"/>
                </c:ext>
              </c:extLst>
            </c:dLbl>
            <c:dLbl>
              <c:idx val="770"/>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F-E338-4093-A9EB-C877E57D4E54}"/>
                </c:ext>
              </c:extLst>
            </c:dLbl>
            <c:dLbl>
              <c:idx val="771"/>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0-E338-4093-A9EB-C877E57D4E54}"/>
                </c:ext>
              </c:extLst>
            </c:dLbl>
            <c:dLbl>
              <c:idx val="772"/>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1-E338-4093-A9EB-C877E57D4E54}"/>
                </c:ext>
              </c:extLst>
            </c:dLbl>
            <c:dLbl>
              <c:idx val="773"/>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2-E338-4093-A9EB-C877E57D4E54}"/>
                </c:ext>
              </c:extLst>
            </c:dLbl>
            <c:dLbl>
              <c:idx val="774"/>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3-E338-4093-A9EB-C877E57D4E54}"/>
                </c:ext>
              </c:extLst>
            </c:dLbl>
            <c:dLbl>
              <c:idx val="775"/>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4-E338-4093-A9EB-C877E57D4E54}"/>
                </c:ext>
              </c:extLst>
            </c:dLbl>
            <c:dLbl>
              <c:idx val="776"/>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5-E338-4093-A9EB-C877E57D4E54}"/>
                </c:ext>
              </c:extLst>
            </c:dLbl>
            <c:dLbl>
              <c:idx val="777"/>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6-E338-4093-A9EB-C877E57D4E54}"/>
                </c:ext>
              </c:extLst>
            </c:dLbl>
            <c:dLbl>
              <c:idx val="778"/>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7-E338-4093-A9EB-C877E57D4E54}"/>
                </c:ext>
              </c:extLst>
            </c:dLbl>
            <c:dLbl>
              <c:idx val="779"/>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8-E338-4093-A9EB-C877E57D4E54}"/>
                </c:ext>
              </c:extLst>
            </c:dLbl>
            <c:dLbl>
              <c:idx val="780"/>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9-E338-4093-A9EB-C877E57D4E54}"/>
                </c:ext>
              </c:extLst>
            </c:dLbl>
            <c:dLbl>
              <c:idx val="781"/>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A-E338-4093-A9EB-C877E57D4E54}"/>
                </c:ext>
              </c:extLst>
            </c:dLbl>
            <c:dLbl>
              <c:idx val="782"/>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B-E338-4093-A9EB-C877E57D4E54}"/>
                </c:ext>
              </c:extLst>
            </c:dLbl>
            <c:dLbl>
              <c:idx val="783"/>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C-E338-4093-A9EB-C877E57D4E54}"/>
                </c:ext>
              </c:extLst>
            </c:dLbl>
            <c:dLbl>
              <c:idx val="784"/>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D-E338-4093-A9EB-C877E57D4E54}"/>
                </c:ext>
              </c:extLst>
            </c:dLbl>
            <c:dLbl>
              <c:idx val="785"/>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E-E338-4093-A9EB-C877E57D4E54}"/>
                </c:ext>
              </c:extLst>
            </c:dLbl>
            <c:dLbl>
              <c:idx val="786"/>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F-E338-4093-A9EB-C877E57D4E54}"/>
                </c:ext>
              </c:extLst>
            </c:dLbl>
            <c:dLbl>
              <c:idx val="787"/>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0-E338-4093-A9EB-C877E57D4E54}"/>
                </c:ext>
              </c:extLst>
            </c:dLbl>
            <c:dLbl>
              <c:idx val="788"/>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1-E338-4093-A9EB-C877E57D4E54}"/>
                </c:ext>
              </c:extLst>
            </c:dLbl>
            <c:dLbl>
              <c:idx val="789"/>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2-E338-4093-A9EB-C877E57D4E54}"/>
                </c:ext>
              </c:extLst>
            </c:dLbl>
            <c:dLbl>
              <c:idx val="790"/>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3-E338-4093-A9EB-C877E57D4E54}"/>
                </c:ext>
              </c:extLst>
            </c:dLbl>
            <c:dLbl>
              <c:idx val="791"/>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4-E338-4093-A9EB-C877E57D4E54}"/>
                </c:ext>
              </c:extLst>
            </c:dLbl>
            <c:dLbl>
              <c:idx val="792"/>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5-E338-4093-A9EB-C877E57D4E54}"/>
                </c:ext>
              </c:extLst>
            </c:dLbl>
            <c:dLbl>
              <c:idx val="793"/>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6-E338-4093-A9EB-C877E57D4E54}"/>
                </c:ext>
              </c:extLst>
            </c:dLbl>
            <c:dLbl>
              <c:idx val="794"/>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7-E338-4093-A9EB-C877E57D4E54}"/>
                </c:ext>
              </c:extLst>
            </c:dLbl>
            <c:dLbl>
              <c:idx val="795"/>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8-E338-4093-A9EB-C877E57D4E54}"/>
                </c:ext>
              </c:extLst>
            </c:dLbl>
            <c:dLbl>
              <c:idx val="796"/>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9-E338-4093-A9EB-C877E57D4E54}"/>
                </c:ext>
              </c:extLst>
            </c:dLbl>
            <c:dLbl>
              <c:idx val="797"/>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A-E338-4093-A9EB-C877E57D4E54}"/>
                </c:ext>
              </c:extLst>
            </c:dLbl>
            <c:dLbl>
              <c:idx val="798"/>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B-E338-4093-A9EB-C877E57D4E54}"/>
                </c:ext>
              </c:extLst>
            </c:dLbl>
            <c:dLbl>
              <c:idx val="799"/>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C-E338-4093-A9EB-C877E57D4E54}"/>
                </c:ext>
              </c:extLst>
            </c:dLbl>
            <c:dLbl>
              <c:idx val="800"/>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D-E338-4093-A9EB-C877E57D4E54}"/>
                </c:ext>
              </c:extLst>
            </c:dLbl>
            <c:dLbl>
              <c:idx val="801"/>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E-E338-4093-A9EB-C877E57D4E54}"/>
                </c:ext>
              </c:extLst>
            </c:dLbl>
            <c:dLbl>
              <c:idx val="802"/>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F-E338-4093-A9EB-C877E57D4E54}"/>
                </c:ext>
              </c:extLst>
            </c:dLbl>
            <c:dLbl>
              <c:idx val="803"/>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0-E338-4093-A9EB-C877E57D4E54}"/>
                </c:ext>
              </c:extLst>
            </c:dLbl>
            <c:dLbl>
              <c:idx val="804"/>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1-E338-4093-A9EB-C877E57D4E54}"/>
                </c:ext>
              </c:extLst>
            </c:dLbl>
            <c:dLbl>
              <c:idx val="805"/>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2-E338-4093-A9EB-C877E57D4E54}"/>
                </c:ext>
              </c:extLst>
            </c:dLbl>
            <c:dLbl>
              <c:idx val="806"/>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3-E338-4093-A9EB-C877E57D4E54}"/>
                </c:ext>
              </c:extLst>
            </c:dLbl>
            <c:dLbl>
              <c:idx val="807"/>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4-E338-4093-A9EB-C877E57D4E54}"/>
                </c:ext>
              </c:extLst>
            </c:dLbl>
            <c:dLbl>
              <c:idx val="808"/>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5-E338-4093-A9EB-C877E57D4E54}"/>
                </c:ext>
              </c:extLst>
            </c:dLbl>
            <c:dLbl>
              <c:idx val="809"/>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6-E338-4093-A9EB-C877E57D4E54}"/>
                </c:ext>
              </c:extLst>
            </c:dLbl>
            <c:dLbl>
              <c:idx val="810"/>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7-E338-4093-A9EB-C877E57D4E54}"/>
                </c:ext>
              </c:extLst>
            </c:dLbl>
            <c:dLbl>
              <c:idx val="811"/>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8-E338-4093-A9EB-C877E57D4E54}"/>
                </c:ext>
              </c:extLst>
            </c:dLbl>
            <c:dLbl>
              <c:idx val="812"/>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9-E338-4093-A9EB-C877E57D4E54}"/>
                </c:ext>
              </c:extLst>
            </c:dLbl>
            <c:dLbl>
              <c:idx val="813"/>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A-E338-4093-A9EB-C877E57D4E54}"/>
                </c:ext>
              </c:extLst>
            </c:dLbl>
            <c:dLbl>
              <c:idx val="814"/>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0-74EC-47E6-BECE-B19A1B8887B1}"/>
                </c:ext>
              </c:extLst>
            </c:dLbl>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entury Gothic" panose="020B0502020202020204" pitchFamily="34" charset="0"/>
                    <a:ea typeface="+mn-ea"/>
                    <a:cs typeface="+mn-cs"/>
                  </a:defRPr>
                </a:pPr>
                <a:endParaRPr lang="es-PE"/>
              </a:p>
            </c:txPr>
            <c:dLblPos val="t"/>
            <c:showLegendKey val="0"/>
            <c:showVal val="0"/>
            <c:showCatName val="0"/>
            <c:showSerName val="0"/>
            <c:showPercent val="0"/>
            <c:showBubbleSize val="0"/>
            <c:showLeaderLines val="0"/>
            <c:extLst xmlns:c15="http://schemas.microsoft.com/office/drawing/2012/char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FCS!$AT$11:$AT$825</c:f>
              <c:numCache>
                <c:formatCode>0</c:formatCode>
                <c:ptCount val="8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numCache>
              <c:extLst xmlns:c15="http://schemas.microsoft.com/office/drawing/2012/chart"/>
            </c:numRef>
          </c:xVal>
          <c:yVal>
            <c:numRef>
              <c:f>FCS!$I$11:$I$825</c:f>
              <c:numCache>
                <c:formatCode>0\+000.00</c:formatCode>
                <c:ptCount val="815"/>
                <c:pt idx="0">
                  <c:v>98.61</c:v>
                </c:pt>
                <c:pt idx="1">
                  <c:v>98.61</c:v>
                </c:pt>
                <c:pt idx="2">
                  <c:v>111.15</c:v>
                </c:pt>
                <c:pt idx="3">
                  <c:v>129.83000000000001</c:v>
                </c:pt>
                <c:pt idx="4">
                  <c:v>209.82</c:v>
                </c:pt>
                <c:pt idx="5">
                  <c:v>190.9</c:v>
                </c:pt>
                <c:pt idx="6">
                  <c:v>167.36</c:v>
                </c:pt>
                <c:pt idx="7">
                  <c:v>252.76</c:v>
                </c:pt>
                <c:pt idx="8">
                  <c:v>252.76</c:v>
                </c:pt>
                <c:pt idx="9">
                  <c:v>155.49</c:v>
                </c:pt>
                <c:pt idx="10">
                  <c:v>238.34</c:v>
                </c:pt>
                <c:pt idx="11">
                  <c:v>45.54</c:v>
                </c:pt>
                <c:pt idx="12">
                  <c:v>45.54</c:v>
                </c:pt>
                <c:pt idx="13">
                  <c:v>138.03</c:v>
                </c:pt>
                <c:pt idx="14">
                  <c:v>109.77</c:v>
                </c:pt>
                <c:pt idx="15">
                  <c:v>190.77</c:v>
                </c:pt>
                <c:pt idx="16">
                  <c:v>219.06</c:v>
                </c:pt>
                <c:pt idx="17">
                  <c:v>262.55</c:v>
                </c:pt>
                <c:pt idx="18">
                  <c:v>-45.39</c:v>
                </c:pt>
                <c:pt idx="19">
                  <c:v>24.75</c:v>
                </c:pt>
                <c:pt idx="20">
                  <c:v>18.190000000000001</c:v>
                </c:pt>
                <c:pt idx="21">
                  <c:v>84.9</c:v>
                </c:pt>
                <c:pt idx="22">
                  <c:v>19.36</c:v>
                </c:pt>
                <c:pt idx="23">
                  <c:v>19.36</c:v>
                </c:pt>
                <c:pt idx="24">
                  <c:v>25.16</c:v>
                </c:pt>
                <c:pt idx="25">
                  <c:v>-30.77</c:v>
                </c:pt>
                <c:pt idx="26">
                  <c:v>62.23</c:v>
                </c:pt>
                <c:pt idx="27">
                  <c:v>54.69</c:v>
                </c:pt>
                <c:pt idx="28">
                  <c:v>120.8</c:v>
                </c:pt>
                <c:pt idx="29">
                  <c:v>497.41</c:v>
                </c:pt>
                <c:pt idx="30">
                  <c:v>-156.69999999999999</c:v>
                </c:pt>
                <c:pt idx="31">
                  <c:v>33.1</c:v>
                </c:pt>
                <c:pt idx="32">
                  <c:v>48.5</c:v>
                </c:pt>
                <c:pt idx="33">
                  <c:v>48.98</c:v>
                </c:pt>
                <c:pt idx="34">
                  <c:v>48.98</c:v>
                </c:pt>
                <c:pt idx="35">
                  <c:v>34.65</c:v>
                </c:pt>
                <c:pt idx="36">
                  <c:v>116.49</c:v>
                </c:pt>
                <c:pt idx="37">
                  <c:v>114.06</c:v>
                </c:pt>
                <c:pt idx="38">
                  <c:v>61.48</c:v>
                </c:pt>
                <c:pt idx="39">
                  <c:v>389.14</c:v>
                </c:pt>
                <c:pt idx="40">
                  <c:v>510.87</c:v>
                </c:pt>
                <c:pt idx="41">
                  <c:v>427.05</c:v>
                </c:pt>
                <c:pt idx="42">
                  <c:v>570.42999999999995</c:v>
                </c:pt>
                <c:pt idx="43">
                  <c:v>439.21</c:v>
                </c:pt>
                <c:pt idx="44">
                  <c:v>590.98</c:v>
                </c:pt>
                <c:pt idx="45">
                  <c:v>590.98</c:v>
                </c:pt>
                <c:pt idx="46">
                  <c:v>416.6</c:v>
                </c:pt>
                <c:pt idx="47">
                  <c:v>390.98</c:v>
                </c:pt>
                <c:pt idx="48">
                  <c:v>531.83000000000004</c:v>
                </c:pt>
                <c:pt idx="49">
                  <c:v>531.59</c:v>
                </c:pt>
                <c:pt idx="50">
                  <c:v>-29.34</c:v>
                </c:pt>
                <c:pt idx="51">
                  <c:v>-25.66</c:v>
                </c:pt>
                <c:pt idx="52">
                  <c:v>19.5</c:v>
                </c:pt>
                <c:pt idx="53">
                  <c:v>-3.27</c:v>
                </c:pt>
                <c:pt idx="54">
                  <c:v>-2.73</c:v>
                </c:pt>
                <c:pt idx="55">
                  <c:v>24.13</c:v>
                </c:pt>
                <c:pt idx="56">
                  <c:v>24.13</c:v>
                </c:pt>
                <c:pt idx="57">
                  <c:v>203.83</c:v>
                </c:pt>
                <c:pt idx="58">
                  <c:v>231.38</c:v>
                </c:pt>
                <c:pt idx="59">
                  <c:v>256.33</c:v>
                </c:pt>
                <c:pt idx="60">
                  <c:v>340.75</c:v>
                </c:pt>
                <c:pt idx="61">
                  <c:v>329.98</c:v>
                </c:pt>
                <c:pt idx="62">
                  <c:v>346</c:v>
                </c:pt>
                <c:pt idx="63">
                  <c:v>61.67</c:v>
                </c:pt>
                <c:pt idx="64">
                  <c:v>270.45999999999998</c:v>
                </c:pt>
                <c:pt idx="65">
                  <c:v>257.88</c:v>
                </c:pt>
                <c:pt idx="66">
                  <c:v>228.97</c:v>
                </c:pt>
                <c:pt idx="67">
                  <c:v>228.97</c:v>
                </c:pt>
                <c:pt idx="68">
                  <c:v>390.05</c:v>
                </c:pt>
                <c:pt idx="69">
                  <c:v>339.79</c:v>
                </c:pt>
                <c:pt idx="70">
                  <c:v>329.1</c:v>
                </c:pt>
                <c:pt idx="71">
                  <c:v>425.41</c:v>
                </c:pt>
                <c:pt idx="72">
                  <c:v>488.03</c:v>
                </c:pt>
                <c:pt idx="73">
                  <c:v>233.58</c:v>
                </c:pt>
                <c:pt idx="74">
                  <c:v>293.83999999999997</c:v>
                </c:pt>
                <c:pt idx="75">
                  <c:v>382.2</c:v>
                </c:pt>
                <c:pt idx="76">
                  <c:v>-2.89</c:v>
                </c:pt>
                <c:pt idx="77">
                  <c:v>264.16999999999996</c:v>
                </c:pt>
                <c:pt idx="78">
                  <c:v>-25.24</c:v>
                </c:pt>
                <c:pt idx="79">
                  <c:v>-25.24</c:v>
                </c:pt>
                <c:pt idx="80">
                  <c:v>-29.59</c:v>
                </c:pt>
                <c:pt idx="81">
                  <c:v>236.13</c:v>
                </c:pt>
                <c:pt idx="82">
                  <c:v>215.5</c:v>
                </c:pt>
                <c:pt idx="83">
                  <c:v>306.61</c:v>
                </c:pt>
                <c:pt idx="84">
                  <c:v>316.54000000000002</c:v>
                </c:pt>
                <c:pt idx="85">
                  <c:v>429.7</c:v>
                </c:pt>
                <c:pt idx="86">
                  <c:v>410.1</c:v>
                </c:pt>
                <c:pt idx="87">
                  <c:v>516.82000000000005</c:v>
                </c:pt>
                <c:pt idx="88">
                  <c:v>536.03</c:v>
                </c:pt>
                <c:pt idx="89">
                  <c:v>612.91999999999996</c:v>
                </c:pt>
                <c:pt idx="90">
                  <c:v>612.91999999999996</c:v>
                </c:pt>
                <c:pt idx="91">
                  <c:v>60.65</c:v>
                </c:pt>
                <c:pt idx="92">
                  <c:v>431.62</c:v>
                </c:pt>
                <c:pt idx="93">
                  <c:v>436.65</c:v>
                </c:pt>
                <c:pt idx="94">
                  <c:v>413.32</c:v>
                </c:pt>
                <c:pt idx="95">
                  <c:v>396.62</c:v>
                </c:pt>
                <c:pt idx="96">
                  <c:v>504.71</c:v>
                </c:pt>
                <c:pt idx="97">
                  <c:v>532.79</c:v>
                </c:pt>
                <c:pt idx="98">
                  <c:v>528.34</c:v>
                </c:pt>
                <c:pt idx="99">
                  <c:v>497.08</c:v>
                </c:pt>
                <c:pt idx="100">
                  <c:v>298.68</c:v>
                </c:pt>
                <c:pt idx="101">
                  <c:v>298.68</c:v>
                </c:pt>
                <c:pt idx="102">
                  <c:v>235.82</c:v>
                </c:pt>
                <c:pt idx="103">
                  <c:v>304.12</c:v>
                </c:pt>
                <c:pt idx="104">
                  <c:v>425.64</c:v>
                </c:pt>
                <c:pt idx="105">
                  <c:v>374.13</c:v>
                </c:pt>
                <c:pt idx="106">
                  <c:v>373.19</c:v>
                </c:pt>
                <c:pt idx="107">
                  <c:v>227.58</c:v>
                </c:pt>
                <c:pt idx="108">
                  <c:v>240.06</c:v>
                </c:pt>
                <c:pt idx="109">
                  <c:v>234.34</c:v>
                </c:pt>
                <c:pt idx="110">
                  <c:v>307.2</c:v>
                </c:pt>
                <c:pt idx="111">
                  <c:v>321.32</c:v>
                </c:pt>
                <c:pt idx="112">
                  <c:v>321.32</c:v>
                </c:pt>
                <c:pt idx="113">
                  <c:v>349.88</c:v>
                </c:pt>
                <c:pt idx="114">
                  <c:v>-26.63</c:v>
                </c:pt>
                <c:pt idx="115">
                  <c:v>-25.17</c:v>
                </c:pt>
                <c:pt idx="116">
                  <c:v>64.7</c:v>
                </c:pt>
                <c:pt idx="117">
                  <c:v>-25.31</c:v>
                </c:pt>
                <c:pt idx="118">
                  <c:v>54.08</c:v>
                </c:pt>
                <c:pt idx="119">
                  <c:v>96.44</c:v>
                </c:pt>
                <c:pt idx="120">
                  <c:v>106.96</c:v>
                </c:pt>
                <c:pt idx="121">
                  <c:v>125.01</c:v>
                </c:pt>
                <c:pt idx="122">
                  <c:v>106.87</c:v>
                </c:pt>
                <c:pt idx="123">
                  <c:v>59.97</c:v>
                </c:pt>
                <c:pt idx="124">
                  <c:v>59.97</c:v>
                </c:pt>
                <c:pt idx="125">
                  <c:v>8.83</c:v>
                </c:pt>
                <c:pt idx="126">
                  <c:v>62.01</c:v>
                </c:pt>
                <c:pt idx="127">
                  <c:v>199.45</c:v>
                </c:pt>
                <c:pt idx="128">
                  <c:v>-26.06</c:v>
                </c:pt>
                <c:pt idx="129">
                  <c:v>39.15</c:v>
                </c:pt>
                <c:pt idx="130">
                  <c:v>67.989999999999995</c:v>
                </c:pt>
                <c:pt idx="131">
                  <c:v>68.62</c:v>
                </c:pt>
                <c:pt idx="132">
                  <c:v>145.31</c:v>
                </c:pt>
                <c:pt idx="133">
                  <c:v>141.80000000000001</c:v>
                </c:pt>
                <c:pt idx="134">
                  <c:v>186.88</c:v>
                </c:pt>
                <c:pt idx="135">
                  <c:v>255.33</c:v>
                </c:pt>
                <c:pt idx="136">
                  <c:v>255.33</c:v>
                </c:pt>
                <c:pt idx="137">
                  <c:v>239.55</c:v>
                </c:pt>
                <c:pt idx="138">
                  <c:v>348.21</c:v>
                </c:pt>
                <c:pt idx="139">
                  <c:v>322.11</c:v>
                </c:pt>
                <c:pt idx="140">
                  <c:v>289.18</c:v>
                </c:pt>
                <c:pt idx="141">
                  <c:v>366.51</c:v>
                </c:pt>
                <c:pt idx="142">
                  <c:v>403.68</c:v>
                </c:pt>
                <c:pt idx="143">
                  <c:v>462.45</c:v>
                </c:pt>
                <c:pt idx="144">
                  <c:v>253.49</c:v>
                </c:pt>
                <c:pt idx="145">
                  <c:v>228.02</c:v>
                </c:pt>
                <c:pt idx="146">
                  <c:v>203.96</c:v>
                </c:pt>
                <c:pt idx="147">
                  <c:v>203.96</c:v>
                </c:pt>
                <c:pt idx="148">
                  <c:v>286.26</c:v>
                </c:pt>
                <c:pt idx="149">
                  <c:v>303.69</c:v>
                </c:pt>
                <c:pt idx="150">
                  <c:v>364.43</c:v>
                </c:pt>
                <c:pt idx="151">
                  <c:v>399.5</c:v>
                </c:pt>
                <c:pt idx="152">
                  <c:v>43.74</c:v>
                </c:pt>
                <c:pt idx="153">
                  <c:v>-24.95</c:v>
                </c:pt>
                <c:pt idx="154">
                  <c:v>55.49</c:v>
                </c:pt>
                <c:pt idx="155">
                  <c:v>92.13</c:v>
                </c:pt>
                <c:pt idx="156">
                  <c:v>90.36</c:v>
                </c:pt>
                <c:pt idx="157">
                  <c:v>145.94999999999999</c:v>
                </c:pt>
                <c:pt idx="158">
                  <c:v>145.94999999999999</c:v>
                </c:pt>
                <c:pt idx="159">
                  <c:v>169.5</c:v>
                </c:pt>
                <c:pt idx="160">
                  <c:v>116.35</c:v>
                </c:pt>
                <c:pt idx="161">
                  <c:v>200.29</c:v>
                </c:pt>
                <c:pt idx="162">
                  <c:v>276.07</c:v>
                </c:pt>
                <c:pt idx="163">
                  <c:v>240.7</c:v>
                </c:pt>
                <c:pt idx="164">
                  <c:v>296.26</c:v>
                </c:pt>
                <c:pt idx="165">
                  <c:v>498.79</c:v>
                </c:pt>
                <c:pt idx="166">
                  <c:v>592.70000000000005</c:v>
                </c:pt>
                <c:pt idx="167">
                  <c:v>458.75</c:v>
                </c:pt>
                <c:pt idx="168">
                  <c:v>416.04</c:v>
                </c:pt>
                <c:pt idx="169">
                  <c:v>416.04</c:v>
                </c:pt>
                <c:pt idx="170">
                  <c:v>516.91</c:v>
                </c:pt>
                <c:pt idx="171">
                  <c:v>546.49</c:v>
                </c:pt>
                <c:pt idx="172">
                  <c:v>634.92999999999995</c:v>
                </c:pt>
                <c:pt idx="173">
                  <c:v>35.64</c:v>
                </c:pt>
                <c:pt idx="174">
                  <c:v>-25.45</c:v>
                </c:pt>
                <c:pt idx="175">
                  <c:v>18.899999999999999</c:v>
                </c:pt>
                <c:pt idx="176">
                  <c:v>-116.35</c:v>
                </c:pt>
                <c:pt idx="177">
                  <c:v>-62.86</c:v>
                </c:pt>
                <c:pt idx="178">
                  <c:v>-136.27000000000001</c:v>
                </c:pt>
                <c:pt idx="179">
                  <c:v>-143.18</c:v>
                </c:pt>
                <c:pt idx="180">
                  <c:v>-158.47</c:v>
                </c:pt>
                <c:pt idx="181">
                  <c:v>-158.47</c:v>
                </c:pt>
                <c:pt idx="182">
                  <c:v>-77.41</c:v>
                </c:pt>
                <c:pt idx="183">
                  <c:v>-69.040000000000006</c:v>
                </c:pt>
                <c:pt idx="184">
                  <c:v>-74.98</c:v>
                </c:pt>
                <c:pt idx="185">
                  <c:v>-20.420000000000002</c:v>
                </c:pt>
                <c:pt idx="186">
                  <c:v>-4.8899999999999997</c:v>
                </c:pt>
                <c:pt idx="187">
                  <c:v>0.54</c:v>
                </c:pt>
                <c:pt idx="188">
                  <c:v>-25.32</c:v>
                </c:pt>
                <c:pt idx="189">
                  <c:v>-162.91</c:v>
                </c:pt>
                <c:pt idx="190">
                  <c:v>-191.98</c:v>
                </c:pt>
                <c:pt idx="191">
                  <c:v>204.35</c:v>
                </c:pt>
                <c:pt idx="192">
                  <c:v>204.35</c:v>
                </c:pt>
                <c:pt idx="193">
                  <c:v>234.95</c:v>
                </c:pt>
                <c:pt idx="194">
                  <c:v>267.49</c:v>
                </c:pt>
                <c:pt idx="195">
                  <c:v>340.83</c:v>
                </c:pt>
                <c:pt idx="196">
                  <c:v>315</c:v>
                </c:pt>
                <c:pt idx="197">
                  <c:v>279.11</c:v>
                </c:pt>
                <c:pt idx="198">
                  <c:v>413</c:v>
                </c:pt>
                <c:pt idx="199">
                  <c:v>270.45</c:v>
                </c:pt>
                <c:pt idx="200">
                  <c:v>257.51</c:v>
                </c:pt>
                <c:pt idx="201">
                  <c:v>247.06</c:v>
                </c:pt>
                <c:pt idx="202">
                  <c:v>326.85000000000002</c:v>
                </c:pt>
                <c:pt idx="203">
                  <c:v>326.85000000000002</c:v>
                </c:pt>
                <c:pt idx="204">
                  <c:v>345.91</c:v>
                </c:pt>
                <c:pt idx="205">
                  <c:v>353.69</c:v>
                </c:pt>
                <c:pt idx="206">
                  <c:v>399.26</c:v>
                </c:pt>
                <c:pt idx="207">
                  <c:v>-55.84</c:v>
                </c:pt>
                <c:pt idx="208">
                  <c:v>-219.98</c:v>
                </c:pt>
                <c:pt idx="209">
                  <c:v>-71.47</c:v>
                </c:pt>
                <c:pt idx="210">
                  <c:v>44.4</c:v>
                </c:pt>
                <c:pt idx="211">
                  <c:v>-182.78</c:v>
                </c:pt>
                <c:pt idx="212">
                  <c:v>422.09</c:v>
                </c:pt>
                <c:pt idx="213">
                  <c:v>456.99</c:v>
                </c:pt>
                <c:pt idx="214">
                  <c:v>449.63</c:v>
                </c:pt>
                <c:pt idx="215">
                  <c:v>449.63</c:v>
                </c:pt>
                <c:pt idx="216">
                  <c:v>470.73</c:v>
                </c:pt>
                <c:pt idx="217">
                  <c:v>426.81</c:v>
                </c:pt>
                <c:pt idx="218">
                  <c:v>518.08000000000004</c:v>
                </c:pt>
                <c:pt idx="219">
                  <c:v>526.25</c:v>
                </c:pt>
                <c:pt idx="220">
                  <c:v>569.37</c:v>
                </c:pt>
                <c:pt idx="221">
                  <c:v>526.41</c:v>
                </c:pt>
                <c:pt idx="222">
                  <c:v>520.32000000000005</c:v>
                </c:pt>
                <c:pt idx="223">
                  <c:v>621.04</c:v>
                </c:pt>
                <c:pt idx="224">
                  <c:v>607.79</c:v>
                </c:pt>
                <c:pt idx="225">
                  <c:v>43</c:v>
                </c:pt>
                <c:pt idx="226">
                  <c:v>43</c:v>
                </c:pt>
                <c:pt idx="227">
                  <c:v>77.44</c:v>
                </c:pt>
                <c:pt idx="228">
                  <c:v>121.54</c:v>
                </c:pt>
                <c:pt idx="229">
                  <c:v>153.59</c:v>
                </c:pt>
                <c:pt idx="230">
                  <c:v>66.11</c:v>
                </c:pt>
                <c:pt idx="231">
                  <c:v>70.760000000000005</c:v>
                </c:pt>
                <c:pt idx="232">
                  <c:v>52.74</c:v>
                </c:pt>
                <c:pt idx="233">
                  <c:v>-10.54</c:v>
                </c:pt>
                <c:pt idx="234">
                  <c:v>470.43</c:v>
                </c:pt>
                <c:pt idx="235">
                  <c:v>413.55</c:v>
                </c:pt>
                <c:pt idx="236">
                  <c:v>593.96</c:v>
                </c:pt>
                <c:pt idx="237">
                  <c:v>593.96</c:v>
                </c:pt>
                <c:pt idx="238">
                  <c:v>390.33</c:v>
                </c:pt>
                <c:pt idx="239">
                  <c:v>508.43</c:v>
                </c:pt>
                <c:pt idx="240">
                  <c:v>529.74</c:v>
                </c:pt>
                <c:pt idx="241">
                  <c:v>566.95000000000005</c:v>
                </c:pt>
                <c:pt idx="242">
                  <c:v>414.22</c:v>
                </c:pt>
                <c:pt idx="243">
                  <c:v>538.19000000000005</c:v>
                </c:pt>
                <c:pt idx="244">
                  <c:v>477.8</c:v>
                </c:pt>
                <c:pt idx="245">
                  <c:v>396.95</c:v>
                </c:pt>
                <c:pt idx="246">
                  <c:v>258.5</c:v>
                </c:pt>
                <c:pt idx="247">
                  <c:v>231.5</c:v>
                </c:pt>
                <c:pt idx="248">
                  <c:v>237.27</c:v>
                </c:pt>
                <c:pt idx="249">
                  <c:v>237.27</c:v>
                </c:pt>
                <c:pt idx="250">
                  <c:v>296.44</c:v>
                </c:pt>
                <c:pt idx="251">
                  <c:v>337.52</c:v>
                </c:pt>
                <c:pt idx="252">
                  <c:v>365.38</c:v>
                </c:pt>
                <c:pt idx="253">
                  <c:v>337.41</c:v>
                </c:pt>
                <c:pt idx="254">
                  <c:v>269.42</c:v>
                </c:pt>
                <c:pt idx="255">
                  <c:v>250.35</c:v>
                </c:pt>
                <c:pt idx="256">
                  <c:v>212.3</c:v>
                </c:pt>
                <c:pt idx="257">
                  <c:v>346.49</c:v>
                </c:pt>
                <c:pt idx="258">
                  <c:v>372.96</c:v>
                </c:pt>
                <c:pt idx="259">
                  <c:v>328.28</c:v>
                </c:pt>
                <c:pt idx="260">
                  <c:v>328.28</c:v>
                </c:pt>
                <c:pt idx="261">
                  <c:v>308.64999999999998</c:v>
                </c:pt>
                <c:pt idx="262">
                  <c:v>160.21</c:v>
                </c:pt>
                <c:pt idx="263">
                  <c:v>42.6</c:v>
                </c:pt>
                <c:pt idx="264">
                  <c:v>289.76</c:v>
                </c:pt>
                <c:pt idx="265">
                  <c:v>289.57</c:v>
                </c:pt>
                <c:pt idx="266">
                  <c:v>252.92</c:v>
                </c:pt>
                <c:pt idx="267">
                  <c:v>371.78</c:v>
                </c:pt>
                <c:pt idx="268">
                  <c:v>413.57</c:v>
                </c:pt>
                <c:pt idx="269">
                  <c:v>398</c:v>
                </c:pt>
                <c:pt idx="270">
                  <c:v>447.8</c:v>
                </c:pt>
                <c:pt idx="271">
                  <c:v>-8.01</c:v>
                </c:pt>
                <c:pt idx="272">
                  <c:v>-8.01</c:v>
                </c:pt>
                <c:pt idx="273">
                  <c:v>-26.95</c:v>
                </c:pt>
                <c:pt idx="274">
                  <c:v>116.93</c:v>
                </c:pt>
                <c:pt idx="275">
                  <c:v>83.8</c:v>
                </c:pt>
                <c:pt idx="276">
                  <c:v>269.77999999999997</c:v>
                </c:pt>
                <c:pt idx="277">
                  <c:v>211.36</c:v>
                </c:pt>
                <c:pt idx="278">
                  <c:v>206.95</c:v>
                </c:pt>
                <c:pt idx="279">
                  <c:v>185.85</c:v>
                </c:pt>
                <c:pt idx="280">
                  <c:v>-10.16</c:v>
                </c:pt>
                <c:pt idx="281">
                  <c:v>29.33</c:v>
                </c:pt>
                <c:pt idx="282">
                  <c:v>188.01</c:v>
                </c:pt>
                <c:pt idx="283">
                  <c:v>188.01</c:v>
                </c:pt>
                <c:pt idx="284">
                  <c:v>190.9</c:v>
                </c:pt>
                <c:pt idx="285">
                  <c:v>280.32</c:v>
                </c:pt>
                <c:pt idx="286">
                  <c:v>275.42</c:v>
                </c:pt>
                <c:pt idx="287">
                  <c:v>334.78</c:v>
                </c:pt>
                <c:pt idx="288">
                  <c:v>-29.77</c:v>
                </c:pt>
                <c:pt idx="289">
                  <c:v>25.14</c:v>
                </c:pt>
                <c:pt idx="290">
                  <c:v>-21.15</c:v>
                </c:pt>
                <c:pt idx="291">
                  <c:v>415.77</c:v>
                </c:pt>
                <c:pt idx="292">
                  <c:v>204.33</c:v>
                </c:pt>
                <c:pt idx="293">
                  <c:v>331.44</c:v>
                </c:pt>
                <c:pt idx="294">
                  <c:v>331.44</c:v>
                </c:pt>
                <c:pt idx="295">
                  <c:v>219.49</c:v>
                </c:pt>
                <c:pt idx="296">
                  <c:v>386.56</c:v>
                </c:pt>
                <c:pt idx="297">
                  <c:v>290.16000000000003</c:v>
                </c:pt>
                <c:pt idx="298">
                  <c:v>249.27</c:v>
                </c:pt>
                <c:pt idx="299">
                  <c:v>348.86</c:v>
                </c:pt>
                <c:pt idx="300">
                  <c:v>263.93</c:v>
                </c:pt>
                <c:pt idx="301">
                  <c:v>400.66</c:v>
                </c:pt>
                <c:pt idx="302">
                  <c:v>297.20999999999998</c:v>
                </c:pt>
                <c:pt idx="303">
                  <c:v>444.05</c:v>
                </c:pt>
                <c:pt idx="304">
                  <c:v>324.64999999999998</c:v>
                </c:pt>
                <c:pt idx="305">
                  <c:v>324.64999999999998</c:v>
                </c:pt>
                <c:pt idx="306">
                  <c:v>304.92</c:v>
                </c:pt>
                <c:pt idx="307">
                  <c:v>411.69</c:v>
                </c:pt>
                <c:pt idx="308">
                  <c:v>474.91</c:v>
                </c:pt>
                <c:pt idx="309">
                  <c:v>397.16</c:v>
                </c:pt>
                <c:pt idx="310">
                  <c:v>427.93</c:v>
                </c:pt>
                <c:pt idx="311">
                  <c:v>454.34</c:v>
                </c:pt>
                <c:pt idx="312">
                  <c:v>573.61</c:v>
                </c:pt>
                <c:pt idx="313">
                  <c:v>506.16</c:v>
                </c:pt>
                <c:pt idx="314">
                  <c:v>480.15</c:v>
                </c:pt>
                <c:pt idx="315">
                  <c:v>590.74</c:v>
                </c:pt>
                <c:pt idx="316">
                  <c:v>590.74</c:v>
                </c:pt>
                <c:pt idx="317">
                  <c:v>563.29999999999995</c:v>
                </c:pt>
                <c:pt idx="318">
                  <c:v>476.06</c:v>
                </c:pt>
                <c:pt idx="319">
                  <c:v>425.38</c:v>
                </c:pt>
                <c:pt idx="320">
                  <c:v>438.72</c:v>
                </c:pt>
                <c:pt idx="321">
                  <c:v>459.95</c:v>
                </c:pt>
                <c:pt idx="322">
                  <c:v>601.26</c:v>
                </c:pt>
                <c:pt idx="323">
                  <c:v>534.03</c:v>
                </c:pt>
                <c:pt idx="324">
                  <c:v>603.80999999999995</c:v>
                </c:pt>
                <c:pt idx="325">
                  <c:v>240.39</c:v>
                </c:pt>
                <c:pt idx="326">
                  <c:v>207.84</c:v>
                </c:pt>
                <c:pt idx="327">
                  <c:v>313.88</c:v>
                </c:pt>
                <c:pt idx="328">
                  <c:v>313.88</c:v>
                </c:pt>
                <c:pt idx="329">
                  <c:v>369.24</c:v>
                </c:pt>
                <c:pt idx="330">
                  <c:v>346.54</c:v>
                </c:pt>
                <c:pt idx="331">
                  <c:v>310.91000000000003</c:v>
                </c:pt>
                <c:pt idx="332">
                  <c:v>233.94</c:v>
                </c:pt>
                <c:pt idx="333">
                  <c:v>215.76</c:v>
                </c:pt>
                <c:pt idx="334">
                  <c:v>200.94</c:v>
                </c:pt>
                <c:pt idx="335">
                  <c:v>341.06</c:v>
                </c:pt>
                <c:pt idx="336">
                  <c:v>331.2</c:v>
                </c:pt>
                <c:pt idx="337">
                  <c:v>325.01</c:v>
                </c:pt>
                <c:pt idx="338">
                  <c:v>274.48</c:v>
                </c:pt>
                <c:pt idx="339">
                  <c:v>274.48</c:v>
                </c:pt>
                <c:pt idx="340">
                  <c:v>216.1</c:v>
                </c:pt>
                <c:pt idx="341">
                  <c:v>175.32</c:v>
                </c:pt>
                <c:pt idx="342">
                  <c:v>282.14999999999998</c:v>
                </c:pt>
                <c:pt idx="343">
                  <c:v>318.23</c:v>
                </c:pt>
                <c:pt idx="344">
                  <c:v>399.55</c:v>
                </c:pt>
                <c:pt idx="345">
                  <c:v>421.5</c:v>
                </c:pt>
                <c:pt idx="346">
                  <c:v>448.92</c:v>
                </c:pt>
                <c:pt idx="347">
                  <c:v>549.16999999999996</c:v>
                </c:pt>
                <c:pt idx="348">
                  <c:v>514.22</c:v>
                </c:pt>
                <c:pt idx="349">
                  <c:v>500.76</c:v>
                </c:pt>
                <c:pt idx="350">
                  <c:v>500.76</c:v>
                </c:pt>
                <c:pt idx="351">
                  <c:v>585.12</c:v>
                </c:pt>
                <c:pt idx="352">
                  <c:v>586.07000000000005</c:v>
                </c:pt>
                <c:pt idx="353">
                  <c:v>39.479999999999997</c:v>
                </c:pt>
                <c:pt idx="354">
                  <c:v>-123.62</c:v>
                </c:pt>
                <c:pt idx="355">
                  <c:v>-99.37</c:v>
                </c:pt>
                <c:pt idx="356">
                  <c:v>-58.74</c:v>
                </c:pt>
                <c:pt idx="357">
                  <c:v>-17.350000000000001</c:v>
                </c:pt>
                <c:pt idx="358">
                  <c:v>33.979999999999997</c:v>
                </c:pt>
                <c:pt idx="359">
                  <c:v>89.24</c:v>
                </c:pt>
                <c:pt idx="360">
                  <c:v>108.02</c:v>
                </c:pt>
                <c:pt idx="361">
                  <c:v>30.07</c:v>
                </c:pt>
                <c:pt idx="362">
                  <c:v>30.07</c:v>
                </c:pt>
                <c:pt idx="363">
                  <c:v>61.4</c:v>
                </c:pt>
                <c:pt idx="364">
                  <c:v>-11.92</c:v>
                </c:pt>
                <c:pt idx="365">
                  <c:v>84.72</c:v>
                </c:pt>
                <c:pt idx="366">
                  <c:v>113</c:v>
                </c:pt>
                <c:pt idx="367">
                  <c:v>-3.25</c:v>
                </c:pt>
                <c:pt idx="368">
                  <c:v>-171.88</c:v>
                </c:pt>
                <c:pt idx="369">
                  <c:v>-133.86000000000001</c:v>
                </c:pt>
                <c:pt idx="370">
                  <c:v>-146.97999999999999</c:v>
                </c:pt>
                <c:pt idx="371">
                  <c:v>-57.09</c:v>
                </c:pt>
                <c:pt idx="372">
                  <c:v>0</c:v>
                </c:pt>
                <c:pt idx="373">
                  <c:v>-3.1</c:v>
                </c:pt>
                <c:pt idx="374">
                  <c:v>-5.33</c:v>
                </c:pt>
                <c:pt idx="375">
                  <c:v>-5.33</c:v>
                </c:pt>
                <c:pt idx="376">
                  <c:v>234.27</c:v>
                </c:pt>
                <c:pt idx="377">
                  <c:v>264.72000000000003</c:v>
                </c:pt>
                <c:pt idx="378">
                  <c:v>314.55</c:v>
                </c:pt>
                <c:pt idx="379">
                  <c:v>420.85</c:v>
                </c:pt>
                <c:pt idx="380">
                  <c:v>339.41</c:v>
                </c:pt>
                <c:pt idx="381">
                  <c:v>344.3</c:v>
                </c:pt>
                <c:pt idx="382">
                  <c:v>406.18</c:v>
                </c:pt>
                <c:pt idx="383">
                  <c:v>471.19</c:v>
                </c:pt>
                <c:pt idx="384">
                  <c:v>-3.98</c:v>
                </c:pt>
                <c:pt idx="385">
                  <c:v>26.7</c:v>
                </c:pt>
                <c:pt idx="386">
                  <c:v>26.7</c:v>
                </c:pt>
                <c:pt idx="387">
                  <c:v>-29.44</c:v>
                </c:pt>
                <c:pt idx="388">
                  <c:v>305.8</c:v>
                </c:pt>
                <c:pt idx="389">
                  <c:v>330.64</c:v>
                </c:pt>
                <c:pt idx="390">
                  <c:v>350.36</c:v>
                </c:pt>
                <c:pt idx="391">
                  <c:v>373.41</c:v>
                </c:pt>
                <c:pt idx="392">
                  <c:v>462.29</c:v>
                </c:pt>
                <c:pt idx="393">
                  <c:v>436.38</c:v>
                </c:pt>
                <c:pt idx="394">
                  <c:v>432.89</c:v>
                </c:pt>
                <c:pt idx="395">
                  <c:v>416.58</c:v>
                </c:pt>
                <c:pt idx="396">
                  <c:v>526.92999999999995</c:v>
                </c:pt>
                <c:pt idx="397">
                  <c:v>526.92999999999995</c:v>
                </c:pt>
                <c:pt idx="398">
                  <c:v>533.91999999999996</c:v>
                </c:pt>
                <c:pt idx="399">
                  <c:v>543.95000000000005</c:v>
                </c:pt>
                <c:pt idx="400">
                  <c:v>598.66</c:v>
                </c:pt>
                <c:pt idx="401">
                  <c:v>-22.56</c:v>
                </c:pt>
                <c:pt idx="402">
                  <c:v>-23.08</c:v>
                </c:pt>
                <c:pt idx="403">
                  <c:v>110.87</c:v>
                </c:pt>
                <c:pt idx="404">
                  <c:v>191.7</c:v>
                </c:pt>
                <c:pt idx="405">
                  <c:v>244.07</c:v>
                </c:pt>
                <c:pt idx="406">
                  <c:v>111.98</c:v>
                </c:pt>
                <c:pt idx="407">
                  <c:v>161.04</c:v>
                </c:pt>
                <c:pt idx="408">
                  <c:v>161.04</c:v>
                </c:pt>
                <c:pt idx="409">
                  <c:v>108.42</c:v>
                </c:pt>
                <c:pt idx="410">
                  <c:v>246.12</c:v>
                </c:pt>
                <c:pt idx="411">
                  <c:v>205.65</c:v>
                </c:pt>
                <c:pt idx="412">
                  <c:v>48.93</c:v>
                </c:pt>
                <c:pt idx="413">
                  <c:v>131.37</c:v>
                </c:pt>
                <c:pt idx="414">
                  <c:v>240.48</c:v>
                </c:pt>
                <c:pt idx="415">
                  <c:v>360.01</c:v>
                </c:pt>
                <c:pt idx="416">
                  <c:v>78.81</c:v>
                </c:pt>
                <c:pt idx="417">
                  <c:v>128.19</c:v>
                </c:pt>
                <c:pt idx="418">
                  <c:v>206.99</c:v>
                </c:pt>
                <c:pt idx="419">
                  <c:v>209.34</c:v>
                </c:pt>
                <c:pt idx="420">
                  <c:v>209.34</c:v>
                </c:pt>
                <c:pt idx="421">
                  <c:v>151.13999999999999</c:v>
                </c:pt>
                <c:pt idx="422">
                  <c:v>270.82</c:v>
                </c:pt>
                <c:pt idx="423">
                  <c:v>261.45</c:v>
                </c:pt>
                <c:pt idx="424">
                  <c:v>335.16</c:v>
                </c:pt>
                <c:pt idx="425">
                  <c:v>302.64999999999998</c:v>
                </c:pt>
                <c:pt idx="426">
                  <c:v>302.08999999999997</c:v>
                </c:pt>
                <c:pt idx="427">
                  <c:v>397.48</c:v>
                </c:pt>
                <c:pt idx="428">
                  <c:v>392.19</c:v>
                </c:pt>
                <c:pt idx="429">
                  <c:v>406.67</c:v>
                </c:pt>
                <c:pt idx="430">
                  <c:v>232.42</c:v>
                </c:pt>
                <c:pt idx="431">
                  <c:v>232.42</c:v>
                </c:pt>
                <c:pt idx="432">
                  <c:v>-25.04</c:v>
                </c:pt>
                <c:pt idx="433">
                  <c:v>203.72</c:v>
                </c:pt>
                <c:pt idx="434">
                  <c:v>247</c:v>
                </c:pt>
                <c:pt idx="435">
                  <c:v>294.66000000000003</c:v>
                </c:pt>
                <c:pt idx="436">
                  <c:v>383.01</c:v>
                </c:pt>
                <c:pt idx="437">
                  <c:v>338.51</c:v>
                </c:pt>
                <c:pt idx="438">
                  <c:v>295.88</c:v>
                </c:pt>
                <c:pt idx="439">
                  <c:v>316.44</c:v>
                </c:pt>
                <c:pt idx="440">
                  <c:v>370.81</c:v>
                </c:pt>
                <c:pt idx="441">
                  <c:v>485.67</c:v>
                </c:pt>
                <c:pt idx="442">
                  <c:v>485.67</c:v>
                </c:pt>
                <c:pt idx="443">
                  <c:v>93.36</c:v>
                </c:pt>
                <c:pt idx="444">
                  <c:v>113.52</c:v>
                </c:pt>
                <c:pt idx="445">
                  <c:v>142.16999999999999</c:v>
                </c:pt>
                <c:pt idx="446">
                  <c:v>246.12</c:v>
                </c:pt>
                <c:pt idx="447">
                  <c:v>206.51</c:v>
                </c:pt>
                <c:pt idx="448">
                  <c:v>187.8</c:v>
                </c:pt>
                <c:pt idx="449">
                  <c:v>372.31</c:v>
                </c:pt>
                <c:pt idx="450">
                  <c:v>467.37</c:v>
                </c:pt>
                <c:pt idx="451">
                  <c:v>22.6</c:v>
                </c:pt>
                <c:pt idx="452">
                  <c:v>21.06</c:v>
                </c:pt>
                <c:pt idx="453">
                  <c:v>21.06</c:v>
                </c:pt>
                <c:pt idx="454">
                  <c:v>50.31</c:v>
                </c:pt>
                <c:pt idx="455">
                  <c:v>-28.87</c:v>
                </c:pt>
                <c:pt idx="456">
                  <c:v>340.1</c:v>
                </c:pt>
                <c:pt idx="457">
                  <c:v>49.08</c:v>
                </c:pt>
                <c:pt idx="458">
                  <c:v>326.67</c:v>
                </c:pt>
                <c:pt idx="459">
                  <c:v>401.41</c:v>
                </c:pt>
                <c:pt idx="460">
                  <c:v>-27.18</c:v>
                </c:pt>
                <c:pt idx="461">
                  <c:v>379.02</c:v>
                </c:pt>
                <c:pt idx="462">
                  <c:v>350.38</c:v>
                </c:pt>
                <c:pt idx="463">
                  <c:v>432.04</c:v>
                </c:pt>
                <c:pt idx="464">
                  <c:v>464.72</c:v>
                </c:pt>
                <c:pt idx="465">
                  <c:v>464.72</c:v>
                </c:pt>
                <c:pt idx="466">
                  <c:v>516</c:v>
                </c:pt>
                <c:pt idx="467">
                  <c:v>16.11</c:v>
                </c:pt>
                <c:pt idx="468">
                  <c:v>317.12</c:v>
                </c:pt>
                <c:pt idx="469">
                  <c:v>280.60000000000002</c:v>
                </c:pt>
                <c:pt idx="470">
                  <c:v>290.98</c:v>
                </c:pt>
                <c:pt idx="471">
                  <c:v>359.18</c:v>
                </c:pt>
                <c:pt idx="472">
                  <c:v>417.5</c:v>
                </c:pt>
                <c:pt idx="473">
                  <c:v>515.13</c:v>
                </c:pt>
                <c:pt idx="474">
                  <c:v>114.04</c:v>
                </c:pt>
                <c:pt idx="475">
                  <c:v>108.52</c:v>
                </c:pt>
                <c:pt idx="476">
                  <c:v>108.52</c:v>
                </c:pt>
                <c:pt idx="477">
                  <c:v>189.99</c:v>
                </c:pt>
                <c:pt idx="478">
                  <c:v>185.98</c:v>
                </c:pt>
                <c:pt idx="479">
                  <c:v>276.75</c:v>
                </c:pt>
                <c:pt idx="480">
                  <c:v>41.33</c:v>
                </c:pt>
                <c:pt idx="481">
                  <c:v>-182.45</c:v>
                </c:pt>
                <c:pt idx="482">
                  <c:v>-200.29</c:v>
                </c:pt>
                <c:pt idx="483">
                  <c:v>-157.61000000000001</c:v>
                </c:pt>
                <c:pt idx="484">
                  <c:v>-16.690000000000001</c:v>
                </c:pt>
                <c:pt idx="485">
                  <c:v>-95.63</c:v>
                </c:pt>
                <c:pt idx="486">
                  <c:v>-80.56</c:v>
                </c:pt>
                <c:pt idx="487">
                  <c:v>-80.56</c:v>
                </c:pt>
                <c:pt idx="488">
                  <c:v>142.29</c:v>
                </c:pt>
                <c:pt idx="489">
                  <c:v>198.41</c:v>
                </c:pt>
                <c:pt idx="490">
                  <c:v>98.66</c:v>
                </c:pt>
                <c:pt idx="491">
                  <c:v>99.56</c:v>
                </c:pt>
                <c:pt idx="492">
                  <c:v>276.31</c:v>
                </c:pt>
                <c:pt idx="493">
                  <c:v>101.32</c:v>
                </c:pt>
                <c:pt idx="494">
                  <c:v>192.35</c:v>
                </c:pt>
                <c:pt idx="495">
                  <c:v>234.53</c:v>
                </c:pt>
                <c:pt idx="496">
                  <c:v>58.66</c:v>
                </c:pt>
                <c:pt idx="497">
                  <c:v>237.24</c:v>
                </c:pt>
                <c:pt idx="498">
                  <c:v>237.24</c:v>
                </c:pt>
                <c:pt idx="499">
                  <c:v>374.59</c:v>
                </c:pt>
                <c:pt idx="500">
                  <c:v>304.17</c:v>
                </c:pt>
                <c:pt idx="501">
                  <c:v>-212.03</c:v>
                </c:pt>
                <c:pt idx="502">
                  <c:v>244.53</c:v>
                </c:pt>
                <c:pt idx="503">
                  <c:v>230.94</c:v>
                </c:pt>
                <c:pt idx="504">
                  <c:v>287.63</c:v>
                </c:pt>
                <c:pt idx="505">
                  <c:v>338.4</c:v>
                </c:pt>
                <c:pt idx="506">
                  <c:v>336.74</c:v>
                </c:pt>
                <c:pt idx="507">
                  <c:v>384.46</c:v>
                </c:pt>
                <c:pt idx="508">
                  <c:v>41.61</c:v>
                </c:pt>
                <c:pt idx="509">
                  <c:v>234.38</c:v>
                </c:pt>
                <c:pt idx="510">
                  <c:v>234.38</c:v>
                </c:pt>
                <c:pt idx="511">
                  <c:v>214.09</c:v>
                </c:pt>
                <c:pt idx="512">
                  <c:v>196.74</c:v>
                </c:pt>
                <c:pt idx="513">
                  <c:v>299.82</c:v>
                </c:pt>
                <c:pt idx="514">
                  <c:v>311.45999999999998</c:v>
                </c:pt>
                <c:pt idx="515">
                  <c:v>317.72000000000003</c:v>
                </c:pt>
                <c:pt idx="516">
                  <c:v>426.02</c:v>
                </c:pt>
                <c:pt idx="517">
                  <c:v>420.09</c:v>
                </c:pt>
                <c:pt idx="518">
                  <c:v>389.41</c:v>
                </c:pt>
                <c:pt idx="519">
                  <c:v>538.33000000000004</c:v>
                </c:pt>
                <c:pt idx="520">
                  <c:v>573.19000000000005</c:v>
                </c:pt>
                <c:pt idx="521">
                  <c:v>573.19000000000005</c:v>
                </c:pt>
                <c:pt idx="522">
                  <c:v>494.23</c:v>
                </c:pt>
                <c:pt idx="523">
                  <c:v>614.03</c:v>
                </c:pt>
                <c:pt idx="524">
                  <c:v>48.99</c:v>
                </c:pt>
                <c:pt idx="525">
                  <c:v>74.77</c:v>
                </c:pt>
                <c:pt idx="526">
                  <c:v>124.21</c:v>
                </c:pt>
                <c:pt idx="527">
                  <c:v>149.75</c:v>
                </c:pt>
                <c:pt idx="528">
                  <c:v>105.54</c:v>
                </c:pt>
                <c:pt idx="529">
                  <c:v>351.48</c:v>
                </c:pt>
                <c:pt idx="530">
                  <c:v>334.99</c:v>
                </c:pt>
                <c:pt idx="531">
                  <c:v>430.47</c:v>
                </c:pt>
                <c:pt idx="532">
                  <c:v>430.47</c:v>
                </c:pt>
                <c:pt idx="533">
                  <c:v>464.61</c:v>
                </c:pt>
                <c:pt idx="534">
                  <c:v>593.46</c:v>
                </c:pt>
                <c:pt idx="535">
                  <c:v>581.91</c:v>
                </c:pt>
                <c:pt idx="536">
                  <c:v>368.96</c:v>
                </c:pt>
                <c:pt idx="537">
                  <c:v>474.86</c:v>
                </c:pt>
                <c:pt idx="538">
                  <c:v>620.16</c:v>
                </c:pt>
                <c:pt idx="539">
                  <c:v>-145.72999999999999</c:v>
                </c:pt>
                <c:pt idx="540">
                  <c:v>-33.78</c:v>
                </c:pt>
                <c:pt idx="541">
                  <c:v>-156.87</c:v>
                </c:pt>
                <c:pt idx="542">
                  <c:v>-167.08</c:v>
                </c:pt>
                <c:pt idx="543">
                  <c:v>-167.08</c:v>
                </c:pt>
                <c:pt idx="544">
                  <c:v>-63.85</c:v>
                </c:pt>
                <c:pt idx="545">
                  <c:v>-13.55</c:v>
                </c:pt>
                <c:pt idx="546">
                  <c:v>-169.55</c:v>
                </c:pt>
                <c:pt idx="547">
                  <c:v>-67.63</c:v>
                </c:pt>
                <c:pt idx="548">
                  <c:v>-133.96</c:v>
                </c:pt>
                <c:pt idx="549">
                  <c:v>-91.62</c:v>
                </c:pt>
                <c:pt idx="550">
                  <c:v>-41.14</c:v>
                </c:pt>
                <c:pt idx="551">
                  <c:v>44.52</c:v>
                </c:pt>
                <c:pt idx="552">
                  <c:v>-16.079999999999998</c:v>
                </c:pt>
                <c:pt idx="553">
                  <c:v>51.54</c:v>
                </c:pt>
                <c:pt idx="554">
                  <c:v>51.54</c:v>
                </c:pt>
                <c:pt idx="555">
                  <c:v>-52.84</c:v>
                </c:pt>
                <c:pt idx="556">
                  <c:v>80.12</c:v>
                </c:pt>
                <c:pt idx="557">
                  <c:v>147.87</c:v>
                </c:pt>
                <c:pt idx="558">
                  <c:v>60.26</c:v>
                </c:pt>
                <c:pt idx="559">
                  <c:v>38.340000000000003</c:v>
                </c:pt>
                <c:pt idx="560">
                  <c:v>160.56</c:v>
                </c:pt>
                <c:pt idx="561">
                  <c:v>34.67</c:v>
                </c:pt>
                <c:pt idx="562">
                  <c:v>210.27</c:v>
                </c:pt>
                <c:pt idx="563">
                  <c:v>119.53</c:v>
                </c:pt>
                <c:pt idx="564">
                  <c:v>33.47</c:v>
                </c:pt>
                <c:pt idx="565">
                  <c:v>131.07</c:v>
                </c:pt>
                <c:pt idx="566">
                  <c:v>131.07</c:v>
                </c:pt>
                <c:pt idx="567">
                  <c:v>232.01</c:v>
                </c:pt>
                <c:pt idx="568">
                  <c:v>-23.62</c:v>
                </c:pt>
                <c:pt idx="569">
                  <c:v>14.82</c:v>
                </c:pt>
                <c:pt idx="570">
                  <c:v>40.53</c:v>
                </c:pt>
                <c:pt idx="571">
                  <c:v>169.23</c:v>
                </c:pt>
                <c:pt idx="572">
                  <c:v>134.04</c:v>
                </c:pt>
                <c:pt idx="573">
                  <c:v>57.94</c:v>
                </c:pt>
                <c:pt idx="574">
                  <c:v>133.57</c:v>
                </c:pt>
                <c:pt idx="575">
                  <c:v>111.35</c:v>
                </c:pt>
                <c:pt idx="576">
                  <c:v>119.68</c:v>
                </c:pt>
                <c:pt idx="577">
                  <c:v>119.68</c:v>
                </c:pt>
                <c:pt idx="578">
                  <c:v>211.02</c:v>
                </c:pt>
                <c:pt idx="579">
                  <c:v>202.63</c:v>
                </c:pt>
                <c:pt idx="580">
                  <c:v>302.56</c:v>
                </c:pt>
                <c:pt idx="581">
                  <c:v>111.69</c:v>
                </c:pt>
                <c:pt idx="582">
                  <c:v>86.98</c:v>
                </c:pt>
                <c:pt idx="583">
                  <c:v>44.78</c:v>
                </c:pt>
                <c:pt idx="584">
                  <c:v>132.13</c:v>
                </c:pt>
                <c:pt idx="585">
                  <c:v>158.58000000000001</c:v>
                </c:pt>
                <c:pt idx="586">
                  <c:v>185.3</c:v>
                </c:pt>
                <c:pt idx="587">
                  <c:v>235.45</c:v>
                </c:pt>
                <c:pt idx="588">
                  <c:v>235.45</c:v>
                </c:pt>
                <c:pt idx="589">
                  <c:v>201.69</c:v>
                </c:pt>
                <c:pt idx="590">
                  <c:v>520.01</c:v>
                </c:pt>
                <c:pt idx="591">
                  <c:v>461.98</c:v>
                </c:pt>
                <c:pt idx="592">
                  <c:v>427.55</c:v>
                </c:pt>
                <c:pt idx="593">
                  <c:v>394.15</c:v>
                </c:pt>
                <c:pt idx="594">
                  <c:v>494.19</c:v>
                </c:pt>
                <c:pt idx="595">
                  <c:v>507.67</c:v>
                </c:pt>
                <c:pt idx="596">
                  <c:v>561.38</c:v>
                </c:pt>
                <c:pt idx="597">
                  <c:v>446.48</c:v>
                </c:pt>
                <c:pt idx="598">
                  <c:v>452.71</c:v>
                </c:pt>
                <c:pt idx="599">
                  <c:v>540.16</c:v>
                </c:pt>
                <c:pt idx="600">
                  <c:v>540.16</c:v>
                </c:pt>
                <c:pt idx="601">
                  <c:v>451.39</c:v>
                </c:pt>
                <c:pt idx="602">
                  <c:v>486.88</c:v>
                </c:pt>
                <c:pt idx="603">
                  <c:v>553.96</c:v>
                </c:pt>
                <c:pt idx="604">
                  <c:v>548.54999999999995</c:v>
                </c:pt>
                <c:pt idx="605">
                  <c:v>540.55999999999995</c:v>
                </c:pt>
                <c:pt idx="606">
                  <c:v>324.22000000000003</c:v>
                </c:pt>
                <c:pt idx="607">
                  <c:v>431.25</c:v>
                </c:pt>
                <c:pt idx="608">
                  <c:v>282.77</c:v>
                </c:pt>
                <c:pt idx="609">
                  <c:v>261.5</c:v>
                </c:pt>
                <c:pt idx="610">
                  <c:v>264.48</c:v>
                </c:pt>
                <c:pt idx="611">
                  <c:v>264.48</c:v>
                </c:pt>
                <c:pt idx="612">
                  <c:v>222.7</c:v>
                </c:pt>
                <c:pt idx="613">
                  <c:v>311.19</c:v>
                </c:pt>
                <c:pt idx="614">
                  <c:v>349.71</c:v>
                </c:pt>
                <c:pt idx="615">
                  <c:v>350.81</c:v>
                </c:pt>
                <c:pt idx="616">
                  <c:v>356.28</c:v>
                </c:pt>
                <c:pt idx="617">
                  <c:v>421.72</c:v>
                </c:pt>
                <c:pt idx="618">
                  <c:v>432.43</c:v>
                </c:pt>
                <c:pt idx="619">
                  <c:v>396.53</c:v>
                </c:pt>
                <c:pt idx="620">
                  <c:v>-16.14</c:v>
                </c:pt>
                <c:pt idx="621">
                  <c:v>161.53</c:v>
                </c:pt>
                <c:pt idx="622">
                  <c:v>161.53</c:v>
                </c:pt>
                <c:pt idx="623">
                  <c:v>129.65</c:v>
                </c:pt>
                <c:pt idx="624">
                  <c:v>108.72</c:v>
                </c:pt>
                <c:pt idx="625">
                  <c:v>166.69</c:v>
                </c:pt>
                <c:pt idx="626">
                  <c:v>196.52</c:v>
                </c:pt>
                <c:pt idx="627">
                  <c:v>235.72</c:v>
                </c:pt>
                <c:pt idx="628">
                  <c:v>141.65</c:v>
                </c:pt>
                <c:pt idx="629">
                  <c:v>120.37</c:v>
                </c:pt>
                <c:pt idx="630">
                  <c:v>137.09</c:v>
                </c:pt>
                <c:pt idx="631">
                  <c:v>102.64</c:v>
                </c:pt>
                <c:pt idx="632">
                  <c:v>80.150000000000006</c:v>
                </c:pt>
                <c:pt idx="633">
                  <c:v>80.150000000000006</c:v>
                </c:pt>
                <c:pt idx="634">
                  <c:v>-15.78</c:v>
                </c:pt>
                <c:pt idx="635">
                  <c:v>175.29</c:v>
                </c:pt>
                <c:pt idx="636">
                  <c:v>310.08</c:v>
                </c:pt>
                <c:pt idx="637">
                  <c:v>336.01</c:v>
                </c:pt>
                <c:pt idx="638">
                  <c:v>440.73</c:v>
                </c:pt>
                <c:pt idx="639">
                  <c:v>466.12</c:v>
                </c:pt>
                <c:pt idx="640">
                  <c:v>496.73</c:v>
                </c:pt>
                <c:pt idx="641">
                  <c:v>479.15</c:v>
                </c:pt>
                <c:pt idx="642">
                  <c:v>438.4</c:v>
                </c:pt>
                <c:pt idx="643">
                  <c:v>545.51</c:v>
                </c:pt>
                <c:pt idx="644">
                  <c:v>545.51</c:v>
                </c:pt>
                <c:pt idx="645">
                  <c:v>503.53</c:v>
                </c:pt>
                <c:pt idx="646">
                  <c:v>526.48</c:v>
                </c:pt>
                <c:pt idx="647">
                  <c:v>542.4</c:v>
                </c:pt>
                <c:pt idx="648">
                  <c:v>548.4</c:v>
                </c:pt>
                <c:pt idx="649">
                  <c:v>625.63</c:v>
                </c:pt>
                <c:pt idx="650">
                  <c:v>638.01</c:v>
                </c:pt>
                <c:pt idx="651">
                  <c:v>624.67999999999995</c:v>
                </c:pt>
                <c:pt idx="652">
                  <c:v>610.19000000000005</c:v>
                </c:pt>
                <c:pt idx="653">
                  <c:v>-17.3</c:v>
                </c:pt>
                <c:pt idx="654">
                  <c:v>196.13</c:v>
                </c:pt>
                <c:pt idx="655">
                  <c:v>196.13</c:v>
                </c:pt>
                <c:pt idx="656">
                  <c:v>227.57</c:v>
                </c:pt>
                <c:pt idx="657">
                  <c:v>261.88</c:v>
                </c:pt>
                <c:pt idx="658">
                  <c:v>337.76</c:v>
                </c:pt>
                <c:pt idx="659">
                  <c:v>307.89999999999998</c:v>
                </c:pt>
                <c:pt idx="660">
                  <c:v>331.57</c:v>
                </c:pt>
                <c:pt idx="661">
                  <c:v>372.2</c:v>
                </c:pt>
                <c:pt idx="662">
                  <c:v>415.38</c:v>
                </c:pt>
                <c:pt idx="663">
                  <c:v>258.13</c:v>
                </c:pt>
                <c:pt idx="664">
                  <c:v>243.7</c:v>
                </c:pt>
                <c:pt idx="665">
                  <c:v>228.45</c:v>
                </c:pt>
                <c:pt idx="666">
                  <c:v>228.45</c:v>
                </c:pt>
                <c:pt idx="667">
                  <c:v>304.29000000000002</c:v>
                </c:pt>
                <c:pt idx="668">
                  <c:v>329.22</c:v>
                </c:pt>
                <c:pt idx="669">
                  <c:v>350.26</c:v>
                </c:pt>
                <c:pt idx="670">
                  <c:v>419.46</c:v>
                </c:pt>
                <c:pt idx="671">
                  <c:v>389.05</c:v>
                </c:pt>
                <c:pt idx="672">
                  <c:v>465.72</c:v>
                </c:pt>
                <c:pt idx="673">
                  <c:v>436.2</c:v>
                </c:pt>
                <c:pt idx="674">
                  <c:v>407.24</c:v>
                </c:pt>
                <c:pt idx="675">
                  <c:v>473.51</c:v>
                </c:pt>
                <c:pt idx="676">
                  <c:v>63.42</c:v>
                </c:pt>
                <c:pt idx="677">
                  <c:v>63.42</c:v>
                </c:pt>
                <c:pt idx="678">
                  <c:v>64.19</c:v>
                </c:pt>
                <c:pt idx="679">
                  <c:v>480.01</c:v>
                </c:pt>
                <c:pt idx="680">
                  <c:v>14.63</c:v>
                </c:pt>
                <c:pt idx="681">
                  <c:v>73.45</c:v>
                </c:pt>
                <c:pt idx="682">
                  <c:v>87.28</c:v>
                </c:pt>
                <c:pt idx="683">
                  <c:v>67.510000000000005</c:v>
                </c:pt>
                <c:pt idx="684">
                  <c:v>542.46</c:v>
                </c:pt>
                <c:pt idx="685">
                  <c:v>534.09</c:v>
                </c:pt>
                <c:pt idx="686">
                  <c:v>581.4</c:v>
                </c:pt>
                <c:pt idx="687">
                  <c:v>609.22</c:v>
                </c:pt>
                <c:pt idx="688">
                  <c:v>401.2</c:v>
                </c:pt>
                <c:pt idx="689">
                  <c:v>401.2</c:v>
                </c:pt>
                <c:pt idx="690">
                  <c:v>423.07</c:v>
                </c:pt>
                <c:pt idx="691">
                  <c:v>442.4</c:v>
                </c:pt>
                <c:pt idx="692">
                  <c:v>506.38</c:v>
                </c:pt>
                <c:pt idx="693">
                  <c:v>498.55</c:v>
                </c:pt>
                <c:pt idx="694">
                  <c:v>505.29</c:v>
                </c:pt>
                <c:pt idx="695">
                  <c:v>615.05999999999995</c:v>
                </c:pt>
                <c:pt idx="696">
                  <c:v>565.61</c:v>
                </c:pt>
                <c:pt idx="697">
                  <c:v>361.95</c:v>
                </c:pt>
                <c:pt idx="698">
                  <c:v>334.38</c:v>
                </c:pt>
                <c:pt idx="699">
                  <c:v>314.64999999999998</c:v>
                </c:pt>
                <c:pt idx="700">
                  <c:v>314.64999999999998</c:v>
                </c:pt>
                <c:pt idx="701">
                  <c:v>386.04</c:v>
                </c:pt>
                <c:pt idx="702">
                  <c:v>419.08</c:v>
                </c:pt>
                <c:pt idx="703">
                  <c:v>462.93</c:v>
                </c:pt>
                <c:pt idx="704">
                  <c:v>436.38</c:v>
                </c:pt>
                <c:pt idx="705">
                  <c:v>41.59</c:v>
                </c:pt>
                <c:pt idx="706">
                  <c:v>39.729999999999997</c:v>
                </c:pt>
                <c:pt idx="707">
                  <c:v>43.85</c:v>
                </c:pt>
              </c:numCache>
              <c:extLst xmlns:c15="http://schemas.microsoft.com/office/drawing/2012/chart"/>
            </c:numRef>
          </c:yVal>
          <c:smooth val="0"/>
          <c:extLst xmlns:c15="http://schemas.microsoft.com/office/drawing/2012/chart">
            <c:ext xmlns:c15="http://schemas.microsoft.com/office/drawing/2012/chart" uri="{02D57815-91ED-43cb-92C2-25804820EDAC}">
              <c15:datalabelsRange>
                <c15:f>FCS!$AN$11:$AN$825</c15:f>
                <c15:dlblRangeCache>
                  <c:ptCount val="815"/>
                  <c:pt idx="77">
                    <c:v>-</c:v>
                  </c:pt>
                  <c:pt idx="116">
                    <c:v>-</c:v>
                  </c:pt>
                  <c:pt idx="127">
                    <c:v>-</c:v>
                  </c:pt>
                  <c:pt idx="175">
                    <c:v>-</c:v>
                  </c:pt>
                  <c:pt idx="210">
                    <c:v>-</c:v>
                  </c:pt>
                  <c:pt idx="244">
                    <c:v>-</c:v>
                  </c:pt>
                  <c:pt idx="262">
                    <c:v>-</c:v>
                  </c:pt>
                  <c:pt idx="318">
                    <c:v>-</c:v>
                  </c:pt>
                  <c:pt idx="353">
                    <c:v>-</c:v>
                  </c:pt>
                  <c:pt idx="367">
                    <c:v>-</c:v>
                  </c:pt>
                  <c:pt idx="372">
                    <c:v>-</c:v>
                  </c:pt>
                  <c:pt idx="415">
                    <c:v>-</c:v>
                  </c:pt>
                  <c:pt idx="456">
                    <c:v>-</c:v>
                  </c:pt>
                  <c:pt idx="500">
                    <c:v>-</c:v>
                  </c:pt>
                  <c:pt idx="558">
                    <c:v>-</c:v>
                  </c:pt>
                  <c:pt idx="590">
                    <c:v>-</c:v>
                  </c:pt>
                  <c:pt idx="679">
                    <c:v>-</c:v>
                  </c:pt>
                </c15:dlblRangeCache>
              </c15:datalabelsRange>
            </c:ext>
            <c:ext xmlns:c16="http://schemas.microsoft.com/office/drawing/2014/chart" uri="{C3380CC4-5D6E-409C-BE32-E72D297353CC}">
              <c16:uniqueId val="{00000002-4F3C-47F5-BB9E-FED5FA569E47}"/>
            </c:ext>
          </c:extLst>
        </c:ser>
        <c:ser>
          <c:idx val="3"/>
          <c:order val="4"/>
          <c:tx>
            <c:v>Conos APRO</c:v>
          </c:tx>
          <c:spPr>
            <a:ln w="19050" cap="rnd">
              <a:noFill/>
              <a:round/>
            </a:ln>
            <a:effectLst/>
          </c:spPr>
          <c:marker>
            <c:symbol val="none"/>
          </c:marker>
          <c:dLbls>
            <c:dLbl>
              <c:idx val="0"/>
              <c:tx>
                <c:rich>
                  <a:bodyPr/>
                  <a:lstStyle/>
                  <a:p>
                    <a:fld id="{C3EA1FE5-6EE2-4EB2-9038-643C3AF74E4B}"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A1-4F3C-47F5-BB9E-FED5FA569E47}"/>
                </c:ext>
              </c:extLst>
            </c:dLbl>
            <c:dLbl>
              <c:idx val="1"/>
              <c:tx>
                <c:rich>
                  <a:bodyPr/>
                  <a:lstStyle/>
                  <a:p>
                    <a:fld id="{FA82577F-58B8-400F-B67C-DAE018DFCDF8}" type="CELLRANGE">
                      <a:rPr lang="es-PE"/>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A2-4F3C-47F5-BB9E-FED5FA569E47}"/>
                </c:ext>
              </c:extLst>
            </c:dLbl>
            <c:dLbl>
              <c:idx val="2"/>
              <c:tx>
                <c:rich>
                  <a:bodyPr/>
                  <a:lstStyle/>
                  <a:p>
                    <a:fld id="{E37E2722-7370-46B9-B1B8-00D473C78E60}"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3-4F3C-47F5-BB9E-FED5FA569E47}"/>
                </c:ext>
              </c:extLst>
            </c:dLbl>
            <c:dLbl>
              <c:idx val="3"/>
              <c:tx>
                <c:rich>
                  <a:bodyPr/>
                  <a:lstStyle/>
                  <a:p>
                    <a:fld id="{DCC5C797-52E1-470C-BE48-50F5872A654A}"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4-4F3C-47F5-BB9E-FED5FA569E47}"/>
                </c:ext>
              </c:extLst>
            </c:dLbl>
            <c:dLbl>
              <c:idx val="4"/>
              <c:tx>
                <c:rich>
                  <a:bodyPr/>
                  <a:lstStyle/>
                  <a:p>
                    <a:fld id="{CA96EAF3-EE17-4ADE-AAA1-FB514569E4D1}"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5-4F3C-47F5-BB9E-FED5FA569E47}"/>
                </c:ext>
              </c:extLst>
            </c:dLbl>
            <c:dLbl>
              <c:idx val="5"/>
              <c:tx>
                <c:rich>
                  <a:bodyPr/>
                  <a:lstStyle/>
                  <a:p>
                    <a:fld id="{1D461FC7-0E0B-4A39-9587-3730722E47E2}"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6-4F3C-47F5-BB9E-FED5FA569E47}"/>
                </c:ext>
              </c:extLst>
            </c:dLbl>
            <c:dLbl>
              <c:idx val="6"/>
              <c:tx>
                <c:rich>
                  <a:bodyPr/>
                  <a:lstStyle/>
                  <a:p>
                    <a:fld id="{AA6EE41A-6161-44F2-BA38-86659606BD8A}"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7-4F3C-47F5-BB9E-FED5FA569E47}"/>
                </c:ext>
              </c:extLst>
            </c:dLbl>
            <c:dLbl>
              <c:idx val="7"/>
              <c:tx>
                <c:rich>
                  <a:bodyPr/>
                  <a:lstStyle/>
                  <a:p>
                    <a:fld id="{51839E46-E6AE-4BE3-A706-343DE82F5168}"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8-4F3C-47F5-BB9E-FED5FA569E47}"/>
                </c:ext>
              </c:extLst>
            </c:dLbl>
            <c:dLbl>
              <c:idx val="8"/>
              <c:tx>
                <c:rich>
                  <a:bodyPr/>
                  <a:lstStyle/>
                  <a:p>
                    <a:fld id="{0D8E025A-218B-440F-943D-7FF7BB572420}"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9-4F3C-47F5-BB9E-FED5FA569E47}"/>
                </c:ext>
              </c:extLst>
            </c:dLbl>
            <c:dLbl>
              <c:idx val="9"/>
              <c:tx>
                <c:rich>
                  <a:bodyPr/>
                  <a:lstStyle/>
                  <a:p>
                    <a:fld id="{9E07277B-1783-4AC9-949C-08802E4CB292}"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A-4F3C-47F5-BB9E-FED5FA569E47}"/>
                </c:ext>
              </c:extLst>
            </c:dLbl>
            <c:dLbl>
              <c:idx val="10"/>
              <c:tx>
                <c:rich>
                  <a:bodyPr/>
                  <a:lstStyle/>
                  <a:p>
                    <a:fld id="{C4619872-9061-4AE4-9034-269E866265F0}"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B-4F3C-47F5-BB9E-FED5FA569E47}"/>
                </c:ext>
              </c:extLst>
            </c:dLbl>
            <c:dLbl>
              <c:idx val="11"/>
              <c:tx>
                <c:rich>
                  <a:bodyPr/>
                  <a:lstStyle/>
                  <a:p>
                    <a:fld id="{6D5D9C11-F2E5-425E-A191-E66AAD30DEAD}"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C-4F3C-47F5-BB9E-FED5FA569E47}"/>
                </c:ext>
              </c:extLst>
            </c:dLbl>
            <c:dLbl>
              <c:idx val="12"/>
              <c:tx>
                <c:rich>
                  <a:bodyPr/>
                  <a:lstStyle/>
                  <a:p>
                    <a:fld id="{66D00BC7-F8B8-4898-A45C-778071C3FFE0}"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D-4F3C-47F5-BB9E-FED5FA569E47}"/>
                </c:ext>
              </c:extLst>
            </c:dLbl>
            <c:dLbl>
              <c:idx val="13"/>
              <c:tx>
                <c:rich>
                  <a:bodyPr/>
                  <a:lstStyle/>
                  <a:p>
                    <a:fld id="{906985BC-F65E-41B5-9D81-4B7EC93FBA73}"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E-4F3C-47F5-BB9E-FED5FA569E47}"/>
                </c:ext>
              </c:extLst>
            </c:dLbl>
            <c:dLbl>
              <c:idx val="14"/>
              <c:tx>
                <c:rich>
                  <a:bodyPr/>
                  <a:lstStyle/>
                  <a:p>
                    <a:fld id="{08650018-3A9F-4B2A-947D-CDF617282180}"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F-4F3C-47F5-BB9E-FED5FA569E47}"/>
                </c:ext>
              </c:extLst>
            </c:dLbl>
            <c:dLbl>
              <c:idx val="15"/>
              <c:tx>
                <c:rich>
                  <a:bodyPr/>
                  <a:lstStyle/>
                  <a:p>
                    <a:fld id="{392143C9-E767-4A4F-B450-FBD615180522}"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0-4F3C-47F5-BB9E-FED5FA569E47}"/>
                </c:ext>
              </c:extLst>
            </c:dLbl>
            <c:dLbl>
              <c:idx val="16"/>
              <c:tx>
                <c:rich>
                  <a:bodyPr/>
                  <a:lstStyle/>
                  <a:p>
                    <a:fld id="{9E6B81E9-F29E-4F57-AF02-D6471546897A}"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1-4F3C-47F5-BB9E-FED5FA569E47}"/>
                </c:ext>
              </c:extLst>
            </c:dLbl>
            <c:dLbl>
              <c:idx val="17"/>
              <c:tx>
                <c:rich>
                  <a:bodyPr/>
                  <a:lstStyle/>
                  <a:p>
                    <a:fld id="{9F9972C4-8A20-4486-8F45-DE4E343A3823}"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2-4F3C-47F5-BB9E-FED5FA569E47}"/>
                </c:ext>
              </c:extLst>
            </c:dLbl>
            <c:dLbl>
              <c:idx val="18"/>
              <c:tx>
                <c:rich>
                  <a:bodyPr/>
                  <a:lstStyle/>
                  <a:p>
                    <a:fld id="{096571E4-9B87-4D13-9835-A81558354B47}"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3-4F3C-47F5-BB9E-FED5FA569E47}"/>
                </c:ext>
              </c:extLst>
            </c:dLbl>
            <c:dLbl>
              <c:idx val="19"/>
              <c:tx>
                <c:rich>
                  <a:bodyPr/>
                  <a:lstStyle/>
                  <a:p>
                    <a:fld id="{07666471-2173-489B-BA3F-0BDD44958F50}"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4-4F3C-47F5-BB9E-FED5FA569E47}"/>
                </c:ext>
              </c:extLst>
            </c:dLbl>
            <c:dLbl>
              <c:idx val="20"/>
              <c:tx>
                <c:rich>
                  <a:bodyPr/>
                  <a:lstStyle/>
                  <a:p>
                    <a:fld id="{5D5F4859-C6DD-4CC1-8CEA-8E7E535C1B82}"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5-4F3C-47F5-BB9E-FED5FA569E47}"/>
                </c:ext>
              </c:extLst>
            </c:dLbl>
            <c:dLbl>
              <c:idx val="21"/>
              <c:tx>
                <c:rich>
                  <a:bodyPr/>
                  <a:lstStyle/>
                  <a:p>
                    <a:fld id="{E1BE7F5A-DDA9-4298-B6B8-726EA90C64A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6-4F3C-47F5-BB9E-FED5FA569E47}"/>
                </c:ext>
              </c:extLst>
            </c:dLbl>
            <c:dLbl>
              <c:idx val="22"/>
              <c:tx>
                <c:rich>
                  <a:bodyPr/>
                  <a:lstStyle/>
                  <a:p>
                    <a:fld id="{BE58A6D7-9F5A-40DB-9466-8697659E693C}"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7-4F3C-47F5-BB9E-FED5FA569E47}"/>
                </c:ext>
              </c:extLst>
            </c:dLbl>
            <c:dLbl>
              <c:idx val="23"/>
              <c:tx>
                <c:rich>
                  <a:bodyPr/>
                  <a:lstStyle/>
                  <a:p>
                    <a:fld id="{35F09320-4EDF-4EE8-979F-09E75C2813AE}"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8-4F3C-47F5-BB9E-FED5FA569E47}"/>
                </c:ext>
              </c:extLst>
            </c:dLbl>
            <c:dLbl>
              <c:idx val="24"/>
              <c:tx>
                <c:rich>
                  <a:bodyPr/>
                  <a:lstStyle/>
                  <a:p>
                    <a:fld id="{BED6FF74-9216-4F30-B740-C11F92DA2233}"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9-4F3C-47F5-BB9E-FED5FA569E47}"/>
                </c:ext>
              </c:extLst>
            </c:dLbl>
            <c:dLbl>
              <c:idx val="25"/>
              <c:tx>
                <c:rich>
                  <a:bodyPr/>
                  <a:lstStyle/>
                  <a:p>
                    <a:fld id="{DDF42ACD-081D-49FE-97F8-69D2E186F0C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A-4F3C-47F5-BB9E-FED5FA569E47}"/>
                </c:ext>
              </c:extLst>
            </c:dLbl>
            <c:dLbl>
              <c:idx val="26"/>
              <c:tx>
                <c:rich>
                  <a:bodyPr/>
                  <a:lstStyle/>
                  <a:p>
                    <a:fld id="{627799E3-2CE6-4724-8A93-0D17802E2E37}"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B-4F3C-47F5-BB9E-FED5FA569E47}"/>
                </c:ext>
              </c:extLst>
            </c:dLbl>
            <c:dLbl>
              <c:idx val="27"/>
              <c:tx>
                <c:rich>
                  <a:bodyPr/>
                  <a:lstStyle/>
                  <a:p>
                    <a:fld id="{1BF1AC30-8D01-4C04-BC5E-E89D618D1D0B}"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C-4F3C-47F5-BB9E-FED5FA569E47}"/>
                </c:ext>
              </c:extLst>
            </c:dLbl>
            <c:dLbl>
              <c:idx val="28"/>
              <c:tx>
                <c:rich>
                  <a:bodyPr/>
                  <a:lstStyle/>
                  <a:p>
                    <a:fld id="{C44E8FE7-DD1C-41E1-AE88-8DE5AD9CC2D9}"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D-4F3C-47F5-BB9E-FED5FA569E47}"/>
                </c:ext>
              </c:extLst>
            </c:dLbl>
            <c:dLbl>
              <c:idx val="29"/>
              <c:tx>
                <c:rich>
                  <a:bodyPr/>
                  <a:lstStyle/>
                  <a:p>
                    <a:fld id="{8C211F02-1F2A-415D-AD76-47F07BE3964A}"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E-4F3C-47F5-BB9E-FED5FA569E47}"/>
                </c:ext>
              </c:extLst>
            </c:dLbl>
            <c:dLbl>
              <c:idx val="30"/>
              <c:tx>
                <c:rich>
                  <a:bodyPr/>
                  <a:lstStyle/>
                  <a:p>
                    <a:fld id="{8DAFB7D8-F416-4148-9F03-6F7CA758661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F-4F3C-47F5-BB9E-FED5FA569E47}"/>
                </c:ext>
              </c:extLst>
            </c:dLbl>
            <c:dLbl>
              <c:idx val="31"/>
              <c:tx>
                <c:rich>
                  <a:bodyPr/>
                  <a:lstStyle/>
                  <a:p>
                    <a:fld id="{9ACF8BDA-8955-4EAA-9A93-EEEB6620C2FC}"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0-4F3C-47F5-BB9E-FED5FA569E47}"/>
                </c:ext>
              </c:extLst>
            </c:dLbl>
            <c:dLbl>
              <c:idx val="32"/>
              <c:tx>
                <c:rich>
                  <a:bodyPr/>
                  <a:lstStyle/>
                  <a:p>
                    <a:fld id="{683F3652-60D8-49FE-AF02-211BD3D6DB7E}"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1-4F3C-47F5-BB9E-FED5FA569E47}"/>
                </c:ext>
              </c:extLst>
            </c:dLbl>
            <c:dLbl>
              <c:idx val="33"/>
              <c:tx>
                <c:rich>
                  <a:bodyPr/>
                  <a:lstStyle/>
                  <a:p>
                    <a:fld id="{6EB7EF84-2782-4C46-84D1-ABA267328E6F}"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2-4F3C-47F5-BB9E-FED5FA569E47}"/>
                </c:ext>
              </c:extLst>
            </c:dLbl>
            <c:dLbl>
              <c:idx val="34"/>
              <c:tx>
                <c:rich>
                  <a:bodyPr/>
                  <a:lstStyle/>
                  <a:p>
                    <a:fld id="{99E2F38E-5056-4204-BCBB-08A2F9F3A80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3-4F3C-47F5-BB9E-FED5FA569E47}"/>
                </c:ext>
              </c:extLst>
            </c:dLbl>
            <c:dLbl>
              <c:idx val="35"/>
              <c:tx>
                <c:rich>
                  <a:bodyPr/>
                  <a:lstStyle/>
                  <a:p>
                    <a:fld id="{E64F4562-2BEB-4133-87DF-38B0620D91AC}"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4-4F3C-47F5-BB9E-FED5FA569E47}"/>
                </c:ext>
              </c:extLst>
            </c:dLbl>
            <c:dLbl>
              <c:idx val="36"/>
              <c:tx>
                <c:rich>
                  <a:bodyPr/>
                  <a:lstStyle/>
                  <a:p>
                    <a:fld id="{8E362549-1E84-4408-8912-696B46D44557}"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5-4F3C-47F5-BB9E-FED5FA569E47}"/>
                </c:ext>
              </c:extLst>
            </c:dLbl>
            <c:dLbl>
              <c:idx val="37"/>
              <c:tx>
                <c:rich>
                  <a:bodyPr/>
                  <a:lstStyle/>
                  <a:p>
                    <a:fld id="{41294B80-F6DD-491D-B192-E1AD046A375A}"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6-4F3C-47F5-BB9E-FED5FA569E47}"/>
                </c:ext>
              </c:extLst>
            </c:dLbl>
            <c:dLbl>
              <c:idx val="38"/>
              <c:tx>
                <c:rich>
                  <a:bodyPr/>
                  <a:lstStyle/>
                  <a:p>
                    <a:fld id="{3F2F222E-AE05-479C-8374-13E2857F5761}"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7-4F3C-47F5-BB9E-FED5FA569E47}"/>
                </c:ext>
              </c:extLst>
            </c:dLbl>
            <c:dLbl>
              <c:idx val="39"/>
              <c:tx>
                <c:rich>
                  <a:bodyPr/>
                  <a:lstStyle/>
                  <a:p>
                    <a:fld id="{2136AA1C-A860-418D-AA23-8A8134E3264F}"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8-4F3C-47F5-BB9E-FED5FA569E47}"/>
                </c:ext>
              </c:extLst>
            </c:dLbl>
            <c:dLbl>
              <c:idx val="40"/>
              <c:tx>
                <c:rich>
                  <a:bodyPr/>
                  <a:lstStyle/>
                  <a:p>
                    <a:fld id="{FB703B06-A7E7-4EF5-BE65-3F8E82DC3A26}"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9-4F3C-47F5-BB9E-FED5FA569E47}"/>
                </c:ext>
              </c:extLst>
            </c:dLbl>
            <c:dLbl>
              <c:idx val="41"/>
              <c:tx>
                <c:rich>
                  <a:bodyPr/>
                  <a:lstStyle/>
                  <a:p>
                    <a:fld id="{C0630744-6E4F-4670-84FD-800236D848CC}"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A-4F3C-47F5-BB9E-FED5FA569E47}"/>
                </c:ext>
              </c:extLst>
            </c:dLbl>
            <c:dLbl>
              <c:idx val="42"/>
              <c:tx>
                <c:rich>
                  <a:bodyPr/>
                  <a:lstStyle/>
                  <a:p>
                    <a:fld id="{443FB125-EA78-4087-B0D4-405FD36C8721}"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B-4F3C-47F5-BB9E-FED5FA569E47}"/>
                </c:ext>
              </c:extLst>
            </c:dLbl>
            <c:dLbl>
              <c:idx val="43"/>
              <c:tx>
                <c:rich>
                  <a:bodyPr/>
                  <a:lstStyle/>
                  <a:p>
                    <a:fld id="{1C732035-F395-4029-B89C-9CC17DBF26D9}"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C-4F3C-47F5-BB9E-FED5FA569E47}"/>
                </c:ext>
              </c:extLst>
            </c:dLbl>
            <c:dLbl>
              <c:idx val="44"/>
              <c:tx>
                <c:rich>
                  <a:bodyPr/>
                  <a:lstStyle/>
                  <a:p>
                    <a:fld id="{EBE743F5-664E-4A03-86E0-C540F039BF63}"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D-4F3C-47F5-BB9E-FED5FA569E47}"/>
                </c:ext>
              </c:extLst>
            </c:dLbl>
            <c:dLbl>
              <c:idx val="45"/>
              <c:tx>
                <c:rich>
                  <a:bodyPr/>
                  <a:lstStyle/>
                  <a:p>
                    <a:fld id="{A3054126-33E4-45C4-B045-1091B9632EE2}"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E-4F3C-47F5-BB9E-FED5FA569E47}"/>
                </c:ext>
              </c:extLst>
            </c:dLbl>
            <c:dLbl>
              <c:idx val="46"/>
              <c:tx>
                <c:rich>
                  <a:bodyPr/>
                  <a:lstStyle/>
                  <a:p>
                    <a:fld id="{676646FF-3FE7-451A-9D26-1F44C09F7823}"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F-4F3C-47F5-BB9E-FED5FA569E47}"/>
                </c:ext>
              </c:extLst>
            </c:dLbl>
            <c:dLbl>
              <c:idx val="47"/>
              <c:tx>
                <c:rich>
                  <a:bodyPr/>
                  <a:lstStyle/>
                  <a:p>
                    <a:fld id="{07DA8C42-0230-458F-82A5-9D2C16088AD8}"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D0-4F3C-47F5-BB9E-FED5FA569E47}"/>
                </c:ext>
              </c:extLst>
            </c:dLbl>
            <c:dLbl>
              <c:idx val="48"/>
              <c:tx>
                <c:rich>
                  <a:bodyPr/>
                  <a:lstStyle/>
                  <a:p>
                    <a:fld id="{EF665E5D-CDA0-4FCF-BCED-64A04DF7888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D1-4F3C-47F5-BB9E-FED5FA569E47}"/>
                </c:ext>
              </c:extLst>
            </c:dLbl>
            <c:dLbl>
              <c:idx val="49"/>
              <c:tx>
                <c:rich>
                  <a:bodyPr/>
                  <a:lstStyle/>
                  <a:p>
                    <a:fld id="{28EBB55F-E70F-47FB-8513-F5BAEE58F50E}"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D2-4F3C-47F5-BB9E-FED5FA569E47}"/>
                </c:ext>
              </c:extLst>
            </c:dLbl>
            <c:dLbl>
              <c:idx val="50"/>
              <c:tx>
                <c:rich>
                  <a:bodyPr/>
                  <a:lstStyle/>
                  <a:p>
                    <a:fld id="{685EE0AC-43E9-46C3-9CCE-6E6DE27AF428}"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D3-4F3C-47F5-BB9E-FED5FA569E47}"/>
                </c:ext>
              </c:extLst>
            </c:dLbl>
            <c:dLbl>
              <c:idx val="51"/>
              <c:tx>
                <c:rich>
                  <a:bodyPr/>
                  <a:lstStyle/>
                  <a:p>
                    <a:fld id="{117CE6DB-AAE2-4B41-A2B3-5F5EB152C03B}"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D4-4F3C-47F5-BB9E-FED5FA569E47}"/>
                </c:ext>
              </c:extLst>
            </c:dLbl>
            <c:dLbl>
              <c:idx val="52"/>
              <c:tx>
                <c:rich>
                  <a:bodyPr/>
                  <a:lstStyle/>
                  <a:p>
                    <a:fld id="{7CF7D398-4925-4635-8BF0-C32D7739D056}"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D5-4F3C-47F5-BB9E-FED5FA569E47}"/>
                </c:ext>
              </c:extLst>
            </c:dLbl>
            <c:dLbl>
              <c:idx val="53"/>
              <c:tx>
                <c:rich>
                  <a:bodyPr/>
                  <a:lstStyle/>
                  <a:p>
                    <a:fld id="{D4BE20CC-B886-42BD-AF8F-C7F046F6903F}"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D6-4F3C-47F5-BB9E-FED5FA569E47}"/>
                </c:ext>
              </c:extLst>
            </c:dLbl>
            <c:dLbl>
              <c:idx val="54"/>
              <c:tx>
                <c:rich>
                  <a:bodyPr/>
                  <a:lstStyle/>
                  <a:p>
                    <a:fld id="{0396276C-CBDF-4895-A38C-30666A493CE0}"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D7-4F3C-47F5-BB9E-FED5FA569E47}"/>
                </c:ext>
              </c:extLst>
            </c:dLbl>
            <c:dLbl>
              <c:idx val="55"/>
              <c:tx>
                <c:rich>
                  <a:bodyPr/>
                  <a:lstStyle/>
                  <a:p>
                    <a:fld id="{3AB90D36-C72D-45AC-8F96-4043F9A0116A}"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D8-4F3C-47F5-BB9E-FED5FA569E47}"/>
                </c:ext>
              </c:extLst>
            </c:dLbl>
            <c:dLbl>
              <c:idx val="56"/>
              <c:tx>
                <c:rich>
                  <a:bodyPr/>
                  <a:lstStyle/>
                  <a:p>
                    <a:fld id="{B95FC2C8-4493-4666-9EC2-A5D9460B97A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D9-4F3C-47F5-BB9E-FED5FA569E47}"/>
                </c:ext>
              </c:extLst>
            </c:dLbl>
            <c:dLbl>
              <c:idx val="57"/>
              <c:tx>
                <c:rich>
                  <a:bodyPr/>
                  <a:lstStyle/>
                  <a:p>
                    <a:fld id="{A8E935A4-DBD2-42A1-863C-7A7A86D3A195}"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DA-4F3C-47F5-BB9E-FED5FA569E47}"/>
                </c:ext>
              </c:extLst>
            </c:dLbl>
            <c:dLbl>
              <c:idx val="58"/>
              <c:tx>
                <c:rich>
                  <a:bodyPr/>
                  <a:lstStyle/>
                  <a:p>
                    <a:fld id="{C31CD036-350E-42DE-9F7F-A0B30391C398}"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DB-4F3C-47F5-BB9E-FED5FA569E47}"/>
                </c:ext>
              </c:extLst>
            </c:dLbl>
            <c:dLbl>
              <c:idx val="59"/>
              <c:tx>
                <c:rich>
                  <a:bodyPr/>
                  <a:lstStyle/>
                  <a:p>
                    <a:fld id="{E146FF8E-D4E9-47DC-9D08-ED66DC1D0A9D}"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DC-4F3C-47F5-BB9E-FED5FA569E47}"/>
                </c:ext>
              </c:extLst>
            </c:dLbl>
            <c:dLbl>
              <c:idx val="60"/>
              <c:tx>
                <c:rich>
                  <a:bodyPr/>
                  <a:lstStyle/>
                  <a:p>
                    <a:fld id="{6C43E8B1-0749-4B36-8A4F-13AABD1BB10B}"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DD-4F3C-47F5-BB9E-FED5FA569E47}"/>
                </c:ext>
              </c:extLst>
            </c:dLbl>
            <c:dLbl>
              <c:idx val="61"/>
              <c:tx>
                <c:rich>
                  <a:bodyPr/>
                  <a:lstStyle/>
                  <a:p>
                    <a:fld id="{9ED05A92-31AF-43CC-8543-D4FA168F3E8C}"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DE-4F3C-47F5-BB9E-FED5FA569E47}"/>
                </c:ext>
              </c:extLst>
            </c:dLbl>
            <c:dLbl>
              <c:idx val="62"/>
              <c:tx>
                <c:rich>
                  <a:bodyPr/>
                  <a:lstStyle/>
                  <a:p>
                    <a:fld id="{5519A089-9D65-4DFE-BA8F-E8FEEAF850DF}"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DF-4F3C-47F5-BB9E-FED5FA569E47}"/>
                </c:ext>
              </c:extLst>
            </c:dLbl>
            <c:dLbl>
              <c:idx val="63"/>
              <c:tx>
                <c:rich>
                  <a:bodyPr/>
                  <a:lstStyle/>
                  <a:p>
                    <a:fld id="{386590E4-AED1-4ECB-9BE4-E2821F1004B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E0-4F3C-47F5-BB9E-FED5FA569E47}"/>
                </c:ext>
              </c:extLst>
            </c:dLbl>
            <c:dLbl>
              <c:idx val="64"/>
              <c:tx>
                <c:rich>
                  <a:bodyPr/>
                  <a:lstStyle/>
                  <a:p>
                    <a:fld id="{DD100830-3457-4822-AF0B-53BCE0F11D36}"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E1-4F3C-47F5-BB9E-FED5FA569E47}"/>
                </c:ext>
              </c:extLst>
            </c:dLbl>
            <c:dLbl>
              <c:idx val="65"/>
              <c:tx>
                <c:rich>
                  <a:bodyPr/>
                  <a:lstStyle/>
                  <a:p>
                    <a:fld id="{E0BA8C7F-37B9-4752-86C0-06F65BDCE543}"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E2-4F3C-47F5-BB9E-FED5FA569E47}"/>
                </c:ext>
              </c:extLst>
            </c:dLbl>
            <c:dLbl>
              <c:idx val="66"/>
              <c:tx>
                <c:rich>
                  <a:bodyPr/>
                  <a:lstStyle/>
                  <a:p>
                    <a:fld id="{66072FC2-DB51-4F47-B9C5-F048A8738A1D}"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E3-4F3C-47F5-BB9E-FED5FA569E47}"/>
                </c:ext>
              </c:extLst>
            </c:dLbl>
            <c:dLbl>
              <c:idx val="67"/>
              <c:tx>
                <c:rich>
                  <a:bodyPr/>
                  <a:lstStyle/>
                  <a:p>
                    <a:fld id="{19AA805C-46F8-4B2C-A6AF-62485BF2A8F2}"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E4-4F3C-47F5-BB9E-FED5FA569E47}"/>
                </c:ext>
              </c:extLst>
            </c:dLbl>
            <c:dLbl>
              <c:idx val="68"/>
              <c:tx>
                <c:rich>
                  <a:bodyPr/>
                  <a:lstStyle/>
                  <a:p>
                    <a:fld id="{29353FE0-E4DA-4F3A-ADE9-A04EF499EBD3}"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E5-4F3C-47F5-BB9E-FED5FA569E47}"/>
                </c:ext>
              </c:extLst>
            </c:dLbl>
            <c:dLbl>
              <c:idx val="69"/>
              <c:tx>
                <c:rich>
                  <a:bodyPr/>
                  <a:lstStyle/>
                  <a:p>
                    <a:fld id="{9185A42D-4DDE-46B9-9F78-B6C3A7B2F8AE}"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E6-4F3C-47F5-BB9E-FED5FA569E47}"/>
                </c:ext>
              </c:extLst>
            </c:dLbl>
            <c:dLbl>
              <c:idx val="70"/>
              <c:tx>
                <c:rich>
                  <a:bodyPr/>
                  <a:lstStyle/>
                  <a:p>
                    <a:fld id="{6FD55DB4-D9C3-43A2-8FC4-AE95E2A59F0B}"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E7-4F3C-47F5-BB9E-FED5FA569E47}"/>
                </c:ext>
              </c:extLst>
            </c:dLbl>
            <c:dLbl>
              <c:idx val="71"/>
              <c:tx>
                <c:rich>
                  <a:bodyPr/>
                  <a:lstStyle/>
                  <a:p>
                    <a:fld id="{06067FE0-45D6-4306-9FBD-1631A26343BD}"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E8-4F3C-47F5-BB9E-FED5FA569E47}"/>
                </c:ext>
              </c:extLst>
            </c:dLbl>
            <c:dLbl>
              <c:idx val="72"/>
              <c:tx>
                <c:rich>
                  <a:bodyPr/>
                  <a:lstStyle/>
                  <a:p>
                    <a:fld id="{E728D11B-B0C6-4489-AA33-3BD2394A299D}"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E9-4F3C-47F5-BB9E-FED5FA569E47}"/>
                </c:ext>
              </c:extLst>
            </c:dLbl>
            <c:dLbl>
              <c:idx val="73"/>
              <c:tx>
                <c:rich>
                  <a:bodyPr/>
                  <a:lstStyle/>
                  <a:p>
                    <a:fld id="{59947B2A-3E75-4D74-96F3-8554642407B6}"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EA-4F3C-47F5-BB9E-FED5FA569E47}"/>
                </c:ext>
              </c:extLst>
            </c:dLbl>
            <c:dLbl>
              <c:idx val="74"/>
              <c:tx>
                <c:rich>
                  <a:bodyPr/>
                  <a:lstStyle/>
                  <a:p>
                    <a:fld id="{9506B6B8-72DE-4DC7-ABC6-36FFB82089FA}"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EB-4F3C-47F5-BB9E-FED5FA569E47}"/>
                </c:ext>
              </c:extLst>
            </c:dLbl>
            <c:dLbl>
              <c:idx val="75"/>
              <c:tx>
                <c:rich>
                  <a:bodyPr/>
                  <a:lstStyle/>
                  <a:p>
                    <a:fld id="{41C9E1B9-8013-4551-9E12-4F5AF80A7AD8}"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EC-4F3C-47F5-BB9E-FED5FA569E47}"/>
                </c:ext>
              </c:extLst>
            </c:dLbl>
            <c:dLbl>
              <c:idx val="76"/>
              <c:tx>
                <c:rich>
                  <a:bodyPr/>
                  <a:lstStyle/>
                  <a:p>
                    <a:fld id="{4142B3F8-A4AC-4244-8DEB-D75328906CA6}"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ED-4F3C-47F5-BB9E-FED5FA569E47}"/>
                </c:ext>
              </c:extLst>
            </c:dLbl>
            <c:dLbl>
              <c:idx val="77"/>
              <c:tx>
                <c:rich>
                  <a:bodyPr/>
                  <a:lstStyle/>
                  <a:p>
                    <a:fld id="{A1F50DF5-2EF8-4570-A1ED-98FDEE87D488}"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EE-4F3C-47F5-BB9E-FED5FA569E47}"/>
                </c:ext>
              </c:extLst>
            </c:dLbl>
            <c:dLbl>
              <c:idx val="78"/>
              <c:tx>
                <c:rich>
                  <a:bodyPr/>
                  <a:lstStyle/>
                  <a:p>
                    <a:fld id="{5385ADAA-6934-4DA8-BFBC-15E9667E5EA5}"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EF-4F3C-47F5-BB9E-FED5FA569E47}"/>
                </c:ext>
              </c:extLst>
            </c:dLbl>
            <c:dLbl>
              <c:idx val="79"/>
              <c:tx>
                <c:rich>
                  <a:bodyPr/>
                  <a:lstStyle/>
                  <a:p>
                    <a:fld id="{7E01EF6B-439A-442B-BC76-C58044C18DDA}"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D1-5855-489E-B5BB-26EE067BDB3C}"/>
                </c:ext>
              </c:extLst>
            </c:dLbl>
            <c:dLbl>
              <c:idx val="80"/>
              <c:tx>
                <c:rich>
                  <a:bodyPr/>
                  <a:lstStyle/>
                  <a:p>
                    <a:fld id="{22D12C88-DD74-4573-8DA3-D377D481A8C8}"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D2-5855-489E-B5BB-26EE067BDB3C}"/>
                </c:ext>
              </c:extLst>
            </c:dLbl>
            <c:dLbl>
              <c:idx val="81"/>
              <c:tx>
                <c:rich>
                  <a:bodyPr/>
                  <a:lstStyle/>
                  <a:p>
                    <a:fld id="{BDF0D900-EF11-4EA8-8116-2220D096C115}"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D3-5855-489E-B5BB-26EE067BDB3C}"/>
                </c:ext>
              </c:extLst>
            </c:dLbl>
            <c:dLbl>
              <c:idx val="82"/>
              <c:tx>
                <c:rich>
                  <a:bodyPr/>
                  <a:lstStyle/>
                  <a:p>
                    <a:fld id="{D006F5D7-1130-4D8D-8A3B-FC8DA8D36E76}"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D4-5855-489E-B5BB-26EE067BDB3C}"/>
                </c:ext>
              </c:extLst>
            </c:dLbl>
            <c:dLbl>
              <c:idx val="83"/>
              <c:tx>
                <c:rich>
                  <a:bodyPr/>
                  <a:lstStyle/>
                  <a:p>
                    <a:fld id="{1A716814-7EFA-4CFC-A3A2-CBCE7117A63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D5-5855-489E-B5BB-26EE067BDB3C}"/>
                </c:ext>
              </c:extLst>
            </c:dLbl>
            <c:dLbl>
              <c:idx val="84"/>
              <c:tx>
                <c:rich>
                  <a:bodyPr/>
                  <a:lstStyle/>
                  <a:p>
                    <a:fld id="{AA4FFFE1-6EDA-43A7-9D2C-587E73652C05}"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D6-5855-489E-B5BB-26EE067BDB3C}"/>
                </c:ext>
              </c:extLst>
            </c:dLbl>
            <c:dLbl>
              <c:idx val="85"/>
              <c:tx>
                <c:rich>
                  <a:bodyPr/>
                  <a:lstStyle/>
                  <a:p>
                    <a:fld id="{41A08BB9-2C8A-4C00-B492-D3526FCADE33}"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D7-5855-489E-B5BB-26EE067BDB3C}"/>
                </c:ext>
              </c:extLst>
            </c:dLbl>
            <c:dLbl>
              <c:idx val="86"/>
              <c:tx>
                <c:rich>
                  <a:bodyPr/>
                  <a:lstStyle/>
                  <a:p>
                    <a:fld id="{4275ED9C-89BB-455E-9AD3-AB358EE31292}"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D8-5855-489E-B5BB-26EE067BDB3C}"/>
                </c:ext>
              </c:extLst>
            </c:dLbl>
            <c:dLbl>
              <c:idx val="87"/>
              <c:tx>
                <c:rich>
                  <a:bodyPr/>
                  <a:lstStyle/>
                  <a:p>
                    <a:fld id="{84202768-E956-48E3-8429-916E3A6FA32F}"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D9-5855-489E-B5BB-26EE067BDB3C}"/>
                </c:ext>
              </c:extLst>
            </c:dLbl>
            <c:dLbl>
              <c:idx val="88"/>
              <c:tx>
                <c:rich>
                  <a:bodyPr/>
                  <a:lstStyle/>
                  <a:p>
                    <a:fld id="{0DFAEEF2-76FC-4575-8BAF-C0253B7D6CAD}"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DA-5855-489E-B5BB-26EE067BDB3C}"/>
                </c:ext>
              </c:extLst>
            </c:dLbl>
            <c:dLbl>
              <c:idx val="89"/>
              <c:tx>
                <c:rich>
                  <a:bodyPr/>
                  <a:lstStyle/>
                  <a:p>
                    <a:fld id="{BBC00CA6-173B-408E-BF0C-9E35589F99FE}"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DB-5855-489E-B5BB-26EE067BDB3C}"/>
                </c:ext>
              </c:extLst>
            </c:dLbl>
            <c:dLbl>
              <c:idx val="90"/>
              <c:tx>
                <c:rich>
                  <a:bodyPr/>
                  <a:lstStyle/>
                  <a:p>
                    <a:fld id="{FE0FFA42-F65B-4F8E-B7B5-54AAC717CF52}"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DC-5855-489E-B5BB-26EE067BDB3C}"/>
                </c:ext>
              </c:extLst>
            </c:dLbl>
            <c:dLbl>
              <c:idx val="91"/>
              <c:tx>
                <c:rich>
                  <a:bodyPr/>
                  <a:lstStyle/>
                  <a:p>
                    <a:fld id="{D65244ED-5507-4E3E-A059-F17324395897}"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DD-5855-489E-B5BB-26EE067BDB3C}"/>
                </c:ext>
              </c:extLst>
            </c:dLbl>
            <c:dLbl>
              <c:idx val="92"/>
              <c:tx>
                <c:rich>
                  <a:bodyPr/>
                  <a:lstStyle/>
                  <a:p>
                    <a:fld id="{D97610F8-73ED-4D0B-AB68-3E83F1790B0D}"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DE-5855-489E-B5BB-26EE067BDB3C}"/>
                </c:ext>
              </c:extLst>
            </c:dLbl>
            <c:dLbl>
              <c:idx val="93"/>
              <c:tx>
                <c:rich>
                  <a:bodyPr/>
                  <a:lstStyle/>
                  <a:p>
                    <a:fld id="{870EFA00-BCFE-4E17-9AEA-AB3ED79F5CBE}"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DF-5855-489E-B5BB-26EE067BDB3C}"/>
                </c:ext>
              </c:extLst>
            </c:dLbl>
            <c:dLbl>
              <c:idx val="94"/>
              <c:tx>
                <c:rich>
                  <a:bodyPr/>
                  <a:lstStyle/>
                  <a:p>
                    <a:fld id="{BC01812D-C26A-452F-B5D6-8028BF433A92}"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E0-5855-489E-B5BB-26EE067BDB3C}"/>
                </c:ext>
              </c:extLst>
            </c:dLbl>
            <c:dLbl>
              <c:idx val="95"/>
              <c:tx>
                <c:rich>
                  <a:bodyPr/>
                  <a:lstStyle/>
                  <a:p>
                    <a:fld id="{BA8BD795-8ADC-4BA6-8CC9-C5B2F8F0D1DE}"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E1-5855-489E-B5BB-26EE067BDB3C}"/>
                </c:ext>
              </c:extLst>
            </c:dLbl>
            <c:dLbl>
              <c:idx val="96"/>
              <c:tx>
                <c:rich>
                  <a:bodyPr/>
                  <a:lstStyle/>
                  <a:p>
                    <a:fld id="{220FEE7D-B58F-42CE-B5D9-E5AC28599A60}"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E2-5855-489E-B5BB-26EE067BDB3C}"/>
                </c:ext>
              </c:extLst>
            </c:dLbl>
            <c:dLbl>
              <c:idx val="97"/>
              <c:tx>
                <c:rich>
                  <a:bodyPr/>
                  <a:lstStyle/>
                  <a:p>
                    <a:fld id="{F778FF2E-DB9D-4E8D-B81F-2F3EDE5585FB}"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E3-5855-489E-B5BB-26EE067BDB3C}"/>
                </c:ext>
              </c:extLst>
            </c:dLbl>
            <c:dLbl>
              <c:idx val="98"/>
              <c:tx>
                <c:rich>
                  <a:bodyPr/>
                  <a:lstStyle/>
                  <a:p>
                    <a:fld id="{19520600-8B50-4379-83E5-EE56CFDE52A8}"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E4-5855-489E-B5BB-26EE067BDB3C}"/>
                </c:ext>
              </c:extLst>
            </c:dLbl>
            <c:dLbl>
              <c:idx val="99"/>
              <c:tx>
                <c:rich>
                  <a:bodyPr/>
                  <a:lstStyle/>
                  <a:p>
                    <a:fld id="{F81C78A8-3046-44A1-8FCE-1A82D8FC8213}"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E5-5855-489E-B5BB-26EE067BDB3C}"/>
                </c:ext>
              </c:extLst>
            </c:dLbl>
            <c:dLbl>
              <c:idx val="100"/>
              <c:tx>
                <c:rich>
                  <a:bodyPr/>
                  <a:lstStyle/>
                  <a:p>
                    <a:fld id="{B6FC1844-E6D6-4C4C-BF60-5B80C86928F6}"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E6-5855-489E-B5BB-26EE067BDB3C}"/>
                </c:ext>
              </c:extLst>
            </c:dLbl>
            <c:dLbl>
              <c:idx val="101"/>
              <c:tx>
                <c:rich>
                  <a:bodyPr/>
                  <a:lstStyle/>
                  <a:p>
                    <a:fld id="{DAD7D5E9-A617-4CFC-8969-7FDD29E96A25}"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E7-5855-489E-B5BB-26EE067BDB3C}"/>
                </c:ext>
              </c:extLst>
            </c:dLbl>
            <c:dLbl>
              <c:idx val="102"/>
              <c:tx>
                <c:rich>
                  <a:bodyPr/>
                  <a:lstStyle/>
                  <a:p>
                    <a:fld id="{96FAC609-3F8E-44F8-B64F-5C7824BEEE8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E8-5855-489E-B5BB-26EE067BDB3C}"/>
                </c:ext>
              </c:extLst>
            </c:dLbl>
            <c:dLbl>
              <c:idx val="103"/>
              <c:tx>
                <c:rich>
                  <a:bodyPr/>
                  <a:lstStyle/>
                  <a:p>
                    <a:fld id="{1BA00B44-FF43-41B6-A422-AD03E7E19AA9}"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E9-5855-489E-B5BB-26EE067BDB3C}"/>
                </c:ext>
              </c:extLst>
            </c:dLbl>
            <c:dLbl>
              <c:idx val="104"/>
              <c:tx>
                <c:rich>
                  <a:bodyPr/>
                  <a:lstStyle/>
                  <a:p>
                    <a:fld id="{6466D143-CF15-4BB7-BD59-A40DC0E6404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EA-5855-489E-B5BB-26EE067BDB3C}"/>
                </c:ext>
              </c:extLst>
            </c:dLbl>
            <c:dLbl>
              <c:idx val="105"/>
              <c:tx>
                <c:rich>
                  <a:bodyPr/>
                  <a:lstStyle/>
                  <a:p>
                    <a:fld id="{2E949A85-A0EE-4FAD-B195-A3E5F4F3CDD0}"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EB-5855-489E-B5BB-26EE067BDB3C}"/>
                </c:ext>
              </c:extLst>
            </c:dLbl>
            <c:dLbl>
              <c:idx val="106"/>
              <c:tx>
                <c:rich>
                  <a:bodyPr/>
                  <a:lstStyle/>
                  <a:p>
                    <a:fld id="{5FDE49FD-0B1D-47B8-A6A7-3B4F3649DF99}"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EC-5855-489E-B5BB-26EE067BDB3C}"/>
                </c:ext>
              </c:extLst>
            </c:dLbl>
            <c:dLbl>
              <c:idx val="107"/>
              <c:tx>
                <c:rich>
                  <a:bodyPr/>
                  <a:lstStyle/>
                  <a:p>
                    <a:fld id="{CF5D6DC4-2EE0-4241-A473-4C3F2F4CD4DF}"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ED-5855-489E-B5BB-26EE067BDB3C}"/>
                </c:ext>
              </c:extLst>
            </c:dLbl>
            <c:dLbl>
              <c:idx val="108"/>
              <c:tx>
                <c:rich>
                  <a:bodyPr/>
                  <a:lstStyle/>
                  <a:p>
                    <a:fld id="{F7F34DAC-4231-4F32-9D22-AD165F8E4760}"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EE-5855-489E-B5BB-26EE067BDB3C}"/>
                </c:ext>
              </c:extLst>
            </c:dLbl>
            <c:dLbl>
              <c:idx val="109"/>
              <c:tx>
                <c:rich>
                  <a:bodyPr/>
                  <a:lstStyle/>
                  <a:p>
                    <a:fld id="{816BC128-384B-46A3-B382-85F168AD235B}"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EF-5855-489E-B5BB-26EE067BDB3C}"/>
                </c:ext>
              </c:extLst>
            </c:dLbl>
            <c:dLbl>
              <c:idx val="110"/>
              <c:tx>
                <c:rich>
                  <a:bodyPr/>
                  <a:lstStyle/>
                  <a:p>
                    <a:fld id="{4B6371D0-4B69-4755-81E4-DFF210B39F05}"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F0-5855-489E-B5BB-26EE067BDB3C}"/>
                </c:ext>
              </c:extLst>
            </c:dLbl>
            <c:dLbl>
              <c:idx val="111"/>
              <c:tx>
                <c:rich>
                  <a:bodyPr/>
                  <a:lstStyle/>
                  <a:p>
                    <a:fld id="{1F381C6B-0B05-4759-8C6C-686FFF2BCFDF}"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F1-5855-489E-B5BB-26EE067BDB3C}"/>
                </c:ext>
              </c:extLst>
            </c:dLbl>
            <c:dLbl>
              <c:idx val="112"/>
              <c:tx>
                <c:rich>
                  <a:bodyPr/>
                  <a:lstStyle/>
                  <a:p>
                    <a:fld id="{873DF101-CB45-4591-BB47-2B4264C86099}"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F2-5855-489E-B5BB-26EE067BDB3C}"/>
                </c:ext>
              </c:extLst>
            </c:dLbl>
            <c:dLbl>
              <c:idx val="113"/>
              <c:tx>
                <c:rich>
                  <a:bodyPr/>
                  <a:lstStyle/>
                  <a:p>
                    <a:fld id="{A97B9195-B6A1-4704-BB6F-815931B6B5E3}"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F3-5855-489E-B5BB-26EE067BDB3C}"/>
                </c:ext>
              </c:extLst>
            </c:dLbl>
            <c:dLbl>
              <c:idx val="114"/>
              <c:tx>
                <c:rich>
                  <a:bodyPr/>
                  <a:lstStyle/>
                  <a:p>
                    <a:fld id="{24E2095F-A0D2-479A-8AFF-5376CF78DA6C}"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F4-5855-489E-B5BB-26EE067BDB3C}"/>
                </c:ext>
              </c:extLst>
            </c:dLbl>
            <c:dLbl>
              <c:idx val="115"/>
              <c:tx>
                <c:rich>
                  <a:bodyPr/>
                  <a:lstStyle/>
                  <a:p>
                    <a:fld id="{2D2AA157-A99C-4F06-B0D7-3FCABF65A2ED}"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F5-5855-489E-B5BB-26EE067BDB3C}"/>
                </c:ext>
              </c:extLst>
            </c:dLbl>
            <c:dLbl>
              <c:idx val="116"/>
              <c:tx>
                <c:rich>
                  <a:bodyPr/>
                  <a:lstStyle/>
                  <a:p>
                    <a:fld id="{45206836-913B-465B-BF51-5FFF99EAFB50}"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F6-5855-489E-B5BB-26EE067BDB3C}"/>
                </c:ext>
              </c:extLst>
            </c:dLbl>
            <c:dLbl>
              <c:idx val="117"/>
              <c:tx>
                <c:rich>
                  <a:bodyPr/>
                  <a:lstStyle/>
                  <a:p>
                    <a:fld id="{E5C7902F-0FE0-487F-B164-6AD3D9D047A5}"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3A-C110-4146-88D1-7D9FAAADAC99}"/>
                </c:ext>
              </c:extLst>
            </c:dLbl>
            <c:dLbl>
              <c:idx val="118"/>
              <c:tx>
                <c:rich>
                  <a:bodyPr/>
                  <a:lstStyle/>
                  <a:p>
                    <a:fld id="{4C3FEED9-59B8-43D2-A8A7-1B3FC38D432A}"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3B-C110-4146-88D1-7D9FAAADAC99}"/>
                </c:ext>
              </c:extLst>
            </c:dLbl>
            <c:dLbl>
              <c:idx val="119"/>
              <c:tx>
                <c:rich>
                  <a:bodyPr/>
                  <a:lstStyle/>
                  <a:p>
                    <a:fld id="{FB14C007-39BD-4150-8C18-BA44DCB12CF1}"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3C-C110-4146-88D1-7D9FAAADAC99}"/>
                </c:ext>
              </c:extLst>
            </c:dLbl>
            <c:dLbl>
              <c:idx val="120"/>
              <c:tx>
                <c:rich>
                  <a:bodyPr/>
                  <a:lstStyle/>
                  <a:p>
                    <a:fld id="{E0633EF9-BF04-4AAF-80B3-A42EBA56E440}"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3D-C110-4146-88D1-7D9FAAADAC99}"/>
                </c:ext>
              </c:extLst>
            </c:dLbl>
            <c:dLbl>
              <c:idx val="121"/>
              <c:tx>
                <c:rich>
                  <a:bodyPr/>
                  <a:lstStyle/>
                  <a:p>
                    <a:fld id="{8F610093-F2B3-46D7-A918-DB99BEA0AD3F}"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3E-C110-4146-88D1-7D9FAAADAC99}"/>
                </c:ext>
              </c:extLst>
            </c:dLbl>
            <c:dLbl>
              <c:idx val="122"/>
              <c:tx>
                <c:rich>
                  <a:bodyPr/>
                  <a:lstStyle/>
                  <a:p>
                    <a:fld id="{07C8B244-172B-421B-8C50-5759F3E728A3}"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3F-C110-4146-88D1-7D9FAAADAC99}"/>
                </c:ext>
              </c:extLst>
            </c:dLbl>
            <c:dLbl>
              <c:idx val="123"/>
              <c:tx>
                <c:rich>
                  <a:bodyPr/>
                  <a:lstStyle/>
                  <a:p>
                    <a:fld id="{FB3C97F1-9588-438B-84D5-3426ADB94EF8}"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40-C110-4146-88D1-7D9FAAADAC99}"/>
                </c:ext>
              </c:extLst>
            </c:dLbl>
            <c:dLbl>
              <c:idx val="124"/>
              <c:tx>
                <c:rich>
                  <a:bodyPr/>
                  <a:lstStyle/>
                  <a:p>
                    <a:fld id="{E0D82DEA-F2F0-48DE-A2EA-19118E79FFA7}"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41-C110-4146-88D1-7D9FAAADAC99}"/>
                </c:ext>
              </c:extLst>
            </c:dLbl>
            <c:dLbl>
              <c:idx val="125"/>
              <c:tx>
                <c:rich>
                  <a:bodyPr/>
                  <a:lstStyle/>
                  <a:p>
                    <a:fld id="{DFCB7C37-EE87-48C9-BD2B-929E18AFF9DD}"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42-C110-4146-88D1-7D9FAAADAC99}"/>
                </c:ext>
              </c:extLst>
            </c:dLbl>
            <c:dLbl>
              <c:idx val="126"/>
              <c:tx>
                <c:rich>
                  <a:bodyPr/>
                  <a:lstStyle/>
                  <a:p>
                    <a:fld id="{FDB89CFE-0278-4ABC-96F5-3664E605F693}"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43-C110-4146-88D1-7D9FAAADAC99}"/>
                </c:ext>
              </c:extLst>
            </c:dLbl>
            <c:dLbl>
              <c:idx val="127"/>
              <c:tx>
                <c:rich>
                  <a:bodyPr/>
                  <a:lstStyle/>
                  <a:p>
                    <a:fld id="{DC7DBA37-5502-49C4-8524-7782A7775B97}"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44-C110-4146-88D1-7D9FAAADAC99}"/>
                </c:ext>
              </c:extLst>
            </c:dLbl>
            <c:dLbl>
              <c:idx val="128"/>
              <c:tx>
                <c:rich>
                  <a:bodyPr/>
                  <a:lstStyle/>
                  <a:p>
                    <a:fld id="{4A2B03E6-176A-4B59-B954-6D7CDBE4A24F}"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45-C110-4146-88D1-7D9FAAADAC99}"/>
                </c:ext>
              </c:extLst>
            </c:dLbl>
            <c:dLbl>
              <c:idx val="129"/>
              <c:tx>
                <c:rich>
                  <a:bodyPr/>
                  <a:lstStyle/>
                  <a:p>
                    <a:fld id="{560FBE8D-65C6-409E-B760-4DDA14472148}"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46-C110-4146-88D1-7D9FAAADAC99}"/>
                </c:ext>
              </c:extLst>
            </c:dLbl>
            <c:dLbl>
              <c:idx val="130"/>
              <c:tx>
                <c:rich>
                  <a:bodyPr/>
                  <a:lstStyle/>
                  <a:p>
                    <a:fld id="{F7FB6840-CE87-4F75-97F3-F64B45F73ED0}"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47-C110-4146-88D1-7D9FAAADAC99}"/>
                </c:ext>
              </c:extLst>
            </c:dLbl>
            <c:dLbl>
              <c:idx val="131"/>
              <c:tx>
                <c:rich>
                  <a:bodyPr/>
                  <a:lstStyle/>
                  <a:p>
                    <a:fld id="{95274582-04F9-428C-ADD1-3838F887FAFA}"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48-C110-4146-88D1-7D9FAAADAC99}"/>
                </c:ext>
              </c:extLst>
            </c:dLbl>
            <c:dLbl>
              <c:idx val="132"/>
              <c:tx>
                <c:rich>
                  <a:bodyPr/>
                  <a:lstStyle/>
                  <a:p>
                    <a:fld id="{89A16F3E-36E9-489F-8643-3156ED053142}"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49-C110-4146-88D1-7D9FAAADAC99}"/>
                </c:ext>
              </c:extLst>
            </c:dLbl>
            <c:dLbl>
              <c:idx val="133"/>
              <c:tx>
                <c:rich>
                  <a:bodyPr/>
                  <a:lstStyle/>
                  <a:p>
                    <a:fld id="{5EA5CF6B-EEDE-49B6-BEB8-1CDCE250D590}"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4A-C110-4146-88D1-7D9FAAADAC99}"/>
                </c:ext>
              </c:extLst>
            </c:dLbl>
            <c:dLbl>
              <c:idx val="134"/>
              <c:tx>
                <c:rich>
                  <a:bodyPr/>
                  <a:lstStyle/>
                  <a:p>
                    <a:fld id="{7BB2198E-B275-4767-A166-2FC3C1189BEF}"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4B-C110-4146-88D1-7D9FAAADAC99}"/>
                </c:ext>
              </c:extLst>
            </c:dLbl>
            <c:dLbl>
              <c:idx val="135"/>
              <c:tx>
                <c:rich>
                  <a:bodyPr/>
                  <a:lstStyle/>
                  <a:p>
                    <a:fld id="{053F35DF-097C-4CF0-A2C2-02DE786D1B8C}"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4C-C110-4146-88D1-7D9FAAADAC99}"/>
                </c:ext>
              </c:extLst>
            </c:dLbl>
            <c:dLbl>
              <c:idx val="136"/>
              <c:tx>
                <c:rich>
                  <a:bodyPr/>
                  <a:lstStyle/>
                  <a:p>
                    <a:fld id="{86CFD934-F7CF-44A3-88AB-5F9911D35C25}"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4D-C110-4146-88D1-7D9FAAADAC99}"/>
                </c:ext>
              </c:extLst>
            </c:dLbl>
            <c:dLbl>
              <c:idx val="137"/>
              <c:tx>
                <c:rich>
                  <a:bodyPr/>
                  <a:lstStyle/>
                  <a:p>
                    <a:fld id="{122D9898-8769-4D06-9B3B-651E020EB5D3}"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4E-C110-4146-88D1-7D9FAAADAC99}"/>
                </c:ext>
              </c:extLst>
            </c:dLbl>
            <c:dLbl>
              <c:idx val="138"/>
              <c:tx>
                <c:rich>
                  <a:bodyPr/>
                  <a:lstStyle/>
                  <a:p>
                    <a:fld id="{76029B75-80F0-4348-84C8-6792E31BBA09}"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4F-C110-4146-88D1-7D9FAAADAC99}"/>
                </c:ext>
              </c:extLst>
            </c:dLbl>
            <c:dLbl>
              <c:idx val="139"/>
              <c:tx>
                <c:rich>
                  <a:bodyPr/>
                  <a:lstStyle/>
                  <a:p>
                    <a:fld id="{EB325013-AAD2-4F96-A7F5-97277A392B0A}"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50-C110-4146-88D1-7D9FAAADAC99}"/>
                </c:ext>
              </c:extLst>
            </c:dLbl>
            <c:dLbl>
              <c:idx val="140"/>
              <c:tx>
                <c:rich>
                  <a:bodyPr/>
                  <a:lstStyle/>
                  <a:p>
                    <a:fld id="{38527C2C-8D3C-48DE-AECE-8259F41BEA2C}"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51-C110-4146-88D1-7D9FAAADAC99}"/>
                </c:ext>
              </c:extLst>
            </c:dLbl>
            <c:dLbl>
              <c:idx val="141"/>
              <c:tx>
                <c:rich>
                  <a:bodyPr/>
                  <a:lstStyle/>
                  <a:p>
                    <a:fld id="{53F59D09-7B20-4E28-B07B-E1DAFB17CE0B}"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52-C110-4146-88D1-7D9FAAADAC99}"/>
                </c:ext>
              </c:extLst>
            </c:dLbl>
            <c:dLbl>
              <c:idx val="142"/>
              <c:tx>
                <c:rich>
                  <a:bodyPr/>
                  <a:lstStyle/>
                  <a:p>
                    <a:fld id="{1FD73FBE-993B-45DE-AF8E-7FAA586E0F1C}"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53-C110-4146-88D1-7D9FAAADAC99}"/>
                </c:ext>
              </c:extLst>
            </c:dLbl>
            <c:dLbl>
              <c:idx val="143"/>
              <c:tx>
                <c:rich>
                  <a:bodyPr/>
                  <a:lstStyle/>
                  <a:p>
                    <a:fld id="{2974DDE0-3344-4A4B-919A-0310DBD97C92}"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54-C110-4146-88D1-7D9FAAADAC99}"/>
                </c:ext>
              </c:extLst>
            </c:dLbl>
            <c:dLbl>
              <c:idx val="144"/>
              <c:tx>
                <c:rich>
                  <a:bodyPr/>
                  <a:lstStyle/>
                  <a:p>
                    <a:fld id="{FF26626D-FD7E-473D-A014-84CE7CB28095}"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55-C110-4146-88D1-7D9FAAADAC99}"/>
                </c:ext>
              </c:extLst>
            </c:dLbl>
            <c:dLbl>
              <c:idx val="145"/>
              <c:tx>
                <c:rich>
                  <a:bodyPr/>
                  <a:lstStyle/>
                  <a:p>
                    <a:fld id="{8D0E64F7-407E-4E3D-B3DA-7CF61B9D0B82}"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56-C110-4146-88D1-7D9FAAADAC99}"/>
                </c:ext>
              </c:extLst>
            </c:dLbl>
            <c:dLbl>
              <c:idx val="146"/>
              <c:tx>
                <c:rich>
                  <a:bodyPr/>
                  <a:lstStyle/>
                  <a:p>
                    <a:fld id="{C990A61B-1581-40C9-8D11-8BFAC2D997A6}"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57-C110-4146-88D1-7D9FAAADAC99}"/>
                </c:ext>
              </c:extLst>
            </c:dLbl>
            <c:dLbl>
              <c:idx val="147"/>
              <c:tx>
                <c:rich>
                  <a:bodyPr/>
                  <a:lstStyle/>
                  <a:p>
                    <a:fld id="{0127AE26-0354-472A-896D-3D4F0BC73FF8}"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58-C110-4146-88D1-7D9FAAADAC99}"/>
                </c:ext>
              </c:extLst>
            </c:dLbl>
            <c:dLbl>
              <c:idx val="148"/>
              <c:tx>
                <c:rich>
                  <a:bodyPr/>
                  <a:lstStyle/>
                  <a:p>
                    <a:fld id="{581E679A-BE72-42E1-BA5E-0A82BE03755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59-C110-4146-88D1-7D9FAAADAC99}"/>
                </c:ext>
              </c:extLst>
            </c:dLbl>
            <c:dLbl>
              <c:idx val="149"/>
              <c:tx>
                <c:rich>
                  <a:bodyPr/>
                  <a:lstStyle/>
                  <a:p>
                    <a:fld id="{B0662684-6B42-4D8E-90A7-55DC3FDFC6B9}"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5A-C110-4146-88D1-7D9FAAADAC99}"/>
                </c:ext>
              </c:extLst>
            </c:dLbl>
            <c:dLbl>
              <c:idx val="150"/>
              <c:tx>
                <c:rich>
                  <a:bodyPr/>
                  <a:lstStyle/>
                  <a:p>
                    <a:fld id="{BC7EF9D8-0A6E-4FD1-A0CE-ACDDC61FCF3D}"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5B-C110-4146-88D1-7D9FAAADAC99}"/>
                </c:ext>
              </c:extLst>
            </c:dLbl>
            <c:dLbl>
              <c:idx val="151"/>
              <c:tx>
                <c:rich>
                  <a:bodyPr/>
                  <a:lstStyle/>
                  <a:p>
                    <a:fld id="{2E8EB56C-DF5A-4077-B974-041BE5360D60}"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5C-C110-4146-88D1-7D9FAAADAC99}"/>
                </c:ext>
              </c:extLst>
            </c:dLbl>
            <c:dLbl>
              <c:idx val="152"/>
              <c:tx>
                <c:rich>
                  <a:bodyPr/>
                  <a:lstStyle/>
                  <a:p>
                    <a:fld id="{EBE7C8A0-3E9D-4B81-8226-CC96C8B1798B}"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5D-C110-4146-88D1-7D9FAAADAC99}"/>
                </c:ext>
              </c:extLst>
            </c:dLbl>
            <c:dLbl>
              <c:idx val="153"/>
              <c:tx>
                <c:rich>
                  <a:bodyPr/>
                  <a:lstStyle/>
                  <a:p>
                    <a:fld id="{CBA08A64-2A3D-45DC-91A5-C2B18E9FE459}"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5E-C110-4146-88D1-7D9FAAADAC99}"/>
                </c:ext>
              </c:extLst>
            </c:dLbl>
            <c:dLbl>
              <c:idx val="154"/>
              <c:tx>
                <c:rich>
                  <a:bodyPr/>
                  <a:lstStyle/>
                  <a:p>
                    <a:fld id="{16166E86-B6BC-4F30-A752-9E9B19F5098A}"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5F-C110-4146-88D1-7D9FAAADAC99}"/>
                </c:ext>
              </c:extLst>
            </c:dLbl>
            <c:dLbl>
              <c:idx val="155"/>
              <c:tx>
                <c:rich>
                  <a:bodyPr/>
                  <a:lstStyle/>
                  <a:p>
                    <a:fld id="{FF4C15C1-72F5-4187-A317-E31FF2733F39}"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60-C110-4146-88D1-7D9FAAADAC99}"/>
                </c:ext>
              </c:extLst>
            </c:dLbl>
            <c:dLbl>
              <c:idx val="156"/>
              <c:tx>
                <c:rich>
                  <a:bodyPr/>
                  <a:lstStyle/>
                  <a:p>
                    <a:fld id="{1BAB8933-F950-4956-8FAE-3281342376EA}"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61-C110-4146-88D1-7D9FAAADAC99}"/>
                </c:ext>
              </c:extLst>
            </c:dLbl>
            <c:dLbl>
              <c:idx val="157"/>
              <c:tx>
                <c:rich>
                  <a:bodyPr/>
                  <a:lstStyle/>
                  <a:p>
                    <a:fld id="{0C215079-9642-4E23-8975-E0455262966D}"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62-C110-4146-88D1-7D9FAAADAC99}"/>
                </c:ext>
              </c:extLst>
            </c:dLbl>
            <c:dLbl>
              <c:idx val="158"/>
              <c:tx>
                <c:rich>
                  <a:bodyPr/>
                  <a:lstStyle/>
                  <a:p>
                    <a:fld id="{B079833C-763B-4011-9E0A-98AAC06D1FC5}"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63-C110-4146-88D1-7D9FAAADAC99}"/>
                </c:ext>
              </c:extLst>
            </c:dLbl>
            <c:dLbl>
              <c:idx val="159"/>
              <c:tx>
                <c:rich>
                  <a:bodyPr/>
                  <a:lstStyle/>
                  <a:p>
                    <a:fld id="{E9996D91-3093-4337-99EE-EFA63D9FBCB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64-C110-4146-88D1-7D9FAAADAC99}"/>
                </c:ext>
              </c:extLst>
            </c:dLbl>
            <c:dLbl>
              <c:idx val="160"/>
              <c:tx>
                <c:rich>
                  <a:bodyPr/>
                  <a:lstStyle/>
                  <a:p>
                    <a:fld id="{79651C6D-2485-4780-ABC3-4F1B4C73FF65}"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65-C110-4146-88D1-7D9FAAADAC99}"/>
                </c:ext>
              </c:extLst>
            </c:dLbl>
            <c:dLbl>
              <c:idx val="161"/>
              <c:tx>
                <c:rich>
                  <a:bodyPr/>
                  <a:lstStyle/>
                  <a:p>
                    <a:fld id="{D44EC579-6034-4730-96C8-0BC8FF643420}"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66-C110-4146-88D1-7D9FAAADAC99}"/>
                </c:ext>
              </c:extLst>
            </c:dLbl>
            <c:dLbl>
              <c:idx val="162"/>
              <c:tx>
                <c:rich>
                  <a:bodyPr/>
                  <a:lstStyle/>
                  <a:p>
                    <a:fld id="{01A4A648-7A3F-436B-B23C-E1314C0171FF}"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67-C110-4146-88D1-7D9FAAADAC99}"/>
                </c:ext>
              </c:extLst>
            </c:dLbl>
            <c:dLbl>
              <c:idx val="163"/>
              <c:tx>
                <c:rich>
                  <a:bodyPr/>
                  <a:lstStyle/>
                  <a:p>
                    <a:fld id="{F97417B4-E238-4089-9A7D-AE4A3A08666F}"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68-C110-4146-88D1-7D9FAAADAC99}"/>
                </c:ext>
              </c:extLst>
            </c:dLbl>
            <c:dLbl>
              <c:idx val="164"/>
              <c:tx>
                <c:rich>
                  <a:bodyPr/>
                  <a:lstStyle/>
                  <a:p>
                    <a:fld id="{F322488E-E231-4BBD-ADB3-1003F2F58B82}"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69-C110-4146-88D1-7D9FAAADAC99}"/>
                </c:ext>
              </c:extLst>
            </c:dLbl>
            <c:dLbl>
              <c:idx val="165"/>
              <c:tx>
                <c:rich>
                  <a:bodyPr/>
                  <a:lstStyle/>
                  <a:p>
                    <a:fld id="{DEDACFAC-324A-437F-B664-5103A01F8102}"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6A-C110-4146-88D1-7D9FAAADAC99}"/>
                </c:ext>
              </c:extLst>
            </c:dLbl>
            <c:dLbl>
              <c:idx val="166"/>
              <c:tx>
                <c:rich>
                  <a:bodyPr/>
                  <a:lstStyle/>
                  <a:p>
                    <a:fld id="{A563A3C8-DF55-4186-870F-2080F717D5CD}"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6B-C110-4146-88D1-7D9FAAADAC99}"/>
                </c:ext>
              </c:extLst>
            </c:dLbl>
            <c:dLbl>
              <c:idx val="167"/>
              <c:tx>
                <c:rich>
                  <a:bodyPr/>
                  <a:lstStyle/>
                  <a:p>
                    <a:fld id="{3AD8FD0A-BC5F-42F0-A4B3-616DB6920E69}"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6C-C110-4146-88D1-7D9FAAADAC99}"/>
                </c:ext>
              </c:extLst>
            </c:dLbl>
            <c:dLbl>
              <c:idx val="168"/>
              <c:tx>
                <c:rich>
                  <a:bodyPr/>
                  <a:lstStyle/>
                  <a:p>
                    <a:fld id="{7607989A-8F6F-46E3-A8A1-C4DBCF4B7D9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6D-C110-4146-88D1-7D9FAAADAC99}"/>
                </c:ext>
              </c:extLst>
            </c:dLbl>
            <c:dLbl>
              <c:idx val="169"/>
              <c:tx>
                <c:rich>
                  <a:bodyPr/>
                  <a:lstStyle/>
                  <a:p>
                    <a:fld id="{05BDBC89-A023-4200-A9F8-46A055D22DCD}"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6E-C110-4146-88D1-7D9FAAADAC99}"/>
                </c:ext>
              </c:extLst>
            </c:dLbl>
            <c:dLbl>
              <c:idx val="170"/>
              <c:tx>
                <c:rich>
                  <a:bodyPr/>
                  <a:lstStyle/>
                  <a:p>
                    <a:fld id="{662D7E85-E494-4AB6-97C8-603F25D5FED5}"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6F-C110-4146-88D1-7D9FAAADAC99}"/>
                </c:ext>
              </c:extLst>
            </c:dLbl>
            <c:dLbl>
              <c:idx val="171"/>
              <c:tx>
                <c:rich>
                  <a:bodyPr/>
                  <a:lstStyle/>
                  <a:p>
                    <a:fld id="{0FDDEF30-565D-4B90-BB49-5605201F1930}"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70-C110-4146-88D1-7D9FAAADAC99}"/>
                </c:ext>
              </c:extLst>
            </c:dLbl>
            <c:dLbl>
              <c:idx val="172"/>
              <c:tx>
                <c:rich>
                  <a:bodyPr/>
                  <a:lstStyle/>
                  <a:p>
                    <a:fld id="{3078BB46-2FF3-44EA-92E9-6E72C9C8727A}"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71-C110-4146-88D1-7D9FAAADAC99}"/>
                </c:ext>
              </c:extLst>
            </c:dLbl>
            <c:dLbl>
              <c:idx val="173"/>
              <c:tx>
                <c:rich>
                  <a:bodyPr/>
                  <a:lstStyle/>
                  <a:p>
                    <a:fld id="{648EDC73-D676-4A8A-8FD9-2A47D3A8ABD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72-C110-4146-88D1-7D9FAAADAC99}"/>
                </c:ext>
              </c:extLst>
            </c:dLbl>
            <c:dLbl>
              <c:idx val="174"/>
              <c:tx>
                <c:rich>
                  <a:bodyPr/>
                  <a:lstStyle/>
                  <a:p>
                    <a:fld id="{ED03B4FD-6780-4976-98E2-ADDFB6466A5E}"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73-C110-4146-88D1-7D9FAAADAC99}"/>
                </c:ext>
              </c:extLst>
            </c:dLbl>
            <c:dLbl>
              <c:idx val="175"/>
              <c:tx>
                <c:rich>
                  <a:bodyPr/>
                  <a:lstStyle/>
                  <a:p>
                    <a:fld id="{2B26C0C9-4178-4346-B22E-D5E7CCACAE87}"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74-C110-4146-88D1-7D9FAAADAC99}"/>
                </c:ext>
              </c:extLst>
            </c:dLbl>
            <c:dLbl>
              <c:idx val="176"/>
              <c:tx>
                <c:rich>
                  <a:bodyPr/>
                  <a:lstStyle/>
                  <a:p>
                    <a:fld id="{CB103E7F-8CD3-42CE-891F-49D6E227AB39}"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75-C110-4146-88D1-7D9FAAADAC99}"/>
                </c:ext>
              </c:extLst>
            </c:dLbl>
            <c:dLbl>
              <c:idx val="177"/>
              <c:tx>
                <c:rich>
                  <a:bodyPr/>
                  <a:lstStyle/>
                  <a:p>
                    <a:fld id="{4939EEED-ADF9-485F-ADCD-D511F8BADFEE}"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76-C110-4146-88D1-7D9FAAADAC99}"/>
                </c:ext>
              </c:extLst>
            </c:dLbl>
            <c:dLbl>
              <c:idx val="178"/>
              <c:tx>
                <c:rich>
                  <a:bodyPr/>
                  <a:lstStyle/>
                  <a:p>
                    <a:fld id="{B8C5F99B-E360-4738-AF4A-60F3C62B0D37}"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77-C110-4146-88D1-7D9FAAADAC99}"/>
                </c:ext>
              </c:extLst>
            </c:dLbl>
            <c:dLbl>
              <c:idx val="179"/>
              <c:tx>
                <c:rich>
                  <a:bodyPr/>
                  <a:lstStyle/>
                  <a:p>
                    <a:fld id="{84D25698-A453-458C-BF1C-FAE3D1A26481}" type="CELLRANGE">
                      <a:rPr lang="es-419"/>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278-C110-4146-88D1-7D9FAAADAC99}"/>
                </c:ext>
              </c:extLst>
            </c:dLbl>
            <c:dLbl>
              <c:idx val="180"/>
              <c:tx>
                <c:rich>
                  <a:bodyPr/>
                  <a:lstStyle/>
                  <a:p>
                    <a:fld id="{A6C9EA69-5A6E-4612-B0AB-9EC857696618}" type="CELLRANGE">
                      <a:rPr lang="es-419"/>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279-C110-4146-88D1-7D9FAAADAC99}"/>
                </c:ext>
              </c:extLst>
            </c:dLbl>
            <c:dLbl>
              <c:idx val="181"/>
              <c:tx>
                <c:rich>
                  <a:bodyPr/>
                  <a:lstStyle/>
                  <a:p>
                    <a:fld id="{1DE1627F-5ECF-4788-990C-4383C990D001}" type="CELLRANGE">
                      <a:rPr lang="es-419"/>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27A-C110-4146-88D1-7D9FAAADAC99}"/>
                </c:ext>
              </c:extLst>
            </c:dLbl>
            <c:dLbl>
              <c:idx val="182"/>
              <c:tx>
                <c:rich>
                  <a:bodyPr/>
                  <a:lstStyle/>
                  <a:p>
                    <a:fld id="{486BC46E-E4D0-4EAC-A542-3C8BA2627C4A}" type="CELLRANGE">
                      <a:rPr lang="es-419"/>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27B-C110-4146-88D1-7D9FAAADAC99}"/>
                </c:ext>
              </c:extLst>
            </c:dLbl>
            <c:dLbl>
              <c:idx val="183"/>
              <c:tx>
                <c:rich>
                  <a:bodyPr/>
                  <a:lstStyle/>
                  <a:p>
                    <a:fld id="{29B82030-1690-4602-9AFA-4EEF1C0571B3}" type="CELLRANGE">
                      <a:rPr lang="es-419"/>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27C-C110-4146-88D1-7D9FAAADAC99}"/>
                </c:ext>
              </c:extLst>
            </c:dLbl>
            <c:dLbl>
              <c:idx val="184"/>
              <c:tx>
                <c:rich>
                  <a:bodyPr/>
                  <a:lstStyle/>
                  <a:p>
                    <a:fld id="{A1FFA23F-A2B1-47D1-BC14-0009102BC5FB}" type="CELLRANGE">
                      <a:rPr lang="es-419"/>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27D-C110-4146-88D1-7D9FAAADAC99}"/>
                </c:ext>
              </c:extLst>
            </c:dLbl>
            <c:dLbl>
              <c:idx val="185"/>
              <c:tx>
                <c:rich>
                  <a:bodyPr/>
                  <a:lstStyle/>
                  <a:p>
                    <a:fld id="{CDC58081-FB5E-4FFE-B8B1-7D42026E2575}" type="CELLRANGE">
                      <a:rPr lang="es-419"/>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27E-C110-4146-88D1-7D9FAAADAC99}"/>
                </c:ext>
              </c:extLst>
            </c:dLbl>
            <c:dLbl>
              <c:idx val="186"/>
              <c:tx>
                <c:rich>
                  <a:bodyPr/>
                  <a:lstStyle/>
                  <a:p>
                    <a:fld id="{C12F6E12-9EF3-4928-AEF2-2E629C2723B6}" type="CELLRANGE">
                      <a:rPr lang="es-419"/>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27F-C110-4146-88D1-7D9FAAADAC99}"/>
                </c:ext>
              </c:extLst>
            </c:dLbl>
            <c:dLbl>
              <c:idx val="187"/>
              <c:tx>
                <c:rich>
                  <a:bodyPr/>
                  <a:lstStyle/>
                  <a:p>
                    <a:fld id="{5EB8B4D2-6D01-4A5A-846F-1EEE6735AF39}" type="CELLRANGE">
                      <a:rPr lang="es-419"/>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280-C110-4146-88D1-7D9FAAADAC99}"/>
                </c:ext>
              </c:extLst>
            </c:dLbl>
            <c:dLbl>
              <c:idx val="188"/>
              <c:tx>
                <c:rich>
                  <a:bodyPr/>
                  <a:lstStyle/>
                  <a:p>
                    <a:fld id="{4C7742A5-BA26-427B-93BD-3E8D814D628F}" type="CELLRANGE">
                      <a:rPr lang="es-419"/>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281-C110-4146-88D1-7D9FAAADAC99}"/>
                </c:ext>
              </c:extLst>
            </c:dLbl>
            <c:dLbl>
              <c:idx val="189"/>
              <c:tx>
                <c:rich>
                  <a:bodyPr/>
                  <a:lstStyle/>
                  <a:p>
                    <a:fld id="{10DB0D03-C3D5-4962-9143-CD1477D5C9FE}" type="CELLRANGE">
                      <a:rPr lang="es-419"/>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282-C110-4146-88D1-7D9FAAADAC99}"/>
                </c:ext>
              </c:extLst>
            </c:dLbl>
            <c:dLbl>
              <c:idx val="190"/>
              <c:tx>
                <c:rich>
                  <a:bodyPr/>
                  <a:lstStyle/>
                  <a:p>
                    <a:fld id="{EB7EC8EA-5C16-4A57-9148-49BE8C021DF5}" type="CELLRANGE">
                      <a:rPr lang="es-419"/>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283-C110-4146-88D1-7D9FAAADAC99}"/>
                </c:ext>
              </c:extLst>
            </c:dLbl>
            <c:dLbl>
              <c:idx val="191"/>
              <c:tx>
                <c:rich>
                  <a:bodyPr/>
                  <a:lstStyle/>
                  <a:p>
                    <a:fld id="{5AC3B4FD-DFB1-4B1E-B41B-EE4CFD08A9D6}" type="CELLRANGE">
                      <a:rPr lang="es-419"/>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284-C110-4146-88D1-7D9FAAADAC99}"/>
                </c:ext>
              </c:extLst>
            </c:dLbl>
            <c:dLbl>
              <c:idx val="192"/>
              <c:tx>
                <c:rich>
                  <a:bodyPr/>
                  <a:lstStyle/>
                  <a:p>
                    <a:fld id="{52D9B7C8-A817-4C5C-B120-D9DF43F1A089}" type="CELLRANGE">
                      <a:rPr lang="es-419"/>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285-C110-4146-88D1-7D9FAAADAC99}"/>
                </c:ext>
              </c:extLst>
            </c:dLbl>
            <c:dLbl>
              <c:idx val="193"/>
              <c:tx>
                <c:rich>
                  <a:bodyPr/>
                  <a:lstStyle/>
                  <a:p>
                    <a:fld id="{A32877B9-5908-4D7C-848B-28AB52446F65}" type="CELLRANGE">
                      <a:rPr lang="es-419"/>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286-C110-4146-88D1-7D9FAAADAC99}"/>
                </c:ext>
              </c:extLst>
            </c:dLbl>
            <c:dLbl>
              <c:idx val="194"/>
              <c:tx>
                <c:rich>
                  <a:bodyPr/>
                  <a:lstStyle/>
                  <a:p>
                    <a:fld id="{043FB10C-E0E3-4426-A1D5-B4E54B8D1618}" type="CELLRANGE">
                      <a:rPr lang="es-419"/>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287-C110-4146-88D1-7D9FAAADAC99}"/>
                </c:ext>
              </c:extLst>
            </c:dLbl>
            <c:dLbl>
              <c:idx val="195"/>
              <c:tx>
                <c:rich>
                  <a:bodyPr/>
                  <a:lstStyle/>
                  <a:p>
                    <a:fld id="{F04F2243-110C-41A8-8D54-14FCF7D5E78E}" type="CELLRANGE">
                      <a:rPr lang="es-419"/>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288-C110-4146-88D1-7D9FAAADAC99}"/>
                </c:ext>
              </c:extLst>
            </c:dLbl>
            <c:dLbl>
              <c:idx val="196"/>
              <c:tx>
                <c:rich>
                  <a:bodyPr/>
                  <a:lstStyle/>
                  <a:p>
                    <a:fld id="{1E7005FA-2B32-4E4C-BE85-A92B72035CF2}" type="CELLRANGE">
                      <a:rPr lang="es-419"/>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289-C110-4146-88D1-7D9FAAADAC99}"/>
                </c:ext>
              </c:extLst>
            </c:dLbl>
            <c:dLbl>
              <c:idx val="197"/>
              <c:tx>
                <c:rich>
                  <a:bodyPr/>
                  <a:lstStyle/>
                  <a:p>
                    <a:fld id="{EA2F018B-297F-477D-9890-585CAFBC824C}" type="CELLRANGE">
                      <a:rPr lang="es-419"/>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28A-C110-4146-88D1-7D9FAAADAC99}"/>
                </c:ext>
              </c:extLst>
            </c:dLbl>
            <c:dLbl>
              <c:idx val="198"/>
              <c:tx>
                <c:rich>
                  <a:bodyPr/>
                  <a:lstStyle/>
                  <a:p>
                    <a:fld id="{D9D7F18E-6305-44F6-B552-F98B807E2A77}" type="CELLRANGE">
                      <a:rPr lang="es-419"/>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28B-C110-4146-88D1-7D9FAAADAC99}"/>
                </c:ext>
              </c:extLst>
            </c:dLbl>
            <c:dLbl>
              <c:idx val="199"/>
              <c:tx>
                <c:rich>
                  <a:bodyPr/>
                  <a:lstStyle/>
                  <a:p>
                    <a:fld id="{8AC33A44-05CE-458E-AB2D-3C830484C0F3}" type="CELLRANGE">
                      <a:rPr lang="es-419"/>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28C-C110-4146-88D1-7D9FAAADAC99}"/>
                </c:ext>
              </c:extLst>
            </c:dLbl>
            <c:dLbl>
              <c:idx val="200"/>
              <c:tx>
                <c:rich>
                  <a:bodyPr/>
                  <a:lstStyle/>
                  <a:p>
                    <a:fld id="{8B66D850-5E73-47E6-A6D0-F13C1FB71439}" type="CELLRANGE">
                      <a:rPr lang="es-419"/>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28D-C110-4146-88D1-7D9FAAADAC99}"/>
                </c:ext>
              </c:extLst>
            </c:dLbl>
            <c:dLbl>
              <c:idx val="201"/>
              <c:tx>
                <c:rich>
                  <a:bodyPr/>
                  <a:lstStyle/>
                  <a:p>
                    <a:fld id="{1899E467-F457-42B6-9ED8-527732E8DFD0}" type="CELLRANGE">
                      <a:rPr lang="es-419"/>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28E-C110-4146-88D1-7D9FAAADAC99}"/>
                </c:ext>
              </c:extLst>
            </c:dLbl>
            <c:dLbl>
              <c:idx val="202"/>
              <c:tx>
                <c:rich>
                  <a:bodyPr/>
                  <a:lstStyle/>
                  <a:p>
                    <a:fld id="{80253328-89C3-44A9-975C-233331E012C2}" type="CELLRANGE">
                      <a:rPr lang="es-419"/>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28F-C110-4146-88D1-7D9FAAADAC99}"/>
                </c:ext>
              </c:extLst>
            </c:dLbl>
            <c:dLbl>
              <c:idx val="203"/>
              <c:tx>
                <c:rich>
                  <a:bodyPr/>
                  <a:lstStyle/>
                  <a:p>
                    <a:fld id="{0A58CED4-450B-4314-8985-22943EB2A150}" type="CELLRANGE">
                      <a:rPr lang="es-419"/>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290-C110-4146-88D1-7D9FAAADAC99}"/>
                </c:ext>
              </c:extLst>
            </c:dLbl>
            <c:dLbl>
              <c:idx val="204"/>
              <c:tx>
                <c:rich>
                  <a:bodyPr/>
                  <a:lstStyle/>
                  <a:p>
                    <a:fld id="{72263A1F-1D99-4158-84CD-EBE9EF9BE290}" type="CELLRANGE">
                      <a:rPr lang="es-419"/>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291-C110-4146-88D1-7D9FAAADAC99}"/>
                </c:ext>
              </c:extLst>
            </c:dLbl>
            <c:dLbl>
              <c:idx val="205"/>
              <c:tx>
                <c:rich>
                  <a:bodyPr/>
                  <a:lstStyle/>
                  <a:p>
                    <a:fld id="{91112BB8-A045-4ABE-AF69-7F152DE85DBA}"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92-C110-4146-88D1-7D9FAAADAC99}"/>
                </c:ext>
              </c:extLst>
            </c:dLbl>
            <c:dLbl>
              <c:idx val="206"/>
              <c:tx>
                <c:rich>
                  <a:bodyPr/>
                  <a:lstStyle/>
                  <a:p>
                    <a:fld id="{B811C3C5-C3FD-4AC0-A22D-9ABE315AB657}"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93-C110-4146-88D1-7D9FAAADAC99}"/>
                </c:ext>
              </c:extLst>
            </c:dLbl>
            <c:dLbl>
              <c:idx val="207"/>
              <c:tx>
                <c:rich>
                  <a:bodyPr/>
                  <a:lstStyle/>
                  <a:p>
                    <a:fld id="{797CBE89-32C3-44FA-A39D-D2389FF2D388}"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94-C110-4146-88D1-7D9FAAADAC99}"/>
                </c:ext>
              </c:extLst>
            </c:dLbl>
            <c:dLbl>
              <c:idx val="208"/>
              <c:tx>
                <c:rich>
                  <a:bodyPr/>
                  <a:lstStyle/>
                  <a:p>
                    <a:fld id="{91C1E341-0C8E-4C6A-A749-24C13D7B00CE}"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95-C110-4146-88D1-7D9FAAADAC99}"/>
                </c:ext>
              </c:extLst>
            </c:dLbl>
            <c:dLbl>
              <c:idx val="209"/>
              <c:tx>
                <c:rich>
                  <a:bodyPr/>
                  <a:lstStyle/>
                  <a:p>
                    <a:fld id="{83967DB9-2C76-4BCD-B649-31EC3105562B}"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96-C110-4146-88D1-7D9FAAADAC99}"/>
                </c:ext>
              </c:extLst>
            </c:dLbl>
            <c:dLbl>
              <c:idx val="210"/>
              <c:tx>
                <c:rich>
                  <a:bodyPr/>
                  <a:lstStyle/>
                  <a:p>
                    <a:fld id="{83757871-E897-4E70-9693-DDB9A919E0B5}"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5E-028D-4756-AF5E-8FEDF70BEC81}"/>
                </c:ext>
              </c:extLst>
            </c:dLbl>
            <c:dLbl>
              <c:idx val="211"/>
              <c:tx>
                <c:rich>
                  <a:bodyPr/>
                  <a:lstStyle/>
                  <a:p>
                    <a:fld id="{174EEE41-8744-4C37-B92E-71C4466FC4E7}"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98-C110-4146-88D1-7D9FAAADAC99}"/>
                </c:ext>
              </c:extLst>
            </c:dLbl>
            <c:dLbl>
              <c:idx val="212"/>
              <c:tx>
                <c:rich>
                  <a:bodyPr/>
                  <a:lstStyle/>
                  <a:p>
                    <a:fld id="{C13F3F6B-1209-447D-B614-8F5DB1D205F7}"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99-C110-4146-88D1-7D9FAAADAC99}"/>
                </c:ext>
              </c:extLst>
            </c:dLbl>
            <c:dLbl>
              <c:idx val="213"/>
              <c:tx>
                <c:rich>
                  <a:bodyPr/>
                  <a:lstStyle/>
                  <a:p>
                    <a:fld id="{8EBF67D1-730F-472F-92F3-359F1B4D4E42}"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9A-C110-4146-88D1-7D9FAAADAC99}"/>
                </c:ext>
              </c:extLst>
            </c:dLbl>
            <c:dLbl>
              <c:idx val="214"/>
              <c:tx>
                <c:rich>
                  <a:bodyPr/>
                  <a:lstStyle/>
                  <a:p>
                    <a:fld id="{2940902D-6657-440E-92AA-CE7959122891}"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9B-C110-4146-88D1-7D9FAAADAC99}"/>
                </c:ext>
              </c:extLst>
            </c:dLbl>
            <c:dLbl>
              <c:idx val="215"/>
              <c:tx>
                <c:rich>
                  <a:bodyPr/>
                  <a:lstStyle/>
                  <a:p>
                    <a:fld id="{BB11A418-0B06-418A-AD15-DC9D37557822}"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9C-C110-4146-88D1-7D9FAAADAC99}"/>
                </c:ext>
              </c:extLst>
            </c:dLbl>
            <c:dLbl>
              <c:idx val="216"/>
              <c:tx>
                <c:rich>
                  <a:bodyPr/>
                  <a:lstStyle/>
                  <a:p>
                    <a:fld id="{13BDACD1-6B19-4E28-A25F-248F8B5A4CAA}"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9D-C110-4146-88D1-7D9FAAADAC99}"/>
                </c:ext>
              </c:extLst>
            </c:dLbl>
            <c:dLbl>
              <c:idx val="217"/>
              <c:tx>
                <c:rich>
                  <a:bodyPr/>
                  <a:lstStyle/>
                  <a:p>
                    <a:fld id="{80D63600-FCDB-4A0C-BB33-B003C858B663}"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9E-C110-4146-88D1-7D9FAAADAC99}"/>
                </c:ext>
              </c:extLst>
            </c:dLbl>
            <c:dLbl>
              <c:idx val="218"/>
              <c:tx>
                <c:rich>
                  <a:bodyPr/>
                  <a:lstStyle/>
                  <a:p>
                    <a:fld id="{6D6984AA-7B39-49C9-8588-B554219EDA85}"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9F-C110-4146-88D1-7D9FAAADAC99}"/>
                </c:ext>
              </c:extLst>
            </c:dLbl>
            <c:dLbl>
              <c:idx val="219"/>
              <c:tx>
                <c:rich>
                  <a:bodyPr/>
                  <a:lstStyle/>
                  <a:p>
                    <a:fld id="{A17E86A6-E992-41BE-9824-E282F74F2D5F}"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A0-C110-4146-88D1-7D9FAAADAC99}"/>
                </c:ext>
              </c:extLst>
            </c:dLbl>
            <c:dLbl>
              <c:idx val="220"/>
              <c:tx>
                <c:rich>
                  <a:bodyPr/>
                  <a:lstStyle/>
                  <a:p>
                    <a:fld id="{96D7FDC4-52F9-4B10-A8EA-64AC96456B77}"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A1-C110-4146-88D1-7D9FAAADAC99}"/>
                </c:ext>
              </c:extLst>
            </c:dLbl>
            <c:dLbl>
              <c:idx val="221"/>
              <c:tx>
                <c:rich>
                  <a:bodyPr/>
                  <a:lstStyle/>
                  <a:p>
                    <a:fld id="{1608556C-4245-4EB2-A92A-2477ABA5E2B0}"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A2-C110-4146-88D1-7D9FAAADAC99}"/>
                </c:ext>
              </c:extLst>
            </c:dLbl>
            <c:dLbl>
              <c:idx val="222"/>
              <c:tx>
                <c:rich>
                  <a:bodyPr/>
                  <a:lstStyle/>
                  <a:p>
                    <a:fld id="{91CCFC69-9D2F-4770-9A97-EC5B5D843AD9}"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A3-C110-4146-88D1-7D9FAAADAC99}"/>
                </c:ext>
              </c:extLst>
            </c:dLbl>
            <c:dLbl>
              <c:idx val="223"/>
              <c:tx>
                <c:rich>
                  <a:bodyPr/>
                  <a:lstStyle/>
                  <a:p>
                    <a:fld id="{5D5ED114-C218-4CA8-B1A9-A0BF2D4D3E31}"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A4-C110-4146-88D1-7D9FAAADAC99}"/>
                </c:ext>
              </c:extLst>
            </c:dLbl>
            <c:dLbl>
              <c:idx val="224"/>
              <c:tx>
                <c:rich>
                  <a:bodyPr/>
                  <a:lstStyle/>
                  <a:p>
                    <a:fld id="{DCFC720F-5254-4BC4-A501-F7797555DBE7}"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A5-C110-4146-88D1-7D9FAAADAC99}"/>
                </c:ext>
              </c:extLst>
            </c:dLbl>
            <c:dLbl>
              <c:idx val="225"/>
              <c:tx>
                <c:rich>
                  <a:bodyPr/>
                  <a:lstStyle/>
                  <a:p>
                    <a:fld id="{2917D384-9C81-4570-8B32-EFCCCA9A9F55}"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A6-C110-4146-88D1-7D9FAAADAC99}"/>
                </c:ext>
              </c:extLst>
            </c:dLbl>
            <c:dLbl>
              <c:idx val="226"/>
              <c:tx>
                <c:rich>
                  <a:bodyPr/>
                  <a:lstStyle/>
                  <a:p>
                    <a:fld id="{60106D41-6D0E-4255-8A19-9D6FFFF1C927}"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A7-C110-4146-88D1-7D9FAAADAC99}"/>
                </c:ext>
              </c:extLst>
            </c:dLbl>
            <c:dLbl>
              <c:idx val="227"/>
              <c:tx>
                <c:rich>
                  <a:bodyPr/>
                  <a:lstStyle/>
                  <a:p>
                    <a:fld id="{9CFC1496-CD47-43BA-B9C8-05254834369C}"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A8-C110-4146-88D1-7D9FAAADAC99}"/>
                </c:ext>
              </c:extLst>
            </c:dLbl>
            <c:dLbl>
              <c:idx val="228"/>
              <c:tx>
                <c:rich>
                  <a:bodyPr/>
                  <a:lstStyle/>
                  <a:p>
                    <a:fld id="{DCB0B468-976A-4E16-B751-1D3DFF5E16B5}"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A9-C110-4146-88D1-7D9FAAADAC99}"/>
                </c:ext>
              </c:extLst>
            </c:dLbl>
            <c:dLbl>
              <c:idx val="229"/>
              <c:tx>
                <c:rich>
                  <a:bodyPr/>
                  <a:lstStyle/>
                  <a:p>
                    <a:fld id="{74BB53A4-B119-4B44-B5E1-FB86CD20412E}"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AA-C110-4146-88D1-7D9FAAADAC99}"/>
                </c:ext>
              </c:extLst>
            </c:dLbl>
            <c:dLbl>
              <c:idx val="230"/>
              <c:tx>
                <c:rich>
                  <a:bodyPr/>
                  <a:lstStyle/>
                  <a:p>
                    <a:fld id="{89798B40-D02F-4E05-9BC4-560FECDC7BB8}"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AB-C110-4146-88D1-7D9FAAADAC99}"/>
                </c:ext>
              </c:extLst>
            </c:dLbl>
            <c:dLbl>
              <c:idx val="231"/>
              <c:tx>
                <c:rich>
                  <a:bodyPr/>
                  <a:lstStyle/>
                  <a:p>
                    <a:fld id="{D8549A73-9CB3-4696-B044-240141FA11E1}"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AC-C110-4146-88D1-7D9FAAADAC99}"/>
                </c:ext>
              </c:extLst>
            </c:dLbl>
            <c:dLbl>
              <c:idx val="232"/>
              <c:tx>
                <c:rich>
                  <a:bodyPr/>
                  <a:lstStyle/>
                  <a:p>
                    <a:fld id="{2EF189DF-1519-470F-82AE-5F5453FCAFEC}"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AD-C110-4146-88D1-7D9FAAADAC99}"/>
                </c:ext>
              </c:extLst>
            </c:dLbl>
            <c:dLbl>
              <c:idx val="233"/>
              <c:tx>
                <c:rich>
                  <a:bodyPr/>
                  <a:lstStyle/>
                  <a:p>
                    <a:fld id="{8401C361-3558-45E2-98B8-8C72F299AF31}"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AE-C110-4146-88D1-7D9FAAADAC99}"/>
                </c:ext>
              </c:extLst>
            </c:dLbl>
            <c:dLbl>
              <c:idx val="234"/>
              <c:tx>
                <c:rich>
                  <a:bodyPr/>
                  <a:lstStyle/>
                  <a:p>
                    <a:fld id="{DC8E2C22-68D4-47E7-8BC3-0470D0811A79}"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AF-C110-4146-88D1-7D9FAAADAC99}"/>
                </c:ext>
              </c:extLst>
            </c:dLbl>
            <c:dLbl>
              <c:idx val="235"/>
              <c:tx>
                <c:rich>
                  <a:bodyPr/>
                  <a:lstStyle/>
                  <a:p>
                    <a:fld id="{EFF67801-C846-4A6F-961F-56B62857152D}"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B0-C110-4146-88D1-7D9FAAADAC99}"/>
                </c:ext>
              </c:extLst>
            </c:dLbl>
            <c:dLbl>
              <c:idx val="236"/>
              <c:tx>
                <c:rich>
                  <a:bodyPr/>
                  <a:lstStyle/>
                  <a:p>
                    <a:fld id="{BD6E553D-BBCD-47FD-A8A6-78324D299D08}"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B1-C110-4146-88D1-7D9FAAADAC99}"/>
                </c:ext>
              </c:extLst>
            </c:dLbl>
            <c:dLbl>
              <c:idx val="237"/>
              <c:tx>
                <c:rich>
                  <a:bodyPr/>
                  <a:lstStyle/>
                  <a:p>
                    <a:fld id="{ED74AFBB-31B5-4AC1-B4F8-09FC954CF736}"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B2-C110-4146-88D1-7D9FAAADAC99}"/>
                </c:ext>
              </c:extLst>
            </c:dLbl>
            <c:dLbl>
              <c:idx val="238"/>
              <c:tx>
                <c:rich>
                  <a:bodyPr/>
                  <a:lstStyle/>
                  <a:p>
                    <a:fld id="{9E39D14C-097E-4D68-91ED-1EC3A9251A1B}"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B3-C110-4146-88D1-7D9FAAADAC99}"/>
                </c:ext>
              </c:extLst>
            </c:dLbl>
            <c:dLbl>
              <c:idx val="239"/>
              <c:tx>
                <c:rich>
                  <a:bodyPr/>
                  <a:lstStyle/>
                  <a:p>
                    <a:fld id="{6B3DE453-E802-4FF5-9653-C1F894549332}"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B4-C110-4146-88D1-7D9FAAADAC99}"/>
                </c:ext>
              </c:extLst>
            </c:dLbl>
            <c:dLbl>
              <c:idx val="240"/>
              <c:tx>
                <c:rich>
                  <a:bodyPr/>
                  <a:lstStyle/>
                  <a:p>
                    <a:fld id="{12E0A1C1-7810-4B1A-B184-14CDC1279B31}"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B5-C110-4146-88D1-7D9FAAADAC99}"/>
                </c:ext>
              </c:extLst>
            </c:dLbl>
            <c:dLbl>
              <c:idx val="241"/>
              <c:tx>
                <c:rich>
                  <a:bodyPr/>
                  <a:lstStyle/>
                  <a:p>
                    <a:fld id="{032A00D3-AEE1-4734-84A6-B67EA177F4AA}"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B6-C110-4146-88D1-7D9FAAADAC99}"/>
                </c:ext>
              </c:extLst>
            </c:dLbl>
            <c:dLbl>
              <c:idx val="242"/>
              <c:tx>
                <c:rich>
                  <a:bodyPr/>
                  <a:lstStyle/>
                  <a:p>
                    <a:fld id="{CBBFB71E-C13B-44FB-BECC-8D044C32CE52}"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B7-C110-4146-88D1-7D9FAAADAC99}"/>
                </c:ext>
              </c:extLst>
            </c:dLbl>
            <c:dLbl>
              <c:idx val="243"/>
              <c:tx>
                <c:rich>
                  <a:bodyPr/>
                  <a:lstStyle/>
                  <a:p>
                    <a:fld id="{61481C05-18EB-43FF-A9AA-8D5367BBED1F}"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B8-C110-4146-88D1-7D9FAAADAC99}"/>
                </c:ext>
              </c:extLst>
            </c:dLbl>
            <c:dLbl>
              <c:idx val="244"/>
              <c:tx>
                <c:rich>
                  <a:bodyPr/>
                  <a:lstStyle/>
                  <a:p>
                    <a:fld id="{F3EBFA5E-645E-4026-8F89-663E5E84B0BE}"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5F-028D-4756-AF5E-8FEDF70BEC81}"/>
                </c:ext>
              </c:extLst>
            </c:dLbl>
            <c:dLbl>
              <c:idx val="245"/>
              <c:tx>
                <c:rich>
                  <a:bodyPr/>
                  <a:lstStyle/>
                  <a:p>
                    <a:fld id="{769E691B-4DE9-473D-BC49-AF8259390D2C}"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BA-C110-4146-88D1-7D9FAAADAC99}"/>
                </c:ext>
              </c:extLst>
            </c:dLbl>
            <c:dLbl>
              <c:idx val="246"/>
              <c:tx>
                <c:rich>
                  <a:bodyPr/>
                  <a:lstStyle/>
                  <a:p>
                    <a:fld id="{84A9309F-26FC-4A7F-89FB-2192D3BE8FFE}"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BB-C110-4146-88D1-7D9FAAADAC99}"/>
                </c:ext>
              </c:extLst>
            </c:dLbl>
            <c:dLbl>
              <c:idx val="247"/>
              <c:tx>
                <c:rich>
                  <a:bodyPr/>
                  <a:lstStyle/>
                  <a:p>
                    <a:fld id="{410DB525-A20B-4AA9-AC73-F04E225D4BB0}"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BC-C110-4146-88D1-7D9FAAADAC99}"/>
                </c:ext>
              </c:extLst>
            </c:dLbl>
            <c:dLbl>
              <c:idx val="248"/>
              <c:tx>
                <c:rich>
                  <a:bodyPr/>
                  <a:lstStyle/>
                  <a:p>
                    <a:fld id="{7358DA12-C62F-4E41-ADDC-ED3803FA173E}"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BD-C110-4146-88D1-7D9FAAADAC99}"/>
                </c:ext>
              </c:extLst>
            </c:dLbl>
            <c:dLbl>
              <c:idx val="249"/>
              <c:tx>
                <c:rich>
                  <a:bodyPr/>
                  <a:lstStyle/>
                  <a:p>
                    <a:fld id="{FFC9EA6F-1B52-4493-B4A9-02F6A868F92E}"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BE-C110-4146-88D1-7D9FAAADAC99}"/>
                </c:ext>
              </c:extLst>
            </c:dLbl>
            <c:dLbl>
              <c:idx val="250"/>
              <c:tx>
                <c:rich>
                  <a:bodyPr/>
                  <a:lstStyle/>
                  <a:p>
                    <a:fld id="{F794AC65-EA94-4561-ABB9-A3092C8A4D57}"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BF-C110-4146-88D1-7D9FAAADAC99}"/>
                </c:ext>
              </c:extLst>
            </c:dLbl>
            <c:dLbl>
              <c:idx val="251"/>
              <c:tx>
                <c:rich>
                  <a:bodyPr/>
                  <a:lstStyle/>
                  <a:p>
                    <a:fld id="{6A48292B-1206-4CC0-94B1-96EA38541525}"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C0-C110-4146-88D1-7D9FAAADAC99}"/>
                </c:ext>
              </c:extLst>
            </c:dLbl>
            <c:dLbl>
              <c:idx val="252"/>
              <c:tx>
                <c:rich>
                  <a:bodyPr/>
                  <a:lstStyle/>
                  <a:p>
                    <a:fld id="{6BC6DA78-5C6D-4A3A-B43E-6215292CAA75}"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C1-C110-4146-88D1-7D9FAAADAC99}"/>
                </c:ext>
              </c:extLst>
            </c:dLbl>
            <c:dLbl>
              <c:idx val="253"/>
              <c:tx>
                <c:rich>
                  <a:bodyPr/>
                  <a:lstStyle/>
                  <a:p>
                    <a:fld id="{28A9B533-6659-460D-9182-D2A69B10ACE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C2-C110-4146-88D1-7D9FAAADAC99}"/>
                </c:ext>
              </c:extLst>
            </c:dLbl>
            <c:dLbl>
              <c:idx val="254"/>
              <c:tx>
                <c:rich>
                  <a:bodyPr/>
                  <a:lstStyle/>
                  <a:p>
                    <a:fld id="{43E273F8-2B28-460A-89A6-AAE093F6AF4B}"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C3-C110-4146-88D1-7D9FAAADAC99}"/>
                </c:ext>
              </c:extLst>
            </c:dLbl>
            <c:dLbl>
              <c:idx val="255"/>
              <c:tx>
                <c:rich>
                  <a:bodyPr/>
                  <a:lstStyle/>
                  <a:p>
                    <a:fld id="{A3DE8F8C-22F2-49F4-873E-F05B9ED8B8FF}"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C4-C110-4146-88D1-7D9FAAADAC99}"/>
                </c:ext>
              </c:extLst>
            </c:dLbl>
            <c:dLbl>
              <c:idx val="256"/>
              <c:tx>
                <c:rich>
                  <a:bodyPr/>
                  <a:lstStyle/>
                  <a:p>
                    <a:fld id="{9F7F9F88-5230-4444-944C-EACCF62FD7E9}"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C5-C110-4146-88D1-7D9FAAADAC99}"/>
                </c:ext>
              </c:extLst>
            </c:dLbl>
            <c:dLbl>
              <c:idx val="257"/>
              <c:tx>
                <c:rich>
                  <a:bodyPr/>
                  <a:lstStyle/>
                  <a:p>
                    <a:fld id="{8BED86AA-85FD-4BEE-ABBD-CDE48708CE3D}"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C6-C110-4146-88D1-7D9FAAADAC99}"/>
                </c:ext>
              </c:extLst>
            </c:dLbl>
            <c:dLbl>
              <c:idx val="258"/>
              <c:tx>
                <c:rich>
                  <a:bodyPr/>
                  <a:lstStyle/>
                  <a:p>
                    <a:fld id="{C61EC3D2-4694-4ABA-ABAB-214648CEFD4B}"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C7-C110-4146-88D1-7D9FAAADAC99}"/>
                </c:ext>
              </c:extLst>
            </c:dLbl>
            <c:dLbl>
              <c:idx val="259"/>
              <c:tx>
                <c:rich>
                  <a:bodyPr/>
                  <a:lstStyle/>
                  <a:p>
                    <a:fld id="{48E10E55-59D6-461A-9308-EF9022F60220}"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C8-C110-4146-88D1-7D9FAAADAC99}"/>
                </c:ext>
              </c:extLst>
            </c:dLbl>
            <c:dLbl>
              <c:idx val="260"/>
              <c:tx>
                <c:rich>
                  <a:bodyPr/>
                  <a:lstStyle/>
                  <a:p>
                    <a:fld id="{03648716-E1BE-4A9F-BAE2-5C8CBD94CCF2}"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C9-C110-4146-88D1-7D9FAAADAC99}"/>
                </c:ext>
              </c:extLst>
            </c:dLbl>
            <c:dLbl>
              <c:idx val="261"/>
              <c:tx>
                <c:rich>
                  <a:bodyPr/>
                  <a:lstStyle/>
                  <a:p>
                    <a:fld id="{1AD80BC0-0EAD-42E0-8D51-6587CC970025}"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CA-C110-4146-88D1-7D9FAAADAC99}"/>
                </c:ext>
              </c:extLst>
            </c:dLbl>
            <c:dLbl>
              <c:idx val="262"/>
              <c:tx>
                <c:rich>
                  <a:bodyPr/>
                  <a:lstStyle/>
                  <a:p>
                    <a:fld id="{23FAB17B-FAF3-4D09-BEAF-038ABAC33D10}"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60-028D-4756-AF5E-8FEDF70BEC81}"/>
                </c:ext>
              </c:extLst>
            </c:dLbl>
            <c:dLbl>
              <c:idx val="263"/>
              <c:tx>
                <c:rich>
                  <a:bodyPr/>
                  <a:lstStyle/>
                  <a:p>
                    <a:fld id="{8B30E230-135E-46B7-888C-E2E99DBAB455}"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CC-C110-4146-88D1-7D9FAAADAC99}"/>
                </c:ext>
              </c:extLst>
            </c:dLbl>
            <c:dLbl>
              <c:idx val="264"/>
              <c:tx>
                <c:rich>
                  <a:bodyPr/>
                  <a:lstStyle/>
                  <a:p>
                    <a:fld id="{38901EB4-BBD3-464E-8D98-23D1251B1487}"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CD-C110-4146-88D1-7D9FAAADAC99}"/>
                </c:ext>
              </c:extLst>
            </c:dLbl>
            <c:dLbl>
              <c:idx val="265"/>
              <c:tx>
                <c:rich>
                  <a:bodyPr/>
                  <a:lstStyle/>
                  <a:p>
                    <a:fld id="{95C4E07E-A4FD-4107-83D8-13057E44D637}"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CE-C110-4146-88D1-7D9FAAADAC99}"/>
                </c:ext>
              </c:extLst>
            </c:dLbl>
            <c:dLbl>
              <c:idx val="266"/>
              <c:tx>
                <c:rich>
                  <a:bodyPr/>
                  <a:lstStyle/>
                  <a:p>
                    <a:fld id="{0B972EBA-31CA-44BF-A7A3-D4BE5908DF0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CF-C110-4146-88D1-7D9FAAADAC99}"/>
                </c:ext>
              </c:extLst>
            </c:dLbl>
            <c:dLbl>
              <c:idx val="267"/>
              <c:tx>
                <c:rich>
                  <a:bodyPr/>
                  <a:lstStyle/>
                  <a:p>
                    <a:fld id="{D4BDF18A-24F1-49D9-A141-608FB47A2283}"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D0-C110-4146-88D1-7D9FAAADAC99}"/>
                </c:ext>
              </c:extLst>
            </c:dLbl>
            <c:dLbl>
              <c:idx val="268"/>
              <c:tx>
                <c:rich>
                  <a:bodyPr/>
                  <a:lstStyle/>
                  <a:p>
                    <a:fld id="{9C1DDFD8-D0DC-4BAC-BF58-5AB98110785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D1-C110-4146-88D1-7D9FAAADAC99}"/>
                </c:ext>
              </c:extLst>
            </c:dLbl>
            <c:dLbl>
              <c:idx val="269"/>
              <c:tx>
                <c:rich>
                  <a:bodyPr/>
                  <a:lstStyle/>
                  <a:p>
                    <a:fld id="{678C8BDD-9D3E-4376-9ECD-491FA1E8AE86}"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D2-C110-4146-88D1-7D9FAAADAC99}"/>
                </c:ext>
              </c:extLst>
            </c:dLbl>
            <c:dLbl>
              <c:idx val="270"/>
              <c:tx>
                <c:rich>
                  <a:bodyPr/>
                  <a:lstStyle/>
                  <a:p>
                    <a:fld id="{4894F863-2614-45D5-962B-F1593F0E819F}"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D3-C110-4146-88D1-7D9FAAADAC99}"/>
                </c:ext>
              </c:extLst>
            </c:dLbl>
            <c:dLbl>
              <c:idx val="271"/>
              <c:tx>
                <c:rich>
                  <a:bodyPr/>
                  <a:lstStyle/>
                  <a:p>
                    <a:fld id="{03929097-9EE4-4E72-B361-0755160F22CF}"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D4-C110-4146-88D1-7D9FAAADAC99}"/>
                </c:ext>
              </c:extLst>
            </c:dLbl>
            <c:dLbl>
              <c:idx val="272"/>
              <c:tx>
                <c:rich>
                  <a:bodyPr/>
                  <a:lstStyle/>
                  <a:p>
                    <a:fld id="{1E7227AA-6FCB-4024-B750-D29AD075533A}"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D5-C110-4146-88D1-7D9FAAADAC99}"/>
                </c:ext>
              </c:extLst>
            </c:dLbl>
            <c:dLbl>
              <c:idx val="273"/>
              <c:tx>
                <c:rich>
                  <a:bodyPr/>
                  <a:lstStyle/>
                  <a:p>
                    <a:fld id="{C411A019-8696-4259-8748-CF12617CEA26}"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D6-C110-4146-88D1-7D9FAAADAC99}"/>
                </c:ext>
              </c:extLst>
            </c:dLbl>
            <c:dLbl>
              <c:idx val="274"/>
              <c:tx>
                <c:rich>
                  <a:bodyPr/>
                  <a:lstStyle/>
                  <a:p>
                    <a:fld id="{CDF08E4F-69E0-42D5-9E77-282A23D37245}"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D7-C110-4146-88D1-7D9FAAADAC99}"/>
                </c:ext>
              </c:extLst>
            </c:dLbl>
            <c:dLbl>
              <c:idx val="275"/>
              <c:tx>
                <c:rich>
                  <a:bodyPr/>
                  <a:lstStyle/>
                  <a:p>
                    <a:fld id="{69D0ED20-E76F-4BC3-BF28-7497EF1A5605}"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D8-C110-4146-88D1-7D9FAAADAC99}"/>
                </c:ext>
              </c:extLst>
            </c:dLbl>
            <c:dLbl>
              <c:idx val="276"/>
              <c:tx>
                <c:rich>
                  <a:bodyPr/>
                  <a:lstStyle/>
                  <a:p>
                    <a:fld id="{F4BF2F4F-CEE7-4305-ADF2-BF9B764920CE}"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D9-C110-4146-88D1-7D9FAAADAC99}"/>
                </c:ext>
              </c:extLst>
            </c:dLbl>
            <c:dLbl>
              <c:idx val="277"/>
              <c:tx>
                <c:rich>
                  <a:bodyPr/>
                  <a:lstStyle/>
                  <a:p>
                    <a:fld id="{B3489741-33E7-469F-B430-1A7378A2DA4F}"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DA-C110-4146-88D1-7D9FAAADAC99}"/>
                </c:ext>
              </c:extLst>
            </c:dLbl>
            <c:dLbl>
              <c:idx val="278"/>
              <c:tx>
                <c:rich>
                  <a:bodyPr/>
                  <a:lstStyle/>
                  <a:p>
                    <a:fld id="{097411AA-45EF-45AA-991D-096E1455FF23}"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DB-C110-4146-88D1-7D9FAAADAC99}"/>
                </c:ext>
              </c:extLst>
            </c:dLbl>
            <c:dLbl>
              <c:idx val="279"/>
              <c:tx>
                <c:rich>
                  <a:bodyPr/>
                  <a:lstStyle/>
                  <a:p>
                    <a:fld id="{34F28539-A752-42E6-AA06-68286AFE703E}"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DC-C110-4146-88D1-7D9FAAADAC99}"/>
                </c:ext>
              </c:extLst>
            </c:dLbl>
            <c:dLbl>
              <c:idx val="280"/>
              <c:tx>
                <c:rich>
                  <a:bodyPr/>
                  <a:lstStyle/>
                  <a:p>
                    <a:fld id="{0B80DDCE-BEB5-4A09-A0ED-0C1349EA1992}"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DD-C110-4146-88D1-7D9FAAADAC99}"/>
                </c:ext>
              </c:extLst>
            </c:dLbl>
            <c:dLbl>
              <c:idx val="281"/>
              <c:tx>
                <c:rich>
                  <a:bodyPr/>
                  <a:lstStyle/>
                  <a:p>
                    <a:fld id="{BBE05DAF-0500-4E03-8F28-CF18F5423DDE}"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DE-C110-4146-88D1-7D9FAAADAC99}"/>
                </c:ext>
              </c:extLst>
            </c:dLbl>
            <c:dLbl>
              <c:idx val="282"/>
              <c:tx>
                <c:rich>
                  <a:bodyPr/>
                  <a:lstStyle/>
                  <a:p>
                    <a:fld id="{E18206A7-7A0A-45B3-B44F-606FAE54C508}"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DF-C110-4146-88D1-7D9FAAADAC99}"/>
                </c:ext>
              </c:extLst>
            </c:dLbl>
            <c:dLbl>
              <c:idx val="283"/>
              <c:tx>
                <c:rich>
                  <a:bodyPr/>
                  <a:lstStyle/>
                  <a:p>
                    <a:fld id="{4C553D92-C07C-4F87-8C08-1AE8CF53DF30}"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E0-C110-4146-88D1-7D9FAAADAC99}"/>
                </c:ext>
              </c:extLst>
            </c:dLbl>
            <c:dLbl>
              <c:idx val="284"/>
              <c:tx>
                <c:rich>
                  <a:bodyPr/>
                  <a:lstStyle/>
                  <a:p>
                    <a:fld id="{94D9885C-E9A5-48DB-8504-F77F8420987D}"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E1-C110-4146-88D1-7D9FAAADAC99}"/>
                </c:ext>
              </c:extLst>
            </c:dLbl>
            <c:dLbl>
              <c:idx val="285"/>
              <c:tx>
                <c:rich>
                  <a:bodyPr/>
                  <a:lstStyle/>
                  <a:p>
                    <a:fld id="{92C2C197-9F0F-4F57-9BB9-09333CA9776D}"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E2-C110-4146-88D1-7D9FAAADAC99}"/>
                </c:ext>
              </c:extLst>
            </c:dLbl>
            <c:dLbl>
              <c:idx val="286"/>
              <c:tx>
                <c:rich>
                  <a:bodyPr/>
                  <a:lstStyle/>
                  <a:p>
                    <a:fld id="{7423A96E-D8CC-47DE-851A-56A1637BFDC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E3-C110-4146-88D1-7D9FAAADAC99}"/>
                </c:ext>
              </c:extLst>
            </c:dLbl>
            <c:dLbl>
              <c:idx val="287"/>
              <c:tx>
                <c:rich>
                  <a:bodyPr/>
                  <a:lstStyle/>
                  <a:p>
                    <a:fld id="{9F92E632-B648-4780-8329-D083E3F5B4AA}"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E4-C110-4146-88D1-7D9FAAADAC99}"/>
                </c:ext>
              </c:extLst>
            </c:dLbl>
            <c:dLbl>
              <c:idx val="288"/>
              <c:tx>
                <c:rich>
                  <a:bodyPr/>
                  <a:lstStyle/>
                  <a:p>
                    <a:fld id="{A5AD68C5-9A5A-480F-B256-74230779A2B6}"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E5-C110-4146-88D1-7D9FAAADAC99}"/>
                </c:ext>
              </c:extLst>
            </c:dLbl>
            <c:dLbl>
              <c:idx val="289"/>
              <c:tx>
                <c:rich>
                  <a:bodyPr/>
                  <a:lstStyle/>
                  <a:p>
                    <a:fld id="{607B8B5D-E3BD-44AF-9EEF-37390B61C299}"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E6-C110-4146-88D1-7D9FAAADAC99}"/>
                </c:ext>
              </c:extLst>
            </c:dLbl>
            <c:dLbl>
              <c:idx val="290"/>
              <c:tx>
                <c:rich>
                  <a:bodyPr/>
                  <a:lstStyle/>
                  <a:p>
                    <a:fld id="{FF60FC54-2893-4B18-980B-5B4EBE59A612}"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E7-C110-4146-88D1-7D9FAAADAC99}"/>
                </c:ext>
              </c:extLst>
            </c:dLbl>
            <c:dLbl>
              <c:idx val="291"/>
              <c:tx>
                <c:rich>
                  <a:bodyPr/>
                  <a:lstStyle/>
                  <a:p>
                    <a:fld id="{A39435CE-D59B-4843-BFA5-2BD190D26EF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E8-C110-4146-88D1-7D9FAAADAC99}"/>
                </c:ext>
              </c:extLst>
            </c:dLbl>
            <c:dLbl>
              <c:idx val="292"/>
              <c:tx>
                <c:rich>
                  <a:bodyPr/>
                  <a:lstStyle/>
                  <a:p>
                    <a:fld id="{61373D91-6D6F-4CB3-A230-0769FCBED503}"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E9-C110-4146-88D1-7D9FAAADAC99}"/>
                </c:ext>
              </c:extLst>
            </c:dLbl>
            <c:dLbl>
              <c:idx val="293"/>
              <c:tx>
                <c:rich>
                  <a:bodyPr/>
                  <a:lstStyle/>
                  <a:p>
                    <a:fld id="{34137C2A-9731-4207-8D06-008CEF1C6B66}"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EA-C110-4146-88D1-7D9FAAADAC99}"/>
                </c:ext>
              </c:extLst>
            </c:dLbl>
            <c:dLbl>
              <c:idx val="294"/>
              <c:tx>
                <c:rich>
                  <a:bodyPr/>
                  <a:lstStyle/>
                  <a:p>
                    <a:fld id="{7207C605-AEAC-452C-96A1-78787AA0851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EB-C110-4146-88D1-7D9FAAADAC99}"/>
                </c:ext>
              </c:extLst>
            </c:dLbl>
            <c:dLbl>
              <c:idx val="295"/>
              <c:tx>
                <c:rich>
                  <a:bodyPr/>
                  <a:lstStyle/>
                  <a:p>
                    <a:fld id="{7CEC8DDB-BF1E-4167-BE76-3F9EFBAD6728}"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EC-C110-4146-88D1-7D9FAAADAC99}"/>
                </c:ext>
              </c:extLst>
            </c:dLbl>
            <c:dLbl>
              <c:idx val="296"/>
              <c:tx>
                <c:rich>
                  <a:bodyPr/>
                  <a:lstStyle/>
                  <a:p>
                    <a:fld id="{21DF32AD-631F-43EB-810C-09E50EA7B249}"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ED-C110-4146-88D1-7D9FAAADAC99}"/>
                </c:ext>
              </c:extLst>
            </c:dLbl>
            <c:dLbl>
              <c:idx val="297"/>
              <c:tx>
                <c:rich>
                  <a:bodyPr/>
                  <a:lstStyle/>
                  <a:p>
                    <a:fld id="{17673FF2-BAA5-4F37-8F8B-47599C19DE6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EE-C110-4146-88D1-7D9FAAADAC99}"/>
                </c:ext>
              </c:extLst>
            </c:dLbl>
            <c:dLbl>
              <c:idx val="298"/>
              <c:tx>
                <c:rich>
                  <a:bodyPr/>
                  <a:lstStyle/>
                  <a:p>
                    <a:fld id="{CEC72842-6B5C-4C93-8521-073861B72B48}"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EF-C110-4146-88D1-7D9FAAADAC99}"/>
                </c:ext>
              </c:extLst>
            </c:dLbl>
            <c:dLbl>
              <c:idx val="299"/>
              <c:tx>
                <c:rich>
                  <a:bodyPr/>
                  <a:lstStyle/>
                  <a:p>
                    <a:fld id="{4CBCE8A3-4D55-4398-8D5B-5C52174001B3}"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F0-C110-4146-88D1-7D9FAAADAC99}"/>
                </c:ext>
              </c:extLst>
            </c:dLbl>
            <c:dLbl>
              <c:idx val="300"/>
              <c:tx>
                <c:rich>
                  <a:bodyPr/>
                  <a:lstStyle/>
                  <a:p>
                    <a:fld id="{752624C3-E854-4D58-872A-54C7C05FAF3F}"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F1-C110-4146-88D1-7D9FAAADAC99}"/>
                </c:ext>
              </c:extLst>
            </c:dLbl>
            <c:dLbl>
              <c:idx val="301"/>
              <c:tx>
                <c:rich>
                  <a:bodyPr/>
                  <a:lstStyle/>
                  <a:p>
                    <a:fld id="{131F4B16-14A7-417F-8AFC-38897FACEEEE}"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F2-C110-4146-88D1-7D9FAAADAC99}"/>
                </c:ext>
              </c:extLst>
            </c:dLbl>
            <c:dLbl>
              <c:idx val="302"/>
              <c:tx>
                <c:rich>
                  <a:bodyPr/>
                  <a:lstStyle/>
                  <a:p>
                    <a:fld id="{CA31EAEE-2016-4074-B6FA-0F947C504E2B}"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F3-C110-4146-88D1-7D9FAAADAC99}"/>
                </c:ext>
              </c:extLst>
            </c:dLbl>
            <c:dLbl>
              <c:idx val="303"/>
              <c:tx>
                <c:rich>
                  <a:bodyPr/>
                  <a:lstStyle/>
                  <a:p>
                    <a:fld id="{1731F56A-B428-414B-B512-596CE7D0E3F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F4-C110-4146-88D1-7D9FAAADAC99}"/>
                </c:ext>
              </c:extLst>
            </c:dLbl>
            <c:dLbl>
              <c:idx val="304"/>
              <c:tx>
                <c:rich>
                  <a:bodyPr/>
                  <a:lstStyle/>
                  <a:p>
                    <a:fld id="{9C430803-68CB-4988-9DA8-16067BA93057}"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F5-C110-4146-88D1-7D9FAAADAC99}"/>
                </c:ext>
              </c:extLst>
            </c:dLbl>
            <c:dLbl>
              <c:idx val="305"/>
              <c:tx>
                <c:rich>
                  <a:bodyPr/>
                  <a:lstStyle/>
                  <a:p>
                    <a:fld id="{4A401468-7399-449E-8AE4-95E6EF19F70E}"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F6-C110-4146-88D1-7D9FAAADAC99}"/>
                </c:ext>
              </c:extLst>
            </c:dLbl>
            <c:dLbl>
              <c:idx val="306"/>
              <c:tx>
                <c:rich>
                  <a:bodyPr/>
                  <a:lstStyle/>
                  <a:p>
                    <a:fld id="{4EAA1AC4-74B2-4999-98EE-277D3BEC1922}"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F7-C110-4146-88D1-7D9FAAADAC99}"/>
                </c:ext>
              </c:extLst>
            </c:dLbl>
            <c:dLbl>
              <c:idx val="307"/>
              <c:tx>
                <c:rich>
                  <a:bodyPr/>
                  <a:lstStyle/>
                  <a:p>
                    <a:fld id="{C3B1A2D4-4C0F-4CE3-84FC-E3D48EF7C912}"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F8-C110-4146-88D1-7D9FAAADAC99}"/>
                </c:ext>
              </c:extLst>
            </c:dLbl>
            <c:dLbl>
              <c:idx val="308"/>
              <c:tx>
                <c:rich>
                  <a:bodyPr/>
                  <a:lstStyle/>
                  <a:p>
                    <a:fld id="{0E2F3144-97BC-4380-9E58-7BAFAE4DF28A}"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F9-C110-4146-88D1-7D9FAAADAC99}"/>
                </c:ext>
              </c:extLst>
            </c:dLbl>
            <c:dLbl>
              <c:idx val="309"/>
              <c:tx>
                <c:rich>
                  <a:bodyPr/>
                  <a:lstStyle/>
                  <a:p>
                    <a:fld id="{953AA9A6-7BB2-40E3-B96A-DF9BEE2A84C2}"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FA-C110-4146-88D1-7D9FAAADAC99}"/>
                </c:ext>
              </c:extLst>
            </c:dLbl>
            <c:dLbl>
              <c:idx val="310"/>
              <c:tx>
                <c:rich>
                  <a:bodyPr/>
                  <a:lstStyle/>
                  <a:p>
                    <a:fld id="{DBB8E5CF-A1B2-45CF-85D3-0E58BD51022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FB-C110-4146-88D1-7D9FAAADAC99}"/>
                </c:ext>
              </c:extLst>
            </c:dLbl>
            <c:dLbl>
              <c:idx val="311"/>
              <c:tx>
                <c:rich>
                  <a:bodyPr/>
                  <a:lstStyle/>
                  <a:p>
                    <a:fld id="{2FF6ECD2-ECB3-45E3-9E8C-548CCD4A99C5}"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FC-C110-4146-88D1-7D9FAAADAC99}"/>
                </c:ext>
              </c:extLst>
            </c:dLbl>
            <c:dLbl>
              <c:idx val="312"/>
              <c:tx>
                <c:rich>
                  <a:bodyPr/>
                  <a:lstStyle/>
                  <a:p>
                    <a:fld id="{5DD0F3A5-31B6-4D2E-A871-75F9DD63E2B2}"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FD-C110-4146-88D1-7D9FAAADAC99}"/>
                </c:ext>
              </c:extLst>
            </c:dLbl>
            <c:dLbl>
              <c:idx val="313"/>
              <c:tx>
                <c:rich>
                  <a:bodyPr/>
                  <a:lstStyle/>
                  <a:p>
                    <a:fld id="{5BFEC845-0E0E-4EFC-99DD-245DF5FDE083}"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FE-C110-4146-88D1-7D9FAAADAC99}"/>
                </c:ext>
              </c:extLst>
            </c:dLbl>
            <c:dLbl>
              <c:idx val="314"/>
              <c:tx>
                <c:rich>
                  <a:bodyPr/>
                  <a:lstStyle/>
                  <a:p>
                    <a:fld id="{37A77FAD-DAC0-4DCB-A48A-D70A75C539F7}"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2FF-C110-4146-88D1-7D9FAAADAC99}"/>
                </c:ext>
              </c:extLst>
            </c:dLbl>
            <c:dLbl>
              <c:idx val="315"/>
              <c:tx>
                <c:rich>
                  <a:bodyPr/>
                  <a:lstStyle/>
                  <a:p>
                    <a:fld id="{4A4EA0DF-3DB2-4BBD-98F1-8245554564AC}"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00-C110-4146-88D1-7D9FAAADAC99}"/>
                </c:ext>
              </c:extLst>
            </c:dLbl>
            <c:dLbl>
              <c:idx val="316"/>
              <c:tx>
                <c:rich>
                  <a:bodyPr/>
                  <a:lstStyle/>
                  <a:p>
                    <a:fld id="{D4FD3B65-7F74-4645-AF42-8474CCD9323D}"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01-C110-4146-88D1-7D9FAAADAC99}"/>
                </c:ext>
              </c:extLst>
            </c:dLbl>
            <c:dLbl>
              <c:idx val="317"/>
              <c:tx>
                <c:rich>
                  <a:bodyPr/>
                  <a:lstStyle/>
                  <a:p>
                    <a:fld id="{57517C25-D1E0-4787-B238-53FBDC0DD1CA}"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02-C110-4146-88D1-7D9FAAADAC99}"/>
                </c:ext>
              </c:extLst>
            </c:dLbl>
            <c:dLbl>
              <c:idx val="318"/>
              <c:tx>
                <c:rich>
                  <a:bodyPr/>
                  <a:lstStyle/>
                  <a:p>
                    <a:fld id="{FACFA118-36F5-4A6B-B467-A6089B171216}"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61-028D-4756-AF5E-8FEDF70BEC81}"/>
                </c:ext>
              </c:extLst>
            </c:dLbl>
            <c:dLbl>
              <c:idx val="319"/>
              <c:tx>
                <c:rich>
                  <a:bodyPr/>
                  <a:lstStyle/>
                  <a:p>
                    <a:fld id="{074AAE66-DB29-45E9-A932-83160B7023E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04-C110-4146-88D1-7D9FAAADAC99}"/>
                </c:ext>
              </c:extLst>
            </c:dLbl>
            <c:dLbl>
              <c:idx val="320"/>
              <c:tx>
                <c:rich>
                  <a:bodyPr/>
                  <a:lstStyle/>
                  <a:p>
                    <a:fld id="{98156A3C-BF11-4C0C-8AC5-3A090586048D}"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05-C110-4146-88D1-7D9FAAADAC99}"/>
                </c:ext>
              </c:extLst>
            </c:dLbl>
            <c:dLbl>
              <c:idx val="321"/>
              <c:tx>
                <c:rich>
                  <a:bodyPr/>
                  <a:lstStyle/>
                  <a:p>
                    <a:fld id="{0718FF95-CEFE-4A2D-90BE-1B8E4735F359}"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06-C110-4146-88D1-7D9FAAADAC99}"/>
                </c:ext>
              </c:extLst>
            </c:dLbl>
            <c:dLbl>
              <c:idx val="322"/>
              <c:tx>
                <c:rich>
                  <a:bodyPr/>
                  <a:lstStyle/>
                  <a:p>
                    <a:fld id="{B2757D3A-4FEC-467F-A75C-D8848641A7C1}"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07-C110-4146-88D1-7D9FAAADAC99}"/>
                </c:ext>
              </c:extLst>
            </c:dLbl>
            <c:dLbl>
              <c:idx val="323"/>
              <c:tx>
                <c:rich>
                  <a:bodyPr/>
                  <a:lstStyle/>
                  <a:p>
                    <a:fld id="{9D1E6553-0D5E-482E-BF88-0FC54B1AD747}"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08-C110-4146-88D1-7D9FAAADAC99}"/>
                </c:ext>
              </c:extLst>
            </c:dLbl>
            <c:dLbl>
              <c:idx val="324"/>
              <c:tx>
                <c:rich>
                  <a:bodyPr/>
                  <a:lstStyle/>
                  <a:p>
                    <a:fld id="{4A03B29F-DB47-49CA-B958-0FFF3125CD37}"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09-C110-4146-88D1-7D9FAAADAC99}"/>
                </c:ext>
              </c:extLst>
            </c:dLbl>
            <c:dLbl>
              <c:idx val="325"/>
              <c:tx>
                <c:rich>
                  <a:bodyPr/>
                  <a:lstStyle/>
                  <a:p>
                    <a:fld id="{3365A9CF-0D72-4CB6-8DD2-604C1F135295}"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0A-C110-4146-88D1-7D9FAAADAC99}"/>
                </c:ext>
              </c:extLst>
            </c:dLbl>
            <c:dLbl>
              <c:idx val="326"/>
              <c:tx>
                <c:rich>
                  <a:bodyPr/>
                  <a:lstStyle/>
                  <a:p>
                    <a:fld id="{5348C71A-7868-499C-9486-B7D044733583}"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0B-C110-4146-88D1-7D9FAAADAC99}"/>
                </c:ext>
              </c:extLst>
            </c:dLbl>
            <c:dLbl>
              <c:idx val="327"/>
              <c:tx>
                <c:rich>
                  <a:bodyPr/>
                  <a:lstStyle/>
                  <a:p>
                    <a:fld id="{F2176316-ACEC-4158-9AAE-D26C087B492A}"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0C-C110-4146-88D1-7D9FAAADAC99}"/>
                </c:ext>
              </c:extLst>
            </c:dLbl>
            <c:dLbl>
              <c:idx val="328"/>
              <c:tx>
                <c:rich>
                  <a:bodyPr/>
                  <a:lstStyle/>
                  <a:p>
                    <a:fld id="{2A1AD219-8835-4C7B-BBFA-5E6FE1A55712}"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0D-C110-4146-88D1-7D9FAAADAC99}"/>
                </c:ext>
              </c:extLst>
            </c:dLbl>
            <c:dLbl>
              <c:idx val="329"/>
              <c:tx>
                <c:rich>
                  <a:bodyPr/>
                  <a:lstStyle/>
                  <a:p>
                    <a:fld id="{896EEEDB-539C-46B5-AB82-9F5B2967385F}"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0E-C110-4146-88D1-7D9FAAADAC99}"/>
                </c:ext>
              </c:extLst>
            </c:dLbl>
            <c:dLbl>
              <c:idx val="330"/>
              <c:tx>
                <c:rich>
                  <a:bodyPr/>
                  <a:lstStyle/>
                  <a:p>
                    <a:fld id="{1FF9477F-0270-47D6-B21E-FF15F3C08F97}"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0F-C110-4146-88D1-7D9FAAADAC99}"/>
                </c:ext>
              </c:extLst>
            </c:dLbl>
            <c:dLbl>
              <c:idx val="331"/>
              <c:tx>
                <c:rich>
                  <a:bodyPr/>
                  <a:lstStyle/>
                  <a:p>
                    <a:fld id="{B110ED09-7CB6-4363-ACAF-4AA970BC7F2B}"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10-C110-4146-88D1-7D9FAAADAC99}"/>
                </c:ext>
              </c:extLst>
            </c:dLbl>
            <c:dLbl>
              <c:idx val="332"/>
              <c:tx>
                <c:rich>
                  <a:bodyPr/>
                  <a:lstStyle/>
                  <a:p>
                    <a:fld id="{36261682-7816-4B25-8CC9-D9371C694BFB}"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11-C110-4146-88D1-7D9FAAADAC99}"/>
                </c:ext>
              </c:extLst>
            </c:dLbl>
            <c:dLbl>
              <c:idx val="333"/>
              <c:tx>
                <c:rich>
                  <a:bodyPr/>
                  <a:lstStyle/>
                  <a:p>
                    <a:fld id="{5AAFE247-8942-4E89-9632-BC358844EC02}"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12-C110-4146-88D1-7D9FAAADAC99}"/>
                </c:ext>
              </c:extLst>
            </c:dLbl>
            <c:dLbl>
              <c:idx val="334"/>
              <c:tx>
                <c:rich>
                  <a:bodyPr/>
                  <a:lstStyle/>
                  <a:p>
                    <a:fld id="{10484968-78F4-4F7E-A503-E680B7AA6FF0}"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13-C110-4146-88D1-7D9FAAADAC99}"/>
                </c:ext>
              </c:extLst>
            </c:dLbl>
            <c:dLbl>
              <c:idx val="335"/>
              <c:tx>
                <c:rich>
                  <a:bodyPr/>
                  <a:lstStyle/>
                  <a:p>
                    <a:fld id="{F232794F-7ED9-43F9-A954-E647142A567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14-C110-4146-88D1-7D9FAAADAC99}"/>
                </c:ext>
              </c:extLst>
            </c:dLbl>
            <c:dLbl>
              <c:idx val="336"/>
              <c:tx>
                <c:rich>
                  <a:bodyPr/>
                  <a:lstStyle/>
                  <a:p>
                    <a:fld id="{21597F61-F152-418C-90EC-BF4F62ED4DDA}"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15-C110-4146-88D1-7D9FAAADAC99}"/>
                </c:ext>
              </c:extLst>
            </c:dLbl>
            <c:dLbl>
              <c:idx val="337"/>
              <c:tx>
                <c:rich>
                  <a:bodyPr/>
                  <a:lstStyle/>
                  <a:p>
                    <a:fld id="{63A1E2F9-BAEE-4D58-B983-911646F7720C}"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16-C110-4146-88D1-7D9FAAADAC99}"/>
                </c:ext>
              </c:extLst>
            </c:dLbl>
            <c:dLbl>
              <c:idx val="338"/>
              <c:tx>
                <c:rich>
                  <a:bodyPr/>
                  <a:lstStyle/>
                  <a:p>
                    <a:fld id="{C06CC056-EE2F-4B50-85D4-F8DEF096933C}"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17-C110-4146-88D1-7D9FAAADAC99}"/>
                </c:ext>
              </c:extLst>
            </c:dLbl>
            <c:dLbl>
              <c:idx val="339"/>
              <c:tx>
                <c:rich>
                  <a:bodyPr/>
                  <a:lstStyle/>
                  <a:p>
                    <a:fld id="{ED4CF48D-C095-4EF0-9FF9-C1B680411C3B}"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18-C110-4146-88D1-7D9FAAADAC99}"/>
                </c:ext>
              </c:extLst>
            </c:dLbl>
            <c:dLbl>
              <c:idx val="340"/>
              <c:tx>
                <c:rich>
                  <a:bodyPr/>
                  <a:lstStyle/>
                  <a:p>
                    <a:fld id="{B2A9F686-0551-4AB3-A0EB-C1BAAC990F0C}"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19-C110-4146-88D1-7D9FAAADAC99}"/>
                </c:ext>
              </c:extLst>
            </c:dLbl>
            <c:dLbl>
              <c:idx val="341"/>
              <c:tx>
                <c:rich>
                  <a:bodyPr/>
                  <a:lstStyle/>
                  <a:p>
                    <a:fld id="{65B5BAAB-F5E8-4A06-BDE1-0AFE1CA4E5C5}"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1A-C110-4146-88D1-7D9FAAADAC99}"/>
                </c:ext>
              </c:extLst>
            </c:dLbl>
            <c:dLbl>
              <c:idx val="342"/>
              <c:tx>
                <c:rich>
                  <a:bodyPr/>
                  <a:lstStyle/>
                  <a:p>
                    <a:fld id="{AA7D6917-FE1E-48FB-B30B-B27F6B82E270}"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1B-C110-4146-88D1-7D9FAAADAC99}"/>
                </c:ext>
              </c:extLst>
            </c:dLbl>
            <c:dLbl>
              <c:idx val="343"/>
              <c:tx>
                <c:rich>
                  <a:bodyPr/>
                  <a:lstStyle/>
                  <a:p>
                    <a:fld id="{4EA0A68C-E604-4409-8629-F415D7641E56}"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1C-C110-4146-88D1-7D9FAAADAC99}"/>
                </c:ext>
              </c:extLst>
            </c:dLbl>
            <c:dLbl>
              <c:idx val="344"/>
              <c:tx>
                <c:rich>
                  <a:bodyPr/>
                  <a:lstStyle/>
                  <a:p>
                    <a:fld id="{B79FED43-0E18-4AAD-AED7-D86496370819}"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1D-C110-4146-88D1-7D9FAAADAC99}"/>
                </c:ext>
              </c:extLst>
            </c:dLbl>
            <c:dLbl>
              <c:idx val="345"/>
              <c:tx>
                <c:rich>
                  <a:bodyPr/>
                  <a:lstStyle/>
                  <a:p>
                    <a:fld id="{F70CB447-3652-4E0C-8A0E-48B2A9F8F60D}"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1E-C110-4146-88D1-7D9FAAADAC99}"/>
                </c:ext>
              </c:extLst>
            </c:dLbl>
            <c:dLbl>
              <c:idx val="346"/>
              <c:tx>
                <c:rich>
                  <a:bodyPr/>
                  <a:lstStyle/>
                  <a:p>
                    <a:fld id="{50BE9244-28B2-4A44-9B58-38458D6D3E56}"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1F-C110-4146-88D1-7D9FAAADAC99}"/>
                </c:ext>
              </c:extLst>
            </c:dLbl>
            <c:dLbl>
              <c:idx val="347"/>
              <c:tx>
                <c:rich>
                  <a:bodyPr/>
                  <a:lstStyle/>
                  <a:p>
                    <a:fld id="{CB8630D4-F584-4C8A-8B27-B829B67CE5A9}"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20-C110-4146-88D1-7D9FAAADAC99}"/>
                </c:ext>
              </c:extLst>
            </c:dLbl>
            <c:dLbl>
              <c:idx val="348"/>
              <c:tx>
                <c:rich>
                  <a:bodyPr/>
                  <a:lstStyle/>
                  <a:p>
                    <a:fld id="{CA0F7CF3-42B6-485E-94DA-4757D42D111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21-C110-4146-88D1-7D9FAAADAC99}"/>
                </c:ext>
              </c:extLst>
            </c:dLbl>
            <c:dLbl>
              <c:idx val="349"/>
              <c:tx>
                <c:rich>
                  <a:bodyPr/>
                  <a:lstStyle/>
                  <a:p>
                    <a:fld id="{8654BDAA-9E84-4DB3-B9B2-2032F08CBA83}"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22-C110-4146-88D1-7D9FAAADAC99}"/>
                </c:ext>
              </c:extLst>
            </c:dLbl>
            <c:dLbl>
              <c:idx val="350"/>
              <c:tx>
                <c:rich>
                  <a:bodyPr/>
                  <a:lstStyle/>
                  <a:p>
                    <a:fld id="{F1A31731-AE14-4FD6-819D-997CCDCE6DC0}"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23-C110-4146-88D1-7D9FAAADAC99}"/>
                </c:ext>
              </c:extLst>
            </c:dLbl>
            <c:dLbl>
              <c:idx val="351"/>
              <c:tx>
                <c:rich>
                  <a:bodyPr/>
                  <a:lstStyle/>
                  <a:p>
                    <a:fld id="{CC148988-58FB-496D-A3E3-A56CC64B3795}"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24-C110-4146-88D1-7D9FAAADAC99}"/>
                </c:ext>
              </c:extLst>
            </c:dLbl>
            <c:dLbl>
              <c:idx val="352"/>
              <c:tx>
                <c:rich>
                  <a:bodyPr/>
                  <a:lstStyle/>
                  <a:p>
                    <a:fld id="{C86CAD13-DC90-4DC1-9869-B24C9A513628}"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25-C110-4146-88D1-7D9FAAADAC99}"/>
                </c:ext>
              </c:extLst>
            </c:dLbl>
            <c:dLbl>
              <c:idx val="353"/>
              <c:tx>
                <c:rich>
                  <a:bodyPr/>
                  <a:lstStyle/>
                  <a:p>
                    <a:fld id="{CA3F4F12-00B1-4C96-8C74-786CCA3C4DC8}"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62-028D-4756-AF5E-8FEDF70BEC81}"/>
                </c:ext>
              </c:extLst>
            </c:dLbl>
            <c:dLbl>
              <c:idx val="354"/>
              <c:tx>
                <c:rich>
                  <a:bodyPr/>
                  <a:lstStyle/>
                  <a:p>
                    <a:fld id="{1F27B923-C015-4E09-8AB0-C009EAEFCB0D}"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27-C110-4146-88D1-7D9FAAADAC99}"/>
                </c:ext>
              </c:extLst>
            </c:dLbl>
            <c:dLbl>
              <c:idx val="355"/>
              <c:tx>
                <c:rich>
                  <a:bodyPr/>
                  <a:lstStyle/>
                  <a:p>
                    <a:fld id="{9D17836A-A9BE-4FEE-B3C1-4E4EC905A912}"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28-C110-4146-88D1-7D9FAAADAC99}"/>
                </c:ext>
              </c:extLst>
            </c:dLbl>
            <c:dLbl>
              <c:idx val="356"/>
              <c:tx>
                <c:rich>
                  <a:bodyPr/>
                  <a:lstStyle/>
                  <a:p>
                    <a:fld id="{845CB846-7E9C-46F3-9960-1DF6804E298F}"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29-C110-4146-88D1-7D9FAAADAC99}"/>
                </c:ext>
              </c:extLst>
            </c:dLbl>
            <c:dLbl>
              <c:idx val="357"/>
              <c:tx>
                <c:rich>
                  <a:bodyPr/>
                  <a:lstStyle/>
                  <a:p>
                    <a:fld id="{082BD46E-6EDC-4857-8AC9-232012FD01FF}"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2A-C110-4146-88D1-7D9FAAADAC99}"/>
                </c:ext>
              </c:extLst>
            </c:dLbl>
            <c:dLbl>
              <c:idx val="358"/>
              <c:tx>
                <c:rich>
                  <a:bodyPr/>
                  <a:lstStyle/>
                  <a:p>
                    <a:fld id="{D901438D-ACC9-4281-9725-095A48A9EDE7}"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2B-C110-4146-88D1-7D9FAAADAC99}"/>
                </c:ext>
              </c:extLst>
            </c:dLbl>
            <c:dLbl>
              <c:idx val="359"/>
              <c:tx>
                <c:rich>
                  <a:bodyPr/>
                  <a:lstStyle/>
                  <a:p>
                    <a:fld id="{F027913D-E3CC-4650-A7E0-F6E1AF74654C}"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2C-C110-4146-88D1-7D9FAAADAC99}"/>
                </c:ext>
              </c:extLst>
            </c:dLbl>
            <c:dLbl>
              <c:idx val="360"/>
              <c:tx>
                <c:rich>
                  <a:bodyPr/>
                  <a:lstStyle/>
                  <a:p>
                    <a:fld id="{E9A1B121-61F6-4694-8017-2A919748F045}"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2D-C110-4146-88D1-7D9FAAADAC99}"/>
                </c:ext>
              </c:extLst>
            </c:dLbl>
            <c:dLbl>
              <c:idx val="361"/>
              <c:tx>
                <c:rich>
                  <a:bodyPr/>
                  <a:lstStyle/>
                  <a:p>
                    <a:fld id="{9E67A752-F68B-471C-A176-0934510E4E2B}"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2E-C110-4146-88D1-7D9FAAADAC99}"/>
                </c:ext>
              </c:extLst>
            </c:dLbl>
            <c:dLbl>
              <c:idx val="362"/>
              <c:tx>
                <c:rich>
                  <a:bodyPr/>
                  <a:lstStyle/>
                  <a:p>
                    <a:fld id="{F4768E6D-A560-42B7-B50F-600F652FBEAC}"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2F-C110-4146-88D1-7D9FAAADAC99}"/>
                </c:ext>
              </c:extLst>
            </c:dLbl>
            <c:dLbl>
              <c:idx val="363"/>
              <c:tx>
                <c:rich>
                  <a:bodyPr/>
                  <a:lstStyle/>
                  <a:p>
                    <a:fld id="{B881C6D2-154B-4912-999E-BA3F25C9B6AE}"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30-C110-4146-88D1-7D9FAAADAC99}"/>
                </c:ext>
              </c:extLst>
            </c:dLbl>
            <c:dLbl>
              <c:idx val="364"/>
              <c:tx>
                <c:rich>
                  <a:bodyPr/>
                  <a:lstStyle/>
                  <a:p>
                    <a:fld id="{AB146C90-C068-42D9-B932-6173DAC4D360}"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31-C110-4146-88D1-7D9FAAADAC99}"/>
                </c:ext>
              </c:extLst>
            </c:dLbl>
            <c:dLbl>
              <c:idx val="365"/>
              <c:tx>
                <c:rich>
                  <a:bodyPr/>
                  <a:lstStyle/>
                  <a:p>
                    <a:fld id="{019417AC-1ACA-496A-AE41-BEB8D7829B3B}"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32-C110-4146-88D1-7D9FAAADAC99}"/>
                </c:ext>
              </c:extLst>
            </c:dLbl>
            <c:dLbl>
              <c:idx val="366"/>
              <c:tx>
                <c:rich>
                  <a:bodyPr/>
                  <a:lstStyle/>
                  <a:p>
                    <a:fld id="{DC58D481-CE6D-42DD-95E4-50A76CD7AB2F}"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33-C110-4146-88D1-7D9FAAADAC99}"/>
                </c:ext>
              </c:extLst>
            </c:dLbl>
            <c:dLbl>
              <c:idx val="367"/>
              <c:tx>
                <c:rich>
                  <a:bodyPr/>
                  <a:lstStyle/>
                  <a:p>
                    <a:fld id="{C68F098D-F2A0-4E39-B53D-623BCC4FBA58}"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63-028D-4756-AF5E-8FEDF70BEC81}"/>
                </c:ext>
              </c:extLst>
            </c:dLbl>
            <c:dLbl>
              <c:idx val="368"/>
              <c:tx>
                <c:rich>
                  <a:bodyPr/>
                  <a:lstStyle/>
                  <a:p>
                    <a:fld id="{101BEE31-30DB-4187-8841-24DCA520C83F}"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35-C110-4146-88D1-7D9FAAADAC99}"/>
                </c:ext>
              </c:extLst>
            </c:dLbl>
            <c:dLbl>
              <c:idx val="369"/>
              <c:tx>
                <c:rich>
                  <a:bodyPr/>
                  <a:lstStyle/>
                  <a:p>
                    <a:fld id="{A5DC3F29-2067-4A35-B216-F3CA31D08B7C}"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36-C110-4146-88D1-7D9FAAADAC99}"/>
                </c:ext>
              </c:extLst>
            </c:dLbl>
            <c:dLbl>
              <c:idx val="370"/>
              <c:tx>
                <c:rich>
                  <a:bodyPr/>
                  <a:lstStyle/>
                  <a:p>
                    <a:fld id="{B09CA6E4-262D-478E-970E-792C04901AB3}"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37-C110-4146-88D1-7D9FAAADAC99}"/>
                </c:ext>
              </c:extLst>
            </c:dLbl>
            <c:dLbl>
              <c:idx val="371"/>
              <c:tx>
                <c:rich>
                  <a:bodyPr/>
                  <a:lstStyle/>
                  <a:p>
                    <a:fld id="{6FEC7C32-D687-4F84-B6BC-C2744C8047AD}"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338-C110-4146-88D1-7D9FAAADAC99}"/>
                </c:ext>
              </c:extLst>
            </c:dLbl>
            <c:dLbl>
              <c:idx val="372"/>
              <c:tx>
                <c:rich>
                  <a:bodyPr/>
                  <a:lstStyle/>
                  <a:p>
                    <a:fld id="{5A11269B-6125-4BE5-BF6F-B2B4C1336B16}"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64-028D-4756-AF5E-8FEDF70BEC81}"/>
                </c:ext>
              </c:extLst>
            </c:dLbl>
            <c:dLbl>
              <c:idx val="373"/>
              <c:tx>
                <c:rich>
                  <a:bodyPr/>
                  <a:lstStyle/>
                  <a:p>
                    <a:fld id="{06378524-6197-4707-8C96-15D7028B3D6E}"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F499-47BD-8A7D-F2213A7C4693}"/>
                </c:ext>
              </c:extLst>
            </c:dLbl>
            <c:dLbl>
              <c:idx val="374"/>
              <c:tx>
                <c:rich>
                  <a:bodyPr/>
                  <a:lstStyle/>
                  <a:p>
                    <a:fld id="{8FF0EF6A-7F59-4F40-9475-CF5ACB445060}"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F499-47BD-8A7D-F2213A7C4693}"/>
                </c:ext>
              </c:extLst>
            </c:dLbl>
            <c:dLbl>
              <c:idx val="375"/>
              <c:tx>
                <c:rich>
                  <a:bodyPr/>
                  <a:lstStyle/>
                  <a:p>
                    <a:fld id="{4AE58202-8E5F-4D9A-B367-A4E84B42EE59}"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F499-47BD-8A7D-F2213A7C4693}"/>
                </c:ext>
              </c:extLst>
            </c:dLbl>
            <c:dLbl>
              <c:idx val="376"/>
              <c:tx>
                <c:rich>
                  <a:bodyPr/>
                  <a:lstStyle/>
                  <a:p>
                    <a:fld id="{11CEFECF-0FCD-40F6-B4E8-19FC1E6BA4E2}"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F499-47BD-8A7D-F2213A7C4693}"/>
                </c:ext>
              </c:extLst>
            </c:dLbl>
            <c:dLbl>
              <c:idx val="377"/>
              <c:tx>
                <c:rich>
                  <a:bodyPr/>
                  <a:lstStyle/>
                  <a:p>
                    <a:fld id="{48FC565C-DE60-4437-9ECF-10659AC6BD79}"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F499-47BD-8A7D-F2213A7C4693}"/>
                </c:ext>
              </c:extLst>
            </c:dLbl>
            <c:dLbl>
              <c:idx val="378"/>
              <c:tx>
                <c:rich>
                  <a:bodyPr/>
                  <a:lstStyle/>
                  <a:p>
                    <a:fld id="{D42F405B-77AE-460D-ACB0-1C19B9862243}"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F499-47BD-8A7D-F2213A7C4693}"/>
                </c:ext>
              </c:extLst>
            </c:dLbl>
            <c:dLbl>
              <c:idx val="379"/>
              <c:tx>
                <c:rich>
                  <a:bodyPr/>
                  <a:lstStyle/>
                  <a:p>
                    <a:fld id="{DAC13EAC-3A67-4B72-81FF-CCE956F885C5}"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F499-47BD-8A7D-F2213A7C4693}"/>
                </c:ext>
              </c:extLst>
            </c:dLbl>
            <c:dLbl>
              <c:idx val="380"/>
              <c:tx>
                <c:rich>
                  <a:bodyPr/>
                  <a:lstStyle/>
                  <a:p>
                    <a:fld id="{4A67B32F-5438-4A9C-9FE8-BC09BEA5A8E0}"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F499-47BD-8A7D-F2213A7C4693}"/>
                </c:ext>
              </c:extLst>
            </c:dLbl>
            <c:dLbl>
              <c:idx val="381"/>
              <c:tx>
                <c:rich>
                  <a:bodyPr/>
                  <a:lstStyle/>
                  <a:p>
                    <a:fld id="{A8739D22-92F6-4B00-BC81-C35528B03472}"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F499-47BD-8A7D-F2213A7C4693}"/>
                </c:ext>
              </c:extLst>
            </c:dLbl>
            <c:dLbl>
              <c:idx val="382"/>
              <c:tx>
                <c:rich>
                  <a:bodyPr/>
                  <a:lstStyle/>
                  <a:p>
                    <a:fld id="{122B7385-F701-4A1E-AAF5-54C60E572F36}"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F499-47BD-8A7D-F2213A7C4693}"/>
                </c:ext>
              </c:extLst>
            </c:dLbl>
            <c:dLbl>
              <c:idx val="383"/>
              <c:tx>
                <c:rich>
                  <a:bodyPr/>
                  <a:lstStyle/>
                  <a:p>
                    <a:fld id="{7193DD9F-76E4-479F-B7D7-D6E4CD10221F}"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DC76-4BCE-A957-42BDC650C928}"/>
                </c:ext>
              </c:extLst>
            </c:dLbl>
            <c:dLbl>
              <c:idx val="384"/>
              <c:tx>
                <c:rich>
                  <a:bodyPr/>
                  <a:lstStyle/>
                  <a:p>
                    <a:fld id="{B2A00C16-B226-42E3-AAD3-149797AE633A}"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DC76-4BCE-A957-42BDC650C928}"/>
                </c:ext>
              </c:extLst>
            </c:dLbl>
            <c:dLbl>
              <c:idx val="385"/>
              <c:tx>
                <c:rich>
                  <a:bodyPr/>
                  <a:lstStyle/>
                  <a:p>
                    <a:fld id="{46612BFA-3566-46A0-80FF-515E5ACD572B}"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DC76-4BCE-A957-42BDC650C928}"/>
                </c:ext>
              </c:extLst>
            </c:dLbl>
            <c:dLbl>
              <c:idx val="386"/>
              <c:tx>
                <c:rich>
                  <a:bodyPr/>
                  <a:lstStyle/>
                  <a:p>
                    <a:fld id="{E7CB59DE-E7A5-4BDC-A500-EB4350BFFBFB}"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DC76-4BCE-A957-42BDC650C928}"/>
                </c:ext>
              </c:extLst>
            </c:dLbl>
            <c:dLbl>
              <c:idx val="387"/>
              <c:tx>
                <c:rich>
                  <a:bodyPr/>
                  <a:lstStyle/>
                  <a:p>
                    <a:fld id="{F72F6F04-DAB7-41F0-A36C-B74DD7D03F2C}"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DC76-4BCE-A957-42BDC650C928}"/>
                </c:ext>
              </c:extLst>
            </c:dLbl>
            <c:dLbl>
              <c:idx val="388"/>
              <c:tx>
                <c:rich>
                  <a:bodyPr/>
                  <a:lstStyle/>
                  <a:p>
                    <a:fld id="{5F9681C6-5714-48DC-8BEA-7AA11A946175}"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DC76-4BCE-A957-42BDC650C928}"/>
                </c:ext>
              </c:extLst>
            </c:dLbl>
            <c:dLbl>
              <c:idx val="389"/>
              <c:tx>
                <c:rich>
                  <a:bodyPr/>
                  <a:lstStyle/>
                  <a:p>
                    <a:fld id="{0186FDF5-A3A1-49EE-9E18-BFEAEE2569BA}"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DC76-4BCE-A957-42BDC650C928}"/>
                </c:ext>
              </c:extLst>
            </c:dLbl>
            <c:dLbl>
              <c:idx val="390"/>
              <c:tx>
                <c:rich>
                  <a:bodyPr/>
                  <a:lstStyle/>
                  <a:p>
                    <a:fld id="{6B0D6510-AD14-4853-A664-ECA484CB928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DC76-4BCE-A957-42BDC650C928}"/>
                </c:ext>
              </c:extLst>
            </c:dLbl>
            <c:dLbl>
              <c:idx val="391"/>
              <c:tx>
                <c:rich>
                  <a:bodyPr/>
                  <a:lstStyle/>
                  <a:p>
                    <a:fld id="{2CE5398E-EAB3-4115-A147-1C7A76577637}"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DC76-4BCE-A957-42BDC650C928}"/>
                </c:ext>
              </c:extLst>
            </c:dLbl>
            <c:dLbl>
              <c:idx val="392"/>
              <c:tx>
                <c:rich>
                  <a:bodyPr/>
                  <a:lstStyle/>
                  <a:p>
                    <a:fld id="{FE06DCC7-F8AA-49BF-A7EA-58491638A4A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DC76-4BCE-A957-42BDC650C928}"/>
                </c:ext>
              </c:extLst>
            </c:dLbl>
            <c:dLbl>
              <c:idx val="393"/>
              <c:tx>
                <c:rich>
                  <a:bodyPr/>
                  <a:lstStyle/>
                  <a:p>
                    <a:fld id="{31944686-1263-40F9-9B37-B17EDE2CF092}"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DC76-4BCE-A957-42BDC650C928}"/>
                </c:ext>
              </c:extLst>
            </c:dLbl>
            <c:dLbl>
              <c:idx val="394"/>
              <c:tx>
                <c:rich>
                  <a:bodyPr/>
                  <a:lstStyle/>
                  <a:p>
                    <a:fld id="{0A91832D-B486-4EBF-9626-11A2EBD406FF}"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DC76-4BCE-A957-42BDC650C928}"/>
                </c:ext>
              </c:extLst>
            </c:dLbl>
            <c:dLbl>
              <c:idx val="395"/>
              <c:tx>
                <c:rich>
                  <a:bodyPr/>
                  <a:lstStyle/>
                  <a:p>
                    <a:fld id="{61613202-4888-45E4-828C-A26A449EC435}"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DC76-4BCE-A957-42BDC650C928}"/>
                </c:ext>
              </c:extLst>
            </c:dLbl>
            <c:dLbl>
              <c:idx val="396"/>
              <c:tx>
                <c:rich>
                  <a:bodyPr/>
                  <a:lstStyle/>
                  <a:p>
                    <a:fld id="{0500B9BB-9658-4C89-95C5-17335E7D5673}"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DC76-4BCE-A957-42BDC650C928}"/>
                </c:ext>
              </c:extLst>
            </c:dLbl>
            <c:dLbl>
              <c:idx val="397"/>
              <c:tx>
                <c:rich>
                  <a:bodyPr/>
                  <a:lstStyle/>
                  <a:p>
                    <a:fld id="{D79C2602-3B0C-4679-B56F-AEC34258BFB1}"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DC76-4BCE-A957-42BDC650C928}"/>
                </c:ext>
              </c:extLst>
            </c:dLbl>
            <c:dLbl>
              <c:idx val="398"/>
              <c:tx>
                <c:rich>
                  <a:bodyPr/>
                  <a:lstStyle/>
                  <a:p>
                    <a:fld id="{0016E3AC-A60A-41AE-B26B-3F847A1DDAAC}"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DC76-4BCE-A957-42BDC650C928}"/>
                </c:ext>
              </c:extLst>
            </c:dLbl>
            <c:dLbl>
              <c:idx val="399"/>
              <c:tx>
                <c:rich>
                  <a:bodyPr/>
                  <a:lstStyle/>
                  <a:p>
                    <a:fld id="{E9E34DCF-A3C4-48BD-803E-3AB2633D35DC}"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DC76-4BCE-A957-42BDC650C928}"/>
                </c:ext>
              </c:extLst>
            </c:dLbl>
            <c:dLbl>
              <c:idx val="400"/>
              <c:tx>
                <c:rich>
                  <a:bodyPr/>
                  <a:lstStyle/>
                  <a:p>
                    <a:fld id="{DDD00B92-7BD2-4497-A615-6C92379432FB}"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DC76-4BCE-A957-42BDC650C928}"/>
                </c:ext>
              </c:extLst>
            </c:dLbl>
            <c:dLbl>
              <c:idx val="401"/>
              <c:tx>
                <c:rich>
                  <a:bodyPr/>
                  <a:lstStyle/>
                  <a:p>
                    <a:fld id="{447E4415-6D44-40A0-8D95-4AF41BD36BBF}"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F95B-4910-944F-E36C0ABB7617}"/>
                </c:ext>
              </c:extLst>
            </c:dLbl>
            <c:dLbl>
              <c:idx val="402"/>
              <c:tx>
                <c:rich>
                  <a:bodyPr/>
                  <a:lstStyle/>
                  <a:p>
                    <a:fld id="{FCE91DAD-D9AE-43EF-9A8B-967DAB2554EC}"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F95B-4910-944F-E36C0ABB7617}"/>
                </c:ext>
              </c:extLst>
            </c:dLbl>
            <c:dLbl>
              <c:idx val="403"/>
              <c:tx>
                <c:rich>
                  <a:bodyPr/>
                  <a:lstStyle/>
                  <a:p>
                    <a:fld id="{8B79FBE5-F72B-4155-8CAF-3FD3548C80A8}"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F95B-4910-944F-E36C0ABB7617}"/>
                </c:ext>
              </c:extLst>
            </c:dLbl>
            <c:dLbl>
              <c:idx val="404"/>
              <c:tx>
                <c:rich>
                  <a:bodyPr/>
                  <a:lstStyle/>
                  <a:p>
                    <a:fld id="{A9BE199E-A133-40C6-9747-F0B6AC8A166F}"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F95B-4910-944F-E36C0ABB7617}"/>
                </c:ext>
              </c:extLst>
            </c:dLbl>
            <c:dLbl>
              <c:idx val="405"/>
              <c:tx>
                <c:rich>
                  <a:bodyPr/>
                  <a:lstStyle/>
                  <a:p>
                    <a:fld id="{CFC537D0-4484-4946-9726-5FE60794BEF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F95B-4910-944F-E36C0ABB7617}"/>
                </c:ext>
              </c:extLst>
            </c:dLbl>
            <c:dLbl>
              <c:idx val="406"/>
              <c:tx>
                <c:rich>
                  <a:bodyPr/>
                  <a:lstStyle/>
                  <a:p>
                    <a:fld id="{B9488F3D-894E-4BA4-9200-C5F8EF5F4E6A}"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F95B-4910-944F-E36C0ABB7617}"/>
                </c:ext>
              </c:extLst>
            </c:dLbl>
            <c:dLbl>
              <c:idx val="407"/>
              <c:tx>
                <c:rich>
                  <a:bodyPr/>
                  <a:lstStyle/>
                  <a:p>
                    <a:fld id="{0286BA60-708C-4B8D-9D0A-9A953E83DD35}"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F95B-4910-944F-E36C0ABB7617}"/>
                </c:ext>
              </c:extLst>
            </c:dLbl>
            <c:dLbl>
              <c:idx val="408"/>
              <c:tx>
                <c:rich>
                  <a:bodyPr/>
                  <a:lstStyle/>
                  <a:p>
                    <a:fld id="{5363961B-857C-440B-A363-ABABB3146C62}"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F95B-4910-944F-E36C0ABB7617}"/>
                </c:ext>
              </c:extLst>
            </c:dLbl>
            <c:dLbl>
              <c:idx val="409"/>
              <c:tx>
                <c:rich>
                  <a:bodyPr/>
                  <a:lstStyle/>
                  <a:p>
                    <a:fld id="{A5F90B76-D7C7-41B4-A91E-2657D9C372DA}"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F95B-4910-944F-E36C0ABB7617}"/>
                </c:ext>
              </c:extLst>
            </c:dLbl>
            <c:dLbl>
              <c:idx val="410"/>
              <c:tx>
                <c:rich>
                  <a:bodyPr/>
                  <a:lstStyle/>
                  <a:p>
                    <a:fld id="{7868008C-68BD-4B92-A99A-40254EF0BA53}"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F95B-4910-944F-E36C0ABB7617}"/>
                </c:ext>
              </c:extLst>
            </c:dLbl>
            <c:dLbl>
              <c:idx val="411"/>
              <c:tx>
                <c:rich>
                  <a:bodyPr/>
                  <a:lstStyle/>
                  <a:p>
                    <a:fld id="{F50736E6-22CD-405B-92E8-303965ED73F6}"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F95B-4910-944F-E36C0ABB7617}"/>
                </c:ext>
              </c:extLst>
            </c:dLbl>
            <c:dLbl>
              <c:idx val="412"/>
              <c:tx>
                <c:rich>
                  <a:bodyPr/>
                  <a:lstStyle/>
                  <a:p>
                    <a:fld id="{C1CAB067-E424-4DCF-8760-DDE7749CD755}"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F95B-4910-944F-E36C0ABB7617}"/>
                </c:ext>
              </c:extLst>
            </c:dLbl>
            <c:dLbl>
              <c:idx val="413"/>
              <c:tx>
                <c:rich>
                  <a:bodyPr/>
                  <a:lstStyle/>
                  <a:p>
                    <a:fld id="{50BDC12A-26E6-48F0-B98E-114684D7F0DB}"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F95B-4910-944F-E36C0ABB7617}"/>
                </c:ext>
              </c:extLst>
            </c:dLbl>
            <c:dLbl>
              <c:idx val="414"/>
              <c:tx>
                <c:rich>
                  <a:bodyPr/>
                  <a:lstStyle/>
                  <a:p>
                    <a:fld id="{066ECB43-5E90-4050-A206-EAD37D185105}"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F95B-4910-944F-E36C0ABB7617}"/>
                </c:ext>
              </c:extLst>
            </c:dLbl>
            <c:dLbl>
              <c:idx val="415"/>
              <c:tx>
                <c:rich>
                  <a:bodyPr/>
                  <a:lstStyle/>
                  <a:p>
                    <a:fld id="{82AB6B92-4DBD-4280-A717-3FB3D8CAC1DE}"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65-028D-4756-AF5E-8FEDF70BEC81}"/>
                </c:ext>
              </c:extLst>
            </c:dLbl>
            <c:dLbl>
              <c:idx val="416"/>
              <c:tx>
                <c:rich>
                  <a:bodyPr/>
                  <a:lstStyle/>
                  <a:p>
                    <a:fld id="{2917B730-168F-4214-8271-E0C7A9425896}"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81C6-4238-83E8-0D046033E6BC}"/>
                </c:ext>
              </c:extLst>
            </c:dLbl>
            <c:dLbl>
              <c:idx val="417"/>
              <c:tx>
                <c:rich>
                  <a:bodyPr/>
                  <a:lstStyle/>
                  <a:p>
                    <a:fld id="{AFF93F78-BDA2-45D5-9558-9F3FB8567A8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81C6-4238-83E8-0D046033E6BC}"/>
                </c:ext>
              </c:extLst>
            </c:dLbl>
            <c:dLbl>
              <c:idx val="418"/>
              <c:tx>
                <c:rich>
                  <a:bodyPr/>
                  <a:lstStyle/>
                  <a:p>
                    <a:fld id="{1417EAD1-9C14-4731-94A8-7CEB437D0DDA}"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81C6-4238-83E8-0D046033E6BC}"/>
                </c:ext>
              </c:extLst>
            </c:dLbl>
            <c:dLbl>
              <c:idx val="419"/>
              <c:tx>
                <c:rich>
                  <a:bodyPr/>
                  <a:lstStyle/>
                  <a:p>
                    <a:fld id="{C1E23CB9-8C9D-4FC6-8636-CC332A38508C}"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81C6-4238-83E8-0D046033E6BC}"/>
                </c:ext>
              </c:extLst>
            </c:dLbl>
            <c:dLbl>
              <c:idx val="420"/>
              <c:tx>
                <c:rich>
                  <a:bodyPr/>
                  <a:lstStyle/>
                  <a:p>
                    <a:fld id="{6FBCF86C-6C63-4EA0-813F-B9328F0860D2}"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81C6-4238-83E8-0D046033E6BC}"/>
                </c:ext>
              </c:extLst>
            </c:dLbl>
            <c:dLbl>
              <c:idx val="421"/>
              <c:tx>
                <c:rich>
                  <a:bodyPr/>
                  <a:lstStyle/>
                  <a:p>
                    <a:fld id="{DA23DFF5-F9ED-4EAF-91B2-66FD61094FA6}"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81C6-4238-83E8-0D046033E6BC}"/>
                </c:ext>
              </c:extLst>
            </c:dLbl>
            <c:dLbl>
              <c:idx val="422"/>
              <c:tx>
                <c:rich>
                  <a:bodyPr/>
                  <a:lstStyle/>
                  <a:p>
                    <a:fld id="{11FD8482-C342-4D5D-B17B-A8119F54E108}"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81C6-4238-83E8-0D046033E6BC}"/>
                </c:ext>
              </c:extLst>
            </c:dLbl>
            <c:dLbl>
              <c:idx val="423"/>
              <c:tx>
                <c:rich>
                  <a:bodyPr/>
                  <a:lstStyle/>
                  <a:p>
                    <a:fld id="{47307F1D-B776-4910-AFCE-7F9BCC158219}"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81C6-4238-83E8-0D046033E6BC}"/>
                </c:ext>
              </c:extLst>
            </c:dLbl>
            <c:dLbl>
              <c:idx val="424"/>
              <c:tx>
                <c:rich>
                  <a:bodyPr/>
                  <a:lstStyle/>
                  <a:p>
                    <a:fld id="{FDE4B3B0-80D1-496B-AB19-3F26ABFB4A87}"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81C6-4238-83E8-0D046033E6BC}"/>
                </c:ext>
              </c:extLst>
            </c:dLbl>
            <c:dLbl>
              <c:idx val="425"/>
              <c:tx>
                <c:rich>
                  <a:bodyPr/>
                  <a:lstStyle/>
                  <a:p>
                    <a:fld id="{0A177325-D160-4ACA-8E41-71ACE0E7D408}"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81C6-4238-83E8-0D046033E6BC}"/>
                </c:ext>
              </c:extLst>
            </c:dLbl>
            <c:dLbl>
              <c:idx val="426"/>
              <c:tx>
                <c:rich>
                  <a:bodyPr/>
                  <a:lstStyle/>
                  <a:p>
                    <a:fld id="{A53174CD-BC00-4781-B115-ED5786AE0E79}"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81C6-4238-83E8-0D046033E6BC}"/>
                </c:ext>
              </c:extLst>
            </c:dLbl>
            <c:dLbl>
              <c:idx val="427"/>
              <c:tx>
                <c:rich>
                  <a:bodyPr/>
                  <a:lstStyle/>
                  <a:p>
                    <a:fld id="{BC349291-DED5-4BC6-BA5C-837AF4918356}"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81C6-4238-83E8-0D046033E6BC}"/>
                </c:ext>
              </c:extLst>
            </c:dLbl>
            <c:dLbl>
              <c:idx val="428"/>
              <c:tx>
                <c:rich>
                  <a:bodyPr/>
                  <a:lstStyle/>
                  <a:p>
                    <a:fld id="{0EC65163-79FA-48D3-B21E-A448F2257A55}"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81C6-4238-83E8-0D046033E6BC}"/>
                </c:ext>
              </c:extLst>
            </c:dLbl>
            <c:dLbl>
              <c:idx val="429"/>
              <c:tx>
                <c:rich>
                  <a:bodyPr/>
                  <a:lstStyle/>
                  <a:p>
                    <a:fld id="{950B34B8-E2A7-42E7-A16E-1663A10F9369}"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9280-48AA-962A-B1E153CFB477}"/>
                </c:ext>
              </c:extLst>
            </c:dLbl>
            <c:dLbl>
              <c:idx val="430"/>
              <c:tx>
                <c:rich>
                  <a:bodyPr/>
                  <a:lstStyle/>
                  <a:p>
                    <a:fld id="{82406B50-9935-4FF7-BFF1-D5FE214BC18C}"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9280-48AA-962A-B1E153CFB477}"/>
                </c:ext>
              </c:extLst>
            </c:dLbl>
            <c:dLbl>
              <c:idx val="431"/>
              <c:tx>
                <c:rich>
                  <a:bodyPr/>
                  <a:lstStyle/>
                  <a:p>
                    <a:fld id="{C8A20B5E-2EAF-4BCB-B6AF-A86F8376BEAE}"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9280-48AA-962A-B1E153CFB477}"/>
                </c:ext>
              </c:extLst>
            </c:dLbl>
            <c:dLbl>
              <c:idx val="432"/>
              <c:tx>
                <c:rich>
                  <a:bodyPr/>
                  <a:lstStyle/>
                  <a:p>
                    <a:fld id="{DA7D69A7-E09C-4D68-A915-28958D136D50}"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9280-48AA-962A-B1E153CFB477}"/>
                </c:ext>
              </c:extLst>
            </c:dLbl>
            <c:dLbl>
              <c:idx val="433"/>
              <c:tx>
                <c:rich>
                  <a:bodyPr/>
                  <a:lstStyle/>
                  <a:p>
                    <a:fld id="{C3E8733C-ABC2-4FCA-893B-D866A63EEF4E}"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9280-48AA-962A-B1E153CFB477}"/>
                </c:ext>
              </c:extLst>
            </c:dLbl>
            <c:dLbl>
              <c:idx val="434"/>
              <c:tx>
                <c:rich>
                  <a:bodyPr/>
                  <a:lstStyle/>
                  <a:p>
                    <a:fld id="{0DC9A39C-13D4-43CC-8486-B05639A93C2F}"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9280-48AA-962A-B1E153CFB477}"/>
                </c:ext>
              </c:extLst>
            </c:dLbl>
            <c:dLbl>
              <c:idx val="435"/>
              <c:tx>
                <c:rich>
                  <a:bodyPr/>
                  <a:lstStyle/>
                  <a:p>
                    <a:fld id="{A2A847A2-898E-4AFE-B71D-D584D956988C}"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9280-48AA-962A-B1E153CFB477}"/>
                </c:ext>
              </c:extLst>
            </c:dLbl>
            <c:dLbl>
              <c:idx val="436"/>
              <c:tx>
                <c:rich>
                  <a:bodyPr/>
                  <a:lstStyle/>
                  <a:p>
                    <a:fld id="{4C8414A8-B6B3-45D4-A31E-72FAF62C138E}"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9280-48AA-962A-B1E153CFB477}"/>
                </c:ext>
              </c:extLst>
            </c:dLbl>
            <c:dLbl>
              <c:idx val="437"/>
              <c:tx>
                <c:rich>
                  <a:bodyPr/>
                  <a:lstStyle/>
                  <a:p>
                    <a:fld id="{0414A8C2-6072-4C99-BDD5-50AC60E2DF6F}"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9280-48AA-962A-B1E153CFB477}"/>
                </c:ext>
              </c:extLst>
            </c:dLbl>
            <c:dLbl>
              <c:idx val="438"/>
              <c:tx>
                <c:rich>
                  <a:bodyPr/>
                  <a:lstStyle/>
                  <a:p>
                    <a:fld id="{322AAE4F-FFA9-49EF-B74B-473B997FFB7A}"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9280-48AA-962A-B1E153CFB477}"/>
                </c:ext>
              </c:extLst>
            </c:dLbl>
            <c:dLbl>
              <c:idx val="439"/>
              <c:tx>
                <c:rich>
                  <a:bodyPr/>
                  <a:lstStyle/>
                  <a:p>
                    <a:fld id="{A75E3FB4-637C-4E53-BB7C-AE4143BDB422}"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9280-48AA-962A-B1E153CFB477}"/>
                </c:ext>
              </c:extLst>
            </c:dLbl>
            <c:dLbl>
              <c:idx val="440"/>
              <c:tx>
                <c:rich>
                  <a:bodyPr/>
                  <a:lstStyle/>
                  <a:p>
                    <a:fld id="{57E542A2-D792-42AA-A1AE-624BEAA3366F}"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9280-48AA-962A-B1E153CFB477}"/>
                </c:ext>
              </c:extLst>
            </c:dLbl>
            <c:dLbl>
              <c:idx val="441"/>
              <c:tx>
                <c:rich>
                  <a:bodyPr/>
                  <a:lstStyle/>
                  <a:p>
                    <a:fld id="{7FA5914E-CF41-41D3-BCF5-B547E3F8DDF8}"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9280-48AA-962A-B1E153CFB477}"/>
                </c:ext>
              </c:extLst>
            </c:dLbl>
            <c:dLbl>
              <c:idx val="442"/>
              <c:tx>
                <c:rich>
                  <a:bodyPr/>
                  <a:lstStyle/>
                  <a:p>
                    <a:fld id="{93389E86-9B5E-4D44-9C3C-DFAD30329F17}"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E5E8-4B40-8489-579B0EAE0ED3}"/>
                </c:ext>
              </c:extLst>
            </c:dLbl>
            <c:dLbl>
              <c:idx val="443"/>
              <c:tx>
                <c:rich>
                  <a:bodyPr/>
                  <a:lstStyle/>
                  <a:p>
                    <a:fld id="{E3430F7E-3162-4D6C-9980-E9F1F8023BBB}"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E5E8-4B40-8489-579B0EAE0ED3}"/>
                </c:ext>
              </c:extLst>
            </c:dLbl>
            <c:dLbl>
              <c:idx val="444"/>
              <c:tx>
                <c:rich>
                  <a:bodyPr/>
                  <a:lstStyle/>
                  <a:p>
                    <a:fld id="{14B81CB7-C48D-4908-9F0B-352BF75C2E3A}"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E5E8-4B40-8489-579B0EAE0ED3}"/>
                </c:ext>
              </c:extLst>
            </c:dLbl>
            <c:dLbl>
              <c:idx val="445"/>
              <c:tx>
                <c:rich>
                  <a:bodyPr/>
                  <a:lstStyle/>
                  <a:p>
                    <a:fld id="{B1FFF5EC-5332-4BEF-97DA-0268E185ACF6}"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E5E8-4B40-8489-579B0EAE0ED3}"/>
                </c:ext>
              </c:extLst>
            </c:dLbl>
            <c:dLbl>
              <c:idx val="446"/>
              <c:tx>
                <c:rich>
                  <a:bodyPr/>
                  <a:lstStyle/>
                  <a:p>
                    <a:fld id="{24F589C4-B9D7-4250-9840-EF587604A659}"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E5E8-4B40-8489-579B0EAE0ED3}"/>
                </c:ext>
              </c:extLst>
            </c:dLbl>
            <c:dLbl>
              <c:idx val="447"/>
              <c:tx>
                <c:rich>
                  <a:bodyPr/>
                  <a:lstStyle/>
                  <a:p>
                    <a:fld id="{FF891DA8-144E-4BC6-A560-193638AB2592}"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E5E8-4B40-8489-579B0EAE0ED3}"/>
                </c:ext>
              </c:extLst>
            </c:dLbl>
            <c:dLbl>
              <c:idx val="448"/>
              <c:tx>
                <c:rich>
                  <a:bodyPr/>
                  <a:lstStyle/>
                  <a:p>
                    <a:fld id="{C1026C81-4846-4FD8-AEAF-9B5666AB3F88}"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E5E8-4B40-8489-579B0EAE0ED3}"/>
                </c:ext>
              </c:extLst>
            </c:dLbl>
            <c:dLbl>
              <c:idx val="449"/>
              <c:tx>
                <c:rich>
                  <a:bodyPr/>
                  <a:lstStyle/>
                  <a:p>
                    <a:fld id="{2E259BF7-DB41-4876-AB11-B6D83A2949AD}"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E5E8-4B40-8489-579B0EAE0ED3}"/>
                </c:ext>
              </c:extLst>
            </c:dLbl>
            <c:dLbl>
              <c:idx val="450"/>
              <c:tx>
                <c:rich>
                  <a:bodyPr/>
                  <a:lstStyle/>
                  <a:p>
                    <a:fld id="{D85A0178-67B8-4B56-AAEC-BB7CC2B34822}"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E5E8-4B40-8489-579B0EAE0ED3}"/>
                </c:ext>
              </c:extLst>
            </c:dLbl>
            <c:dLbl>
              <c:idx val="451"/>
              <c:tx>
                <c:rich>
                  <a:bodyPr/>
                  <a:lstStyle/>
                  <a:p>
                    <a:fld id="{EBC5AFFB-1431-42D0-9DEC-C864B6C4A8D6}"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E5E8-4B40-8489-579B0EAE0ED3}"/>
                </c:ext>
              </c:extLst>
            </c:dLbl>
            <c:dLbl>
              <c:idx val="452"/>
              <c:tx>
                <c:rich>
                  <a:bodyPr/>
                  <a:lstStyle/>
                  <a:p>
                    <a:fld id="{EC1D473B-33A2-4BC9-ADFF-9F5EC0724590}"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E5E8-4B40-8489-579B0EAE0ED3}"/>
                </c:ext>
              </c:extLst>
            </c:dLbl>
            <c:dLbl>
              <c:idx val="453"/>
              <c:tx>
                <c:rich>
                  <a:bodyPr/>
                  <a:lstStyle/>
                  <a:p>
                    <a:fld id="{C4CEDD9E-D548-495A-8832-9F47D5DC2DE3}"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E5E8-4B40-8489-579B0EAE0ED3}"/>
                </c:ext>
              </c:extLst>
            </c:dLbl>
            <c:dLbl>
              <c:idx val="454"/>
              <c:tx>
                <c:rich>
                  <a:bodyPr/>
                  <a:lstStyle/>
                  <a:p>
                    <a:fld id="{095A236E-2835-4614-905F-317877758716}"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E5E8-4B40-8489-579B0EAE0ED3}"/>
                </c:ext>
              </c:extLst>
            </c:dLbl>
            <c:dLbl>
              <c:idx val="455"/>
              <c:tx>
                <c:rich>
                  <a:bodyPr/>
                  <a:lstStyle/>
                  <a:p>
                    <a:fld id="{6C8CE4C1-48D9-4A69-A53B-7A5D6DEDDDA9}"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E5E8-4B40-8489-579B0EAE0ED3}"/>
                </c:ext>
              </c:extLst>
            </c:dLbl>
            <c:dLbl>
              <c:idx val="456"/>
              <c:tx>
                <c:rich>
                  <a:bodyPr/>
                  <a:lstStyle/>
                  <a:p>
                    <a:fld id="{6E1ABE53-5302-4422-8F28-CCCA52300C89}"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66-028D-4756-AF5E-8FEDF70BEC81}"/>
                </c:ext>
              </c:extLst>
            </c:dLbl>
            <c:dLbl>
              <c:idx val="457"/>
              <c:tx>
                <c:rich>
                  <a:bodyPr/>
                  <a:lstStyle/>
                  <a:p>
                    <a:fld id="{9EA91EE6-4FC5-4FC4-AA08-355005BA7FD9}"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D643-4868-B97A-38743D8C4FF3}"/>
                </c:ext>
              </c:extLst>
            </c:dLbl>
            <c:dLbl>
              <c:idx val="458"/>
              <c:tx>
                <c:rich>
                  <a:bodyPr/>
                  <a:lstStyle/>
                  <a:p>
                    <a:fld id="{D2BE4004-1B76-4A75-883F-33321319F138}"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D643-4868-B97A-38743D8C4FF3}"/>
                </c:ext>
              </c:extLst>
            </c:dLbl>
            <c:dLbl>
              <c:idx val="459"/>
              <c:tx>
                <c:rich>
                  <a:bodyPr/>
                  <a:lstStyle/>
                  <a:p>
                    <a:fld id="{C7058FF0-810E-4A60-A0F2-BCA81B478AE2}"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D643-4868-B97A-38743D8C4FF3}"/>
                </c:ext>
              </c:extLst>
            </c:dLbl>
            <c:dLbl>
              <c:idx val="460"/>
              <c:tx>
                <c:rich>
                  <a:bodyPr/>
                  <a:lstStyle/>
                  <a:p>
                    <a:fld id="{B3F02FAC-A5BB-4E9A-B4EC-7A2B91095C5B}"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D643-4868-B97A-38743D8C4FF3}"/>
                </c:ext>
              </c:extLst>
            </c:dLbl>
            <c:dLbl>
              <c:idx val="461"/>
              <c:tx>
                <c:rich>
                  <a:bodyPr/>
                  <a:lstStyle/>
                  <a:p>
                    <a:fld id="{9B167A64-C048-4E0B-89BE-7EB5CE3346A7}"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D643-4868-B97A-38743D8C4FF3}"/>
                </c:ext>
              </c:extLst>
            </c:dLbl>
            <c:dLbl>
              <c:idx val="462"/>
              <c:tx>
                <c:rich>
                  <a:bodyPr/>
                  <a:lstStyle/>
                  <a:p>
                    <a:fld id="{92FC3552-D88E-44CE-9A05-F91B8EEDFB9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D643-4868-B97A-38743D8C4FF3}"/>
                </c:ext>
              </c:extLst>
            </c:dLbl>
            <c:dLbl>
              <c:idx val="463"/>
              <c:tx>
                <c:rich>
                  <a:bodyPr/>
                  <a:lstStyle/>
                  <a:p>
                    <a:fld id="{DDD9AF25-D04B-481F-8CFD-72D28324483B}"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D643-4868-B97A-38743D8C4FF3}"/>
                </c:ext>
              </c:extLst>
            </c:dLbl>
            <c:dLbl>
              <c:idx val="464"/>
              <c:tx>
                <c:rich>
                  <a:bodyPr/>
                  <a:lstStyle/>
                  <a:p>
                    <a:fld id="{D218B453-462C-47B8-932B-C9AB8331B635}"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D643-4868-B97A-38743D8C4FF3}"/>
                </c:ext>
              </c:extLst>
            </c:dLbl>
            <c:dLbl>
              <c:idx val="465"/>
              <c:tx>
                <c:rich>
                  <a:bodyPr/>
                  <a:lstStyle/>
                  <a:p>
                    <a:fld id="{29465458-4620-4A45-BF7B-B4C9AD360641}"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D643-4868-B97A-38743D8C4FF3}"/>
                </c:ext>
              </c:extLst>
            </c:dLbl>
            <c:dLbl>
              <c:idx val="466"/>
              <c:tx>
                <c:rich>
                  <a:bodyPr/>
                  <a:lstStyle/>
                  <a:p>
                    <a:fld id="{A56A8883-6138-41B9-A738-FBDAAC14239C}"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D643-4868-B97A-38743D8C4FF3}"/>
                </c:ext>
              </c:extLst>
            </c:dLbl>
            <c:dLbl>
              <c:idx val="467"/>
              <c:tx>
                <c:rich>
                  <a:bodyPr/>
                  <a:lstStyle/>
                  <a:p>
                    <a:fld id="{B642ED59-75AE-4A72-9106-17E022AB4AE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5523-49A2-AC06-591D397F702A}"/>
                </c:ext>
              </c:extLst>
            </c:dLbl>
            <c:dLbl>
              <c:idx val="468"/>
              <c:tx>
                <c:rich>
                  <a:bodyPr/>
                  <a:lstStyle/>
                  <a:p>
                    <a:fld id="{84DA8B50-8019-4826-92FD-A664CB0D0329}"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67-028D-4756-AF5E-8FEDF70BEC81}"/>
                </c:ext>
              </c:extLst>
            </c:dLbl>
            <c:dLbl>
              <c:idx val="469"/>
              <c:tx>
                <c:rich>
                  <a:bodyPr/>
                  <a:lstStyle/>
                  <a:p>
                    <a:fld id="{CD467A85-A582-418A-AC46-F26EB70AFE50}"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68-028D-4756-AF5E-8FEDF70BEC81}"/>
                </c:ext>
              </c:extLst>
            </c:dLbl>
            <c:dLbl>
              <c:idx val="470"/>
              <c:tx>
                <c:rich>
                  <a:bodyPr/>
                  <a:lstStyle/>
                  <a:p>
                    <a:fld id="{9544C41F-F8F9-4D34-BCB7-1B7CE2ACABD6}"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69-028D-4756-AF5E-8FEDF70BEC81}"/>
                </c:ext>
              </c:extLst>
            </c:dLbl>
            <c:dLbl>
              <c:idx val="471"/>
              <c:tx>
                <c:rich>
                  <a:bodyPr/>
                  <a:lstStyle/>
                  <a:p>
                    <a:fld id="{E184C2DE-5A08-4596-A96F-C55FDDEC94A6}"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6A-028D-4756-AF5E-8FEDF70BEC81}"/>
                </c:ext>
              </c:extLst>
            </c:dLbl>
            <c:dLbl>
              <c:idx val="472"/>
              <c:tx>
                <c:rich>
                  <a:bodyPr/>
                  <a:lstStyle/>
                  <a:p>
                    <a:fld id="{7DDA4B50-70C1-4A97-94BE-DED63D0B7627}"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6B-028D-4756-AF5E-8FEDF70BEC81}"/>
                </c:ext>
              </c:extLst>
            </c:dLbl>
            <c:dLbl>
              <c:idx val="473"/>
              <c:tx>
                <c:rich>
                  <a:bodyPr/>
                  <a:lstStyle/>
                  <a:p>
                    <a:fld id="{701D0CD6-E2E3-436B-8E7F-B207A08DA8DB}"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6C-028D-4756-AF5E-8FEDF70BEC81}"/>
                </c:ext>
              </c:extLst>
            </c:dLbl>
            <c:dLbl>
              <c:idx val="474"/>
              <c:tx>
                <c:rich>
                  <a:bodyPr/>
                  <a:lstStyle/>
                  <a:p>
                    <a:fld id="{F4D0D749-AE02-4EB8-AEC8-635C99FF5B91}"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6D-028D-4756-AF5E-8FEDF70BEC81}"/>
                </c:ext>
              </c:extLst>
            </c:dLbl>
            <c:dLbl>
              <c:idx val="475"/>
              <c:tx>
                <c:rich>
                  <a:bodyPr/>
                  <a:lstStyle/>
                  <a:p>
                    <a:fld id="{3DBF8C7A-9B5E-4E07-9540-24E43B753632}"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6E-028D-4756-AF5E-8FEDF70BEC81}"/>
                </c:ext>
              </c:extLst>
            </c:dLbl>
            <c:dLbl>
              <c:idx val="476"/>
              <c:tx>
                <c:rich>
                  <a:bodyPr/>
                  <a:lstStyle/>
                  <a:p>
                    <a:fld id="{540C979C-4760-408D-A6FB-1E475B92BD02}"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6F-028D-4756-AF5E-8FEDF70BEC81}"/>
                </c:ext>
              </c:extLst>
            </c:dLbl>
            <c:dLbl>
              <c:idx val="477"/>
              <c:tx>
                <c:rich>
                  <a:bodyPr/>
                  <a:lstStyle/>
                  <a:p>
                    <a:fld id="{970D4F1B-DA13-4CD1-A689-1F59EA1CA681}"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70-028D-4756-AF5E-8FEDF70BEC81}"/>
                </c:ext>
              </c:extLst>
            </c:dLbl>
            <c:dLbl>
              <c:idx val="478"/>
              <c:tx>
                <c:rich>
                  <a:bodyPr/>
                  <a:lstStyle/>
                  <a:p>
                    <a:fld id="{01E4CC4B-E067-4DF8-A2F4-DF5F890E82E1}"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71-028D-4756-AF5E-8FEDF70BEC81}"/>
                </c:ext>
              </c:extLst>
            </c:dLbl>
            <c:dLbl>
              <c:idx val="479"/>
              <c:tx>
                <c:rich>
                  <a:bodyPr/>
                  <a:lstStyle/>
                  <a:p>
                    <a:fld id="{6B5CB5F9-A953-4852-9ED6-EEA1D0922DDB}"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72-028D-4756-AF5E-8FEDF70BEC81}"/>
                </c:ext>
              </c:extLst>
            </c:dLbl>
            <c:dLbl>
              <c:idx val="480"/>
              <c:tx>
                <c:rich>
                  <a:bodyPr/>
                  <a:lstStyle/>
                  <a:p>
                    <a:fld id="{7800F28B-720B-499E-9B7F-2D44F7D18E7D}"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73-028D-4756-AF5E-8FEDF70BEC81}"/>
                </c:ext>
              </c:extLst>
            </c:dLbl>
            <c:dLbl>
              <c:idx val="481"/>
              <c:tx>
                <c:rich>
                  <a:bodyPr/>
                  <a:lstStyle/>
                  <a:p>
                    <a:fld id="{5B0A7C13-ED8A-4175-BEF2-D0546DF4F30B}"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74-028D-4756-AF5E-8FEDF70BEC81}"/>
                </c:ext>
              </c:extLst>
            </c:dLbl>
            <c:dLbl>
              <c:idx val="482"/>
              <c:tx>
                <c:rich>
                  <a:bodyPr/>
                  <a:lstStyle/>
                  <a:p>
                    <a:fld id="{D9D83D53-B67D-4208-85F6-3DDB758C13D2}"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75-028D-4756-AF5E-8FEDF70BEC81}"/>
                </c:ext>
              </c:extLst>
            </c:dLbl>
            <c:dLbl>
              <c:idx val="483"/>
              <c:tx>
                <c:rich>
                  <a:bodyPr/>
                  <a:lstStyle/>
                  <a:p>
                    <a:fld id="{2FE95028-EB7C-41BA-9190-B9B28C2483DD}"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76-028D-4756-AF5E-8FEDF70BEC81}"/>
                </c:ext>
              </c:extLst>
            </c:dLbl>
            <c:dLbl>
              <c:idx val="484"/>
              <c:tx>
                <c:rich>
                  <a:bodyPr/>
                  <a:lstStyle/>
                  <a:p>
                    <a:fld id="{8D6B76E1-FCAC-4ECB-931E-C5C9F70E9B55}"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77-028D-4756-AF5E-8FEDF70BEC81}"/>
                </c:ext>
              </c:extLst>
            </c:dLbl>
            <c:dLbl>
              <c:idx val="485"/>
              <c:tx>
                <c:rich>
                  <a:bodyPr/>
                  <a:lstStyle/>
                  <a:p>
                    <a:fld id="{2A3F3199-5587-488A-9DD0-5A94C1DED89F}"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78-028D-4756-AF5E-8FEDF70BEC81}"/>
                </c:ext>
              </c:extLst>
            </c:dLbl>
            <c:dLbl>
              <c:idx val="486"/>
              <c:tx>
                <c:rich>
                  <a:bodyPr/>
                  <a:lstStyle/>
                  <a:p>
                    <a:fld id="{02C00A11-D044-4B21-8589-B83EF500E9A9}"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79-028D-4756-AF5E-8FEDF70BEC81}"/>
                </c:ext>
              </c:extLst>
            </c:dLbl>
            <c:dLbl>
              <c:idx val="487"/>
              <c:tx>
                <c:rich>
                  <a:bodyPr/>
                  <a:lstStyle/>
                  <a:p>
                    <a:fld id="{FA284EF0-93EE-41B3-B71C-6C4B83A1C702}"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17A-028D-4756-AF5E-8FEDF70BEC81}"/>
                </c:ext>
              </c:extLst>
            </c:dLbl>
            <c:dLbl>
              <c:idx val="488"/>
              <c:tx>
                <c:rich>
                  <a:bodyPr/>
                  <a:lstStyle/>
                  <a:p>
                    <a:fld id="{F924C51E-A58E-4626-BFC3-BD3ED4554483}"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45FF-42E3-88CE-879B53B0249F}"/>
                </c:ext>
              </c:extLst>
            </c:dLbl>
            <c:dLbl>
              <c:idx val="489"/>
              <c:tx>
                <c:rich>
                  <a:bodyPr/>
                  <a:lstStyle/>
                  <a:p>
                    <a:fld id="{6832CBF1-35B5-46CD-B5EA-2C97C7FBB3F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45FF-42E3-88CE-879B53B0249F}"/>
                </c:ext>
              </c:extLst>
            </c:dLbl>
            <c:dLbl>
              <c:idx val="490"/>
              <c:tx>
                <c:rich>
                  <a:bodyPr/>
                  <a:lstStyle/>
                  <a:p>
                    <a:fld id="{37BED3AA-1845-4FA1-898A-C85A9A9AAD5B}"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45FF-42E3-88CE-879B53B0249F}"/>
                </c:ext>
              </c:extLst>
            </c:dLbl>
            <c:dLbl>
              <c:idx val="491"/>
              <c:tx>
                <c:rich>
                  <a:bodyPr/>
                  <a:lstStyle/>
                  <a:p>
                    <a:fld id="{F20925A4-EFE5-4757-B2ED-25B3C41B8501}"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45FF-42E3-88CE-879B53B0249F}"/>
                </c:ext>
              </c:extLst>
            </c:dLbl>
            <c:dLbl>
              <c:idx val="492"/>
              <c:tx>
                <c:rich>
                  <a:bodyPr/>
                  <a:lstStyle/>
                  <a:p>
                    <a:fld id="{94CE5E7F-D0BD-4F74-81F9-7E9A6C4750DE}"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45FF-42E3-88CE-879B53B0249F}"/>
                </c:ext>
              </c:extLst>
            </c:dLbl>
            <c:dLbl>
              <c:idx val="493"/>
              <c:tx>
                <c:rich>
                  <a:bodyPr/>
                  <a:lstStyle/>
                  <a:p>
                    <a:fld id="{7A8F113A-A229-4E66-8CF0-B7E19DDE4B5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45FF-42E3-88CE-879B53B0249F}"/>
                </c:ext>
              </c:extLst>
            </c:dLbl>
            <c:dLbl>
              <c:idx val="494"/>
              <c:tx>
                <c:rich>
                  <a:bodyPr/>
                  <a:lstStyle/>
                  <a:p>
                    <a:fld id="{9053DA98-2784-497C-85BB-FEBDD3777EE6}"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45FF-42E3-88CE-879B53B0249F}"/>
                </c:ext>
              </c:extLst>
            </c:dLbl>
            <c:dLbl>
              <c:idx val="495"/>
              <c:tx>
                <c:rich>
                  <a:bodyPr/>
                  <a:lstStyle/>
                  <a:p>
                    <a:fld id="{11F16237-F95B-4438-B8BB-F923C293B6F2}"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45FF-42E3-88CE-879B53B0249F}"/>
                </c:ext>
              </c:extLst>
            </c:dLbl>
            <c:dLbl>
              <c:idx val="496"/>
              <c:tx>
                <c:rich>
                  <a:bodyPr/>
                  <a:lstStyle/>
                  <a:p>
                    <a:fld id="{01D83E7E-0003-4A1C-96CA-9A9B70C66D80}"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45FF-42E3-88CE-879B53B0249F}"/>
                </c:ext>
              </c:extLst>
            </c:dLbl>
            <c:dLbl>
              <c:idx val="497"/>
              <c:tx>
                <c:rich>
                  <a:bodyPr/>
                  <a:lstStyle/>
                  <a:p>
                    <a:fld id="{67F7735D-DB2A-426D-BFD2-D367C8F3F692}"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45FF-42E3-88CE-879B53B0249F}"/>
                </c:ext>
              </c:extLst>
            </c:dLbl>
            <c:dLbl>
              <c:idx val="498"/>
              <c:tx>
                <c:rich>
                  <a:bodyPr/>
                  <a:lstStyle/>
                  <a:p>
                    <a:fld id="{3B7694A3-67CB-4821-AA68-6374C2E053C0}"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45FF-42E3-88CE-879B53B0249F}"/>
                </c:ext>
              </c:extLst>
            </c:dLbl>
            <c:dLbl>
              <c:idx val="499"/>
              <c:tx>
                <c:rich>
                  <a:bodyPr/>
                  <a:lstStyle/>
                  <a:p>
                    <a:fld id="{C6E7C71B-6543-46AB-9BBD-7779D54B74DF}"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45FF-42E3-88CE-879B53B0249F}"/>
                </c:ext>
              </c:extLst>
            </c:dLbl>
            <c:dLbl>
              <c:idx val="500"/>
              <c:tx>
                <c:rich>
                  <a:bodyPr/>
                  <a:lstStyle/>
                  <a:p>
                    <a:fld id="{5E78527E-5CF3-4600-B7D9-62FF169263DE}"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45FF-42E3-88CE-879B53B0249F}"/>
                </c:ext>
              </c:extLst>
            </c:dLbl>
            <c:dLbl>
              <c:idx val="501"/>
              <c:tx>
                <c:rich>
                  <a:bodyPr/>
                  <a:lstStyle/>
                  <a:p>
                    <a:fld id="{D0B21AB9-979A-4A0E-B5D1-2EE2F5C68253}"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79A0-42C1-B21D-403BBF7509A2}"/>
                </c:ext>
              </c:extLst>
            </c:dLbl>
            <c:dLbl>
              <c:idx val="502"/>
              <c:tx>
                <c:rich>
                  <a:bodyPr/>
                  <a:lstStyle/>
                  <a:p>
                    <a:fld id="{82F559CC-90AD-4A76-86EE-0FF230A1D04F}"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79A0-42C1-B21D-403BBF7509A2}"/>
                </c:ext>
              </c:extLst>
            </c:dLbl>
            <c:dLbl>
              <c:idx val="503"/>
              <c:tx>
                <c:rich>
                  <a:bodyPr/>
                  <a:lstStyle/>
                  <a:p>
                    <a:fld id="{1DDC90BF-427B-4ED4-BB07-7E8276A023ED}"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79A0-42C1-B21D-403BBF7509A2}"/>
                </c:ext>
              </c:extLst>
            </c:dLbl>
            <c:dLbl>
              <c:idx val="504"/>
              <c:tx>
                <c:rich>
                  <a:bodyPr/>
                  <a:lstStyle/>
                  <a:p>
                    <a:fld id="{9481F327-FD9F-4057-B768-E716B479EB26}"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79A0-42C1-B21D-403BBF7509A2}"/>
                </c:ext>
              </c:extLst>
            </c:dLbl>
            <c:dLbl>
              <c:idx val="505"/>
              <c:tx>
                <c:rich>
                  <a:bodyPr/>
                  <a:lstStyle/>
                  <a:p>
                    <a:fld id="{F86A3D53-47A1-48AB-B569-D9260B227E2E}"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79A0-42C1-B21D-403BBF7509A2}"/>
                </c:ext>
              </c:extLst>
            </c:dLbl>
            <c:dLbl>
              <c:idx val="506"/>
              <c:tx>
                <c:rich>
                  <a:bodyPr/>
                  <a:lstStyle/>
                  <a:p>
                    <a:fld id="{80280DE1-2072-44B3-9A63-053F37722685}"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79A0-42C1-B21D-403BBF7509A2}"/>
                </c:ext>
              </c:extLst>
            </c:dLbl>
            <c:dLbl>
              <c:idx val="507"/>
              <c:tx>
                <c:rich>
                  <a:bodyPr/>
                  <a:lstStyle/>
                  <a:p>
                    <a:fld id="{81943BEE-8874-4776-A649-051C9E5C1DCA}"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79A0-42C1-B21D-403BBF7509A2}"/>
                </c:ext>
              </c:extLst>
            </c:dLbl>
            <c:dLbl>
              <c:idx val="508"/>
              <c:tx>
                <c:rich>
                  <a:bodyPr/>
                  <a:lstStyle/>
                  <a:p>
                    <a:fld id="{6F975533-0ED6-4814-A1C9-B4C498549CE7}"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79A0-42C1-B21D-403BBF7509A2}"/>
                </c:ext>
              </c:extLst>
            </c:dLbl>
            <c:dLbl>
              <c:idx val="509"/>
              <c:tx>
                <c:rich>
                  <a:bodyPr/>
                  <a:lstStyle/>
                  <a:p>
                    <a:fld id="{525D6A31-17C5-4978-8F11-25D2793D0EF0}"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B53F-4DBF-9E56-387540075C52}"/>
                </c:ext>
              </c:extLst>
            </c:dLbl>
            <c:dLbl>
              <c:idx val="510"/>
              <c:tx>
                <c:rich>
                  <a:bodyPr/>
                  <a:lstStyle/>
                  <a:p>
                    <a:fld id="{7003449D-BD48-4972-A65A-4E7D06E4D299}"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B53F-4DBF-9E56-387540075C52}"/>
                </c:ext>
              </c:extLst>
            </c:dLbl>
            <c:dLbl>
              <c:idx val="511"/>
              <c:tx>
                <c:rich>
                  <a:bodyPr/>
                  <a:lstStyle/>
                  <a:p>
                    <a:fld id="{7C12B196-3241-436E-BBAF-BF9E501B0AF6}"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B53F-4DBF-9E56-387540075C52}"/>
                </c:ext>
              </c:extLst>
            </c:dLbl>
            <c:dLbl>
              <c:idx val="512"/>
              <c:tx>
                <c:rich>
                  <a:bodyPr/>
                  <a:lstStyle/>
                  <a:p>
                    <a:fld id="{9EA8F9F5-A0AE-45DD-91A4-A9D27AA724E3}"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B53F-4DBF-9E56-387540075C52}"/>
                </c:ext>
              </c:extLst>
            </c:dLbl>
            <c:dLbl>
              <c:idx val="513"/>
              <c:tx>
                <c:rich>
                  <a:bodyPr/>
                  <a:lstStyle/>
                  <a:p>
                    <a:fld id="{55E25001-95A1-41FF-82EA-8A657F772970}"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B53F-4DBF-9E56-387540075C52}"/>
                </c:ext>
              </c:extLst>
            </c:dLbl>
            <c:dLbl>
              <c:idx val="514"/>
              <c:tx>
                <c:rich>
                  <a:bodyPr/>
                  <a:lstStyle/>
                  <a:p>
                    <a:fld id="{01B9EA84-09C2-439B-BF78-C4678967937F}"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B53F-4DBF-9E56-387540075C52}"/>
                </c:ext>
              </c:extLst>
            </c:dLbl>
            <c:dLbl>
              <c:idx val="515"/>
              <c:tx>
                <c:rich>
                  <a:bodyPr/>
                  <a:lstStyle/>
                  <a:p>
                    <a:fld id="{79FB5AD4-6E9F-443E-81F2-A01D27233647}"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B53F-4DBF-9E56-387540075C52}"/>
                </c:ext>
              </c:extLst>
            </c:dLbl>
            <c:dLbl>
              <c:idx val="516"/>
              <c:tx>
                <c:rich>
                  <a:bodyPr/>
                  <a:lstStyle/>
                  <a:p>
                    <a:fld id="{442E2F37-AD3A-47E1-9E5D-706EC710F2E7}"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B53F-4DBF-9E56-387540075C52}"/>
                </c:ext>
              </c:extLst>
            </c:dLbl>
            <c:dLbl>
              <c:idx val="517"/>
              <c:tx>
                <c:rich>
                  <a:bodyPr/>
                  <a:lstStyle/>
                  <a:p>
                    <a:fld id="{8DDC6ECB-A312-4CC5-BEED-6139F0714102}"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B53F-4DBF-9E56-387540075C52}"/>
                </c:ext>
              </c:extLst>
            </c:dLbl>
            <c:dLbl>
              <c:idx val="518"/>
              <c:tx>
                <c:rich>
                  <a:bodyPr/>
                  <a:lstStyle/>
                  <a:p>
                    <a:fld id="{EB64ECA5-3741-4AF6-9CEF-47006C76AEE8}"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B53F-4DBF-9E56-387540075C52}"/>
                </c:ext>
              </c:extLst>
            </c:dLbl>
            <c:dLbl>
              <c:idx val="519"/>
              <c:tx>
                <c:rich>
                  <a:bodyPr/>
                  <a:lstStyle/>
                  <a:p>
                    <a:fld id="{8954AA05-D121-4147-9896-F0027255EB83}"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B53F-4DBF-9E56-387540075C52}"/>
                </c:ext>
              </c:extLst>
            </c:dLbl>
            <c:dLbl>
              <c:idx val="520"/>
              <c:tx>
                <c:rich>
                  <a:bodyPr/>
                  <a:lstStyle/>
                  <a:p>
                    <a:fld id="{89B61E2D-F73B-4BE7-81B7-73F1620A002B}"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B53F-4DBF-9E56-387540075C52}"/>
                </c:ext>
              </c:extLst>
            </c:dLbl>
            <c:dLbl>
              <c:idx val="521"/>
              <c:tx>
                <c:rich>
                  <a:bodyPr/>
                  <a:lstStyle/>
                  <a:p>
                    <a:fld id="{0EDCCADF-DED1-4146-BF14-76404C30E547}"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B53F-4DBF-9E56-387540075C52}"/>
                </c:ext>
              </c:extLst>
            </c:dLbl>
            <c:dLbl>
              <c:idx val="522"/>
              <c:tx>
                <c:rich>
                  <a:bodyPr/>
                  <a:lstStyle/>
                  <a:p>
                    <a:fld id="{E88C9096-A43C-4BF4-A683-291A6EA3904F}"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B53F-4DBF-9E56-387540075C52}"/>
                </c:ext>
              </c:extLst>
            </c:dLbl>
            <c:dLbl>
              <c:idx val="523"/>
              <c:tx>
                <c:rich>
                  <a:bodyPr/>
                  <a:lstStyle/>
                  <a:p>
                    <a:fld id="{892B1AF8-0A86-40F2-83B6-7F7BE8DF6536}"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B53F-4DBF-9E56-387540075C52}"/>
                </c:ext>
              </c:extLst>
            </c:dLbl>
            <c:dLbl>
              <c:idx val="524"/>
              <c:tx>
                <c:rich>
                  <a:bodyPr/>
                  <a:lstStyle/>
                  <a:p>
                    <a:fld id="{1B2B7FEC-4F1C-433D-8B2C-BB02960A7613}"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B53F-4DBF-9E56-387540075C52}"/>
                </c:ext>
              </c:extLst>
            </c:dLbl>
            <c:dLbl>
              <c:idx val="525"/>
              <c:tx>
                <c:rich>
                  <a:bodyPr/>
                  <a:lstStyle/>
                  <a:p>
                    <a:fld id="{261B8918-76E7-45E6-97C7-53E481C13EF9}"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B53F-4DBF-9E56-387540075C52}"/>
                </c:ext>
              </c:extLst>
            </c:dLbl>
            <c:dLbl>
              <c:idx val="526"/>
              <c:tx>
                <c:rich>
                  <a:bodyPr/>
                  <a:lstStyle/>
                  <a:p>
                    <a:fld id="{EAD7A64C-5650-4E14-BED7-B2117F1514C8}"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B53F-4DBF-9E56-387540075C52}"/>
                </c:ext>
              </c:extLst>
            </c:dLbl>
            <c:dLbl>
              <c:idx val="527"/>
              <c:tx>
                <c:rich>
                  <a:bodyPr/>
                  <a:lstStyle/>
                  <a:p>
                    <a:fld id="{7D35C798-38CC-477E-B2F5-B1B6B24EA533}"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B53F-4DBF-9E56-387540075C52}"/>
                </c:ext>
              </c:extLst>
            </c:dLbl>
            <c:dLbl>
              <c:idx val="528"/>
              <c:tx>
                <c:rich>
                  <a:bodyPr/>
                  <a:lstStyle/>
                  <a:p>
                    <a:fld id="{D8F324E8-979F-4A30-97EE-8FA5BCC29A9F}"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A82A-4564-A69C-966D920BFA1D}"/>
                </c:ext>
              </c:extLst>
            </c:dLbl>
            <c:dLbl>
              <c:idx val="529"/>
              <c:tx>
                <c:rich>
                  <a:bodyPr/>
                  <a:lstStyle/>
                  <a:p>
                    <a:fld id="{58DF48A4-AC6C-477C-8C9F-E6517932DC00}"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A82A-4564-A69C-966D920BFA1D}"/>
                </c:ext>
              </c:extLst>
            </c:dLbl>
            <c:dLbl>
              <c:idx val="530"/>
              <c:tx>
                <c:rich>
                  <a:bodyPr/>
                  <a:lstStyle/>
                  <a:p>
                    <a:fld id="{7282F747-AD36-4C6D-9195-72895A337203}"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A82A-4564-A69C-966D920BFA1D}"/>
                </c:ext>
              </c:extLst>
            </c:dLbl>
            <c:dLbl>
              <c:idx val="531"/>
              <c:tx>
                <c:rich>
                  <a:bodyPr/>
                  <a:lstStyle/>
                  <a:p>
                    <a:fld id="{DB5244E0-FC16-4F7B-9967-79D5F80E27B6}"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A82A-4564-A69C-966D920BFA1D}"/>
                </c:ext>
              </c:extLst>
            </c:dLbl>
            <c:dLbl>
              <c:idx val="532"/>
              <c:tx>
                <c:rich>
                  <a:bodyPr/>
                  <a:lstStyle/>
                  <a:p>
                    <a:fld id="{B73E692D-265E-493C-84E9-7438E0043A09}"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A82A-4564-A69C-966D920BFA1D}"/>
                </c:ext>
              </c:extLst>
            </c:dLbl>
            <c:dLbl>
              <c:idx val="533"/>
              <c:tx>
                <c:rich>
                  <a:bodyPr/>
                  <a:lstStyle/>
                  <a:p>
                    <a:fld id="{55DA732B-A4EC-4FDA-AC05-6A4E16266012}"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A82A-4564-A69C-966D920BFA1D}"/>
                </c:ext>
              </c:extLst>
            </c:dLbl>
            <c:dLbl>
              <c:idx val="534"/>
              <c:tx>
                <c:rich>
                  <a:bodyPr/>
                  <a:lstStyle/>
                  <a:p>
                    <a:fld id="{180A72DE-5AB4-4DAA-B148-570021FEEE67}"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A82A-4564-A69C-966D920BFA1D}"/>
                </c:ext>
              </c:extLst>
            </c:dLbl>
            <c:dLbl>
              <c:idx val="535"/>
              <c:tx>
                <c:rich>
                  <a:bodyPr/>
                  <a:lstStyle/>
                  <a:p>
                    <a:fld id="{9C541D9B-F552-4E69-A9EB-5D8C06D54E6C}"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A82A-4564-A69C-966D920BFA1D}"/>
                </c:ext>
              </c:extLst>
            </c:dLbl>
            <c:dLbl>
              <c:idx val="536"/>
              <c:tx>
                <c:rich>
                  <a:bodyPr/>
                  <a:lstStyle/>
                  <a:p>
                    <a:fld id="{5413191D-4D10-40E9-B4BE-260303CF84AE}"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584C-4DD8-97A7-027AFB1CF4E9}"/>
                </c:ext>
              </c:extLst>
            </c:dLbl>
            <c:dLbl>
              <c:idx val="537"/>
              <c:tx>
                <c:rich>
                  <a:bodyPr/>
                  <a:lstStyle/>
                  <a:p>
                    <a:fld id="{2CB69E60-95EF-490E-BD60-AFF5C9F7F45A}"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584C-4DD8-97A7-027AFB1CF4E9}"/>
                </c:ext>
              </c:extLst>
            </c:dLbl>
            <c:dLbl>
              <c:idx val="538"/>
              <c:tx>
                <c:rich>
                  <a:bodyPr/>
                  <a:lstStyle/>
                  <a:p>
                    <a:fld id="{D131B278-738A-4ACE-A287-FC23962344C5}"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584C-4DD8-97A7-027AFB1CF4E9}"/>
                </c:ext>
              </c:extLst>
            </c:dLbl>
            <c:dLbl>
              <c:idx val="539"/>
              <c:tx>
                <c:rich>
                  <a:bodyPr/>
                  <a:lstStyle/>
                  <a:p>
                    <a:fld id="{22CA8277-D4C7-4336-BDFB-6357F4D562B8}"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584C-4DD8-97A7-027AFB1CF4E9}"/>
                </c:ext>
              </c:extLst>
            </c:dLbl>
            <c:dLbl>
              <c:idx val="540"/>
              <c:tx>
                <c:rich>
                  <a:bodyPr/>
                  <a:lstStyle/>
                  <a:p>
                    <a:fld id="{0CCAA0C5-1E3D-43E6-9E16-9C193B577468}"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584C-4DD8-97A7-027AFB1CF4E9}"/>
                </c:ext>
              </c:extLst>
            </c:dLbl>
            <c:dLbl>
              <c:idx val="541"/>
              <c:tx>
                <c:rich>
                  <a:bodyPr/>
                  <a:lstStyle/>
                  <a:p>
                    <a:fld id="{EBE49EEF-F9F0-4988-865B-3B281A0C6AE0}"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584C-4DD8-97A7-027AFB1CF4E9}"/>
                </c:ext>
              </c:extLst>
            </c:dLbl>
            <c:dLbl>
              <c:idx val="542"/>
              <c:tx>
                <c:rich>
                  <a:bodyPr/>
                  <a:lstStyle/>
                  <a:p>
                    <a:fld id="{03E5423B-6EF3-499D-93A7-F29E771E954D}"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584C-4DD8-97A7-027AFB1CF4E9}"/>
                </c:ext>
              </c:extLst>
            </c:dLbl>
            <c:dLbl>
              <c:idx val="543"/>
              <c:tx>
                <c:rich>
                  <a:bodyPr/>
                  <a:lstStyle/>
                  <a:p>
                    <a:fld id="{6BCE45FB-8E94-4E52-8CB7-3E414D88011B}"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584C-4DD8-97A7-027AFB1CF4E9}"/>
                </c:ext>
              </c:extLst>
            </c:dLbl>
            <c:dLbl>
              <c:idx val="544"/>
              <c:tx>
                <c:rich>
                  <a:bodyPr/>
                  <a:lstStyle/>
                  <a:p>
                    <a:fld id="{0A55DAE1-288B-404A-AABF-3FCFF71FA2A8}"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584C-4DD8-97A7-027AFB1CF4E9}"/>
                </c:ext>
              </c:extLst>
            </c:dLbl>
            <c:dLbl>
              <c:idx val="545"/>
              <c:tx>
                <c:rich>
                  <a:bodyPr/>
                  <a:lstStyle/>
                  <a:p>
                    <a:fld id="{48E25BD0-46F4-4F05-9D8A-ED0A3668B0F7}"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584C-4DD8-97A7-027AFB1CF4E9}"/>
                </c:ext>
              </c:extLst>
            </c:dLbl>
            <c:dLbl>
              <c:idx val="546"/>
              <c:tx>
                <c:rich>
                  <a:bodyPr/>
                  <a:lstStyle/>
                  <a:p>
                    <a:fld id="{CA4F5BE6-4A81-4CE8-BD2B-0A3C3E3A8012}"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584C-4DD8-97A7-027AFB1CF4E9}"/>
                </c:ext>
              </c:extLst>
            </c:dLbl>
            <c:dLbl>
              <c:idx val="547"/>
              <c:tx>
                <c:rich>
                  <a:bodyPr/>
                  <a:lstStyle/>
                  <a:p>
                    <a:fld id="{296F638B-8A2B-43D9-9B8F-982190534645}"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584C-4DD8-97A7-027AFB1CF4E9}"/>
                </c:ext>
              </c:extLst>
            </c:dLbl>
            <c:dLbl>
              <c:idx val="548"/>
              <c:tx>
                <c:rich>
                  <a:bodyPr/>
                  <a:lstStyle/>
                  <a:p>
                    <a:fld id="{CDC1A8C9-E20A-431D-8BC6-5CFCE2F67269}"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7510-42A0-812F-0120ABCD7372}"/>
                </c:ext>
              </c:extLst>
            </c:dLbl>
            <c:dLbl>
              <c:idx val="549"/>
              <c:tx>
                <c:rich>
                  <a:bodyPr/>
                  <a:lstStyle/>
                  <a:p>
                    <a:fld id="{41F2F27E-88D2-4162-A8F6-69171152260F}"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7510-42A0-812F-0120ABCD7372}"/>
                </c:ext>
              </c:extLst>
            </c:dLbl>
            <c:dLbl>
              <c:idx val="550"/>
              <c:tx>
                <c:rich>
                  <a:bodyPr/>
                  <a:lstStyle/>
                  <a:p>
                    <a:fld id="{69DA6FF4-C1CE-4AD6-BBAA-64C78234A4C5}"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7510-42A0-812F-0120ABCD7372}"/>
                </c:ext>
              </c:extLst>
            </c:dLbl>
            <c:dLbl>
              <c:idx val="551"/>
              <c:tx>
                <c:rich>
                  <a:bodyPr/>
                  <a:lstStyle/>
                  <a:p>
                    <a:fld id="{EC037552-9F6B-43A6-81D0-36BE7502CE57}"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7510-42A0-812F-0120ABCD7372}"/>
                </c:ext>
              </c:extLst>
            </c:dLbl>
            <c:dLbl>
              <c:idx val="552"/>
              <c:tx>
                <c:rich>
                  <a:bodyPr/>
                  <a:lstStyle/>
                  <a:p>
                    <a:fld id="{F42CC50E-8437-4E76-89F1-0C8B89B302EA}"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7510-42A0-812F-0120ABCD7372}"/>
                </c:ext>
              </c:extLst>
            </c:dLbl>
            <c:dLbl>
              <c:idx val="553"/>
              <c:tx>
                <c:rich>
                  <a:bodyPr/>
                  <a:lstStyle/>
                  <a:p>
                    <a:fld id="{E356DD5A-4B49-461C-8EC8-45582D453DE3}"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7510-42A0-812F-0120ABCD7372}"/>
                </c:ext>
              </c:extLst>
            </c:dLbl>
            <c:dLbl>
              <c:idx val="554"/>
              <c:tx>
                <c:rich>
                  <a:bodyPr/>
                  <a:lstStyle/>
                  <a:p>
                    <a:fld id="{AFBCBC6E-F339-4C49-8412-64EFE4884147}"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7510-42A0-812F-0120ABCD7372}"/>
                </c:ext>
              </c:extLst>
            </c:dLbl>
            <c:dLbl>
              <c:idx val="555"/>
              <c:tx>
                <c:rich>
                  <a:bodyPr/>
                  <a:lstStyle/>
                  <a:p>
                    <a:fld id="{90FEDC4C-3870-4E02-9E30-9E29DB1A5115}"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7510-42A0-812F-0120ABCD7372}"/>
                </c:ext>
              </c:extLst>
            </c:dLbl>
            <c:dLbl>
              <c:idx val="556"/>
              <c:tx>
                <c:rich>
                  <a:bodyPr/>
                  <a:lstStyle/>
                  <a:p>
                    <a:fld id="{7DE425CE-06E0-4113-AF8D-B612098F8F78}"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7510-42A0-812F-0120ABCD7372}"/>
                </c:ext>
              </c:extLst>
            </c:dLbl>
            <c:dLbl>
              <c:idx val="557"/>
              <c:tx>
                <c:rich>
                  <a:bodyPr/>
                  <a:lstStyle/>
                  <a:p>
                    <a:fld id="{5396C2B8-D144-4265-BA5C-6DE49EAF9D0C}"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7510-42A0-812F-0120ABCD7372}"/>
                </c:ext>
              </c:extLst>
            </c:dLbl>
            <c:dLbl>
              <c:idx val="558"/>
              <c:tx>
                <c:rich>
                  <a:bodyPr/>
                  <a:lstStyle/>
                  <a:p>
                    <a:fld id="{EA5080FE-A92B-4B53-BFAB-8D71CACCED2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7510-42A0-812F-0120ABCD7372}"/>
                </c:ext>
              </c:extLst>
            </c:dLbl>
            <c:dLbl>
              <c:idx val="559"/>
              <c:tx>
                <c:rich>
                  <a:bodyPr/>
                  <a:lstStyle/>
                  <a:p>
                    <a:fld id="{4F8C0518-D295-4C57-9C05-02070402F4DC}"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2782-4EA3-A2FD-A730FECBDD8C}"/>
                </c:ext>
              </c:extLst>
            </c:dLbl>
            <c:dLbl>
              <c:idx val="560"/>
              <c:tx>
                <c:rich>
                  <a:bodyPr/>
                  <a:lstStyle/>
                  <a:p>
                    <a:fld id="{F3D3D42E-666E-4300-80D1-7F013A95515C}"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2782-4EA3-A2FD-A730FECBDD8C}"/>
                </c:ext>
              </c:extLst>
            </c:dLbl>
            <c:dLbl>
              <c:idx val="561"/>
              <c:tx>
                <c:rich>
                  <a:bodyPr/>
                  <a:lstStyle/>
                  <a:p>
                    <a:fld id="{CB7E1089-3E2F-436D-A1EC-8014BD7F3DBC}"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2782-4EA3-A2FD-A730FECBDD8C}"/>
                </c:ext>
              </c:extLst>
            </c:dLbl>
            <c:dLbl>
              <c:idx val="562"/>
              <c:tx>
                <c:rich>
                  <a:bodyPr/>
                  <a:lstStyle/>
                  <a:p>
                    <a:fld id="{8281382D-CFC3-4D17-B624-AD916BE767A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2782-4EA3-A2FD-A730FECBDD8C}"/>
                </c:ext>
              </c:extLst>
            </c:dLbl>
            <c:dLbl>
              <c:idx val="563"/>
              <c:tx>
                <c:rich>
                  <a:bodyPr/>
                  <a:lstStyle/>
                  <a:p>
                    <a:fld id="{C4FC2FE2-4D16-441C-9C7A-5C71762C3E11}"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2782-4EA3-A2FD-A730FECBDD8C}"/>
                </c:ext>
              </c:extLst>
            </c:dLbl>
            <c:dLbl>
              <c:idx val="564"/>
              <c:tx>
                <c:rich>
                  <a:bodyPr/>
                  <a:lstStyle/>
                  <a:p>
                    <a:fld id="{E0FE631C-5859-411D-9487-A9F860D1E2A3}"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2782-4EA3-A2FD-A730FECBDD8C}"/>
                </c:ext>
              </c:extLst>
            </c:dLbl>
            <c:dLbl>
              <c:idx val="565"/>
              <c:tx>
                <c:rich>
                  <a:bodyPr/>
                  <a:lstStyle/>
                  <a:p>
                    <a:fld id="{EF87D009-5716-4724-BA86-7DCBBAA708CA}"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2782-4EA3-A2FD-A730FECBDD8C}"/>
                </c:ext>
              </c:extLst>
            </c:dLbl>
            <c:dLbl>
              <c:idx val="566"/>
              <c:tx>
                <c:rich>
                  <a:bodyPr/>
                  <a:lstStyle/>
                  <a:p>
                    <a:fld id="{95F6AF40-DEC8-47CD-9E84-AB7817A87B61}"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2782-4EA3-A2FD-A730FECBDD8C}"/>
                </c:ext>
              </c:extLst>
            </c:dLbl>
            <c:dLbl>
              <c:idx val="567"/>
              <c:tx>
                <c:rich>
                  <a:bodyPr/>
                  <a:lstStyle/>
                  <a:p>
                    <a:fld id="{E50FEE1F-E699-4862-B19D-8465E1EC3BB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2782-4EA3-A2FD-A730FECBDD8C}"/>
                </c:ext>
              </c:extLst>
            </c:dLbl>
            <c:dLbl>
              <c:idx val="568"/>
              <c:tx>
                <c:rich>
                  <a:bodyPr/>
                  <a:lstStyle/>
                  <a:p>
                    <a:fld id="{D0A90686-B59E-409C-A4DE-F43B8138492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2782-4EA3-A2FD-A730FECBDD8C}"/>
                </c:ext>
              </c:extLst>
            </c:dLbl>
            <c:dLbl>
              <c:idx val="569"/>
              <c:tx>
                <c:rich>
                  <a:bodyPr/>
                  <a:lstStyle/>
                  <a:p>
                    <a:fld id="{D747DFD8-3626-4A89-B481-EE7AFD43C86E}"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2782-4EA3-A2FD-A730FECBDD8C}"/>
                </c:ext>
              </c:extLst>
            </c:dLbl>
            <c:dLbl>
              <c:idx val="570"/>
              <c:tx>
                <c:rich>
                  <a:bodyPr/>
                  <a:lstStyle/>
                  <a:p>
                    <a:fld id="{79970242-53C1-4DD8-B8B3-EA2AB634583F}"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2782-4EA3-A2FD-A730FECBDD8C}"/>
                </c:ext>
              </c:extLst>
            </c:dLbl>
            <c:dLbl>
              <c:idx val="571"/>
              <c:tx>
                <c:rich>
                  <a:bodyPr/>
                  <a:lstStyle/>
                  <a:p>
                    <a:fld id="{C4AC842B-1E4B-40D1-BB6D-5FCE40D60AD7}"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2782-4EA3-A2FD-A730FECBDD8C}"/>
                </c:ext>
              </c:extLst>
            </c:dLbl>
            <c:dLbl>
              <c:idx val="572"/>
              <c:tx>
                <c:rich>
                  <a:bodyPr/>
                  <a:lstStyle/>
                  <a:p>
                    <a:fld id="{F4B3825D-DB45-4009-9655-D2147E83CFAE}"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2782-4EA3-A2FD-A730FECBDD8C}"/>
                </c:ext>
              </c:extLst>
            </c:dLbl>
            <c:dLbl>
              <c:idx val="573"/>
              <c:tx>
                <c:rich>
                  <a:bodyPr/>
                  <a:lstStyle/>
                  <a:p>
                    <a:fld id="{3C64A4FC-A7E9-4A07-A2D6-DE52777171BA}"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2782-4EA3-A2FD-A730FECBDD8C}"/>
                </c:ext>
              </c:extLst>
            </c:dLbl>
            <c:dLbl>
              <c:idx val="574"/>
              <c:tx>
                <c:rich>
                  <a:bodyPr/>
                  <a:lstStyle/>
                  <a:p>
                    <a:fld id="{0D4311C5-733B-4544-B805-436FFB2C822E}"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2782-4EA3-A2FD-A730FECBDD8C}"/>
                </c:ext>
              </c:extLst>
            </c:dLbl>
            <c:dLbl>
              <c:idx val="575"/>
              <c:tx>
                <c:rich>
                  <a:bodyPr/>
                  <a:lstStyle/>
                  <a:p>
                    <a:fld id="{560B99AE-9319-45F6-B399-40CBFE4E5D7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F008-46BF-891D-35F51A28467A}"/>
                </c:ext>
              </c:extLst>
            </c:dLbl>
            <c:dLbl>
              <c:idx val="576"/>
              <c:tx>
                <c:rich>
                  <a:bodyPr/>
                  <a:lstStyle/>
                  <a:p>
                    <a:fld id="{D50F1B5B-B7E0-4515-95E8-F77FBBB9C1A3}"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F008-46BF-891D-35F51A28467A}"/>
                </c:ext>
              </c:extLst>
            </c:dLbl>
            <c:dLbl>
              <c:idx val="577"/>
              <c:tx>
                <c:rich>
                  <a:bodyPr/>
                  <a:lstStyle/>
                  <a:p>
                    <a:fld id="{92AFAC17-7EE4-4A3F-811E-5846B5411777}"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F008-46BF-891D-35F51A28467A}"/>
                </c:ext>
              </c:extLst>
            </c:dLbl>
            <c:dLbl>
              <c:idx val="578"/>
              <c:tx>
                <c:rich>
                  <a:bodyPr/>
                  <a:lstStyle/>
                  <a:p>
                    <a:fld id="{CEF31305-F588-4959-B9CD-8060B8A6AE68}"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F008-46BF-891D-35F51A28467A}"/>
                </c:ext>
              </c:extLst>
            </c:dLbl>
            <c:dLbl>
              <c:idx val="579"/>
              <c:tx>
                <c:rich>
                  <a:bodyPr/>
                  <a:lstStyle/>
                  <a:p>
                    <a:fld id="{B7FB9131-3C96-4CAC-8FAB-A9516E00E0E3}"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F008-46BF-891D-35F51A28467A}"/>
                </c:ext>
              </c:extLst>
            </c:dLbl>
            <c:dLbl>
              <c:idx val="580"/>
              <c:tx>
                <c:rich>
                  <a:bodyPr/>
                  <a:lstStyle/>
                  <a:p>
                    <a:fld id="{5D69F551-FBF0-4803-8495-A8465246831D}"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F008-46BF-891D-35F51A28467A}"/>
                </c:ext>
              </c:extLst>
            </c:dLbl>
            <c:dLbl>
              <c:idx val="581"/>
              <c:tx>
                <c:rich>
                  <a:bodyPr/>
                  <a:lstStyle/>
                  <a:p>
                    <a:fld id="{3359F0D6-BF29-429A-A9FD-F00D1EC6B87F}"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F008-46BF-891D-35F51A28467A}"/>
                </c:ext>
              </c:extLst>
            </c:dLbl>
            <c:dLbl>
              <c:idx val="582"/>
              <c:tx>
                <c:rich>
                  <a:bodyPr/>
                  <a:lstStyle/>
                  <a:p>
                    <a:fld id="{0CBF4917-BBC5-4379-8C1A-FCD84582B9CA}"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F008-46BF-891D-35F51A28467A}"/>
                </c:ext>
              </c:extLst>
            </c:dLbl>
            <c:dLbl>
              <c:idx val="583"/>
              <c:tx>
                <c:rich>
                  <a:bodyPr/>
                  <a:lstStyle/>
                  <a:p>
                    <a:fld id="{13777635-86A7-4DDB-8D29-8E1C6037CB8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F008-46BF-891D-35F51A28467A}"/>
                </c:ext>
              </c:extLst>
            </c:dLbl>
            <c:dLbl>
              <c:idx val="584"/>
              <c:tx>
                <c:rich>
                  <a:bodyPr/>
                  <a:lstStyle/>
                  <a:p>
                    <a:fld id="{53E7D2F3-7368-4D3D-B128-5C3FE799A077}"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F008-46BF-891D-35F51A28467A}"/>
                </c:ext>
              </c:extLst>
            </c:dLbl>
            <c:dLbl>
              <c:idx val="585"/>
              <c:tx>
                <c:rich>
                  <a:bodyPr/>
                  <a:lstStyle/>
                  <a:p>
                    <a:fld id="{980CB366-44F4-43B2-B500-908F637CA5ED}"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F008-46BF-891D-35F51A28467A}"/>
                </c:ext>
              </c:extLst>
            </c:dLbl>
            <c:dLbl>
              <c:idx val="586"/>
              <c:tx>
                <c:rich>
                  <a:bodyPr/>
                  <a:lstStyle/>
                  <a:p>
                    <a:fld id="{1F778B03-80FD-4587-9DF9-8A12E4BC70D0}"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F008-46BF-891D-35F51A28467A}"/>
                </c:ext>
              </c:extLst>
            </c:dLbl>
            <c:dLbl>
              <c:idx val="587"/>
              <c:tx>
                <c:rich>
                  <a:bodyPr/>
                  <a:lstStyle/>
                  <a:p>
                    <a:fld id="{F82074E0-DDBC-4A22-97BD-529E700F3EDF}"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F008-46BF-891D-35F51A28467A}"/>
                </c:ext>
              </c:extLst>
            </c:dLbl>
            <c:dLbl>
              <c:idx val="588"/>
              <c:tx>
                <c:rich>
                  <a:bodyPr/>
                  <a:lstStyle/>
                  <a:p>
                    <a:fld id="{2AC28968-0885-4BDF-8ADC-4FE354420929}"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F008-46BF-891D-35F51A28467A}"/>
                </c:ext>
              </c:extLst>
            </c:dLbl>
            <c:dLbl>
              <c:idx val="589"/>
              <c:tx>
                <c:rich>
                  <a:bodyPr/>
                  <a:lstStyle/>
                  <a:p>
                    <a:fld id="{20491FFB-5EDF-4467-A59F-F205D7278CC9}"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F008-46BF-891D-35F51A28467A}"/>
                </c:ext>
              </c:extLst>
            </c:dLbl>
            <c:dLbl>
              <c:idx val="590"/>
              <c:tx>
                <c:rich>
                  <a:bodyPr/>
                  <a:lstStyle/>
                  <a:p>
                    <a:fld id="{A27E4D74-F55A-43BC-A319-20FE43BAFB79}"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F008-46BF-891D-35F51A28467A}"/>
                </c:ext>
              </c:extLst>
            </c:dLbl>
            <c:dLbl>
              <c:idx val="591"/>
              <c:tx>
                <c:rich>
                  <a:bodyPr/>
                  <a:lstStyle/>
                  <a:p>
                    <a:fld id="{B8ADF9DE-71AC-498A-A64B-D66BF7D5736F}"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2197-4362-BAC6-A90229177887}"/>
                </c:ext>
              </c:extLst>
            </c:dLbl>
            <c:dLbl>
              <c:idx val="592"/>
              <c:tx>
                <c:rich>
                  <a:bodyPr/>
                  <a:lstStyle/>
                  <a:p>
                    <a:fld id="{962C808D-C0F0-4516-951C-BC8C174BC171}"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2197-4362-BAC6-A90229177887}"/>
                </c:ext>
              </c:extLst>
            </c:dLbl>
            <c:dLbl>
              <c:idx val="593"/>
              <c:tx>
                <c:rich>
                  <a:bodyPr/>
                  <a:lstStyle/>
                  <a:p>
                    <a:fld id="{1986D4A7-A858-4693-AE23-6E5AB6017616}"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2197-4362-BAC6-A90229177887}"/>
                </c:ext>
              </c:extLst>
            </c:dLbl>
            <c:dLbl>
              <c:idx val="594"/>
              <c:tx>
                <c:rich>
                  <a:bodyPr/>
                  <a:lstStyle/>
                  <a:p>
                    <a:fld id="{8846CFCB-F502-4483-9166-EB762F12A8C3}"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2197-4362-BAC6-A90229177887}"/>
                </c:ext>
              </c:extLst>
            </c:dLbl>
            <c:dLbl>
              <c:idx val="595"/>
              <c:tx>
                <c:rich>
                  <a:bodyPr/>
                  <a:lstStyle/>
                  <a:p>
                    <a:fld id="{8F9A0095-130C-4552-9747-964B610FE607}"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2197-4362-BAC6-A90229177887}"/>
                </c:ext>
              </c:extLst>
            </c:dLbl>
            <c:dLbl>
              <c:idx val="596"/>
              <c:tx>
                <c:rich>
                  <a:bodyPr/>
                  <a:lstStyle/>
                  <a:p>
                    <a:fld id="{047E6418-6724-431B-902E-EF416AF31A89}"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2197-4362-BAC6-A90229177887}"/>
                </c:ext>
              </c:extLst>
            </c:dLbl>
            <c:dLbl>
              <c:idx val="597"/>
              <c:tx>
                <c:rich>
                  <a:bodyPr/>
                  <a:lstStyle/>
                  <a:p>
                    <a:fld id="{5BCA98D6-6737-4094-BA0D-FE31E68F79A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2197-4362-BAC6-A90229177887}"/>
                </c:ext>
              </c:extLst>
            </c:dLbl>
            <c:dLbl>
              <c:idx val="598"/>
              <c:tx>
                <c:rich>
                  <a:bodyPr/>
                  <a:lstStyle/>
                  <a:p>
                    <a:fld id="{62ED1CDB-F270-41B9-B8BC-721721EDAC0A}"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2197-4362-BAC6-A90229177887}"/>
                </c:ext>
              </c:extLst>
            </c:dLbl>
            <c:dLbl>
              <c:idx val="599"/>
              <c:tx>
                <c:rich>
                  <a:bodyPr/>
                  <a:lstStyle/>
                  <a:p>
                    <a:fld id="{FFAF3B43-B1C7-4B71-9DBA-579BD359C4D2}"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2197-4362-BAC6-A90229177887}"/>
                </c:ext>
              </c:extLst>
            </c:dLbl>
            <c:dLbl>
              <c:idx val="600"/>
              <c:tx>
                <c:rich>
                  <a:bodyPr/>
                  <a:lstStyle/>
                  <a:p>
                    <a:fld id="{53251A2F-5F56-4DBF-BBC9-D37F9104E162}"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2197-4362-BAC6-A90229177887}"/>
                </c:ext>
              </c:extLst>
            </c:dLbl>
            <c:dLbl>
              <c:idx val="601"/>
              <c:tx>
                <c:rich>
                  <a:bodyPr/>
                  <a:lstStyle/>
                  <a:p>
                    <a:fld id="{C78D9E31-C8DC-4322-9818-FDBA6A043BD5}"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2197-4362-BAC6-A90229177887}"/>
                </c:ext>
              </c:extLst>
            </c:dLbl>
            <c:dLbl>
              <c:idx val="602"/>
              <c:tx>
                <c:rich>
                  <a:bodyPr/>
                  <a:lstStyle/>
                  <a:p>
                    <a:fld id="{DCFE4451-5E02-48CD-B202-798E88F3C47C}"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2197-4362-BAC6-A90229177887}"/>
                </c:ext>
              </c:extLst>
            </c:dLbl>
            <c:dLbl>
              <c:idx val="603"/>
              <c:tx>
                <c:rich>
                  <a:bodyPr/>
                  <a:lstStyle/>
                  <a:p>
                    <a:fld id="{E816AFB0-FB3C-4B39-A070-421B3AA45F9C}"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2197-4362-BAC6-A90229177887}"/>
                </c:ext>
              </c:extLst>
            </c:dLbl>
            <c:dLbl>
              <c:idx val="604"/>
              <c:tx>
                <c:rich>
                  <a:bodyPr/>
                  <a:lstStyle/>
                  <a:p>
                    <a:fld id="{95C54635-F898-4DD2-8EC0-A98196FCE99D}"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2197-4362-BAC6-A90229177887}"/>
                </c:ext>
              </c:extLst>
            </c:dLbl>
            <c:dLbl>
              <c:idx val="605"/>
              <c:tx>
                <c:rich>
                  <a:bodyPr/>
                  <a:lstStyle/>
                  <a:p>
                    <a:fld id="{A6246823-9C5C-4787-8B8F-E981B111BEFA}"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2197-4362-BAC6-A90229177887}"/>
                </c:ext>
              </c:extLst>
            </c:dLbl>
            <c:dLbl>
              <c:idx val="606"/>
              <c:tx>
                <c:rich>
                  <a:bodyPr/>
                  <a:lstStyle/>
                  <a:p>
                    <a:fld id="{832C9663-6A0A-46E8-A8D3-A5D141B395BA}"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2197-4362-BAC6-A90229177887}"/>
                </c:ext>
              </c:extLst>
            </c:dLbl>
            <c:dLbl>
              <c:idx val="607"/>
              <c:tx>
                <c:rich>
                  <a:bodyPr/>
                  <a:lstStyle/>
                  <a:p>
                    <a:fld id="{E254AC42-C631-413A-B4FC-F292B452CC96}"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2197-4362-BAC6-A90229177887}"/>
                </c:ext>
              </c:extLst>
            </c:dLbl>
            <c:dLbl>
              <c:idx val="608"/>
              <c:tx>
                <c:rich>
                  <a:bodyPr/>
                  <a:lstStyle/>
                  <a:p>
                    <a:fld id="{2F9393DC-DC9D-48A0-94C8-0F4CE1B96999}"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4C0A-4D5E-8724-5D41604B8D62}"/>
                </c:ext>
              </c:extLst>
            </c:dLbl>
            <c:dLbl>
              <c:idx val="609"/>
              <c:tx>
                <c:rich>
                  <a:bodyPr/>
                  <a:lstStyle/>
                  <a:p>
                    <a:fld id="{39F1D0A8-13CC-407F-9648-E9CDB22565E2}"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4C0A-4D5E-8724-5D41604B8D62}"/>
                </c:ext>
              </c:extLst>
            </c:dLbl>
            <c:dLbl>
              <c:idx val="610"/>
              <c:tx>
                <c:rich>
                  <a:bodyPr/>
                  <a:lstStyle/>
                  <a:p>
                    <a:fld id="{6D827420-2384-48D2-8C2B-098B6AA2E42D}"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4C0A-4D5E-8724-5D41604B8D62}"/>
                </c:ext>
              </c:extLst>
            </c:dLbl>
            <c:dLbl>
              <c:idx val="611"/>
              <c:tx>
                <c:rich>
                  <a:bodyPr/>
                  <a:lstStyle/>
                  <a:p>
                    <a:fld id="{AC702A5C-1CD4-4ABE-95AC-9272D921692C}"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4C0A-4D5E-8724-5D41604B8D62}"/>
                </c:ext>
              </c:extLst>
            </c:dLbl>
            <c:dLbl>
              <c:idx val="612"/>
              <c:tx>
                <c:rich>
                  <a:bodyPr/>
                  <a:lstStyle/>
                  <a:p>
                    <a:fld id="{985B2ABF-9BE7-4125-9A03-66452169CD70}"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4C0A-4D5E-8724-5D41604B8D62}"/>
                </c:ext>
              </c:extLst>
            </c:dLbl>
            <c:dLbl>
              <c:idx val="613"/>
              <c:tx>
                <c:rich>
                  <a:bodyPr/>
                  <a:lstStyle/>
                  <a:p>
                    <a:fld id="{FC06CD8F-3A3A-4E53-A4E3-FB38A3CFF83A}"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4C0A-4D5E-8724-5D41604B8D62}"/>
                </c:ext>
              </c:extLst>
            </c:dLbl>
            <c:dLbl>
              <c:idx val="614"/>
              <c:tx>
                <c:rich>
                  <a:bodyPr/>
                  <a:lstStyle/>
                  <a:p>
                    <a:fld id="{3F231501-908C-43CA-8D0D-26FD9DDF5C19}"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4C0A-4D5E-8724-5D41604B8D62}"/>
                </c:ext>
              </c:extLst>
            </c:dLbl>
            <c:dLbl>
              <c:idx val="615"/>
              <c:tx>
                <c:rich>
                  <a:bodyPr/>
                  <a:lstStyle/>
                  <a:p>
                    <a:fld id="{E35D56CA-AA3D-4015-AC27-0E64DB4FA51C}"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4C0A-4D5E-8724-5D41604B8D62}"/>
                </c:ext>
              </c:extLst>
            </c:dLbl>
            <c:dLbl>
              <c:idx val="616"/>
              <c:tx>
                <c:rich>
                  <a:bodyPr/>
                  <a:lstStyle/>
                  <a:p>
                    <a:fld id="{D9160229-3FC3-4995-96FF-D1D83DAD0012}"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4C0A-4D5E-8724-5D41604B8D62}"/>
                </c:ext>
              </c:extLst>
            </c:dLbl>
            <c:dLbl>
              <c:idx val="617"/>
              <c:tx>
                <c:rich>
                  <a:bodyPr/>
                  <a:lstStyle/>
                  <a:p>
                    <a:fld id="{A82190BC-CE3B-44B6-B597-C279F4EFDD0F}"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4C0A-4D5E-8724-5D41604B8D62}"/>
                </c:ext>
              </c:extLst>
            </c:dLbl>
            <c:dLbl>
              <c:idx val="618"/>
              <c:tx>
                <c:rich>
                  <a:bodyPr/>
                  <a:lstStyle/>
                  <a:p>
                    <a:fld id="{FFFCDB9B-6356-40B8-B6A0-F7D166B7035B}"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4C0A-4D5E-8724-5D41604B8D62}"/>
                </c:ext>
              </c:extLst>
            </c:dLbl>
            <c:dLbl>
              <c:idx val="619"/>
              <c:tx>
                <c:rich>
                  <a:bodyPr/>
                  <a:lstStyle/>
                  <a:p>
                    <a:fld id="{A9998B6E-C6FD-4AE1-8569-ED533DC9C0A9}"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4C0A-4D5E-8724-5D41604B8D62}"/>
                </c:ext>
              </c:extLst>
            </c:dLbl>
            <c:dLbl>
              <c:idx val="620"/>
              <c:tx>
                <c:rich>
                  <a:bodyPr/>
                  <a:lstStyle/>
                  <a:p>
                    <a:fld id="{646ABBDF-EA48-4613-91EC-110F86E8F365}"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4C0A-4D5E-8724-5D41604B8D62}"/>
                </c:ext>
              </c:extLst>
            </c:dLbl>
            <c:dLbl>
              <c:idx val="621"/>
              <c:tx>
                <c:rich>
                  <a:bodyPr/>
                  <a:lstStyle/>
                  <a:p>
                    <a:fld id="{346D4B56-1C09-41BD-B723-6C19679DB51C}"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B716-4EC7-85EA-0A1299CEE17D}"/>
                </c:ext>
              </c:extLst>
            </c:dLbl>
            <c:dLbl>
              <c:idx val="622"/>
              <c:tx>
                <c:rich>
                  <a:bodyPr/>
                  <a:lstStyle/>
                  <a:p>
                    <a:fld id="{89328E65-49A1-4110-A66C-F54CF67327E6}"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B716-4EC7-85EA-0A1299CEE17D}"/>
                </c:ext>
              </c:extLst>
            </c:dLbl>
            <c:dLbl>
              <c:idx val="623"/>
              <c:tx>
                <c:rich>
                  <a:bodyPr/>
                  <a:lstStyle/>
                  <a:p>
                    <a:fld id="{91BEE4BF-3457-4E87-A8F6-D5215ADF3217}"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B716-4EC7-85EA-0A1299CEE17D}"/>
                </c:ext>
              </c:extLst>
            </c:dLbl>
            <c:dLbl>
              <c:idx val="624"/>
              <c:tx>
                <c:rich>
                  <a:bodyPr/>
                  <a:lstStyle/>
                  <a:p>
                    <a:fld id="{D1DFCEFE-10A0-4258-8DF0-58B7C5C1F6DC}"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B716-4EC7-85EA-0A1299CEE17D}"/>
                </c:ext>
              </c:extLst>
            </c:dLbl>
            <c:dLbl>
              <c:idx val="625"/>
              <c:tx>
                <c:rich>
                  <a:bodyPr/>
                  <a:lstStyle/>
                  <a:p>
                    <a:fld id="{0AF64432-D12E-4523-831B-5A7D9284DA1F}"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B716-4EC7-85EA-0A1299CEE17D}"/>
                </c:ext>
              </c:extLst>
            </c:dLbl>
            <c:dLbl>
              <c:idx val="626"/>
              <c:tx>
                <c:rich>
                  <a:bodyPr/>
                  <a:lstStyle/>
                  <a:p>
                    <a:fld id="{4CF40FEC-36F6-43C4-B06A-885098923E26}"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B716-4EC7-85EA-0A1299CEE17D}"/>
                </c:ext>
              </c:extLst>
            </c:dLbl>
            <c:dLbl>
              <c:idx val="627"/>
              <c:tx>
                <c:rich>
                  <a:bodyPr/>
                  <a:lstStyle/>
                  <a:p>
                    <a:fld id="{B862BB73-C818-4299-B22C-BC83661882B9}"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B716-4EC7-85EA-0A1299CEE17D}"/>
                </c:ext>
              </c:extLst>
            </c:dLbl>
            <c:dLbl>
              <c:idx val="628"/>
              <c:tx>
                <c:rich>
                  <a:bodyPr/>
                  <a:lstStyle/>
                  <a:p>
                    <a:fld id="{9034F6F0-EB6B-48A3-B897-22CA3415ED8B}"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6991-4AB0-98A6-01FE38746ECA}"/>
                </c:ext>
              </c:extLst>
            </c:dLbl>
            <c:dLbl>
              <c:idx val="629"/>
              <c:tx>
                <c:rich>
                  <a:bodyPr/>
                  <a:lstStyle/>
                  <a:p>
                    <a:fld id="{AA879EE8-5A55-4603-86BC-19C20D47D629}"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6991-4AB0-98A6-01FE38746ECA}"/>
                </c:ext>
              </c:extLst>
            </c:dLbl>
            <c:dLbl>
              <c:idx val="630"/>
              <c:tx>
                <c:rich>
                  <a:bodyPr/>
                  <a:lstStyle/>
                  <a:p>
                    <a:fld id="{F98F9BC5-8DA6-4B23-9F7D-3E9AA39DE14C}"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6991-4AB0-98A6-01FE38746ECA}"/>
                </c:ext>
              </c:extLst>
            </c:dLbl>
            <c:dLbl>
              <c:idx val="631"/>
              <c:tx>
                <c:rich>
                  <a:bodyPr/>
                  <a:lstStyle/>
                  <a:p>
                    <a:fld id="{59C7D493-3933-4B55-92C2-145F5DF602ED}"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6991-4AB0-98A6-01FE38746ECA}"/>
                </c:ext>
              </c:extLst>
            </c:dLbl>
            <c:dLbl>
              <c:idx val="632"/>
              <c:tx>
                <c:rich>
                  <a:bodyPr/>
                  <a:lstStyle/>
                  <a:p>
                    <a:fld id="{32EBC5B9-471A-4E0B-9CCA-20D038B217C3}"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6991-4AB0-98A6-01FE38746ECA}"/>
                </c:ext>
              </c:extLst>
            </c:dLbl>
            <c:dLbl>
              <c:idx val="633"/>
              <c:tx>
                <c:rich>
                  <a:bodyPr/>
                  <a:lstStyle/>
                  <a:p>
                    <a:fld id="{9BE4B672-75F7-4B94-8C80-29956AE9465B}"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6991-4AB0-98A6-01FE38746ECA}"/>
                </c:ext>
              </c:extLst>
            </c:dLbl>
            <c:dLbl>
              <c:idx val="634"/>
              <c:tx>
                <c:rich>
                  <a:bodyPr/>
                  <a:lstStyle/>
                  <a:p>
                    <a:fld id="{3D864947-34E2-4F74-8C84-B25BE8CBF398}"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6991-4AB0-98A6-01FE38746ECA}"/>
                </c:ext>
              </c:extLst>
            </c:dLbl>
            <c:dLbl>
              <c:idx val="635"/>
              <c:tx>
                <c:rich>
                  <a:bodyPr/>
                  <a:lstStyle/>
                  <a:p>
                    <a:fld id="{9C9E09A4-C917-4586-B80B-FD92015B1A7C}"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6991-4AB0-98A6-01FE38746ECA}"/>
                </c:ext>
              </c:extLst>
            </c:dLbl>
            <c:dLbl>
              <c:idx val="636"/>
              <c:tx>
                <c:rich>
                  <a:bodyPr/>
                  <a:lstStyle/>
                  <a:p>
                    <a:fld id="{FF60E9D0-B273-40BC-B5B6-64C98CAA2CC6}"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6991-4AB0-98A6-01FE38746ECA}"/>
                </c:ext>
              </c:extLst>
            </c:dLbl>
            <c:dLbl>
              <c:idx val="637"/>
              <c:tx>
                <c:rich>
                  <a:bodyPr/>
                  <a:lstStyle/>
                  <a:p>
                    <a:fld id="{B6A643B7-42DE-4921-9AAD-C817EE976C16}"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6991-4AB0-98A6-01FE38746ECA}"/>
                </c:ext>
              </c:extLst>
            </c:dLbl>
            <c:dLbl>
              <c:idx val="638"/>
              <c:tx>
                <c:rich>
                  <a:bodyPr/>
                  <a:lstStyle/>
                  <a:p>
                    <a:fld id="{4A52EC2D-A9B3-46DD-9C66-176BCC0F0EEF}"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8C34-40D2-801F-0A548E2CE043}"/>
                </c:ext>
              </c:extLst>
            </c:dLbl>
            <c:dLbl>
              <c:idx val="639"/>
              <c:tx>
                <c:rich>
                  <a:bodyPr/>
                  <a:lstStyle/>
                  <a:p>
                    <a:fld id="{53EE7F5A-6D53-4BAA-9CBD-1322C7F72D4D}"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8C34-40D2-801F-0A548E2CE043}"/>
                </c:ext>
              </c:extLst>
            </c:dLbl>
            <c:dLbl>
              <c:idx val="640"/>
              <c:tx>
                <c:rich>
                  <a:bodyPr/>
                  <a:lstStyle/>
                  <a:p>
                    <a:fld id="{D5211C85-BF97-4138-96BC-E05B5EAEB97F}"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8C34-40D2-801F-0A548E2CE043}"/>
                </c:ext>
              </c:extLst>
            </c:dLbl>
            <c:dLbl>
              <c:idx val="641"/>
              <c:tx>
                <c:rich>
                  <a:bodyPr/>
                  <a:lstStyle/>
                  <a:p>
                    <a:fld id="{6141F21E-74AB-4C96-98BA-27722B1346B8}"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8C34-40D2-801F-0A548E2CE043}"/>
                </c:ext>
              </c:extLst>
            </c:dLbl>
            <c:dLbl>
              <c:idx val="642"/>
              <c:tx>
                <c:rich>
                  <a:bodyPr/>
                  <a:lstStyle/>
                  <a:p>
                    <a:fld id="{1D977F27-4169-454F-88A4-E5EE670D93F6}"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8C34-40D2-801F-0A548E2CE043}"/>
                </c:ext>
              </c:extLst>
            </c:dLbl>
            <c:dLbl>
              <c:idx val="643"/>
              <c:tx>
                <c:rich>
                  <a:bodyPr/>
                  <a:lstStyle/>
                  <a:p>
                    <a:fld id="{F478A7A0-A5A3-4D6A-8AB5-927D0D058C1E}"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8C34-40D2-801F-0A548E2CE043}"/>
                </c:ext>
              </c:extLst>
            </c:dLbl>
            <c:dLbl>
              <c:idx val="644"/>
              <c:tx>
                <c:rich>
                  <a:bodyPr/>
                  <a:lstStyle/>
                  <a:p>
                    <a:fld id="{8EF63524-4B7A-4DF9-96D4-5184C48DC1FF}"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8C34-40D2-801F-0A548E2CE043}"/>
                </c:ext>
              </c:extLst>
            </c:dLbl>
            <c:dLbl>
              <c:idx val="645"/>
              <c:tx>
                <c:rich>
                  <a:bodyPr/>
                  <a:lstStyle/>
                  <a:p>
                    <a:fld id="{B9837C25-C757-49B6-9247-0B7BF652915D}"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8C34-40D2-801F-0A548E2CE043}"/>
                </c:ext>
              </c:extLst>
            </c:dLbl>
            <c:dLbl>
              <c:idx val="646"/>
              <c:tx>
                <c:rich>
                  <a:bodyPr/>
                  <a:lstStyle/>
                  <a:p>
                    <a:fld id="{74F7475A-BD90-4146-855D-381A85BCFB8D}"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8C34-40D2-801F-0A548E2CE043}"/>
                </c:ext>
              </c:extLst>
            </c:dLbl>
            <c:dLbl>
              <c:idx val="647"/>
              <c:tx>
                <c:rich>
                  <a:bodyPr/>
                  <a:lstStyle/>
                  <a:p>
                    <a:fld id="{0A87091F-3C39-474F-BE2C-5482998FA196}"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8C34-40D2-801F-0A548E2CE043}"/>
                </c:ext>
              </c:extLst>
            </c:dLbl>
            <c:dLbl>
              <c:idx val="648"/>
              <c:tx>
                <c:rich>
                  <a:bodyPr/>
                  <a:lstStyle/>
                  <a:p>
                    <a:fld id="{29D3E5C6-94AC-4311-89A7-70B7C4F9AFC9}"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8C34-40D2-801F-0A548E2CE043}"/>
                </c:ext>
              </c:extLst>
            </c:dLbl>
            <c:dLbl>
              <c:idx val="649"/>
              <c:tx>
                <c:rich>
                  <a:bodyPr/>
                  <a:lstStyle/>
                  <a:p>
                    <a:fld id="{91A12ED9-662B-4A89-8A71-5AA3B4F580DF}"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8C34-40D2-801F-0A548E2CE043}"/>
                </c:ext>
              </c:extLst>
            </c:dLbl>
            <c:dLbl>
              <c:idx val="650"/>
              <c:tx>
                <c:rich>
                  <a:bodyPr/>
                  <a:lstStyle/>
                  <a:p>
                    <a:fld id="{A3683A50-D436-41AB-B194-C05834B9E793}"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8C34-40D2-801F-0A548E2CE043}"/>
                </c:ext>
              </c:extLst>
            </c:dLbl>
            <c:dLbl>
              <c:idx val="651"/>
              <c:tx>
                <c:rich>
                  <a:bodyPr/>
                  <a:lstStyle/>
                  <a:p>
                    <a:fld id="{E580DA68-E00B-409E-9DBB-A25B742CF6DA}"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8C34-40D2-801F-0A548E2CE043}"/>
                </c:ext>
              </c:extLst>
            </c:dLbl>
            <c:dLbl>
              <c:idx val="652"/>
              <c:tx>
                <c:rich>
                  <a:bodyPr/>
                  <a:lstStyle/>
                  <a:p>
                    <a:fld id="{0BF4A576-28A1-4D6C-A8B0-0AD8848B3ABE}"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8C34-40D2-801F-0A548E2CE043}"/>
                </c:ext>
              </c:extLst>
            </c:dLbl>
            <c:dLbl>
              <c:idx val="653"/>
              <c:tx>
                <c:rich>
                  <a:bodyPr/>
                  <a:lstStyle/>
                  <a:p>
                    <a:fld id="{1AEA47CB-F36F-408D-B8A4-91FEDD0E2DE6}"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8C34-40D2-801F-0A548E2CE043}"/>
                </c:ext>
              </c:extLst>
            </c:dLbl>
            <c:dLbl>
              <c:idx val="654"/>
              <c:tx>
                <c:rich>
                  <a:bodyPr/>
                  <a:lstStyle/>
                  <a:p>
                    <a:fld id="{EB6C4379-0612-44CB-98AB-33D13898843F}"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18C2-4201-91D3-D301B8771B01}"/>
                </c:ext>
              </c:extLst>
            </c:dLbl>
            <c:dLbl>
              <c:idx val="655"/>
              <c:tx>
                <c:rich>
                  <a:bodyPr/>
                  <a:lstStyle/>
                  <a:p>
                    <a:fld id="{154DBF91-AD9A-44F7-9954-9A6941782BD8}"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18C2-4201-91D3-D301B8771B01}"/>
                </c:ext>
              </c:extLst>
            </c:dLbl>
            <c:dLbl>
              <c:idx val="656"/>
              <c:tx>
                <c:rich>
                  <a:bodyPr/>
                  <a:lstStyle/>
                  <a:p>
                    <a:fld id="{6CF771BC-5947-46E9-AF30-A44D432E05B5}"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18C2-4201-91D3-D301B8771B01}"/>
                </c:ext>
              </c:extLst>
            </c:dLbl>
            <c:dLbl>
              <c:idx val="657"/>
              <c:tx>
                <c:rich>
                  <a:bodyPr/>
                  <a:lstStyle/>
                  <a:p>
                    <a:fld id="{94394CEC-2237-4C55-874C-092BDEA192B5}"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18C2-4201-91D3-D301B8771B01}"/>
                </c:ext>
              </c:extLst>
            </c:dLbl>
            <c:dLbl>
              <c:idx val="658"/>
              <c:tx>
                <c:rich>
                  <a:bodyPr/>
                  <a:lstStyle/>
                  <a:p>
                    <a:fld id="{36A92A05-3EBC-4D6E-9571-BEC205398A92}"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18C2-4201-91D3-D301B8771B01}"/>
                </c:ext>
              </c:extLst>
            </c:dLbl>
            <c:dLbl>
              <c:idx val="659"/>
              <c:tx>
                <c:rich>
                  <a:bodyPr/>
                  <a:lstStyle/>
                  <a:p>
                    <a:fld id="{E3C8A359-278A-4906-AD25-2F1E522E1ED1}"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18C2-4201-91D3-D301B8771B01}"/>
                </c:ext>
              </c:extLst>
            </c:dLbl>
            <c:dLbl>
              <c:idx val="660"/>
              <c:tx>
                <c:rich>
                  <a:bodyPr/>
                  <a:lstStyle/>
                  <a:p>
                    <a:fld id="{839D5007-00B9-4E01-A6C2-00BF664D4472}"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18C2-4201-91D3-D301B8771B01}"/>
                </c:ext>
              </c:extLst>
            </c:dLbl>
            <c:dLbl>
              <c:idx val="661"/>
              <c:tx>
                <c:rich>
                  <a:bodyPr/>
                  <a:lstStyle/>
                  <a:p>
                    <a:fld id="{386907F5-BD69-44B2-A417-95993B5F2A96}"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18C2-4201-91D3-D301B8771B01}"/>
                </c:ext>
              </c:extLst>
            </c:dLbl>
            <c:dLbl>
              <c:idx val="662"/>
              <c:tx>
                <c:rich>
                  <a:bodyPr/>
                  <a:lstStyle/>
                  <a:p>
                    <a:fld id="{C994AC7D-4F4D-42B4-AB9A-3C1E2D56804C}"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18C2-4201-91D3-D301B8771B01}"/>
                </c:ext>
              </c:extLst>
            </c:dLbl>
            <c:dLbl>
              <c:idx val="663"/>
              <c:tx>
                <c:rich>
                  <a:bodyPr/>
                  <a:lstStyle/>
                  <a:p>
                    <a:fld id="{F0BE0168-1B54-4E77-939E-A63DE3C9173E}"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ACF9-404D-9D63-11EE35C18BFB}"/>
                </c:ext>
              </c:extLst>
            </c:dLbl>
            <c:dLbl>
              <c:idx val="664"/>
              <c:tx>
                <c:rich>
                  <a:bodyPr/>
                  <a:lstStyle/>
                  <a:p>
                    <a:fld id="{98774E25-241B-4420-9687-DB5F476F7B71}"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ACF9-404D-9D63-11EE35C18BFB}"/>
                </c:ext>
              </c:extLst>
            </c:dLbl>
            <c:dLbl>
              <c:idx val="665"/>
              <c:tx>
                <c:rich>
                  <a:bodyPr/>
                  <a:lstStyle/>
                  <a:p>
                    <a:fld id="{4E1A4915-2DD3-4811-B82E-17AAE0EC65DA}"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ACF9-404D-9D63-11EE35C18BFB}"/>
                </c:ext>
              </c:extLst>
            </c:dLbl>
            <c:dLbl>
              <c:idx val="666"/>
              <c:tx>
                <c:rich>
                  <a:bodyPr/>
                  <a:lstStyle/>
                  <a:p>
                    <a:fld id="{A8039FA1-983B-4D2C-AE88-22E5C933DB82}"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ACF9-404D-9D63-11EE35C18BFB}"/>
                </c:ext>
              </c:extLst>
            </c:dLbl>
            <c:dLbl>
              <c:idx val="667"/>
              <c:tx>
                <c:rich>
                  <a:bodyPr/>
                  <a:lstStyle/>
                  <a:p>
                    <a:fld id="{E6E5418E-FFD0-4153-B8A7-CD7D5A555129}"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ACF9-404D-9D63-11EE35C18BFB}"/>
                </c:ext>
              </c:extLst>
            </c:dLbl>
            <c:dLbl>
              <c:idx val="668"/>
              <c:tx>
                <c:rich>
                  <a:bodyPr/>
                  <a:lstStyle/>
                  <a:p>
                    <a:fld id="{070893E3-BB11-4962-9BFD-6DD9C0D46ED9}"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ACF9-404D-9D63-11EE35C18BFB}"/>
                </c:ext>
              </c:extLst>
            </c:dLbl>
            <c:dLbl>
              <c:idx val="669"/>
              <c:tx>
                <c:rich>
                  <a:bodyPr/>
                  <a:lstStyle/>
                  <a:p>
                    <a:fld id="{9C3D5C88-CC80-4AB5-A562-879F1CF8FF67}"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ACF9-404D-9D63-11EE35C18BFB}"/>
                </c:ext>
              </c:extLst>
            </c:dLbl>
            <c:dLbl>
              <c:idx val="670"/>
              <c:tx>
                <c:rich>
                  <a:bodyPr/>
                  <a:lstStyle/>
                  <a:p>
                    <a:fld id="{535EF7C4-97F2-4293-B0EF-409BE562BAE9}"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ACF9-404D-9D63-11EE35C18BFB}"/>
                </c:ext>
              </c:extLst>
            </c:dLbl>
            <c:dLbl>
              <c:idx val="671"/>
              <c:tx>
                <c:rich>
                  <a:bodyPr/>
                  <a:lstStyle/>
                  <a:p>
                    <a:fld id="{9870DB45-85D1-4425-9931-0A24253DA57C}"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ACF9-404D-9D63-11EE35C18BFB}"/>
                </c:ext>
              </c:extLst>
            </c:dLbl>
            <c:dLbl>
              <c:idx val="672"/>
              <c:tx>
                <c:rich>
                  <a:bodyPr/>
                  <a:lstStyle/>
                  <a:p>
                    <a:fld id="{5F6C498D-D958-4454-BCF4-31BD2DF54126}"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ACF9-404D-9D63-11EE35C18BFB}"/>
                </c:ext>
              </c:extLst>
            </c:dLbl>
            <c:dLbl>
              <c:idx val="673"/>
              <c:tx>
                <c:rich>
                  <a:bodyPr/>
                  <a:lstStyle/>
                  <a:p>
                    <a:fld id="{C3C244F3-AF8F-4E02-8B5A-64A5D9E8B822}"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ACF9-404D-9D63-11EE35C18BFB}"/>
                </c:ext>
              </c:extLst>
            </c:dLbl>
            <c:dLbl>
              <c:idx val="674"/>
              <c:tx>
                <c:rich>
                  <a:bodyPr/>
                  <a:lstStyle/>
                  <a:p>
                    <a:fld id="{293B6E24-3D1E-4F11-B9AD-F763FAB8F05C}"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ACF9-404D-9D63-11EE35C18BFB}"/>
                </c:ext>
              </c:extLst>
            </c:dLbl>
            <c:dLbl>
              <c:idx val="675"/>
              <c:tx>
                <c:rich>
                  <a:bodyPr/>
                  <a:lstStyle/>
                  <a:p>
                    <a:fld id="{F40B3B2F-D59D-46FB-AA90-BAB5B01906F1}"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ACF9-404D-9D63-11EE35C18BFB}"/>
                </c:ext>
              </c:extLst>
            </c:dLbl>
            <c:dLbl>
              <c:idx val="676"/>
              <c:tx>
                <c:rich>
                  <a:bodyPr/>
                  <a:lstStyle/>
                  <a:p>
                    <a:fld id="{949389E2-D854-4DBB-983B-231B577EF58B}"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ACF9-404D-9D63-11EE35C18BFB}"/>
                </c:ext>
              </c:extLst>
            </c:dLbl>
            <c:dLbl>
              <c:idx val="677"/>
              <c:tx>
                <c:rich>
                  <a:bodyPr/>
                  <a:lstStyle/>
                  <a:p>
                    <a:fld id="{DC5A2251-CB14-47F0-A1CD-FCE61D5233E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ACF9-404D-9D63-11EE35C18BFB}"/>
                </c:ext>
              </c:extLst>
            </c:dLbl>
            <c:dLbl>
              <c:idx val="678"/>
              <c:tx>
                <c:rich>
                  <a:bodyPr/>
                  <a:lstStyle/>
                  <a:p>
                    <a:fld id="{8CFD8BA4-B2FB-4D2B-94EE-5D4B1D97C5C6}"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ACF9-404D-9D63-11EE35C18BFB}"/>
                </c:ext>
              </c:extLst>
            </c:dLbl>
            <c:dLbl>
              <c:idx val="679"/>
              <c:tx>
                <c:rich>
                  <a:bodyPr/>
                  <a:lstStyle/>
                  <a:p>
                    <a:fld id="{6074ACF3-AA9D-45AD-9941-804CD71697DA}"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18BD-4B78-A481-19552EE310B0}"/>
                </c:ext>
              </c:extLst>
            </c:dLbl>
            <c:dLbl>
              <c:idx val="680"/>
              <c:tx>
                <c:rich>
                  <a:bodyPr/>
                  <a:lstStyle/>
                  <a:p>
                    <a:fld id="{88252A62-38BF-4F63-9298-4E877D17A863}"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18BD-4B78-A481-19552EE310B0}"/>
                </c:ext>
              </c:extLst>
            </c:dLbl>
            <c:dLbl>
              <c:idx val="681"/>
              <c:tx>
                <c:rich>
                  <a:bodyPr/>
                  <a:lstStyle/>
                  <a:p>
                    <a:fld id="{7ABE8BD0-1BD1-4571-BDE1-F2882F8E8BAA}"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18BD-4B78-A481-19552EE310B0}"/>
                </c:ext>
              </c:extLst>
            </c:dLbl>
            <c:dLbl>
              <c:idx val="682"/>
              <c:tx>
                <c:rich>
                  <a:bodyPr/>
                  <a:lstStyle/>
                  <a:p>
                    <a:fld id="{BC519A8C-328E-4DA7-8A4D-6C2DAC970525}"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18BD-4B78-A481-19552EE310B0}"/>
                </c:ext>
              </c:extLst>
            </c:dLbl>
            <c:dLbl>
              <c:idx val="683"/>
              <c:tx>
                <c:rich>
                  <a:bodyPr/>
                  <a:lstStyle/>
                  <a:p>
                    <a:fld id="{011B1588-D898-4483-8C6D-7D4EE479C425}"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18BD-4B78-A481-19552EE310B0}"/>
                </c:ext>
              </c:extLst>
            </c:dLbl>
            <c:dLbl>
              <c:idx val="684"/>
              <c:tx>
                <c:rich>
                  <a:bodyPr/>
                  <a:lstStyle/>
                  <a:p>
                    <a:fld id="{220B802E-BA27-47BE-B49E-18A0B509DE4D}"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18BD-4B78-A481-19552EE310B0}"/>
                </c:ext>
              </c:extLst>
            </c:dLbl>
            <c:dLbl>
              <c:idx val="685"/>
              <c:tx>
                <c:rich>
                  <a:bodyPr/>
                  <a:lstStyle/>
                  <a:p>
                    <a:fld id="{E20B330D-EDD3-427E-908C-468A4C568829}"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18BD-4B78-A481-19552EE310B0}"/>
                </c:ext>
              </c:extLst>
            </c:dLbl>
            <c:dLbl>
              <c:idx val="686"/>
              <c:tx>
                <c:rich>
                  <a:bodyPr/>
                  <a:lstStyle/>
                  <a:p>
                    <a:fld id="{9C55553F-1D87-4036-9345-3FAD008A476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18BD-4B78-A481-19552EE310B0}"/>
                </c:ext>
              </c:extLst>
            </c:dLbl>
            <c:dLbl>
              <c:idx val="687"/>
              <c:tx>
                <c:rich>
                  <a:bodyPr/>
                  <a:lstStyle/>
                  <a:p>
                    <a:fld id="{F22931FA-B3B8-4F8A-B1E9-CB15A83B377D}"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18BD-4B78-A481-19552EE310B0}"/>
                </c:ext>
              </c:extLst>
            </c:dLbl>
            <c:dLbl>
              <c:idx val="688"/>
              <c:tx>
                <c:rich>
                  <a:bodyPr/>
                  <a:lstStyle/>
                  <a:p>
                    <a:fld id="{8A31CD56-73EA-4018-8DBA-3C11E69A99EE}"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18BD-4B78-A481-19552EE310B0}"/>
                </c:ext>
              </c:extLst>
            </c:dLbl>
            <c:dLbl>
              <c:idx val="689"/>
              <c:tx>
                <c:rich>
                  <a:bodyPr/>
                  <a:lstStyle/>
                  <a:p>
                    <a:fld id="{D1DB779B-A19E-4A34-A004-10A359774893}"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18BD-4B78-A481-19552EE310B0}"/>
                </c:ext>
              </c:extLst>
            </c:dLbl>
            <c:dLbl>
              <c:idx val="690"/>
              <c:tx>
                <c:rich>
                  <a:bodyPr/>
                  <a:lstStyle/>
                  <a:p>
                    <a:fld id="{B681F24E-73E4-4E2B-ADF5-8E4EC6D2EB01}"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18BD-4B78-A481-19552EE310B0}"/>
                </c:ext>
              </c:extLst>
            </c:dLbl>
            <c:dLbl>
              <c:idx val="691"/>
              <c:tx>
                <c:rich>
                  <a:bodyPr/>
                  <a:lstStyle/>
                  <a:p>
                    <a:fld id="{7FA3BED2-3314-46B1-8869-B3986575F22D}"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B-E338-4093-A9EB-C877E57D4E54}"/>
                </c:ext>
              </c:extLst>
            </c:dLbl>
            <c:dLbl>
              <c:idx val="692"/>
              <c:tx>
                <c:rich>
                  <a:bodyPr/>
                  <a:lstStyle/>
                  <a:p>
                    <a:fld id="{09AE178D-E165-4CAF-ADAE-8620F8847160}"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C-E338-4093-A9EB-C877E57D4E54}"/>
                </c:ext>
              </c:extLst>
            </c:dLbl>
            <c:dLbl>
              <c:idx val="693"/>
              <c:tx>
                <c:rich>
                  <a:bodyPr/>
                  <a:lstStyle/>
                  <a:p>
                    <a:fld id="{20AF7073-3F4B-4102-8419-3CEF8A4E3619}"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D-E338-4093-A9EB-C877E57D4E54}"/>
                </c:ext>
              </c:extLst>
            </c:dLbl>
            <c:dLbl>
              <c:idx val="694"/>
              <c:tx>
                <c:rich>
                  <a:bodyPr/>
                  <a:lstStyle/>
                  <a:p>
                    <a:fld id="{313BAD8C-3EDA-433F-BF1C-2B1B1F4F6176}"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E-E338-4093-A9EB-C877E57D4E54}"/>
                </c:ext>
              </c:extLst>
            </c:dLbl>
            <c:dLbl>
              <c:idx val="695"/>
              <c:tx>
                <c:rich>
                  <a:bodyPr/>
                  <a:lstStyle/>
                  <a:p>
                    <a:fld id="{0E8556B4-27ED-4901-96F4-30444B75BC7F}"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F-E338-4093-A9EB-C877E57D4E54}"/>
                </c:ext>
              </c:extLst>
            </c:dLbl>
            <c:dLbl>
              <c:idx val="696"/>
              <c:tx>
                <c:rich>
                  <a:bodyPr/>
                  <a:lstStyle/>
                  <a:p>
                    <a:fld id="{89D5E357-FC44-48E8-956A-8AED143F3933}"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0-E338-4093-A9EB-C877E57D4E54}"/>
                </c:ext>
              </c:extLst>
            </c:dLbl>
            <c:dLbl>
              <c:idx val="697"/>
              <c:tx>
                <c:rich>
                  <a:bodyPr/>
                  <a:lstStyle/>
                  <a:p>
                    <a:fld id="{87C7AD83-032E-4BCB-B4D1-343F18880B4A}"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1-E338-4093-A9EB-C877E57D4E54}"/>
                </c:ext>
              </c:extLst>
            </c:dLbl>
            <c:dLbl>
              <c:idx val="698"/>
              <c:tx>
                <c:rich>
                  <a:bodyPr/>
                  <a:lstStyle/>
                  <a:p>
                    <a:fld id="{C7FA1680-1FD7-4C1C-B79C-E16E105286D1}"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2-E338-4093-A9EB-C877E57D4E54}"/>
                </c:ext>
              </c:extLst>
            </c:dLbl>
            <c:dLbl>
              <c:idx val="699"/>
              <c:tx>
                <c:rich>
                  <a:bodyPr/>
                  <a:lstStyle/>
                  <a:p>
                    <a:fld id="{19B9141F-8028-4103-B1A4-8CAA6CB54FE0}"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3-E338-4093-A9EB-C877E57D4E54}"/>
                </c:ext>
              </c:extLst>
            </c:dLbl>
            <c:dLbl>
              <c:idx val="700"/>
              <c:tx>
                <c:rich>
                  <a:bodyPr/>
                  <a:lstStyle/>
                  <a:p>
                    <a:fld id="{423C096A-3E12-4FDB-9968-ECD9919BD7B2}"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4-E338-4093-A9EB-C877E57D4E54}"/>
                </c:ext>
              </c:extLst>
            </c:dLbl>
            <c:dLbl>
              <c:idx val="701"/>
              <c:tx>
                <c:rich>
                  <a:bodyPr/>
                  <a:lstStyle/>
                  <a:p>
                    <a:fld id="{C2D7FE76-F4FA-4BD5-9068-25E256F89901}"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5-E338-4093-A9EB-C877E57D4E54}"/>
                </c:ext>
              </c:extLst>
            </c:dLbl>
            <c:dLbl>
              <c:idx val="702"/>
              <c:tx>
                <c:rich>
                  <a:bodyPr/>
                  <a:lstStyle/>
                  <a:p>
                    <a:fld id="{BD45B0A8-4A35-44AD-8BE7-6531ECC849F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6-E338-4093-A9EB-C877E57D4E54}"/>
                </c:ext>
              </c:extLst>
            </c:dLbl>
            <c:dLbl>
              <c:idx val="703"/>
              <c:tx>
                <c:rich>
                  <a:bodyPr/>
                  <a:lstStyle/>
                  <a:p>
                    <a:fld id="{06429425-1BF9-4348-AA8F-B4DDAD2F2A63}"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7-E338-4093-A9EB-C877E57D4E54}"/>
                </c:ext>
              </c:extLst>
            </c:dLbl>
            <c:dLbl>
              <c:idx val="704"/>
              <c:tx>
                <c:rich>
                  <a:bodyPr/>
                  <a:lstStyle/>
                  <a:p>
                    <a:fld id="{252F240B-9988-468F-B4D5-5D51E764F722}"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8-E338-4093-A9EB-C877E57D4E54}"/>
                </c:ext>
              </c:extLst>
            </c:dLbl>
            <c:dLbl>
              <c:idx val="705"/>
              <c:tx>
                <c:rich>
                  <a:bodyPr/>
                  <a:lstStyle/>
                  <a:p>
                    <a:fld id="{9A74F911-0806-4068-ACA8-0C7DE5D6B56B}"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9-E338-4093-A9EB-C877E57D4E54}"/>
                </c:ext>
              </c:extLst>
            </c:dLbl>
            <c:dLbl>
              <c:idx val="706"/>
              <c:tx>
                <c:rich>
                  <a:bodyPr/>
                  <a:lstStyle/>
                  <a:p>
                    <a:fld id="{48AD4BB4-1C9A-4375-A963-B2388E6F9355}"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A-E338-4093-A9EB-C877E57D4E54}"/>
                </c:ext>
              </c:extLst>
            </c:dLbl>
            <c:dLbl>
              <c:idx val="707"/>
              <c:tx>
                <c:rich>
                  <a:bodyPr/>
                  <a:lstStyle/>
                  <a:p>
                    <a:fld id="{0319575E-5950-4831-883F-7AF0A94BF5DA}"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B-E338-4093-A9EB-C877E57D4E54}"/>
                </c:ext>
              </c:extLst>
            </c:dLbl>
            <c:dLbl>
              <c:idx val="708"/>
              <c:tx>
                <c:rich>
                  <a:bodyPr/>
                  <a:lstStyle/>
                  <a:p>
                    <a:fld id="{30C2C2E3-C71C-4100-A0FB-92FF2359CF6C}"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74EC-47E6-BECE-B19A1B8887B1}"/>
                </c:ext>
              </c:extLst>
            </c:dLbl>
            <c:dLbl>
              <c:idx val="709"/>
              <c:tx>
                <c:rich>
                  <a:bodyPr/>
                  <a:lstStyle/>
                  <a:p>
                    <a:fld id="{8F2D367D-1F3E-4F03-9DA1-B4205A7CDA7C}"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74EC-47E6-BECE-B19A1B8887B1}"/>
                </c:ext>
              </c:extLst>
            </c:dLbl>
            <c:dLbl>
              <c:idx val="710"/>
              <c:tx>
                <c:rich>
                  <a:bodyPr/>
                  <a:lstStyle/>
                  <a:p>
                    <a:fld id="{01D6A067-8B66-4C37-9F54-93D3A7656E65}"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74EC-47E6-BECE-B19A1B8887B1}"/>
                </c:ext>
              </c:extLst>
            </c:dLbl>
            <c:dLbl>
              <c:idx val="711"/>
              <c:tx>
                <c:rich>
                  <a:bodyPr/>
                  <a:lstStyle/>
                  <a:p>
                    <a:fld id="{0027CBD4-AA76-4FC9-A6A3-204A2F9BA393}"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74EC-47E6-BECE-B19A1B8887B1}"/>
                </c:ext>
              </c:extLst>
            </c:dLbl>
            <c:dLbl>
              <c:idx val="712"/>
              <c:tx>
                <c:rich>
                  <a:bodyPr/>
                  <a:lstStyle/>
                  <a:p>
                    <a:fld id="{6F8DD30A-EEF2-46DF-8F8A-57A2A71B77E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74EC-47E6-BECE-B19A1B8887B1}"/>
                </c:ext>
              </c:extLst>
            </c:dLbl>
            <c:dLbl>
              <c:idx val="713"/>
              <c:tx>
                <c:rich>
                  <a:bodyPr/>
                  <a:lstStyle/>
                  <a:p>
                    <a:fld id="{4511D1DD-153E-4AEB-90BD-8E61CFE01F32}"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74EC-47E6-BECE-B19A1B8887B1}"/>
                </c:ext>
              </c:extLst>
            </c:dLbl>
            <c:dLbl>
              <c:idx val="714"/>
              <c:tx>
                <c:rich>
                  <a:bodyPr/>
                  <a:lstStyle/>
                  <a:p>
                    <a:fld id="{7C5223FC-82D5-4A64-B240-4A7F86BF03EF}"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74EC-47E6-BECE-B19A1B8887B1}"/>
                </c:ext>
              </c:extLst>
            </c:dLbl>
            <c:dLbl>
              <c:idx val="715"/>
              <c:tx>
                <c:rich>
                  <a:bodyPr/>
                  <a:lstStyle/>
                  <a:p>
                    <a:fld id="{F729A2E3-BCC9-4D76-A751-9D565F9592C0}"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74EC-47E6-BECE-B19A1B8887B1}"/>
                </c:ext>
              </c:extLst>
            </c:dLbl>
            <c:dLbl>
              <c:idx val="716"/>
              <c:tx>
                <c:rich>
                  <a:bodyPr/>
                  <a:lstStyle/>
                  <a:p>
                    <a:fld id="{85BBF79A-9C09-42DD-9470-CB0774A7B5AD}"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74EC-47E6-BECE-B19A1B8887B1}"/>
                </c:ext>
              </c:extLst>
            </c:dLbl>
            <c:dLbl>
              <c:idx val="717"/>
              <c:tx>
                <c:rich>
                  <a:bodyPr/>
                  <a:lstStyle/>
                  <a:p>
                    <a:fld id="{5823B899-B497-4BF7-A94A-A6C6CA0C16C5}"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74EC-47E6-BECE-B19A1B8887B1}"/>
                </c:ext>
              </c:extLst>
            </c:dLbl>
            <c:dLbl>
              <c:idx val="718"/>
              <c:tx>
                <c:rich>
                  <a:bodyPr/>
                  <a:lstStyle/>
                  <a:p>
                    <a:fld id="{245313A5-4BE9-486A-A308-BBB69D4BB83C}"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B-74EC-47E6-BECE-B19A1B8887B1}"/>
                </c:ext>
              </c:extLst>
            </c:dLbl>
            <c:dLbl>
              <c:idx val="719"/>
              <c:tx>
                <c:rich>
                  <a:bodyPr/>
                  <a:lstStyle/>
                  <a:p>
                    <a:fld id="{61228DC2-D454-4A8A-9900-59355959360C}"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C-74EC-47E6-BECE-B19A1B8887B1}"/>
                </c:ext>
              </c:extLst>
            </c:dLbl>
            <c:dLbl>
              <c:idx val="720"/>
              <c:tx>
                <c:rich>
                  <a:bodyPr/>
                  <a:lstStyle/>
                  <a:p>
                    <a:fld id="{6DCB39F4-4BBE-4B77-B381-06BD396D70D6}"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D-74EC-47E6-BECE-B19A1B8887B1}"/>
                </c:ext>
              </c:extLst>
            </c:dLbl>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entury Gothic" panose="020B0502020202020204" pitchFamily="34" charset="0"/>
                    <a:ea typeface="+mn-ea"/>
                    <a:cs typeface="+mn-cs"/>
                  </a:defRPr>
                </a:pPr>
                <a:endParaRPr lang="es-PE"/>
              </a:p>
            </c:txPr>
            <c:dLblPos val="b"/>
            <c:showLegendKey val="0"/>
            <c:showVal val="0"/>
            <c:showCatName val="0"/>
            <c:showSerName val="0"/>
            <c:showPercent val="0"/>
            <c:showBubbleSize val="0"/>
            <c:showLeaderLines val="0"/>
            <c:extLst xmlns:c15="http://schemas.microsoft.com/office/drawing/2012/char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strRef>
              <c:f>FCS!$H$11:$H$825</c:f>
              <c:strCache>
                <c:ptCount val="708"/>
                <c:pt idx="0">
                  <c:v>1+845.17</c:v>
                </c:pt>
                <c:pt idx="1">
                  <c:v>1+845.17</c:v>
                </c:pt>
                <c:pt idx="2">
                  <c:v>1+769.33</c:v>
                </c:pt>
                <c:pt idx="3">
                  <c:v>1+700.27</c:v>
                </c:pt>
                <c:pt idx="4">
                  <c:v>1+723.48</c:v>
                </c:pt>
                <c:pt idx="5">
                  <c:v>1+801.93</c:v>
                </c:pt>
                <c:pt idx="6">
                  <c:v>1+886.67</c:v>
                </c:pt>
                <c:pt idx="7">
                  <c:v>1+827.54</c:v>
                </c:pt>
                <c:pt idx="8">
                  <c:v>1+761.91</c:v>
                </c:pt>
                <c:pt idx="9">
                  <c:v>1+614.85</c:v>
                </c:pt>
                <c:pt idx="10">
                  <c:v>1+618.50</c:v>
                </c:pt>
                <c:pt idx="11">
                  <c:v>0+661.66</c:v>
                </c:pt>
                <c:pt idx="12">
                  <c:v>0+661.66</c:v>
                </c:pt>
                <c:pt idx="13">
                  <c:v>1+548.05</c:v>
                </c:pt>
                <c:pt idx="14">
                  <c:v>1+470.97</c:v>
                </c:pt>
                <c:pt idx="15">
                  <c:v>1+475.25</c:v>
                </c:pt>
                <c:pt idx="16">
                  <c:v>1+541.25</c:v>
                </c:pt>
                <c:pt idx="17">
                  <c:v>1+571.96</c:v>
                </c:pt>
                <c:pt idx="18">
                  <c:v>1+764.30</c:v>
                </c:pt>
                <c:pt idx="19">
                  <c:v>0+661.38</c:v>
                </c:pt>
                <c:pt idx="20">
                  <c:v>0+661.00</c:v>
                </c:pt>
                <c:pt idx="21">
                  <c:v>0+660.94</c:v>
                </c:pt>
                <c:pt idx="22">
                  <c:v>0+818.24</c:v>
                </c:pt>
                <c:pt idx="23">
                  <c:v>0+818.24</c:v>
                </c:pt>
                <c:pt idx="24">
                  <c:v>0+810.70</c:v>
                </c:pt>
                <c:pt idx="25">
                  <c:v>0+998.80</c:v>
                </c:pt>
                <c:pt idx="26">
                  <c:v>1+135.97</c:v>
                </c:pt>
                <c:pt idx="27">
                  <c:v>1+244.03</c:v>
                </c:pt>
                <c:pt idx="28">
                  <c:v>1+245.53</c:v>
                </c:pt>
                <c:pt idx="29">
                  <c:v>1+568.63</c:v>
                </c:pt>
                <c:pt idx="30">
                  <c:v>1+932.20</c:v>
                </c:pt>
                <c:pt idx="31">
                  <c:v>1+310.39</c:v>
                </c:pt>
                <c:pt idx="32">
                  <c:v>1+392.10</c:v>
                </c:pt>
                <c:pt idx="33">
                  <c:v>1+478.91</c:v>
                </c:pt>
                <c:pt idx="34">
                  <c:v>1+478.91</c:v>
                </c:pt>
                <c:pt idx="35">
                  <c:v>1+573.76</c:v>
                </c:pt>
                <c:pt idx="36">
                  <c:v>1+419.68</c:v>
                </c:pt>
                <c:pt idx="37">
                  <c:v>1+300.73</c:v>
                </c:pt>
                <c:pt idx="38">
                  <c:v>0+648.45</c:v>
                </c:pt>
                <c:pt idx="39">
                  <c:v>0+940.81</c:v>
                </c:pt>
                <c:pt idx="40">
                  <c:v>0+935.35</c:v>
                </c:pt>
                <c:pt idx="41">
                  <c:v>1+007.68</c:v>
                </c:pt>
                <c:pt idx="42">
                  <c:v>1+035.22</c:v>
                </c:pt>
                <c:pt idx="43">
                  <c:v>1+118.90</c:v>
                </c:pt>
                <c:pt idx="44">
                  <c:v>1+085.92</c:v>
                </c:pt>
                <c:pt idx="45">
                  <c:v>1+085.92</c:v>
                </c:pt>
                <c:pt idx="46">
                  <c:v>1+190.18</c:v>
                </c:pt>
                <c:pt idx="47">
                  <c:v>1+249.41</c:v>
                </c:pt>
                <c:pt idx="48">
                  <c:v>1+152.47</c:v>
                </c:pt>
                <c:pt idx="49">
                  <c:v>1+252.08</c:v>
                </c:pt>
                <c:pt idx="50">
                  <c:v>1+163.88</c:v>
                </c:pt>
                <c:pt idx="51">
                  <c:v>1+228.66</c:v>
                </c:pt>
                <c:pt idx="52">
                  <c:v>1+303.57</c:v>
                </c:pt>
                <c:pt idx="53">
                  <c:v>1+330.53</c:v>
                </c:pt>
                <c:pt idx="54">
                  <c:v>1+171.00</c:v>
                </c:pt>
                <c:pt idx="55">
                  <c:v>1+249.73</c:v>
                </c:pt>
                <c:pt idx="56">
                  <c:v>1+249.73</c:v>
                </c:pt>
                <c:pt idx="57">
                  <c:v>1+256.35</c:v>
                </c:pt>
                <c:pt idx="58">
                  <c:v>1+183.50</c:v>
                </c:pt>
                <c:pt idx="59">
                  <c:v>1+114.80</c:v>
                </c:pt>
                <c:pt idx="60">
                  <c:v>1+113.07</c:v>
                </c:pt>
                <c:pt idx="61">
                  <c:v>1+172.48</c:v>
                </c:pt>
                <c:pt idx="62">
                  <c:v>1+237.13</c:v>
                </c:pt>
                <c:pt idx="63">
                  <c:v>0+649.46</c:v>
                </c:pt>
                <c:pt idx="64">
                  <c:v>1+089.42</c:v>
                </c:pt>
                <c:pt idx="65">
                  <c:v>1+023.47</c:v>
                </c:pt>
                <c:pt idx="66">
                  <c:v>0+972.92</c:v>
                </c:pt>
                <c:pt idx="67">
                  <c:v>0+972.92</c:v>
                </c:pt>
                <c:pt idx="68">
                  <c:v>0+983.55</c:v>
                </c:pt>
                <c:pt idx="69">
                  <c:v>1+001.28</c:v>
                </c:pt>
                <c:pt idx="70">
                  <c:v>1+073.38</c:v>
                </c:pt>
                <c:pt idx="71">
                  <c:v>1+088.78</c:v>
                </c:pt>
                <c:pt idx="72">
                  <c:v>1+072.94</c:v>
                </c:pt>
                <c:pt idx="73">
                  <c:v>0+945.07</c:v>
                </c:pt>
                <c:pt idx="74">
                  <c:v>0+935.02</c:v>
                </c:pt>
                <c:pt idx="75">
                  <c:v>0+935.19</c:v>
                </c:pt>
                <c:pt idx="76">
                  <c:v>1+575.23</c:v>
                </c:pt>
                <c:pt idx="77">
                  <c:v>1+056.45</c:v>
                </c:pt>
                <c:pt idx="78">
                  <c:v>1+543.86</c:v>
                </c:pt>
                <c:pt idx="79">
                  <c:v>1+543.86</c:v>
                </c:pt>
                <c:pt idx="80">
                  <c:v>1+544.20</c:v>
                </c:pt>
                <c:pt idx="81">
                  <c:v>0+884.28</c:v>
                </c:pt>
                <c:pt idx="82">
                  <c:v>0+793.60</c:v>
                </c:pt>
                <c:pt idx="83">
                  <c:v>0+739.73</c:v>
                </c:pt>
                <c:pt idx="84">
                  <c:v>0+872.28</c:v>
                </c:pt>
                <c:pt idx="85">
                  <c:v>0+912.23</c:v>
                </c:pt>
                <c:pt idx="86">
                  <c:v>0+848.96</c:v>
                </c:pt>
                <c:pt idx="87">
                  <c:v>0+846.95</c:v>
                </c:pt>
                <c:pt idx="88">
                  <c:v>0+915.60</c:v>
                </c:pt>
                <c:pt idx="89">
                  <c:v>0+883.10</c:v>
                </c:pt>
                <c:pt idx="90">
                  <c:v>0+883.10</c:v>
                </c:pt>
                <c:pt idx="91">
                  <c:v>0+648.70</c:v>
                </c:pt>
                <c:pt idx="92">
                  <c:v>0+792.57</c:v>
                </c:pt>
                <c:pt idx="93">
                  <c:v>0+728.72</c:v>
                </c:pt>
                <c:pt idx="94">
                  <c:v>0+667.51</c:v>
                </c:pt>
                <c:pt idx="95">
                  <c:v>0+607.28</c:v>
                </c:pt>
                <c:pt idx="96">
                  <c:v>0+617.69</c:v>
                </c:pt>
                <c:pt idx="97">
                  <c:v>0+666.50</c:v>
                </c:pt>
                <c:pt idx="98">
                  <c:v>0+727.19</c:v>
                </c:pt>
                <c:pt idx="99">
                  <c:v>0+789.84</c:v>
                </c:pt>
                <c:pt idx="100">
                  <c:v>0+565.53</c:v>
                </c:pt>
                <c:pt idx="101">
                  <c:v>0+565.53</c:v>
                </c:pt>
                <c:pt idx="102">
                  <c:v>0+424.12</c:v>
                </c:pt>
                <c:pt idx="103">
                  <c:v>0+483.66</c:v>
                </c:pt>
                <c:pt idx="104">
                  <c:v>0+582.34</c:v>
                </c:pt>
                <c:pt idx="105">
                  <c:v>0+514.18</c:v>
                </c:pt>
                <c:pt idx="106">
                  <c:v>0+420.79</c:v>
                </c:pt>
                <c:pt idx="107">
                  <c:v>0+768.88</c:v>
                </c:pt>
                <c:pt idx="108">
                  <c:v>0+672.16</c:v>
                </c:pt>
                <c:pt idx="109">
                  <c:v>0+598.14</c:v>
                </c:pt>
                <c:pt idx="110">
                  <c:v>0+598.18</c:v>
                </c:pt>
                <c:pt idx="111">
                  <c:v>0+676.36</c:v>
                </c:pt>
                <c:pt idx="112">
                  <c:v>0+676.36</c:v>
                </c:pt>
                <c:pt idx="113">
                  <c:v>0+778.70</c:v>
                </c:pt>
                <c:pt idx="114">
                  <c:v>0+031.46</c:v>
                </c:pt>
                <c:pt idx="115">
                  <c:v>0+033.46</c:v>
                </c:pt>
                <c:pt idx="116">
                  <c:v>0+320.15</c:v>
                </c:pt>
                <c:pt idx="117">
                  <c:v>0+033.28</c:v>
                </c:pt>
                <c:pt idx="118">
                  <c:v>0+080.94</c:v>
                </c:pt>
                <c:pt idx="119">
                  <c:v>0+173.47</c:v>
                </c:pt>
                <c:pt idx="120">
                  <c:v>0+295.41</c:v>
                </c:pt>
                <c:pt idx="121">
                  <c:v>0+357.12</c:v>
                </c:pt>
                <c:pt idx="122">
                  <c:v>0+432.55</c:v>
                </c:pt>
                <c:pt idx="123">
                  <c:v>0+242.40</c:v>
                </c:pt>
                <c:pt idx="124">
                  <c:v>0+242.40</c:v>
                </c:pt>
                <c:pt idx="125">
                  <c:v>0+065.36</c:v>
                </c:pt>
                <c:pt idx="126">
                  <c:v>0+343.08</c:v>
                </c:pt>
                <c:pt idx="127">
                  <c:v>1+821.24</c:v>
                </c:pt>
                <c:pt idx="128">
                  <c:v>0+028.28</c:v>
                </c:pt>
                <c:pt idx="129">
                  <c:v>0+219.98</c:v>
                </c:pt>
                <c:pt idx="130">
                  <c:v>0+525.62</c:v>
                </c:pt>
                <c:pt idx="131">
                  <c:v>0+517.29</c:v>
                </c:pt>
                <c:pt idx="132">
                  <c:v>1+874.82</c:v>
                </c:pt>
                <c:pt idx="133">
                  <c:v>1+774.99</c:v>
                </c:pt>
                <c:pt idx="134">
                  <c:v>1+731.83</c:v>
                </c:pt>
                <c:pt idx="135">
                  <c:v>1+814.40</c:v>
                </c:pt>
                <c:pt idx="136">
                  <c:v>1+814.40</c:v>
                </c:pt>
                <c:pt idx="137">
                  <c:v>1+877.49</c:v>
                </c:pt>
                <c:pt idx="138">
                  <c:v>1+623.79</c:v>
                </c:pt>
                <c:pt idx="139">
                  <c:v>1+552.29</c:v>
                </c:pt>
                <c:pt idx="140">
                  <c:v>1+482.07</c:v>
                </c:pt>
                <c:pt idx="141">
                  <c:v>1+474.59</c:v>
                </c:pt>
                <c:pt idx="142">
                  <c:v>1+597.64</c:v>
                </c:pt>
                <c:pt idx="143">
                  <c:v>1+560.61</c:v>
                </c:pt>
                <c:pt idx="144">
                  <c:v>1+413.16</c:v>
                </c:pt>
                <c:pt idx="145">
                  <c:v>1+341.47</c:v>
                </c:pt>
                <c:pt idx="146">
                  <c:v>1+274.97</c:v>
                </c:pt>
                <c:pt idx="147">
                  <c:v>1+274.97</c:v>
                </c:pt>
                <c:pt idx="148">
                  <c:v>1+264.22</c:v>
                </c:pt>
                <c:pt idx="149">
                  <c:v>1+335.09</c:v>
                </c:pt>
                <c:pt idx="150">
                  <c:v>1+410.21</c:v>
                </c:pt>
                <c:pt idx="151">
                  <c:v>1+331.20</c:v>
                </c:pt>
                <c:pt idx="152">
                  <c:v>0+487.09</c:v>
                </c:pt>
                <c:pt idx="153">
                  <c:v>0+032.37</c:v>
                </c:pt>
                <c:pt idx="154">
                  <c:v>0+131.67</c:v>
                </c:pt>
                <c:pt idx="155">
                  <c:v>0+374.40</c:v>
                </c:pt>
                <c:pt idx="156">
                  <c:v>0+476.90</c:v>
                </c:pt>
                <c:pt idx="157">
                  <c:v>1+559.26</c:v>
                </c:pt>
                <c:pt idx="158">
                  <c:v>1+559.26</c:v>
                </c:pt>
                <c:pt idx="159">
                  <c:v>1+629.62</c:v>
                </c:pt>
                <c:pt idx="160">
                  <c:v>1+468.65</c:v>
                </c:pt>
                <c:pt idx="161">
                  <c:v>1+473.81</c:v>
                </c:pt>
                <c:pt idx="162">
                  <c:v>1+526.35</c:v>
                </c:pt>
                <c:pt idx="163">
                  <c:v>1+580.83</c:v>
                </c:pt>
                <c:pt idx="164">
                  <c:v>1+634.34</c:v>
                </c:pt>
                <c:pt idx="165">
                  <c:v>1+425.15</c:v>
                </c:pt>
                <c:pt idx="166">
                  <c:v>1+417.34</c:v>
                </c:pt>
                <c:pt idx="167">
                  <c:v>1+357.54</c:v>
                </c:pt>
                <c:pt idx="168">
                  <c:v>1+283.60</c:v>
                </c:pt>
                <c:pt idx="169">
                  <c:v>1+283.60</c:v>
                </c:pt>
                <c:pt idx="170">
                  <c:v>1+274.98</c:v>
                </c:pt>
                <c:pt idx="171">
                  <c:v>1+345.62</c:v>
                </c:pt>
                <c:pt idx="172">
                  <c:v>1+364.05</c:v>
                </c:pt>
                <c:pt idx="173">
                  <c:v>1+719.41</c:v>
                </c:pt>
                <c:pt idx="174">
                  <c:v>0+033.12</c:v>
                </c:pt>
                <c:pt idx="175">
                  <c:v>1+694.27</c:v>
                </c:pt>
                <c:pt idx="176">
                  <c:v>1+928.22</c:v>
                </c:pt>
                <c:pt idx="177">
                  <c:v>1+819.25</c:v>
                </c:pt>
                <c:pt idx="178">
                  <c:v>1+948.52</c:v>
                </c:pt>
                <c:pt idx="179">
                  <c:v>2+023.03</c:v>
                </c:pt>
                <c:pt idx="180">
                  <c:v>2+105.98</c:v>
                </c:pt>
                <c:pt idx="181">
                  <c:v>2+105.98</c:v>
                </c:pt>
                <c:pt idx="182">
                  <c:v>2+115.42</c:v>
                </c:pt>
                <c:pt idx="183">
                  <c:v>2+034.52</c:v>
                </c:pt>
                <c:pt idx="184">
                  <c:v>1+973.77</c:v>
                </c:pt>
                <c:pt idx="185">
                  <c:v>2+053.88</c:v>
                </c:pt>
                <c:pt idx="186">
                  <c:v>1+663.35</c:v>
                </c:pt>
                <c:pt idx="187">
                  <c:v>0+033.10</c:v>
                </c:pt>
                <c:pt idx="188">
                  <c:v>0+034.24</c:v>
                </c:pt>
                <c:pt idx="189">
                  <c:v>1+869.66</c:v>
                </c:pt>
                <c:pt idx="190">
                  <c:v>2+040.06</c:v>
                </c:pt>
                <c:pt idx="191">
                  <c:v>1+237.25</c:v>
                </c:pt>
                <c:pt idx="192">
                  <c:v>1+237.25</c:v>
                </c:pt>
                <c:pt idx="193">
                  <c:v>1+179.44</c:v>
                </c:pt>
                <c:pt idx="194">
                  <c:v>1+101.65</c:v>
                </c:pt>
                <c:pt idx="195">
                  <c:v>1+097.10</c:v>
                </c:pt>
                <c:pt idx="196">
                  <c:v>1+174.38</c:v>
                </c:pt>
                <c:pt idx="197">
                  <c:v>1+235.85</c:v>
                </c:pt>
                <c:pt idx="198">
                  <c:v>1+089.85</c:v>
                </c:pt>
                <c:pt idx="199">
                  <c:v>1+079.55</c:v>
                </c:pt>
                <c:pt idx="200">
                  <c:v>1+025.69</c:v>
                </c:pt>
                <c:pt idx="201">
                  <c:v>0+959.99</c:v>
                </c:pt>
                <c:pt idx="202">
                  <c:v>0+951.17</c:v>
                </c:pt>
                <c:pt idx="203">
                  <c:v>0+951.17</c:v>
                </c:pt>
                <c:pt idx="204">
                  <c:v>1+006.28</c:v>
                </c:pt>
                <c:pt idx="205">
                  <c:v>1+054.59</c:v>
                </c:pt>
                <c:pt idx="206">
                  <c:v>1+036.41</c:v>
                </c:pt>
                <c:pt idx="207">
                  <c:v>1+787.07</c:v>
                </c:pt>
                <c:pt idx="208">
                  <c:v>2+050.34</c:v>
                </c:pt>
                <c:pt idx="209">
                  <c:v>2+125.81</c:v>
                </c:pt>
                <c:pt idx="210">
                  <c:v>0+863.17</c:v>
                </c:pt>
                <c:pt idx="211">
                  <c:v>1+877.95</c:v>
                </c:pt>
                <c:pt idx="212">
                  <c:v>1+242.82</c:v>
                </c:pt>
                <c:pt idx="213">
                  <c:v>1+169.46</c:v>
                </c:pt>
                <c:pt idx="214">
                  <c:v>1+021.06</c:v>
                </c:pt>
                <c:pt idx="215">
                  <c:v>1+021.06</c:v>
                </c:pt>
                <c:pt idx="216">
                  <c:v>1+097.83</c:v>
                </c:pt>
                <c:pt idx="217">
                  <c:v>0+937.04</c:v>
                </c:pt>
                <c:pt idx="218">
                  <c:v>0+928.36</c:v>
                </c:pt>
                <c:pt idx="219">
                  <c:v>1+012.08</c:v>
                </c:pt>
                <c:pt idx="220">
                  <c:v>1+093.68</c:v>
                </c:pt>
                <c:pt idx="221">
                  <c:v>1+164.51</c:v>
                </c:pt>
                <c:pt idx="222">
                  <c:v>1+236.55</c:v>
                </c:pt>
                <c:pt idx="223">
                  <c:v>1+185.01</c:v>
                </c:pt>
                <c:pt idx="224">
                  <c:v>1+031.48</c:v>
                </c:pt>
                <c:pt idx="225">
                  <c:v>0+754.68</c:v>
                </c:pt>
                <c:pt idx="226">
                  <c:v>0+754.68</c:v>
                </c:pt>
                <c:pt idx="227">
                  <c:v>0+704.69</c:v>
                </c:pt>
                <c:pt idx="228">
                  <c:v>0+633.47</c:v>
                </c:pt>
                <c:pt idx="229">
                  <c:v>0+717.71</c:v>
                </c:pt>
                <c:pt idx="230">
                  <c:v>0+803.52</c:v>
                </c:pt>
                <c:pt idx="231">
                  <c:v>0+875.63</c:v>
                </c:pt>
                <c:pt idx="232">
                  <c:v>0+982.19</c:v>
                </c:pt>
                <c:pt idx="233">
                  <c:v>1+725.54</c:v>
                </c:pt>
                <c:pt idx="234">
                  <c:v>0+916.34</c:v>
                </c:pt>
                <c:pt idx="235">
                  <c:v>0+843.68</c:v>
                </c:pt>
                <c:pt idx="236">
                  <c:v>0+827.83</c:v>
                </c:pt>
                <c:pt idx="237">
                  <c:v>0+827.83</c:v>
                </c:pt>
                <c:pt idx="238">
                  <c:v>0+787.05</c:v>
                </c:pt>
                <c:pt idx="239">
                  <c:v>0+863.52</c:v>
                </c:pt>
                <c:pt idx="240">
                  <c:v>0+789.28</c:v>
                </c:pt>
                <c:pt idx="241">
                  <c:v>0+755.08</c:v>
                </c:pt>
                <c:pt idx="242">
                  <c:v>0+680.01</c:v>
                </c:pt>
                <c:pt idx="243">
                  <c:v>0+690.81</c:v>
                </c:pt>
                <c:pt idx="244">
                  <c:v>0+675.18</c:v>
                </c:pt>
                <c:pt idx="245">
                  <c:v>0+615.75</c:v>
                </c:pt>
                <c:pt idx="246">
                  <c:v>0+909.66</c:v>
                </c:pt>
                <c:pt idx="247">
                  <c:v>0+838.07</c:v>
                </c:pt>
                <c:pt idx="248">
                  <c:v>0+773.89</c:v>
                </c:pt>
                <c:pt idx="249">
                  <c:v>0+773.89</c:v>
                </c:pt>
                <c:pt idx="250">
                  <c:v>0+843.96</c:v>
                </c:pt>
                <c:pt idx="251">
                  <c:v>0+921.00</c:v>
                </c:pt>
                <c:pt idx="252">
                  <c:v>0+852.96</c:v>
                </c:pt>
                <c:pt idx="253">
                  <c:v>0+774.13</c:v>
                </c:pt>
                <c:pt idx="254">
                  <c:v>0+736.54</c:v>
                </c:pt>
                <c:pt idx="255">
                  <c:v>0+675.99</c:v>
                </c:pt>
                <c:pt idx="256">
                  <c:v>0+605.45</c:v>
                </c:pt>
                <c:pt idx="257">
                  <c:v>0+597.48</c:v>
                </c:pt>
                <c:pt idx="258">
                  <c:v>0+650.99</c:v>
                </c:pt>
                <c:pt idx="259">
                  <c:v>0+697.41</c:v>
                </c:pt>
                <c:pt idx="260">
                  <c:v>0+697.41</c:v>
                </c:pt>
                <c:pt idx="261">
                  <c:v>0+633.59</c:v>
                </c:pt>
                <c:pt idx="262">
                  <c:v>1+580.20</c:v>
                </c:pt>
                <c:pt idx="263">
                  <c:v>1+005.01</c:v>
                </c:pt>
                <c:pt idx="264">
                  <c:v>0+561.00</c:v>
                </c:pt>
                <c:pt idx="265">
                  <c:v>0+494.28</c:v>
                </c:pt>
                <c:pt idx="266">
                  <c:v>0+444.04</c:v>
                </c:pt>
                <c:pt idx="267">
                  <c:v>0+413.69</c:v>
                </c:pt>
                <c:pt idx="268">
                  <c:v>0+480.62</c:v>
                </c:pt>
                <c:pt idx="269">
                  <c:v>0+538.21</c:v>
                </c:pt>
                <c:pt idx="270">
                  <c:v>0+513.21</c:v>
                </c:pt>
                <c:pt idx="271">
                  <c:v>1+091.55</c:v>
                </c:pt>
                <c:pt idx="272">
                  <c:v>1+091.55</c:v>
                </c:pt>
                <c:pt idx="273">
                  <c:v>0+883.84</c:v>
                </c:pt>
                <c:pt idx="274">
                  <c:v>1+606.92</c:v>
                </c:pt>
                <c:pt idx="275">
                  <c:v>1+463.91</c:v>
                </c:pt>
                <c:pt idx="276">
                  <c:v>1+621.33</c:v>
                </c:pt>
                <c:pt idx="277">
                  <c:v>1+552.18</c:v>
                </c:pt>
                <c:pt idx="278">
                  <c:v>1+477.09</c:v>
                </c:pt>
                <c:pt idx="279">
                  <c:v>1+905.47</c:v>
                </c:pt>
                <c:pt idx="280">
                  <c:v>0+839.49</c:v>
                </c:pt>
                <c:pt idx="281">
                  <c:v>0+679.04</c:v>
                </c:pt>
                <c:pt idx="282">
                  <c:v>1+836.33</c:v>
                </c:pt>
                <c:pt idx="283">
                  <c:v>1+836.33</c:v>
                </c:pt>
                <c:pt idx="284">
                  <c:v>1+754.05</c:v>
                </c:pt>
                <c:pt idx="285">
                  <c:v>1+761.25</c:v>
                </c:pt>
                <c:pt idx="286">
                  <c:v>1+865.27</c:v>
                </c:pt>
                <c:pt idx="287">
                  <c:v>1+855.67</c:v>
                </c:pt>
                <c:pt idx="288">
                  <c:v>1+072.37</c:v>
                </c:pt>
                <c:pt idx="289">
                  <c:v>0+892.51</c:v>
                </c:pt>
                <c:pt idx="290">
                  <c:v>0+897.35</c:v>
                </c:pt>
                <c:pt idx="291">
                  <c:v>0+855.04</c:v>
                </c:pt>
                <c:pt idx="292">
                  <c:v>1+283.67</c:v>
                </c:pt>
                <c:pt idx="293">
                  <c:v>1+278.24</c:v>
                </c:pt>
                <c:pt idx="294">
                  <c:v>1+278.24</c:v>
                </c:pt>
                <c:pt idx="295">
                  <c:v>1+357.43</c:v>
                </c:pt>
                <c:pt idx="296">
                  <c:v>1+348.65</c:v>
                </c:pt>
                <c:pt idx="297">
                  <c:v>1+323.04</c:v>
                </c:pt>
                <c:pt idx="298">
                  <c:v>1+405.51</c:v>
                </c:pt>
                <c:pt idx="299">
                  <c:v>1+416.03</c:v>
                </c:pt>
                <c:pt idx="300">
                  <c:v>1+451.74</c:v>
                </c:pt>
                <c:pt idx="301">
                  <c:v>1+447.72</c:v>
                </c:pt>
                <c:pt idx="302">
                  <c:v>1+512.10</c:v>
                </c:pt>
                <c:pt idx="303">
                  <c:v>1+496.12</c:v>
                </c:pt>
                <c:pt idx="304">
                  <c:v>1+475.88</c:v>
                </c:pt>
                <c:pt idx="305">
                  <c:v>1+475.88</c:v>
                </c:pt>
                <c:pt idx="306">
                  <c:v>1+549.34</c:v>
                </c:pt>
                <c:pt idx="307">
                  <c:v>1+613.53</c:v>
                </c:pt>
                <c:pt idx="308">
                  <c:v>1+550.21</c:v>
                </c:pt>
                <c:pt idx="309">
                  <c:v>1+277.50</c:v>
                </c:pt>
                <c:pt idx="310">
                  <c:v>1+341.22</c:v>
                </c:pt>
                <c:pt idx="311">
                  <c:v>1+445.57</c:v>
                </c:pt>
                <c:pt idx="312">
                  <c:v>1+444.43</c:v>
                </c:pt>
                <c:pt idx="313">
                  <c:v>1+342.00</c:v>
                </c:pt>
                <c:pt idx="314">
                  <c:v>1+271.02</c:v>
                </c:pt>
                <c:pt idx="315">
                  <c:v>1+263.49</c:v>
                </c:pt>
                <c:pt idx="316">
                  <c:v>1+263.49</c:v>
                </c:pt>
                <c:pt idx="317">
                  <c:v>1+342.93</c:v>
                </c:pt>
                <c:pt idx="318">
                  <c:v>1+124.81</c:v>
                </c:pt>
                <c:pt idx="319">
                  <c:v>1+235.93</c:v>
                </c:pt>
                <c:pt idx="320">
                  <c:v>1+183.53</c:v>
                </c:pt>
                <c:pt idx="321">
                  <c:v>1+121.63</c:v>
                </c:pt>
                <c:pt idx="322">
                  <c:v>1+122.08</c:v>
                </c:pt>
                <c:pt idx="323">
                  <c:v>1+197.60</c:v>
                </c:pt>
                <c:pt idx="324">
                  <c:v>1+217.72</c:v>
                </c:pt>
                <c:pt idx="325">
                  <c:v>1+054.25</c:v>
                </c:pt>
                <c:pt idx="326">
                  <c:v>0+994.80</c:v>
                </c:pt>
                <c:pt idx="327">
                  <c:v>0+931.78</c:v>
                </c:pt>
                <c:pt idx="328">
                  <c:v>0+931.78</c:v>
                </c:pt>
                <c:pt idx="329">
                  <c:v>1+047.54</c:v>
                </c:pt>
                <c:pt idx="330">
                  <c:v>0+984.34</c:v>
                </c:pt>
                <c:pt idx="331">
                  <c:v>1+014.56</c:v>
                </c:pt>
                <c:pt idx="332">
                  <c:v>1+116.20</c:v>
                </c:pt>
                <c:pt idx="333">
                  <c:v>1+179.42</c:v>
                </c:pt>
                <c:pt idx="334">
                  <c:v>1+258.17</c:v>
                </c:pt>
                <c:pt idx="335">
                  <c:v>1+254.54</c:v>
                </c:pt>
                <c:pt idx="336">
                  <c:v>1+183.34</c:v>
                </c:pt>
                <c:pt idx="337">
                  <c:v>1+116.26</c:v>
                </c:pt>
                <c:pt idx="338">
                  <c:v>1+256.59</c:v>
                </c:pt>
                <c:pt idx="339">
                  <c:v>1+256.59</c:v>
                </c:pt>
                <c:pt idx="340">
                  <c:v>0+890.94</c:v>
                </c:pt>
                <c:pt idx="341">
                  <c:v>0+797.97</c:v>
                </c:pt>
                <c:pt idx="342">
                  <c:v>0+797.86</c:v>
                </c:pt>
                <c:pt idx="343">
                  <c:v>0+884.52</c:v>
                </c:pt>
                <c:pt idx="344">
                  <c:v>0+933.99</c:v>
                </c:pt>
                <c:pt idx="345">
                  <c:v>1+025.27</c:v>
                </c:pt>
                <c:pt idx="346">
                  <c:v>1+084.55</c:v>
                </c:pt>
                <c:pt idx="347">
                  <c:v>1+091.47</c:v>
                </c:pt>
                <c:pt idx="348">
                  <c:v>1+017.88</c:v>
                </c:pt>
                <c:pt idx="349">
                  <c:v>0+926.65</c:v>
                </c:pt>
                <c:pt idx="350">
                  <c:v>0+926.65</c:v>
                </c:pt>
                <c:pt idx="351">
                  <c:v>0+981.32</c:v>
                </c:pt>
                <c:pt idx="352">
                  <c:v>1+043.97</c:v>
                </c:pt>
                <c:pt idx="353">
                  <c:v>1+661.24</c:v>
                </c:pt>
                <c:pt idx="354">
                  <c:v>1+920.39</c:v>
                </c:pt>
                <c:pt idx="355">
                  <c:v>1+865.86</c:v>
                </c:pt>
                <c:pt idx="356">
                  <c:v>1+807.30</c:v>
                </c:pt>
                <c:pt idx="357">
                  <c:v>1+756.42</c:v>
                </c:pt>
                <c:pt idx="358">
                  <c:v>1+683.81</c:v>
                </c:pt>
                <c:pt idx="359">
                  <c:v>1+641.78</c:v>
                </c:pt>
                <c:pt idx="360">
                  <c:v>1+706.44</c:v>
                </c:pt>
                <c:pt idx="361">
                  <c:v>1+873.25</c:v>
                </c:pt>
                <c:pt idx="362">
                  <c:v>1+873.25</c:v>
                </c:pt>
                <c:pt idx="363">
                  <c:v>1+800.78</c:v>
                </c:pt>
                <c:pt idx="364">
                  <c:v>1+953.85</c:v>
                </c:pt>
                <c:pt idx="365">
                  <c:v>1+952.49</c:v>
                </c:pt>
                <c:pt idx="366">
                  <c:v>1+884.11</c:v>
                </c:pt>
                <c:pt idx="367">
                  <c:v>1+495.65</c:v>
                </c:pt>
                <c:pt idx="368">
                  <c:v>2+151.91</c:v>
                </c:pt>
                <c:pt idx="369">
                  <c:v>2+075.79</c:v>
                </c:pt>
                <c:pt idx="370">
                  <c:v>1+989.70</c:v>
                </c:pt>
                <c:pt idx="371">
                  <c:v>1+966.84</c:v>
                </c:pt>
                <c:pt idx="372">
                  <c:v>0+902.21</c:v>
                </c:pt>
                <c:pt idx="373">
                  <c:v>1+147.60</c:v>
                </c:pt>
                <c:pt idx="374">
                  <c:v>1+347.77</c:v>
                </c:pt>
                <c:pt idx="375">
                  <c:v>1+347.77</c:v>
                </c:pt>
                <c:pt idx="376">
                  <c:v>0+464.14</c:v>
                </c:pt>
                <c:pt idx="377">
                  <c:v>0+528.18</c:v>
                </c:pt>
                <c:pt idx="378">
                  <c:v>0+576.75</c:v>
                </c:pt>
                <c:pt idx="379">
                  <c:v>0+570.64</c:v>
                </c:pt>
                <c:pt idx="380">
                  <c:v>0+523.52</c:v>
                </c:pt>
                <c:pt idx="381">
                  <c:v>0+442.96</c:v>
                </c:pt>
                <c:pt idx="382">
                  <c:v>0+463.61</c:v>
                </c:pt>
                <c:pt idx="383">
                  <c:v>0+538.18</c:v>
                </c:pt>
                <c:pt idx="384">
                  <c:v>1+492.62</c:v>
                </c:pt>
                <c:pt idx="385">
                  <c:v>1+509.76</c:v>
                </c:pt>
                <c:pt idx="386">
                  <c:v>1+509.76</c:v>
                </c:pt>
                <c:pt idx="387">
                  <c:v>1+207.47</c:v>
                </c:pt>
                <c:pt idx="388">
                  <c:v>0+609.86</c:v>
                </c:pt>
                <c:pt idx="389">
                  <c:v>0+685.29</c:v>
                </c:pt>
                <c:pt idx="390">
                  <c:v>0+784.85</c:v>
                </c:pt>
                <c:pt idx="391">
                  <c:v>0+890.38</c:v>
                </c:pt>
                <c:pt idx="392">
                  <c:v>0+914.51</c:v>
                </c:pt>
                <c:pt idx="393">
                  <c:v>0+819.49</c:v>
                </c:pt>
                <c:pt idx="394">
                  <c:v>0+716.45</c:v>
                </c:pt>
                <c:pt idx="395">
                  <c:v>0+619.78</c:v>
                </c:pt>
                <c:pt idx="396">
                  <c:v>0+736.67</c:v>
                </c:pt>
                <c:pt idx="397">
                  <c:v>0+736.67</c:v>
                </c:pt>
                <c:pt idx="398">
                  <c:v>0+825.02</c:v>
                </c:pt>
                <c:pt idx="399">
                  <c:v>0+912.34</c:v>
                </c:pt>
                <c:pt idx="400">
                  <c:v>0+855.61</c:v>
                </c:pt>
                <c:pt idx="401">
                  <c:v>0+026.73</c:v>
                </c:pt>
                <c:pt idx="402">
                  <c:v>0+027.76</c:v>
                </c:pt>
                <c:pt idx="403">
                  <c:v>0+432.58</c:v>
                </c:pt>
                <c:pt idx="404">
                  <c:v>0+396.33</c:v>
                </c:pt>
                <c:pt idx="405">
                  <c:v>0+421.06</c:v>
                </c:pt>
                <c:pt idx="406">
                  <c:v>0+564.60</c:v>
                </c:pt>
                <c:pt idx="407">
                  <c:v>0+463.91</c:v>
                </c:pt>
                <c:pt idx="408">
                  <c:v>0+463.91</c:v>
                </c:pt>
                <c:pt idx="409">
                  <c:v>0+506.40</c:v>
                </c:pt>
                <c:pt idx="410">
                  <c:v>0+500.33</c:v>
                </c:pt>
                <c:pt idx="411">
                  <c:v>0+541.90</c:v>
                </c:pt>
                <c:pt idx="412">
                  <c:v>0+759.55</c:v>
                </c:pt>
                <c:pt idx="413">
                  <c:v>0+776.75</c:v>
                </c:pt>
                <c:pt idx="414">
                  <c:v>0+804.67</c:v>
                </c:pt>
                <c:pt idx="415">
                  <c:v>1+700.25</c:v>
                </c:pt>
                <c:pt idx="416">
                  <c:v>0+699.71</c:v>
                </c:pt>
                <c:pt idx="417">
                  <c:v>0+661.82</c:v>
                </c:pt>
                <c:pt idx="418">
                  <c:v>0+630.76</c:v>
                </c:pt>
                <c:pt idx="419">
                  <c:v>0+693.25</c:v>
                </c:pt>
                <c:pt idx="420">
                  <c:v>0+693.25</c:v>
                </c:pt>
                <c:pt idx="421">
                  <c:v>0+724.75</c:v>
                </c:pt>
                <c:pt idx="422">
                  <c:v>0+739.70</c:v>
                </c:pt>
                <c:pt idx="423">
                  <c:v>0+646.18</c:v>
                </c:pt>
                <c:pt idx="424">
                  <c:v>1+761.33</c:v>
                </c:pt>
                <c:pt idx="425">
                  <c:v>1+688.41</c:v>
                </c:pt>
                <c:pt idx="426">
                  <c:v>1+616.87</c:v>
                </c:pt>
                <c:pt idx="427">
                  <c:v>1+611.72</c:v>
                </c:pt>
                <c:pt idx="428">
                  <c:v>1+678.46</c:v>
                </c:pt>
                <c:pt idx="429">
                  <c:v>1+745.21</c:v>
                </c:pt>
                <c:pt idx="430">
                  <c:v>1+372.06</c:v>
                </c:pt>
                <c:pt idx="431">
                  <c:v>1+372.06</c:v>
                </c:pt>
                <c:pt idx="432">
                  <c:v>0+027.44</c:v>
                </c:pt>
                <c:pt idx="433">
                  <c:v>1+291.62</c:v>
                </c:pt>
                <c:pt idx="434">
                  <c:v>1+487.72</c:v>
                </c:pt>
                <c:pt idx="435">
                  <c:v>1+569.07</c:v>
                </c:pt>
                <c:pt idx="436">
                  <c:v>1+560.30</c:v>
                </c:pt>
                <c:pt idx="437">
                  <c:v>1+485.41</c:v>
                </c:pt>
                <c:pt idx="438">
                  <c:v>1+369.46</c:v>
                </c:pt>
                <c:pt idx="439">
                  <c:v>1+289.69</c:v>
                </c:pt>
                <c:pt idx="440">
                  <c:v>1+416.39</c:v>
                </c:pt>
                <c:pt idx="441">
                  <c:v>1+565.37</c:v>
                </c:pt>
                <c:pt idx="442">
                  <c:v>1+565.37</c:v>
                </c:pt>
                <c:pt idx="443">
                  <c:v>1+454.51</c:v>
                </c:pt>
                <c:pt idx="444">
                  <c:v>1+520.34</c:v>
                </c:pt>
                <c:pt idx="445">
                  <c:v>1+590.54</c:v>
                </c:pt>
                <c:pt idx="446">
                  <c:v>1+609.23</c:v>
                </c:pt>
                <c:pt idx="447">
                  <c:v>1+531.51</c:v>
                </c:pt>
                <c:pt idx="448">
                  <c:v>1+449.86</c:v>
                </c:pt>
                <c:pt idx="449">
                  <c:v>1+422.58</c:v>
                </c:pt>
                <c:pt idx="450">
                  <c:v>1+427.92</c:v>
                </c:pt>
                <c:pt idx="451">
                  <c:v>1+562.75</c:v>
                </c:pt>
                <c:pt idx="452">
                  <c:v>1+167.68</c:v>
                </c:pt>
                <c:pt idx="453">
                  <c:v>1+167.68</c:v>
                </c:pt>
                <c:pt idx="454">
                  <c:v>0+050.15</c:v>
                </c:pt>
                <c:pt idx="455">
                  <c:v>0+022.64</c:v>
                </c:pt>
                <c:pt idx="456">
                  <c:v>0+580.21</c:v>
                </c:pt>
                <c:pt idx="457">
                  <c:v>0+049.52</c:v>
                </c:pt>
                <c:pt idx="458">
                  <c:v>0+595.31</c:v>
                </c:pt>
                <c:pt idx="459">
                  <c:v>0+598.99</c:v>
                </c:pt>
                <c:pt idx="460">
                  <c:v>1+334.23</c:v>
                </c:pt>
                <c:pt idx="461">
                  <c:v>1+348.47</c:v>
                </c:pt>
                <c:pt idx="462">
                  <c:v>1+291.09</c:v>
                </c:pt>
                <c:pt idx="463">
                  <c:v>1+284.66</c:v>
                </c:pt>
                <c:pt idx="464">
                  <c:v>1+348.77</c:v>
                </c:pt>
                <c:pt idx="465">
                  <c:v>1+348.77</c:v>
                </c:pt>
                <c:pt idx="466">
                  <c:v>1+293.96</c:v>
                </c:pt>
                <c:pt idx="467">
                  <c:v>1+685.50</c:v>
                </c:pt>
                <c:pt idx="468">
                  <c:v>0+558.84</c:v>
                </c:pt>
                <c:pt idx="469">
                  <c:v>0+503.32</c:v>
                </c:pt>
                <c:pt idx="470">
                  <c:v>0+445.29</c:v>
                </c:pt>
                <c:pt idx="471">
                  <c:v>0+492.57</c:v>
                </c:pt>
                <c:pt idx="472">
                  <c:v>0+551.78</c:v>
                </c:pt>
                <c:pt idx="473">
                  <c:v>0+565.00</c:v>
                </c:pt>
                <c:pt idx="474">
                  <c:v>0+470.16</c:v>
                </c:pt>
                <c:pt idx="475">
                  <c:v>0+403.04</c:v>
                </c:pt>
                <c:pt idx="476">
                  <c:v>0+403.04</c:v>
                </c:pt>
                <c:pt idx="477">
                  <c:v>0+395.72</c:v>
                </c:pt>
                <c:pt idx="478">
                  <c:v>0+460.38</c:v>
                </c:pt>
                <c:pt idx="479">
                  <c:v>0+393.96</c:v>
                </c:pt>
                <c:pt idx="480">
                  <c:v>0+047.64</c:v>
                </c:pt>
                <c:pt idx="481">
                  <c:v>2+089.01</c:v>
                </c:pt>
                <c:pt idx="482">
                  <c:v>2+060.04</c:v>
                </c:pt>
                <c:pt idx="483">
                  <c:v>1+856.55</c:v>
                </c:pt>
                <c:pt idx="484">
                  <c:v>1+701.90</c:v>
                </c:pt>
                <c:pt idx="485">
                  <c:v>1+756.11</c:v>
                </c:pt>
                <c:pt idx="486">
                  <c:v>1+813.10</c:v>
                </c:pt>
                <c:pt idx="487">
                  <c:v>1+813.10</c:v>
                </c:pt>
                <c:pt idx="488">
                  <c:v>0+133.02</c:v>
                </c:pt>
                <c:pt idx="489">
                  <c:v>0+145.44</c:v>
                </c:pt>
                <c:pt idx="490">
                  <c:v>0+193.05</c:v>
                </c:pt>
                <c:pt idx="491">
                  <c:v>0+271.13</c:v>
                </c:pt>
                <c:pt idx="492">
                  <c:v>0+223.27</c:v>
                </c:pt>
                <c:pt idx="493">
                  <c:v>0+314.75</c:v>
                </c:pt>
                <c:pt idx="494">
                  <c:v>0+339.34</c:v>
                </c:pt>
                <c:pt idx="495">
                  <c:v>0+276.71</c:v>
                </c:pt>
                <c:pt idx="496">
                  <c:v>0+051.75</c:v>
                </c:pt>
                <c:pt idx="497">
                  <c:v>1+104.37</c:v>
                </c:pt>
                <c:pt idx="498">
                  <c:v>1+104.37</c:v>
                </c:pt>
                <c:pt idx="499">
                  <c:v>1+099.20</c:v>
                </c:pt>
                <c:pt idx="500">
                  <c:v>1+041.55</c:v>
                </c:pt>
                <c:pt idx="501">
                  <c:v>1+984.11</c:v>
                </c:pt>
                <c:pt idx="502">
                  <c:v>1+035.34</c:v>
                </c:pt>
                <c:pt idx="503">
                  <c:v>0+969.17</c:v>
                </c:pt>
                <c:pt idx="504">
                  <c:v>0+914.81</c:v>
                </c:pt>
                <c:pt idx="505">
                  <c:v>0+948.90</c:v>
                </c:pt>
                <c:pt idx="506">
                  <c:v>1+024.24</c:v>
                </c:pt>
                <c:pt idx="507">
                  <c:v>0+984.30</c:v>
                </c:pt>
                <c:pt idx="508">
                  <c:v>0+049.36</c:v>
                </c:pt>
                <c:pt idx="509">
                  <c:v>1+137.74</c:v>
                </c:pt>
                <c:pt idx="510">
                  <c:v>1+137.74</c:v>
                </c:pt>
                <c:pt idx="511">
                  <c:v>1+189.94</c:v>
                </c:pt>
                <c:pt idx="512">
                  <c:v>1+249.98</c:v>
                </c:pt>
                <c:pt idx="513">
                  <c:v>1+263.22</c:v>
                </c:pt>
                <c:pt idx="514">
                  <c:v>1+208.54</c:v>
                </c:pt>
                <c:pt idx="515">
                  <c:v>1+142.08</c:v>
                </c:pt>
                <c:pt idx="516">
                  <c:v>1+105.59</c:v>
                </c:pt>
                <c:pt idx="517">
                  <c:v>0+994.34</c:v>
                </c:pt>
                <c:pt idx="518">
                  <c:v>0+915.14</c:v>
                </c:pt>
                <c:pt idx="519">
                  <c:v>1+092.26</c:v>
                </c:pt>
                <c:pt idx="520">
                  <c:v>1+021.01</c:v>
                </c:pt>
                <c:pt idx="521">
                  <c:v>1+021.01</c:v>
                </c:pt>
                <c:pt idx="522">
                  <c:v>0+950.19</c:v>
                </c:pt>
                <c:pt idx="523">
                  <c:v>0+969.30</c:v>
                </c:pt>
                <c:pt idx="524">
                  <c:v>0+054.34</c:v>
                </c:pt>
                <c:pt idx="525">
                  <c:v>0+112.80</c:v>
                </c:pt>
                <c:pt idx="526">
                  <c:v>0+155.15</c:v>
                </c:pt>
                <c:pt idx="527">
                  <c:v>0+107.66</c:v>
                </c:pt>
                <c:pt idx="528">
                  <c:v>0+074.69</c:v>
                </c:pt>
                <c:pt idx="529">
                  <c:v>1+274.21</c:v>
                </c:pt>
                <c:pt idx="530">
                  <c:v>1+199.96</c:v>
                </c:pt>
                <c:pt idx="531">
                  <c:v>1+194.11</c:v>
                </c:pt>
                <c:pt idx="532">
                  <c:v>1+194.11</c:v>
                </c:pt>
                <c:pt idx="533">
                  <c:v>1+272.07</c:v>
                </c:pt>
                <c:pt idx="534">
                  <c:v>1+263.20</c:v>
                </c:pt>
                <c:pt idx="535">
                  <c:v>1+187.39</c:v>
                </c:pt>
                <c:pt idx="536">
                  <c:v>1+142.92</c:v>
                </c:pt>
                <c:pt idx="537">
                  <c:v>1+130.47</c:v>
                </c:pt>
                <c:pt idx="538">
                  <c:v>1+119.04</c:v>
                </c:pt>
                <c:pt idx="539">
                  <c:v>1+960.58</c:v>
                </c:pt>
                <c:pt idx="540">
                  <c:v>1+988.92</c:v>
                </c:pt>
                <c:pt idx="541">
                  <c:v>2+033.56</c:v>
                </c:pt>
                <c:pt idx="542">
                  <c:v>2+094.97</c:v>
                </c:pt>
                <c:pt idx="543">
                  <c:v>2+094.97</c:v>
                </c:pt>
                <c:pt idx="544">
                  <c:v>2+073.19</c:v>
                </c:pt>
                <c:pt idx="545">
                  <c:v>2+115.66</c:v>
                </c:pt>
                <c:pt idx="546">
                  <c:v>2+159.71</c:v>
                </c:pt>
                <c:pt idx="547">
                  <c:v>2+124.14</c:v>
                </c:pt>
                <c:pt idx="548">
                  <c:v>1+892.68</c:v>
                </c:pt>
                <c:pt idx="549">
                  <c:v>1+838.57</c:v>
                </c:pt>
                <c:pt idx="550">
                  <c:v>1+776.59</c:v>
                </c:pt>
                <c:pt idx="551">
                  <c:v>1+836.89</c:v>
                </c:pt>
                <c:pt idx="552">
                  <c:v>1+887.22</c:v>
                </c:pt>
                <c:pt idx="553">
                  <c:v>1+992.73</c:v>
                </c:pt>
                <c:pt idx="554">
                  <c:v>1+992.73</c:v>
                </c:pt>
                <c:pt idx="555">
                  <c:v>1+938.48</c:v>
                </c:pt>
                <c:pt idx="556">
                  <c:v>1+928.48</c:v>
                </c:pt>
                <c:pt idx="557">
                  <c:v>1+897.27</c:v>
                </c:pt>
                <c:pt idx="558">
                  <c:v>0+900.10</c:v>
                </c:pt>
                <c:pt idx="559">
                  <c:v>0+937.88</c:v>
                </c:pt>
                <c:pt idx="560">
                  <c:v>0+946.71</c:v>
                </c:pt>
                <c:pt idx="561">
                  <c:v>0+866.80</c:v>
                </c:pt>
                <c:pt idx="562">
                  <c:v>0+873.93</c:v>
                </c:pt>
                <c:pt idx="563">
                  <c:v>0+891.53</c:v>
                </c:pt>
                <c:pt idx="564">
                  <c:v>0+790.12</c:v>
                </c:pt>
                <c:pt idx="565">
                  <c:v>0+821.27</c:v>
                </c:pt>
                <c:pt idx="566">
                  <c:v>0+821.27</c:v>
                </c:pt>
                <c:pt idx="567">
                  <c:v>0+792.95</c:v>
                </c:pt>
                <c:pt idx="568">
                  <c:v>1+760.00</c:v>
                </c:pt>
                <c:pt idx="569">
                  <c:v>1+713.38</c:v>
                </c:pt>
                <c:pt idx="570">
                  <c:v>1+636.00</c:v>
                </c:pt>
                <c:pt idx="571">
                  <c:v>1+645.76</c:v>
                </c:pt>
                <c:pt idx="572">
                  <c:v>1+704.84</c:v>
                </c:pt>
                <c:pt idx="573">
                  <c:v>1+824.89</c:v>
                </c:pt>
                <c:pt idx="574">
                  <c:v>1+870.67</c:v>
                </c:pt>
                <c:pt idx="575">
                  <c:v>0+472.39</c:v>
                </c:pt>
                <c:pt idx="576">
                  <c:v>0+539.21</c:v>
                </c:pt>
                <c:pt idx="577">
                  <c:v>0+539.21</c:v>
                </c:pt>
                <c:pt idx="578">
                  <c:v>0+538.95</c:v>
                </c:pt>
                <c:pt idx="579">
                  <c:v>0+473.57</c:v>
                </c:pt>
                <c:pt idx="580">
                  <c:v>0+495.66</c:v>
                </c:pt>
                <c:pt idx="581">
                  <c:v>0+588.29</c:v>
                </c:pt>
                <c:pt idx="582">
                  <c:v>0+667.96</c:v>
                </c:pt>
                <c:pt idx="583">
                  <c:v>0+729.87</c:v>
                </c:pt>
                <c:pt idx="584">
                  <c:v>0+756.95</c:v>
                </c:pt>
                <c:pt idx="585">
                  <c:v>0+695.03</c:v>
                </c:pt>
                <c:pt idx="586">
                  <c:v>0+606.02</c:v>
                </c:pt>
                <c:pt idx="587">
                  <c:v>0+653.20</c:v>
                </c:pt>
                <c:pt idx="588">
                  <c:v>0+653.20</c:v>
                </c:pt>
                <c:pt idx="589">
                  <c:v>0+743.10</c:v>
                </c:pt>
                <c:pt idx="590">
                  <c:v>1+780.35</c:v>
                </c:pt>
                <c:pt idx="591">
                  <c:v>1+457.21</c:v>
                </c:pt>
                <c:pt idx="592">
                  <c:v>1+384.49</c:v>
                </c:pt>
                <c:pt idx="593">
                  <c:v>1+294.69</c:v>
                </c:pt>
                <c:pt idx="594">
                  <c:v>1+289.51</c:v>
                </c:pt>
                <c:pt idx="595">
                  <c:v>1+373.10</c:v>
                </c:pt>
                <c:pt idx="596">
                  <c:v>1+451.89</c:v>
                </c:pt>
                <c:pt idx="597">
                  <c:v>1+841.54</c:v>
                </c:pt>
                <c:pt idx="598">
                  <c:v>1+794.11</c:v>
                </c:pt>
                <c:pt idx="599">
                  <c:v>1+827.52</c:v>
                </c:pt>
                <c:pt idx="600">
                  <c:v>1+827.52</c:v>
                </c:pt>
                <c:pt idx="601">
                  <c:v>1+719.21</c:v>
                </c:pt>
                <c:pt idx="602">
                  <c:v>1+659.25</c:v>
                </c:pt>
                <c:pt idx="603">
                  <c:v>1+743.27</c:v>
                </c:pt>
                <c:pt idx="604">
                  <c:v>1+661.04</c:v>
                </c:pt>
                <c:pt idx="605">
                  <c:v>1+696.48</c:v>
                </c:pt>
                <c:pt idx="606">
                  <c:v>1+625.96</c:v>
                </c:pt>
                <c:pt idx="607">
                  <c:v>1+622.03</c:v>
                </c:pt>
                <c:pt idx="608">
                  <c:v>1+553.60</c:v>
                </c:pt>
                <c:pt idx="609">
                  <c:v>1+461.50</c:v>
                </c:pt>
                <c:pt idx="610">
                  <c:v>1+372.64</c:v>
                </c:pt>
                <c:pt idx="611">
                  <c:v>1+372.64</c:v>
                </c:pt>
                <c:pt idx="612">
                  <c:v>1+290.52</c:v>
                </c:pt>
                <c:pt idx="613">
                  <c:v>1+285.26</c:v>
                </c:pt>
                <c:pt idx="614">
                  <c:v>1+370.73</c:v>
                </c:pt>
                <c:pt idx="615">
                  <c:v>1+450.59</c:v>
                </c:pt>
                <c:pt idx="616">
                  <c:v>1+553.79</c:v>
                </c:pt>
                <c:pt idx="617">
                  <c:v>1+564.30</c:v>
                </c:pt>
                <c:pt idx="618">
                  <c:v>1+425.66</c:v>
                </c:pt>
                <c:pt idx="619">
                  <c:v>1+286.23</c:v>
                </c:pt>
                <c:pt idx="620">
                  <c:v>0+040.22</c:v>
                </c:pt>
                <c:pt idx="621">
                  <c:v>1+616.19</c:v>
                </c:pt>
                <c:pt idx="622">
                  <c:v>1+616.19</c:v>
                </c:pt>
                <c:pt idx="623">
                  <c:v>1+556.38</c:v>
                </c:pt>
                <c:pt idx="624">
                  <c:v>1+477.46</c:v>
                </c:pt>
                <c:pt idx="625">
                  <c:v>1+446.01</c:v>
                </c:pt>
                <c:pt idx="626">
                  <c:v>1+532.53</c:v>
                </c:pt>
                <c:pt idx="627">
                  <c:v>1+617.51</c:v>
                </c:pt>
                <c:pt idx="628">
                  <c:v>0+469.25</c:v>
                </c:pt>
                <c:pt idx="629">
                  <c:v>0+432.59</c:v>
                </c:pt>
                <c:pt idx="630">
                  <c:v>0+353.09</c:v>
                </c:pt>
                <c:pt idx="631">
                  <c:v>0+253.08</c:v>
                </c:pt>
                <c:pt idx="632">
                  <c:v>0+137.87</c:v>
                </c:pt>
                <c:pt idx="633">
                  <c:v>0+137.87</c:v>
                </c:pt>
                <c:pt idx="634">
                  <c:v>0+042.47</c:v>
                </c:pt>
                <c:pt idx="635">
                  <c:v>0+122.67</c:v>
                </c:pt>
                <c:pt idx="636">
                  <c:v>1+469.85</c:v>
                </c:pt>
                <c:pt idx="637">
                  <c:v>1+568.23</c:v>
                </c:pt>
                <c:pt idx="638">
                  <c:v>0+928.36</c:v>
                </c:pt>
                <c:pt idx="639">
                  <c:v>1+000.65</c:v>
                </c:pt>
                <c:pt idx="640">
                  <c:v>1+064.06</c:v>
                </c:pt>
                <c:pt idx="641">
                  <c:v>1+139.98</c:v>
                </c:pt>
                <c:pt idx="642">
                  <c:v>1+214.24</c:v>
                </c:pt>
                <c:pt idx="643">
                  <c:v>1+109.72</c:v>
                </c:pt>
                <c:pt idx="644">
                  <c:v>1+109.72</c:v>
                </c:pt>
                <c:pt idx="645">
                  <c:v>1+258.60</c:v>
                </c:pt>
                <c:pt idx="646">
                  <c:v>1+183.38</c:v>
                </c:pt>
                <c:pt idx="647">
                  <c:v>1+029.27</c:v>
                </c:pt>
                <c:pt idx="648">
                  <c:v>0+932.16</c:v>
                </c:pt>
                <c:pt idx="649">
                  <c:v>0+978.95</c:v>
                </c:pt>
                <c:pt idx="650">
                  <c:v>1+049.62</c:v>
                </c:pt>
                <c:pt idx="651">
                  <c:v>1+132.74</c:v>
                </c:pt>
                <c:pt idx="652">
                  <c:v>1+226.75</c:v>
                </c:pt>
                <c:pt idx="653">
                  <c:v>0+045.82</c:v>
                </c:pt>
                <c:pt idx="654">
                  <c:v>1+248.45</c:v>
                </c:pt>
                <c:pt idx="655">
                  <c:v>1+248.45</c:v>
                </c:pt>
                <c:pt idx="656">
                  <c:v>1+186.48</c:v>
                </c:pt>
                <c:pt idx="657">
                  <c:v>1+123.96</c:v>
                </c:pt>
                <c:pt idx="658">
                  <c:v>1+121.74</c:v>
                </c:pt>
                <c:pt idx="659">
                  <c:v>1+184.52</c:v>
                </c:pt>
                <c:pt idx="660">
                  <c:v>1+246.07</c:v>
                </c:pt>
                <c:pt idx="661">
                  <c:v>1+213.13</c:v>
                </c:pt>
                <c:pt idx="662">
                  <c:v>1+128.41</c:v>
                </c:pt>
                <c:pt idx="663">
                  <c:v>1+092.31</c:v>
                </c:pt>
                <c:pt idx="664">
                  <c:v>1+036.05</c:v>
                </c:pt>
                <c:pt idx="665">
                  <c:v>0+967.99</c:v>
                </c:pt>
                <c:pt idx="666">
                  <c:v>0+967.99</c:v>
                </c:pt>
                <c:pt idx="667">
                  <c:v>0+962.70</c:v>
                </c:pt>
                <c:pt idx="668">
                  <c:v>1+029.98</c:v>
                </c:pt>
                <c:pt idx="669">
                  <c:v>1+093.47</c:v>
                </c:pt>
                <c:pt idx="670">
                  <c:v>1+063.83</c:v>
                </c:pt>
                <c:pt idx="671">
                  <c:v>0+978.03</c:v>
                </c:pt>
                <c:pt idx="672">
                  <c:v>0+912.86</c:v>
                </c:pt>
                <c:pt idx="673">
                  <c:v>0+852.76</c:v>
                </c:pt>
                <c:pt idx="674">
                  <c:v>0+771.12</c:v>
                </c:pt>
                <c:pt idx="675">
                  <c:v>0+773.39</c:v>
                </c:pt>
                <c:pt idx="676">
                  <c:v>0+312.96</c:v>
                </c:pt>
                <c:pt idx="677">
                  <c:v>0+312.96</c:v>
                </c:pt>
                <c:pt idx="678">
                  <c:v>0+485.18</c:v>
                </c:pt>
                <c:pt idx="679">
                  <c:v>0+720.36</c:v>
                </c:pt>
                <c:pt idx="680">
                  <c:v>0+078.28</c:v>
                </c:pt>
                <c:pt idx="681">
                  <c:v>0+168.89</c:v>
                </c:pt>
                <c:pt idx="682">
                  <c:v>0+330.17</c:v>
                </c:pt>
                <c:pt idx="683">
                  <c:v>0+524.20</c:v>
                </c:pt>
                <c:pt idx="684">
                  <c:v>0+805.96</c:v>
                </c:pt>
                <c:pt idx="685">
                  <c:v>0+862.46</c:v>
                </c:pt>
                <c:pt idx="686">
                  <c:v>0+914.09</c:v>
                </c:pt>
                <c:pt idx="687">
                  <c:v>0+881.58</c:v>
                </c:pt>
                <c:pt idx="688">
                  <c:v>0+652.55</c:v>
                </c:pt>
                <c:pt idx="689">
                  <c:v>0+652.55</c:v>
                </c:pt>
                <c:pt idx="690">
                  <c:v>0+727.34</c:v>
                </c:pt>
                <c:pt idx="691">
                  <c:v>0+611.45</c:v>
                </c:pt>
                <c:pt idx="692">
                  <c:v>0+613.02</c:v>
                </c:pt>
                <c:pt idx="693">
                  <c:v>0+675.40</c:v>
                </c:pt>
                <c:pt idx="694">
                  <c:v>0+747.24</c:v>
                </c:pt>
                <c:pt idx="695">
                  <c:v>0+744.66</c:v>
                </c:pt>
                <c:pt idx="696">
                  <c:v>0+697.92</c:v>
                </c:pt>
                <c:pt idx="697">
                  <c:v>0+565.80</c:v>
                </c:pt>
                <c:pt idx="698">
                  <c:v>0+508.09</c:v>
                </c:pt>
                <c:pt idx="699">
                  <c:v>0+443.32</c:v>
                </c:pt>
                <c:pt idx="700">
                  <c:v>0+443.32</c:v>
                </c:pt>
                <c:pt idx="701">
                  <c:v>0+423.37</c:v>
                </c:pt>
                <c:pt idx="702">
                  <c:v>0+506.93</c:v>
                </c:pt>
                <c:pt idx="703">
                  <c:v>0+565.79</c:v>
                </c:pt>
                <c:pt idx="704">
                  <c:v>0+456.30</c:v>
                </c:pt>
                <c:pt idx="705">
                  <c:v>0+231.19</c:v>
                </c:pt>
                <c:pt idx="706">
                  <c:v>0+367.50</c:v>
                </c:pt>
                <c:pt idx="707">
                  <c:v>0+502.23</c:v>
                </c:pt>
              </c:strCache>
            </c:strRef>
          </c:xVal>
          <c:yVal>
            <c:numRef>
              <c:f>FCS!$I$11:$I$825</c:f>
              <c:numCache>
                <c:formatCode>0\+000.00</c:formatCode>
                <c:ptCount val="815"/>
                <c:pt idx="0">
                  <c:v>98.61</c:v>
                </c:pt>
                <c:pt idx="1">
                  <c:v>98.61</c:v>
                </c:pt>
                <c:pt idx="2">
                  <c:v>111.15</c:v>
                </c:pt>
                <c:pt idx="3">
                  <c:v>129.83000000000001</c:v>
                </c:pt>
                <c:pt idx="4">
                  <c:v>209.82</c:v>
                </c:pt>
                <c:pt idx="5">
                  <c:v>190.9</c:v>
                </c:pt>
                <c:pt idx="6">
                  <c:v>167.36</c:v>
                </c:pt>
                <c:pt idx="7">
                  <c:v>252.76</c:v>
                </c:pt>
                <c:pt idx="8">
                  <c:v>252.76</c:v>
                </c:pt>
                <c:pt idx="9">
                  <c:v>155.49</c:v>
                </c:pt>
                <c:pt idx="10">
                  <c:v>238.34</c:v>
                </c:pt>
                <c:pt idx="11">
                  <c:v>45.54</c:v>
                </c:pt>
                <c:pt idx="12">
                  <c:v>45.54</c:v>
                </c:pt>
                <c:pt idx="13">
                  <c:v>138.03</c:v>
                </c:pt>
                <c:pt idx="14">
                  <c:v>109.77</c:v>
                </c:pt>
                <c:pt idx="15">
                  <c:v>190.77</c:v>
                </c:pt>
                <c:pt idx="16">
                  <c:v>219.06</c:v>
                </c:pt>
                <c:pt idx="17">
                  <c:v>262.55</c:v>
                </c:pt>
                <c:pt idx="18">
                  <c:v>-45.39</c:v>
                </c:pt>
                <c:pt idx="19">
                  <c:v>24.75</c:v>
                </c:pt>
                <c:pt idx="20">
                  <c:v>18.190000000000001</c:v>
                </c:pt>
                <c:pt idx="21">
                  <c:v>84.9</c:v>
                </c:pt>
                <c:pt idx="22">
                  <c:v>19.36</c:v>
                </c:pt>
                <c:pt idx="23">
                  <c:v>19.36</c:v>
                </c:pt>
                <c:pt idx="24">
                  <c:v>25.16</c:v>
                </c:pt>
                <c:pt idx="25">
                  <c:v>-30.77</c:v>
                </c:pt>
                <c:pt idx="26">
                  <c:v>62.23</c:v>
                </c:pt>
                <c:pt idx="27">
                  <c:v>54.69</c:v>
                </c:pt>
                <c:pt idx="28">
                  <c:v>120.8</c:v>
                </c:pt>
                <c:pt idx="29">
                  <c:v>497.41</c:v>
                </c:pt>
                <c:pt idx="30">
                  <c:v>-156.69999999999999</c:v>
                </c:pt>
                <c:pt idx="31">
                  <c:v>33.1</c:v>
                </c:pt>
                <c:pt idx="32">
                  <c:v>48.5</c:v>
                </c:pt>
                <c:pt idx="33">
                  <c:v>48.98</c:v>
                </c:pt>
                <c:pt idx="34">
                  <c:v>48.98</c:v>
                </c:pt>
                <c:pt idx="35">
                  <c:v>34.65</c:v>
                </c:pt>
                <c:pt idx="36">
                  <c:v>116.49</c:v>
                </c:pt>
                <c:pt idx="37">
                  <c:v>114.06</c:v>
                </c:pt>
                <c:pt idx="38">
                  <c:v>61.48</c:v>
                </c:pt>
                <c:pt idx="39">
                  <c:v>389.14</c:v>
                </c:pt>
                <c:pt idx="40">
                  <c:v>510.87</c:v>
                </c:pt>
                <c:pt idx="41">
                  <c:v>427.05</c:v>
                </c:pt>
                <c:pt idx="42">
                  <c:v>570.42999999999995</c:v>
                </c:pt>
                <c:pt idx="43">
                  <c:v>439.21</c:v>
                </c:pt>
                <c:pt idx="44">
                  <c:v>590.98</c:v>
                </c:pt>
                <c:pt idx="45">
                  <c:v>590.98</c:v>
                </c:pt>
                <c:pt idx="46">
                  <c:v>416.6</c:v>
                </c:pt>
                <c:pt idx="47">
                  <c:v>390.98</c:v>
                </c:pt>
                <c:pt idx="48">
                  <c:v>531.83000000000004</c:v>
                </c:pt>
                <c:pt idx="49">
                  <c:v>531.59</c:v>
                </c:pt>
                <c:pt idx="50">
                  <c:v>-29.34</c:v>
                </c:pt>
                <c:pt idx="51">
                  <c:v>-25.66</c:v>
                </c:pt>
                <c:pt idx="52">
                  <c:v>19.5</c:v>
                </c:pt>
                <c:pt idx="53">
                  <c:v>-3.27</c:v>
                </c:pt>
                <c:pt idx="54">
                  <c:v>-2.73</c:v>
                </c:pt>
                <c:pt idx="55">
                  <c:v>24.13</c:v>
                </c:pt>
                <c:pt idx="56">
                  <c:v>24.13</c:v>
                </c:pt>
                <c:pt idx="57">
                  <c:v>203.83</c:v>
                </c:pt>
                <c:pt idx="58">
                  <c:v>231.38</c:v>
                </c:pt>
                <c:pt idx="59">
                  <c:v>256.33</c:v>
                </c:pt>
                <c:pt idx="60">
                  <c:v>340.75</c:v>
                </c:pt>
                <c:pt idx="61">
                  <c:v>329.98</c:v>
                </c:pt>
                <c:pt idx="62">
                  <c:v>346</c:v>
                </c:pt>
                <c:pt idx="63">
                  <c:v>61.67</c:v>
                </c:pt>
                <c:pt idx="64">
                  <c:v>270.45999999999998</c:v>
                </c:pt>
                <c:pt idx="65">
                  <c:v>257.88</c:v>
                </c:pt>
                <c:pt idx="66">
                  <c:v>228.97</c:v>
                </c:pt>
                <c:pt idx="67">
                  <c:v>228.97</c:v>
                </c:pt>
                <c:pt idx="68">
                  <c:v>390.05</c:v>
                </c:pt>
                <c:pt idx="69">
                  <c:v>339.79</c:v>
                </c:pt>
                <c:pt idx="70">
                  <c:v>329.1</c:v>
                </c:pt>
                <c:pt idx="71">
                  <c:v>425.41</c:v>
                </c:pt>
                <c:pt idx="72">
                  <c:v>488.03</c:v>
                </c:pt>
                <c:pt idx="73">
                  <c:v>233.58</c:v>
                </c:pt>
                <c:pt idx="74">
                  <c:v>293.83999999999997</c:v>
                </c:pt>
                <c:pt idx="75">
                  <c:v>382.2</c:v>
                </c:pt>
                <c:pt idx="76">
                  <c:v>-2.89</c:v>
                </c:pt>
                <c:pt idx="77">
                  <c:v>264.16999999999996</c:v>
                </c:pt>
                <c:pt idx="78">
                  <c:v>-25.24</c:v>
                </c:pt>
                <c:pt idx="79">
                  <c:v>-25.24</c:v>
                </c:pt>
                <c:pt idx="80">
                  <c:v>-29.59</c:v>
                </c:pt>
                <c:pt idx="81">
                  <c:v>236.13</c:v>
                </c:pt>
                <c:pt idx="82">
                  <c:v>215.5</c:v>
                </c:pt>
                <c:pt idx="83">
                  <c:v>306.61</c:v>
                </c:pt>
                <c:pt idx="84">
                  <c:v>316.54000000000002</c:v>
                </c:pt>
                <c:pt idx="85">
                  <c:v>429.7</c:v>
                </c:pt>
                <c:pt idx="86">
                  <c:v>410.1</c:v>
                </c:pt>
                <c:pt idx="87">
                  <c:v>516.82000000000005</c:v>
                </c:pt>
                <c:pt idx="88">
                  <c:v>536.03</c:v>
                </c:pt>
                <c:pt idx="89">
                  <c:v>612.91999999999996</c:v>
                </c:pt>
                <c:pt idx="90">
                  <c:v>612.91999999999996</c:v>
                </c:pt>
                <c:pt idx="91">
                  <c:v>60.65</c:v>
                </c:pt>
                <c:pt idx="92">
                  <c:v>431.62</c:v>
                </c:pt>
                <c:pt idx="93">
                  <c:v>436.65</c:v>
                </c:pt>
                <c:pt idx="94">
                  <c:v>413.32</c:v>
                </c:pt>
                <c:pt idx="95">
                  <c:v>396.62</c:v>
                </c:pt>
                <c:pt idx="96">
                  <c:v>504.71</c:v>
                </c:pt>
                <c:pt idx="97">
                  <c:v>532.79</c:v>
                </c:pt>
                <c:pt idx="98">
                  <c:v>528.34</c:v>
                </c:pt>
                <c:pt idx="99">
                  <c:v>497.08</c:v>
                </c:pt>
                <c:pt idx="100">
                  <c:v>298.68</c:v>
                </c:pt>
                <c:pt idx="101">
                  <c:v>298.68</c:v>
                </c:pt>
                <c:pt idx="102">
                  <c:v>235.82</c:v>
                </c:pt>
                <c:pt idx="103">
                  <c:v>304.12</c:v>
                </c:pt>
                <c:pt idx="104">
                  <c:v>425.64</c:v>
                </c:pt>
                <c:pt idx="105">
                  <c:v>374.13</c:v>
                </c:pt>
                <c:pt idx="106">
                  <c:v>373.19</c:v>
                </c:pt>
                <c:pt idx="107">
                  <c:v>227.58</c:v>
                </c:pt>
                <c:pt idx="108">
                  <c:v>240.06</c:v>
                </c:pt>
                <c:pt idx="109">
                  <c:v>234.34</c:v>
                </c:pt>
                <c:pt idx="110">
                  <c:v>307.2</c:v>
                </c:pt>
                <c:pt idx="111">
                  <c:v>321.32</c:v>
                </c:pt>
                <c:pt idx="112">
                  <c:v>321.32</c:v>
                </c:pt>
                <c:pt idx="113">
                  <c:v>349.88</c:v>
                </c:pt>
                <c:pt idx="114">
                  <c:v>-26.63</c:v>
                </c:pt>
                <c:pt idx="115">
                  <c:v>-25.17</c:v>
                </c:pt>
                <c:pt idx="116">
                  <c:v>64.7</c:v>
                </c:pt>
                <c:pt idx="117">
                  <c:v>-25.31</c:v>
                </c:pt>
                <c:pt idx="118">
                  <c:v>54.08</c:v>
                </c:pt>
                <c:pt idx="119">
                  <c:v>96.44</c:v>
                </c:pt>
                <c:pt idx="120">
                  <c:v>106.96</c:v>
                </c:pt>
                <c:pt idx="121">
                  <c:v>125.01</c:v>
                </c:pt>
                <c:pt idx="122">
                  <c:v>106.87</c:v>
                </c:pt>
                <c:pt idx="123">
                  <c:v>59.97</c:v>
                </c:pt>
                <c:pt idx="124">
                  <c:v>59.97</c:v>
                </c:pt>
                <c:pt idx="125">
                  <c:v>8.83</c:v>
                </c:pt>
                <c:pt idx="126">
                  <c:v>62.01</c:v>
                </c:pt>
                <c:pt idx="127">
                  <c:v>199.45</c:v>
                </c:pt>
                <c:pt idx="128">
                  <c:v>-26.06</c:v>
                </c:pt>
                <c:pt idx="129">
                  <c:v>39.15</c:v>
                </c:pt>
                <c:pt idx="130">
                  <c:v>67.989999999999995</c:v>
                </c:pt>
                <c:pt idx="131">
                  <c:v>68.62</c:v>
                </c:pt>
                <c:pt idx="132">
                  <c:v>145.31</c:v>
                </c:pt>
                <c:pt idx="133">
                  <c:v>141.80000000000001</c:v>
                </c:pt>
                <c:pt idx="134">
                  <c:v>186.88</c:v>
                </c:pt>
                <c:pt idx="135">
                  <c:v>255.33</c:v>
                </c:pt>
                <c:pt idx="136">
                  <c:v>255.33</c:v>
                </c:pt>
                <c:pt idx="137">
                  <c:v>239.55</c:v>
                </c:pt>
                <c:pt idx="138">
                  <c:v>348.21</c:v>
                </c:pt>
                <c:pt idx="139">
                  <c:v>322.11</c:v>
                </c:pt>
                <c:pt idx="140">
                  <c:v>289.18</c:v>
                </c:pt>
                <c:pt idx="141">
                  <c:v>366.51</c:v>
                </c:pt>
                <c:pt idx="142">
                  <c:v>403.68</c:v>
                </c:pt>
                <c:pt idx="143">
                  <c:v>462.45</c:v>
                </c:pt>
                <c:pt idx="144">
                  <c:v>253.49</c:v>
                </c:pt>
                <c:pt idx="145">
                  <c:v>228.02</c:v>
                </c:pt>
                <c:pt idx="146">
                  <c:v>203.96</c:v>
                </c:pt>
                <c:pt idx="147">
                  <c:v>203.96</c:v>
                </c:pt>
                <c:pt idx="148">
                  <c:v>286.26</c:v>
                </c:pt>
                <c:pt idx="149">
                  <c:v>303.69</c:v>
                </c:pt>
                <c:pt idx="150">
                  <c:v>364.43</c:v>
                </c:pt>
                <c:pt idx="151">
                  <c:v>399.5</c:v>
                </c:pt>
                <c:pt idx="152">
                  <c:v>43.74</c:v>
                </c:pt>
                <c:pt idx="153">
                  <c:v>-24.95</c:v>
                </c:pt>
                <c:pt idx="154">
                  <c:v>55.49</c:v>
                </c:pt>
                <c:pt idx="155">
                  <c:v>92.13</c:v>
                </c:pt>
                <c:pt idx="156">
                  <c:v>90.36</c:v>
                </c:pt>
                <c:pt idx="157">
                  <c:v>145.94999999999999</c:v>
                </c:pt>
                <c:pt idx="158">
                  <c:v>145.94999999999999</c:v>
                </c:pt>
                <c:pt idx="159">
                  <c:v>169.5</c:v>
                </c:pt>
                <c:pt idx="160">
                  <c:v>116.35</c:v>
                </c:pt>
                <c:pt idx="161">
                  <c:v>200.29</c:v>
                </c:pt>
                <c:pt idx="162">
                  <c:v>276.07</c:v>
                </c:pt>
                <c:pt idx="163">
                  <c:v>240.7</c:v>
                </c:pt>
                <c:pt idx="164">
                  <c:v>296.26</c:v>
                </c:pt>
                <c:pt idx="165">
                  <c:v>498.79</c:v>
                </c:pt>
                <c:pt idx="166">
                  <c:v>592.70000000000005</c:v>
                </c:pt>
                <c:pt idx="167">
                  <c:v>458.75</c:v>
                </c:pt>
                <c:pt idx="168">
                  <c:v>416.04</c:v>
                </c:pt>
                <c:pt idx="169">
                  <c:v>416.04</c:v>
                </c:pt>
                <c:pt idx="170">
                  <c:v>516.91</c:v>
                </c:pt>
                <c:pt idx="171">
                  <c:v>546.49</c:v>
                </c:pt>
                <c:pt idx="172">
                  <c:v>634.92999999999995</c:v>
                </c:pt>
                <c:pt idx="173">
                  <c:v>35.64</c:v>
                </c:pt>
                <c:pt idx="174">
                  <c:v>-25.45</c:v>
                </c:pt>
                <c:pt idx="175">
                  <c:v>18.899999999999999</c:v>
                </c:pt>
                <c:pt idx="176">
                  <c:v>-116.35</c:v>
                </c:pt>
                <c:pt idx="177">
                  <c:v>-62.86</c:v>
                </c:pt>
                <c:pt idx="178">
                  <c:v>-136.27000000000001</c:v>
                </c:pt>
                <c:pt idx="179">
                  <c:v>-143.18</c:v>
                </c:pt>
                <c:pt idx="180">
                  <c:v>-158.47</c:v>
                </c:pt>
                <c:pt idx="181">
                  <c:v>-158.47</c:v>
                </c:pt>
                <c:pt idx="182">
                  <c:v>-77.41</c:v>
                </c:pt>
                <c:pt idx="183">
                  <c:v>-69.040000000000006</c:v>
                </c:pt>
                <c:pt idx="184">
                  <c:v>-74.98</c:v>
                </c:pt>
                <c:pt idx="185">
                  <c:v>-20.420000000000002</c:v>
                </c:pt>
                <c:pt idx="186">
                  <c:v>-4.8899999999999997</c:v>
                </c:pt>
                <c:pt idx="187">
                  <c:v>0.54</c:v>
                </c:pt>
                <c:pt idx="188">
                  <c:v>-25.32</c:v>
                </c:pt>
                <c:pt idx="189">
                  <c:v>-162.91</c:v>
                </c:pt>
                <c:pt idx="190">
                  <c:v>-191.98</c:v>
                </c:pt>
                <c:pt idx="191">
                  <c:v>204.35</c:v>
                </c:pt>
                <c:pt idx="192">
                  <c:v>204.35</c:v>
                </c:pt>
                <c:pt idx="193">
                  <c:v>234.95</c:v>
                </c:pt>
                <c:pt idx="194">
                  <c:v>267.49</c:v>
                </c:pt>
                <c:pt idx="195">
                  <c:v>340.83</c:v>
                </c:pt>
                <c:pt idx="196">
                  <c:v>315</c:v>
                </c:pt>
                <c:pt idx="197">
                  <c:v>279.11</c:v>
                </c:pt>
                <c:pt idx="198">
                  <c:v>413</c:v>
                </c:pt>
                <c:pt idx="199">
                  <c:v>270.45</c:v>
                </c:pt>
                <c:pt idx="200">
                  <c:v>257.51</c:v>
                </c:pt>
                <c:pt idx="201">
                  <c:v>247.06</c:v>
                </c:pt>
                <c:pt idx="202">
                  <c:v>326.85000000000002</c:v>
                </c:pt>
                <c:pt idx="203">
                  <c:v>326.85000000000002</c:v>
                </c:pt>
                <c:pt idx="204">
                  <c:v>345.91</c:v>
                </c:pt>
                <c:pt idx="205">
                  <c:v>353.69</c:v>
                </c:pt>
                <c:pt idx="206">
                  <c:v>399.26</c:v>
                </c:pt>
                <c:pt idx="207">
                  <c:v>-55.84</c:v>
                </c:pt>
                <c:pt idx="208">
                  <c:v>-219.98</c:v>
                </c:pt>
                <c:pt idx="209">
                  <c:v>-71.47</c:v>
                </c:pt>
                <c:pt idx="210">
                  <c:v>44.4</c:v>
                </c:pt>
                <c:pt idx="211">
                  <c:v>-182.78</c:v>
                </c:pt>
                <c:pt idx="212">
                  <c:v>422.09</c:v>
                </c:pt>
                <c:pt idx="213">
                  <c:v>456.99</c:v>
                </c:pt>
                <c:pt idx="214">
                  <c:v>449.63</c:v>
                </c:pt>
                <c:pt idx="215">
                  <c:v>449.63</c:v>
                </c:pt>
                <c:pt idx="216">
                  <c:v>470.73</c:v>
                </c:pt>
                <c:pt idx="217">
                  <c:v>426.81</c:v>
                </c:pt>
                <c:pt idx="218">
                  <c:v>518.08000000000004</c:v>
                </c:pt>
                <c:pt idx="219">
                  <c:v>526.25</c:v>
                </c:pt>
                <c:pt idx="220">
                  <c:v>569.37</c:v>
                </c:pt>
                <c:pt idx="221">
                  <c:v>526.41</c:v>
                </c:pt>
                <c:pt idx="222">
                  <c:v>520.32000000000005</c:v>
                </c:pt>
                <c:pt idx="223">
                  <c:v>621.04</c:v>
                </c:pt>
                <c:pt idx="224">
                  <c:v>607.79</c:v>
                </c:pt>
                <c:pt idx="225">
                  <c:v>43</c:v>
                </c:pt>
                <c:pt idx="226">
                  <c:v>43</c:v>
                </c:pt>
                <c:pt idx="227">
                  <c:v>77.44</c:v>
                </c:pt>
                <c:pt idx="228">
                  <c:v>121.54</c:v>
                </c:pt>
                <c:pt idx="229">
                  <c:v>153.59</c:v>
                </c:pt>
                <c:pt idx="230">
                  <c:v>66.11</c:v>
                </c:pt>
                <c:pt idx="231">
                  <c:v>70.760000000000005</c:v>
                </c:pt>
                <c:pt idx="232">
                  <c:v>52.74</c:v>
                </c:pt>
                <c:pt idx="233">
                  <c:v>-10.54</c:v>
                </c:pt>
                <c:pt idx="234">
                  <c:v>470.43</c:v>
                </c:pt>
                <c:pt idx="235">
                  <c:v>413.55</c:v>
                </c:pt>
                <c:pt idx="236">
                  <c:v>593.96</c:v>
                </c:pt>
                <c:pt idx="237">
                  <c:v>593.96</c:v>
                </c:pt>
                <c:pt idx="238">
                  <c:v>390.33</c:v>
                </c:pt>
                <c:pt idx="239">
                  <c:v>508.43</c:v>
                </c:pt>
                <c:pt idx="240">
                  <c:v>529.74</c:v>
                </c:pt>
                <c:pt idx="241">
                  <c:v>566.95000000000005</c:v>
                </c:pt>
                <c:pt idx="242">
                  <c:v>414.22</c:v>
                </c:pt>
                <c:pt idx="243">
                  <c:v>538.19000000000005</c:v>
                </c:pt>
                <c:pt idx="244">
                  <c:v>477.8</c:v>
                </c:pt>
                <c:pt idx="245">
                  <c:v>396.95</c:v>
                </c:pt>
                <c:pt idx="246">
                  <c:v>258.5</c:v>
                </c:pt>
                <c:pt idx="247">
                  <c:v>231.5</c:v>
                </c:pt>
                <c:pt idx="248">
                  <c:v>237.27</c:v>
                </c:pt>
                <c:pt idx="249">
                  <c:v>237.27</c:v>
                </c:pt>
                <c:pt idx="250">
                  <c:v>296.44</c:v>
                </c:pt>
                <c:pt idx="251">
                  <c:v>337.52</c:v>
                </c:pt>
                <c:pt idx="252">
                  <c:v>365.38</c:v>
                </c:pt>
                <c:pt idx="253">
                  <c:v>337.41</c:v>
                </c:pt>
                <c:pt idx="254">
                  <c:v>269.42</c:v>
                </c:pt>
                <c:pt idx="255">
                  <c:v>250.35</c:v>
                </c:pt>
                <c:pt idx="256">
                  <c:v>212.3</c:v>
                </c:pt>
                <c:pt idx="257">
                  <c:v>346.49</c:v>
                </c:pt>
                <c:pt idx="258">
                  <c:v>372.96</c:v>
                </c:pt>
                <c:pt idx="259">
                  <c:v>328.28</c:v>
                </c:pt>
                <c:pt idx="260">
                  <c:v>328.28</c:v>
                </c:pt>
                <c:pt idx="261">
                  <c:v>308.64999999999998</c:v>
                </c:pt>
                <c:pt idx="262">
                  <c:v>160.21</c:v>
                </c:pt>
                <c:pt idx="263">
                  <c:v>42.6</c:v>
                </c:pt>
                <c:pt idx="264">
                  <c:v>289.76</c:v>
                </c:pt>
                <c:pt idx="265">
                  <c:v>289.57</c:v>
                </c:pt>
                <c:pt idx="266">
                  <c:v>252.92</c:v>
                </c:pt>
                <c:pt idx="267">
                  <c:v>371.78</c:v>
                </c:pt>
                <c:pt idx="268">
                  <c:v>413.57</c:v>
                </c:pt>
                <c:pt idx="269">
                  <c:v>398</c:v>
                </c:pt>
                <c:pt idx="270">
                  <c:v>447.8</c:v>
                </c:pt>
                <c:pt idx="271">
                  <c:v>-8.01</c:v>
                </c:pt>
                <c:pt idx="272">
                  <c:v>-8.01</c:v>
                </c:pt>
                <c:pt idx="273">
                  <c:v>-26.95</c:v>
                </c:pt>
                <c:pt idx="274">
                  <c:v>116.93</c:v>
                </c:pt>
                <c:pt idx="275">
                  <c:v>83.8</c:v>
                </c:pt>
                <c:pt idx="276">
                  <c:v>269.77999999999997</c:v>
                </c:pt>
                <c:pt idx="277">
                  <c:v>211.36</c:v>
                </c:pt>
                <c:pt idx="278">
                  <c:v>206.95</c:v>
                </c:pt>
                <c:pt idx="279">
                  <c:v>185.85</c:v>
                </c:pt>
                <c:pt idx="280">
                  <c:v>-10.16</c:v>
                </c:pt>
                <c:pt idx="281">
                  <c:v>29.33</c:v>
                </c:pt>
                <c:pt idx="282">
                  <c:v>188.01</c:v>
                </c:pt>
                <c:pt idx="283">
                  <c:v>188.01</c:v>
                </c:pt>
                <c:pt idx="284">
                  <c:v>190.9</c:v>
                </c:pt>
                <c:pt idx="285">
                  <c:v>280.32</c:v>
                </c:pt>
                <c:pt idx="286">
                  <c:v>275.42</c:v>
                </c:pt>
                <c:pt idx="287">
                  <c:v>334.78</c:v>
                </c:pt>
                <c:pt idx="288">
                  <c:v>-29.77</c:v>
                </c:pt>
                <c:pt idx="289">
                  <c:v>25.14</c:v>
                </c:pt>
                <c:pt idx="290">
                  <c:v>-21.15</c:v>
                </c:pt>
                <c:pt idx="291">
                  <c:v>415.77</c:v>
                </c:pt>
                <c:pt idx="292">
                  <c:v>204.33</c:v>
                </c:pt>
                <c:pt idx="293">
                  <c:v>331.44</c:v>
                </c:pt>
                <c:pt idx="294">
                  <c:v>331.44</c:v>
                </c:pt>
                <c:pt idx="295">
                  <c:v>219.49</c:v>
                </c:pt>
                <c:pt idx="296">
                  <c:v>386.56</c:v>
                </c:pt>
                <c:pt idx="297">
                  <c:v>290.16000000000003</c:v>
                </c:pt>
                <c:pt idx="298">
                  <c:v>249.27</c:v>
                </c:pt>
                <c:pt idx="299">
                  <c:v>348.86</c:v>
                </c:pt>
                <c:pt idx="300">
                  <c:v>263.93</c:v>
                </c:pt>
                <c:pt idx="301">
                  <c:v>400.66</c:v>
                </c:pt>
                <c:pt idx="302">
                  <c:v>297.20999999999998</c:v>
                </c:pt>
                <c:pt idx="303">
                  <c:v>444.05</c:v>
                </c:pt>
                <c:pt idx="304">
                  <c:v>324.64999999999998</c:v>
                </c:pt>
                <c:pt idx="305">
                  <c:v>324.64999999999998</c:v>
                </c:pt>
                <c:pt idx="306">
                  <c:v>304.92</c:v>
                </c:pt>
                <c:pt idx="307">
                  <c:v>411.69</c:v>
                </c:pt>
                <c:pt idx="308">
                  <c:v>474.91</c:v>
                </c:pt>
                <c:pt idx="309">
                  <c:v>397.16</c:v>
                </c:pt>
                <c:pt idx="310">
                  <c:v>427.93</c:v>
                </c:pt>
                <c:pt idx="311">
                  <c:v>454.34</c:v>
                </c:pt>
                <c:pt idx="312">
                  <c:v>573.61</c:v>
                </c:pt>
                <c:pt idx="313">
                  <c:v>506.16</c:v>
                </c:pt>
                <c:pt idx="314">
                  <c:v>480.15</c:v>
                </c:pt>
                <c:pt idx="315">
                  <c:v>590.74</c:v>
                </c:pt>
                <c:pt idx="316">
                  <c:v>590.74</c:v>
                </c:pt>
                <c:pt idx="317">
                  <c:v>563.29999999999995</c:v>
                </c:pt>
                <c:pt idx="318">
                  <c:v>476.06</c:v>
                </c:pt>
                <c:pt idx="319">
                  <c:v>425.38</c:v>
                </c:pt>
                <c:pt idx="320">
                  <c:v>438.72</c:v>
                </c:pt>
                <c:pt idx="321">
                  <c:v>459.95</c:v>
                </c:pt>
                <c:pt idx="322">
                  <c:v>601.26</c:v>
                </c:pt>
                <c:pt idx="323">
                  <c:v>534.03</c:v>
                </c:pt>
                <c:pt idx="324">
                  <c:v>603.80999999999995</c:v>
                </c:pt>
                <c:pt idx="325">
                  <c:v>240.39</c:v>
                </c:pt>
                <c:pt idx="326">
                  <c:v>207.84</c:v>
                </c:pt>
                <c:pt idx="327">
                  <c:v>313.88</c:v>
                </c:pt>
                <c:pt idx="328">
                  <c:v>313.88</c:v>
                </c:pt>
                <c:pt idx="329">
                  <c:v>369.24</c:v>
                </c:pt>
                <c:pt idx="330">
                  <c:v>346.54</c:v>
                </c:pt>
                <c:pt idx="331">
                  <c:v>310.91000000000003</c:v>
                </c:pt>
                <c:pt idx="332">
                  <c:v>233.94</c:v>
                </c:pt>
                <c:pt idx="333">
                  <c:v>215.76</c:v>
                </c:pt>
                <c:pt idx="334">
                  <c:v>200.94</c:v>
                </c:pt>
                <c:pt idx="335">
                  <c:v>341.06</c:v>
                </c:pt>
                <c:pt idx="336">
                  <c:v>331.2</c:v>
                </c:pt>
                <c:pt idx="337">
                  <c:v>325.01</c:v>
                </c:pt>
                <c:pt idx="338">
                  <c:v>274.48</c:v>
                </c:pt>
                <c:pt idx="339">
                  <c:v>274.48</c:v>
                </c:pt>
                <c:pt idx="340">
                  <c:v>216.1</c:v>
                </c:pt>
                <c:pt idx="341">
                  <c:v>175.32</c:v>
                </c:pt>
                <c:pt idx="342">
                  <c:v>282.14999999999998</c:v>
                </c:pt>
                <c:pt idx="343">
                  <c:v>318.23</c:v>
                </c:pt>
                <c:pt idx="344">
                  <c:v>399.55</c:v>
                </c:pt>
                <c:pt idx="345">
                  <c:v>421.5</c:v>
                </c:pt>
                <c:pt idx="346">
                  <c:v>448.92</c:v>
                </c:pt>
                <c:pt idx="347">
                  <c:v>549.16999999999996</c:v>
                </c:pt>
                <c:pt idx="348">
                  <c:v>514.22</c:v>
                </c:pt>
                <c:pt idx="349">
                  <c:v>500.76</c:v>
                </c:pt>
                <c:pt idx="350">
                  <c:v>500.76</c:v>
                </c:pt>
                <c:pt idx="351">
                  <c:v>585.12</c:v>
                </c:pt>
                <c:pt idx="352">
                  <c:v>586.07000000000005</c:v>
                </c:pt>
                <c:pt idx="353">
                  <c:v>39.479999999999997</c:v>
                </c:pt>
                <c:pt idx="354">
                  <c:v>-123.62</c:v>
                </c:pt>
                <c:pt idx="355">
                  <c:v>-99.37</c:v>
                </c:pt>
                <c:pt idx="356">
                  <c:v>-58.74</c:v>
                </c:pt>
                <c:pt idx="357">
                  <c:v>-17.350000000000001</c:v>
                </c:pt>
                <c:pt idx="358">
                  <c:v>33.979999999999997</c:v>
                </c:pt>
                <c:pt idx="359">
                  <c:v>89.24</c:v>
                </c:pt>
                <c:pt idx="360">
                  <c:v>108.02</c:v>
                </c:pt>
                <c:pt idx="361">
                  <c:v>30.07</c:v>
                </c:pt>
                <c:pt idx="362">
                  <c:v>30.07</c:v>
                </c:pt>
                <c:pt idx="363">
                  <c:v>61.4</c:v>
                </c:pt>
                <c:pt idx="364">
                  <c:v>-11.92</c:v>
                </c:pt>
                <c:pt idx="365">
                  <c:v>84.72</c:v>
                </c:pt>
                <c:pt idx="366">
                  <c:v>113</c:v>
                </c:pt>
                <c:pt idx="367">
                  <c:v>-3.25</c:v>
                </c:pt>
                <c:pt idx="368">
                  <c:v>-171.88</c:v>
                </c:pt>
                <c:pt idx="369">
                  <c:v>-133.86000000000001</c:v>
                </c:pt>
                <c:pt idx="370">
                  <c:v>-146.97999999999999</c:v>
                </c:pt>
                <c:pt idx="371">
                  <c:v>-57.09</c:v>
                </c:pt>
                <c:pt idx="372">
                  <c:v>0</c:v>
                </c:pt>
                <c:pt idx="373">
                  <c:v>-3.1</c:v>
                </c:pt>
                <c:pt idx="374">
                  <c:v>-5.33</c:v>
                </c:pt>
                <c:pt idx="375">
                  <c:v>-5.33</c:v>
                </c:pt>
                <c:pt idx="376">
                  <c:v>234.27</c:v>
                </c:pt>
                <c:pt idx="377">
                  <c:v>264.72000000000003</c:v>
                </c:pt>
                <c:pt idx="378">
                  <c:v>314.55</c:v>
                </c:pt>
                <c:pt idx="379">
                  <c:v>420.85</c:v>
                </c:pt>
                <c:pt idx="380">
                  <c:v>339.41</c:v>
                </c:pt>
                <c:pt idx="381">
                  <c:v>344.3</c:v>
                </c:pt>
                <c:pt idx="382">
                  <c:v>406.18</c:v>
                </c:pt>
                <c:pt idx="383">
                  <c:v>471.19</c:v>
                </c:pt>
                <c:pt idx="384">
                  <c:v>-3.98</c:v>
                </c:pt>
                <c:pt idx="385">
                  <c:v>26.7</c:v>
                </c:pt>
                <c:pt idx="386">
                  <c:v>26.7</c:v>
                </c:pt>
                <c:pt idx="387">
                  <c:v>-29.44</c:v>
                </c:pt>
                <c:pt idx="388">
                  <c:v>305.8</c:v>
                </c:pt>
                <c:pt idx="389">
                  <c:v>330.64</c:v>
                </c:pt>
                <c:pt idx="390">
                  <c:v>350.36</c:v>
                </c:pt>
                <c:pt idx="391">
                  <c:v>373.41</c:v>
                </c:pt>
                <c:pt idx="392">
                  <c:v>462.29</c:v>
                </c:pt>
                <c:pt idx="393">
                  <c:v>436.38</c:v>
                </c:pt>
                <c:pt idx="394">
                  <c:v>432.89</c:v>
                </c:pt>
                <c:pt idx="395">
                  <c:v>416.58</c:v>
                </c:pt>
                <c:pt idx="396">
                  <c:v>526.92999999999995</c:v>
                </c:pt>
                <c:pt idx="397">
                  <c:v>526.92999999999995</c:v>
                </c:pt>
                <c:pt idx="398">
                  <c:v>533.91999999999996</c:v>
                </c:pt>
                <c:pt idx="399">
                  <c:v>543.95000000000005</c:v>
                </c:pt>
                <c:pt idx="400">
                  <c:v>598.66</c:v>
                </c:pt>
                <c:pt idx="401">
                  <c:v>-22.56</c:v>
                </c:pt>
                <c:pt idx="402">
                  <c:v>-23.08</c:v>
                </c:pt>
                <c:pt idx="403">
                  <c:v>110.87</c:v>
                </c:pt>
                <c:pt idx="404">
                  <c:v>191.7</c:v>
                </c:pt>
                <c:pt idx="405">
                  <c:v>244.07</c:v>
                </c:pt>
                <c:pt idx="406">
                  <c:v>111.98</c:v>
                </c:pt>
                <c:pt idx="407">
                  <c:v>161.04</c:v>
                </c:pt>
                <c:pt idx="408">
                  <c:v>161.04</c:v>
                </c:pt>
                <c:pt idx="409">
                  <c:v>108.42</c:v>
                </c:pt>
                <c:pt idx="410">
                  <c:v>246.12</c:v>
                </c:pt>
                <c:pt idx="411">
                  <c:v>205.65</c:v>
                </c:pt>
                <c:pt idx="412">
                  <c:v>48.93</c:v>
                </c:pt>
                <c:pt idx="413">
                  <c:v>131.37</c:v>
                </c:pt>
                <c:pt idx="414">
                  <c:v>240.48</c:v>
                </c:pt>
                <c:pt idx="415">
                  <c:v>360.01</c:v>
                </c:pt>
                <c:pt idx="416">
                  <c:v>78.81</c:v>
                </c:pt>
                <c:pt idx="417">
                  <c:v>128.19</c:v>
                </c:pt>
                <c:pt idx="418">
                  <c:v>206.99</c:v>
                </c:pt>
                <c:pt idx="419">
                  <c:v>209.34</c:v>
                </c:pt>
                <c:pt idx="420">
                  <c:v>209.34</c:v>
                </c:pt>
                <c:pt idx="421">
                  <c:v>151.13999999999999</c:v>
                </c:pt>
                <c:pt idx="422">
                  <c:v>270.82</c:v>
                </c:pt>
                <c:pt idx="423">
                  <c:v>261.45</c:v>
                </c:pt>
                <c:pt idx="424">
                  <c:v>335.16</c:v>
                </c:pt>
                <c:pt idx="425">
                  <c:v>302.64999999999998</c:v>
                </c:pt>
                <c:pt idx="426">
                  <c:v>302.08999999999997</c:v>
                </c:pt>
                <c:pt idx="427">
                  <c:v>397.48</c:v>
                </c:pt>
                <c:pt idx="428">
                  <c:v>392.19</c:v>
                </c:pt>
                <c:pt idx="429">
                  <c:v>406.67</c:v>
                </c:pt>
                <c:pt idx="430">
                  <c:v>232.42</c:v>
                </c:pt>
                <c:pt idx="431">
                  <c:v>232.42</c:v>
                </c:pt>
                <c:pt idx="432">
                  <c:v>-25.04</c:v>
                </c:pt>
                <c:pt idx="433">
                  <c:v>203.72</c:v>
                </c:pt>
                <c:pt idx="434">
                  <c:v>247</c:v>
                </c:pt>
                <c:pt idx="435">
                  <c:v>294.66000000000003</c:v>
                </c:pt>
                <c:pt idx="436">
                  <c:v>383.01</c:v>
                </c:pt>
                <c:pt idx="437">
                  <c:v>338.51</c:v>
                </c:pt>
                <c:pt idx="438">
                  <c:v>295.88</c:v>
                </c:pt>
                <c:pt idx="439">
                  <c:v>316.44</c:v>
                </c:pt>
                <c:pt idx="440">
                  <c:v>370.81</c:v>
                </c:pt>
                <c:pt idx="441">
                  <c:v>485.67</c:v>
                </c:pt>
                <c:pt idx="442">
                  <c:v>485.67</c:v>
                </c:pt>
                <c:pt idx="443">
                  <c:v>93.36</c:v>
                </c:pt>
                <c:pt idx="444">
                  <c:v>113.52</c:v>
                </c:pt>
                <c:pt idx="445">
                  <c:v>142.16999999999999</c:v>
                </c:pt>
                <c:pt idx="446">
                  <c:v>246.12</c:v>
                </c:pt>
                <c:pt idx="447">
                  <c:v>206.51</c:v>
                </c:pt>
                <c:pt idx="448">
                  <c:v>187.8</c:v>
                </c:pt>
                <c:pt idx="449">
                  <c:v>372.31</c:v>
                </c:pt>
                <c:pt idx="450">
                  <c:v>467.37</c:v>
                </c:pt>
                <c:pt idx="451">
                  <c:v>22.6</c:v>
                </c:pt>
                <c:pt idx="452">
                  <c:v>21.06</c:v>
                </c:pt>
                <c:pt idx="453">
                  <c:v>21.06</c:v>
                </c:pt>
                <c:pt idx="454">
                  <c:v>50.31</c:v>
                </c:pt>
                <c:pt idx="455">
                  <c:v>-28.87</c:v>
                </c:pt>
                <c:pt idx="456">
                  <c:v>340.1</c:v>
                </c:pt>
                <c:pt idx="457">
                  <c:v>49.08</c:v>
                </c:pt>
                <c:pt idx="458">
                  <c:v>326.67</c:v>
                </c:pt>
                <c:pt idx="459">
                  <c:v>401.41</c:v>
                </c:pt>
                <c:pt idx="460">
                  <c:v>-27.18</c:v>
                </c:pt>
                <c:pt idx="461">
                  <c:v>379.02</c:v>
                </c:pt>
                <c:pt idx="462">
                  <c:v>350.38</c:v>
                </c:pt>
                <c:pt idx="463">
                  <c:v>432.04</c:v>
                </c:pt>
                <c:pt idx="464">
                  <c:v>464.72</c:v>
                </c:pt>
                <c:pt idx="465">
                  <c:v>464.72</c:v>
                </c:pt>
                <c:pt idx="466">
                  <c:v>516</c:v>
                </c:pt>
                <c:pt idx="467">
                  <c:v>16.11</c:v>
                </c:pt>
                <c:pt idx="468">
                  <c:v>317.12</c:v>
                </c:pt>
                <c:pt idx="469">
                  <c:v>280.60000000000002</c:v>
                </c:pt>
                <c:pt idx="470">
                  <c:v>290.98</c:v>
                </c:pt>
                <c:pt idx="471">
                  <c:v>359.18</c:v>
                </c:pt>
                <c:pt idx="472">
                  <c:v>417.5</c:v>
                </c:pt>
                <c:pt idx="473">
                  <c:v>515.13</c:v>
                </c:pt>
                <c:pt idx="474">
                  <c:v>114.04</c:v>
                </c:pt>
                <c:pt idx="475">
                  <c:v>108.52</c:v>
                </c:pt>
                <c:pt idx="476">
                  <c:v>108.52</c:v>
                </c:pt>
                <c:pt idx="477">
                  <c:v>189.99</c:v>
                </c:pt>
                <c:pt idx="478">
                  <c:v>185.98</c:v>
                </c:pt>
                <c:pt idx="479">
                  <c:v>276.75</c:v>
                </c:pt>
                <c:pt idx="480">
                  <c:v>41.33</c:v>
                </c:pt>
                <c:pt idx="481">
                  <c:v>-182.45</c:v>
                </c:pt>
                <c:pt idx="482">
                  <c:v>-200.29</c:v>
                </c:pt>
                <c:pt idx="483">
                  <c:v>-157.61000000000001</c:v>
                </c:pt>
                <c:pt idx="484">
                  <c:v>-16.690000000000001</c:v>
                </c:pt>
                <c:pt idx="485">
                  <c:v>-95.63</c:v>
                </c:pt>
                <c:pt idx="486">
                  <c:v>-80.56</c:v>
                </c:pt>
                <c:pt idx="487">
                  <c:v>-80.56</c:v>
                </c:pt>
                <c:pt idx="488">
                  <c:v>142.29</c:v>
                </c:pt>
                <c:pt idx="489">
                  <c:v>198.41</c:v>
                </c:pt>
                <c:pt idx="490">
                  <c:v>98.66</c:v>
                </c:pt>
                <c:pt idx="491">
                  <c:v>99.56</c:v>
                </c:pt>
                <c:pt idx="492">
                  <c:v>276.31</c:v>
                </c:pt>
                <c:pt idx="493">
                  <c:v>101.32</c:v>
                </c:pt>
                <c:pt idx="494">
                  <c:v>192.35</c:v>
                </c:pt>
                <c:pt idx="495">
                  <c:v>234.53</c:v>
                </c:pt>
                <c:pt idx="496">
                  <c:v>58.66</c:v>
                </c:pt>
                <c:pt idx="497">
                  <c:v>237.24</c:v>
                </c:pt>
                <c:pt idx="498">
                  <c:v>237.24</c:v>
                </c:pt>
                <c:pt idx="499">
                  <c:v>374.59</c:v>
                </c:pt>
                <c:pt idx="500">
                  <c:v>304.17</c:v>
                </c:pt>
                <c:pt idx="501">
                  <c:v>-212.03</c:v>
                </c:pt>
                <c:pt idx="502">
                  <c:v>244.53</c:v>
                </c:pt>
                <c:pt idx="503">
                  <c:v>230.94</c:v>
                </c:pt>
                <c:pt idx="504">
                  <c:v>287.63</c:v>
                </c:pt>
                <c:pt idx="505">
                  <c:v>338.4</c:v>
                </c:pt>
                <c:pt idx="506">
                  <c:v>336.74</c:v>
                </c:pt>
                <c:pt idx="507">
                  <c:v>384.46</c:v>
                </c:pt>
                <c:pt idx="508">
                  <c:v>41.61</c:v>
                </c:pt>
                <c:pt idx="509">
                  <c:v>234.38</c:v>
                </c:pt>
                <c:pt idx="510">
                  <c:v>234.38</c:v>
                </c:pt>
                <c:pt idx="511">
                  <c:v>214.09</c:v>
                </c:pt>
                <c:pt idx="512">
                  <c:v>196.74</c:v>
                </c:pt>
                <c:pt idx="513">
                  <c:v>299.82</c:v>
                </c:pt>
                <c:pt idx="514">
                  <c:v>311.45999999999998</c:v>
                </c:pt>
                <c:pt idx="515">
                  <c:v>317.72000000000003</c:v>
                </c:pt>
                <c:pt idx="516">
                  <c:v>426.02</c:v>
                </c:pt>
                <c:pt idx="517">
                  <c:v>420.09</c:v>
                </c:pt>
                <c:pt idx="518">
                  <c:v>389.41</c:v>
                </c:pt>
                <c:pt idx="519">
                  <c:v>538.33000000000004</c:v>
                </c:pt>
                <c:pt idx="520">
                  <c:v>573.19000000000005</c:v>
                </c:pt>
                <c:pt idx="521">
                  <c:v>573.19000000000005</c:v>
                </c:pt>
                <c:pt idx="522">
                  <c:v>494.23</c:v>
                </c:pt>
                <c:pt idx="523">
                  <c:v>614.03</c:v>
                </c:pt>
                <c:pt idx="524">
                  <c:v>48.99</c:v>
                </c:pt>
                <c:pt idx="525">
                  <c:v>74.77</c:v>
                </c:pt>
                <c:pt idx="526">
                  <c:v>124.21</c:v>
                </c:pt>
                <c:pt idx="527">
                  <c:v>149.75</c:v>
                </c:pt>
                <c:pt idx="528">
                  <c:v>105.54</c:v>
                </c:pt>
                <c:pt idx="529">
                  <c:v>351.48</c:v>
                </c:pt>
                <c:pt idx="530">
                  <c:v>334.99</c:v>
                </c:pt>
                <c:pt idx="531">
                  <c:v>430.47</c:v>
                </c:pt>
                <c:pt idx="532">
                  <c:v>430.47</c:v>
                </c:pt>
                <c:pt idx="533">
                  <c:v>464.61</c:v>
                </c:pt>
                <c:pt idx="534">
                  <c:v>593.46</c:v>
                </c:pt>
                <c:pt idx="535">
                  <c:v>581.91</c:v>
                </c:pt>
                <c:pt idx="536">
                  <c:v>368.96</c:v>
                </c:pt>
                <c:pt idx="537">
                  <c:v>474.86</c:v>
                </c:pt>
                <c:pt idx="538">
                  <c:v>620.16</c:v>
                </c:pt>
                <c:pt idx="539">
                  <c:v>-145.72999999999999</c:v>
                </c:pt>
                <c:pt idx="540">
                  <c:v>-33.78</c:v>
                </c:pt>
                <c:pt idx="541">
                  <c:v>-156.87</c:v>
                </c:pt>
                <c:pt idx="542">
                  <c:v>-167.08</c:v>
                </c:pt>
                <c:pt idx="543">
                  <c:v>-167.08</c:v>
                </c:pt>
                <c:pt idx="544">
                  <c:v>-63.85</c:v>
                </c:pt>
                <c:pt idx="545">
                  <c:v>-13.55</c:v>
                </c:pt>
                <c:pt idx="546">
                  <c:v>-169.55</c:v>
                </c:pt>
                <c:pt idx="547">
                  <c:v>-67.63</c:v>
                </c:pt>
                <c:pt idx="548">
                  <c:v>-133.96</c:v>
                </c:pt>
                <c:pt idx="549">
                  <c:v>-91.62</c:v>
                </c:pt>
                <c:pt idx="550">
                  <c:v>-41.14</c:v>
                </c:pt>
                <c:pt idx="551">
                  <c:v>44.52</c:v>
                </c:pt>
                <c:pt idx="552">
                  <c:v>-16.079999999999998</c:v>
                </c:pt>
                <c:pt idx="553">
                  <c:v>51.54</c:v>
                </c:pt>
                <c:pt idx="554">
                  <c:v>51.54</c:v>
                </c:pt>
                <c:pt idx="555">
                  <c:v>-52.84</c:v>
                </c:pt>
                <c:pt idx="556">
                  <c:v>80.12</c:v>
                </c:pt>
                <c:pt idx="557">
                  <c:v>147.87</c:v>
                </c:pt>
                <c:pt idx="558">
                  <c:v>60.26</c:v>
                </c:pt>
                <c:pt idx="559">
                  <c:v>38.340000000000003</c:v>
                </c:pt>
                <c:pt idx="560">
                  <c:v>160.56</c:v>
                </c:pt>
                <c:pt idx="561">
                  <c:v>34.67</c:v>
                </c:pt>
                <c:pt idx="562">
                  <c:v>210.27</c:v>
                </c:pt>
                <c:pt idx="563">
                  <c:v>119.53</c:v>
                </c:pt>
                <c:pt idx="564">
                  <c:v>33.47</c:v>
                </c:pt>
                <c:pt idx="565">
                  <c:v>131.07</c:v>
                </c:pt>
                <c:pt idx="566">
                  <c:v>131.07</c:v>
                </c:pt>
                <c:pt idx="567">
                  <c:v>232.01</c:v>
                </c:pt>
                <c:pt idx="568">
                  <c:v>-23.62</c:v>
                </c:pt>
                <c:pt idx="569">
                  <c:v>14.82</c:v>
                </c:pt>
                <c:pt idx="570">
                  <c:v>40.53</c:v>
                </c:pt>
                <c:pt idx="571">
                  <c:v>169.23</c:v>
                </c:pt>
                <c:pt idx="572">
                  <c:v>134.04</c:v>
                </c:pt>
                <c:pt idx="573">
                  <c:v>57.94</c:v>
                </c:pt>
                <c:pt idx="574">
                  <c:v>133.57</c:v>
                </c:pt>
                <c:pt idx="575">
                  <c:v>111.35</c:v>
                </c:pt>
                <c:pt idx="576">
                  <c:v>119.68</c:v>
                </c:pt>
                <c:pt idx="577">
                  <c:v>119.68</c:v>
                </c:pt>
                <c:pt idx="578">
                  <c:v>211.02</c:v>
                </c:pt>
                <c:pt idx="579">
                  <c:v>202.63</c:v>
                </c:pt>
                <c:pt idx="580">
                  <c:v>302.56</c:v>
                </c:pt>
                <c:pt idx="581">
                  <c:v>111.69</c:v>
                </c:pt>
                <c:pt idx="582">
                  <c:v>86.98</c:v>
                </c:pt>
                <c:pt idx="583">
                  <c:v>44.78</c:v>
                </c:pt>
                <c:pt idx="584">
                  <c:v>132.13</c:v>
                </c:pt>
                <c:pt idx="585">
                  <c:v>158.58000000000001</c:v>
                </c:pt>
                <c:pt idx="586">
                  <c:v>185.3</c:v>
                </c:pt>
                <c:pt idx="587">
                  <c:v>235.45</c:v>
                </c:pt>
                <c:pt idx="588">
                  <c:v>235.45</c:v>
                </c:pt>
                <c:pt idx="589">
                  <c:v>201.69</c:v>
                </c:pt>
                <c:pt idx="590">
                  <c:v>520.01</c:v>
                </c:pt>
                <c:pt idx="591">
                  <c:v>461.98</c:v>
                </c:pt>
                <c:pt idx="592">
                  <c:v>427.55</c:v>
                </c:pt>
                <c:pt idx="593">
                  <c:v>394.15</c:v>
                </c:pt>
                <c:pt idx="594">
                  <c:v>494.19</c:v>
                </c:pt>
                <c:pt idx="595">
                  <c:v>507.67</c:v>
                </c:pt>
                <c:pt idx="596">
                  <c:v>561.38</c:v>
                </c:pt>
                <c:pt idx="597">
                  <c:v>446.48</c:v>
                </c:pt>
                <c:pt idx="598">
                  <c:v>452.71</c:v>
                </c:pt>
                <c:pt idx="599">
                  <c:v>540.16</c:v>
                </c:pt>
                <c:pt idx="600">
                  <c:v>540.16</c:v>
                </c:pt>
                <c:pt idx="601">
                  <c:v>451.39</c:v>
                </c:pt>
                <c:pt idx="602">
                  <c:v>486.88</c:v>
                </c:pt>
                <c:pt idx="603">
                  <c:v>553.96</c:v>
                </c:pt>
                <c:pt idx="604">
                  <c:v>548.54999999999995</c:v>
                </c:pt>
                <c:pt idx="605">
                  <c:v>540.55999999999995</c:v>
                </c:pt>
                <c:pt idx="606">
                  <c:v>324.22000000000003</c:v>
                </c:pt>
                <c:pt idx="607">
                  <c:v>431.25</c:v>
                </c:pt>
                <c:pt idx="608">
                  <c:v>282.77</c:v>
                </c:pt>
                <c:pt idx="609">
                  <c:v>261.5</c:v>
                </c:pt>
                <c:pt idx="610">
                  <c:v>264.48</c:v>
                </c:pt>
                <c:pt idx="611">
                  <c:v>264.48</c:v>
                </c:pt>
                <c:pt idx="612">
                  <c:v>222.7</c:v>
                </c:pt>
                <c:pt idx="613">
                  <c:v>311.19</c:v>
                </c:pt>
                <c:pt idx="614">
                  <c:v>349.71</c:v>
                </c:pt>
                <c:pt idx="615">
                  <c:v>350.81</c:v>
                </c:pt>
                <c:pt idx="616">
                  <c:v>356.28</c:v>
                </c:pt>
                <c:pt idx="617">
                  <c:v>421.72</c:v>
                </c:pt>
                <c:pt idx="618">
                  <c:v>432.43</c:v>
                </c:pt>
                <c:pt idx="619">
                  <c:v>396.53</c:v>
                </c:pt>
                <c:pt idx="620">
                  <c:v>-16.14</c:v>
                </c:pt>
                <c:pt idx="621">
                  <c:v>161.53</c:v>
                </c:pt>
                <c:pt idx="622">
                  <c:v>161.53</c:v>
                </c:pt>
                <c:pt idx="623">
                  <c:v>129.65</c:v>
                </c:pt>
                <c:pt idx="624">
                  <c:v>108.72</c:v>
                </c:pt>
                <c:pt idx="625">
                  <c:v>166.69</c:v>
                </c:pt>
                <c:pt idx="626">
                  <c:v>196.52</c:v>
                </c:pt>
                <c:pt idx="627">
                  <c:v>235.72</c:v>
                </c:pt>
                <c:pt idx="628">
                  <c:v>141.65</c:v>
                </c:pt>
                <c:pt idx="629">
                  <c:v>120.37</c:v>
                </c:pt>
                <c:pt idx="630">
                  <c:v>137.09</c:v>
                </c:pt>
                <c:pt idx="631">
                  <c:v>102.64</c:v>
                </c:pt>
                <c:pt idx="632">
                  <c:v>80.150000000000006</c:v>
                </c:pt>
                <c:pt idx="633">
                  <c:v>80.150000000000006</c:v>
                </c:pt>
                <c:pt idx="634">
                  <c:v>-15.78</c:v>
                </c:pt>
                <c:pt idx="635">
                  <c:v>175.29</c:v>
                </c:pt>
                <c:pt idx="636">
                  <c:v>310.08</c:v>
                </c:pt>
                <c:pt idx="637">
                  <c:v>336.01</c:v>
                </c:pt>
                <c:pt idx="638">
                  <c:v>440.73</c:v>
                </c:pt>
                <c:pt idx="639">
                  <c:v>466.12</c:v>
                </c:pt>
                <c:pt idx="640">
                  <c:v>496.73</c:v>
                </c:pt>
                <c:pt idx="641">
                  <c:v>479.15</c:v>
                </c:pt>
                <c:pt idx="642">
                  <c:v>438.4</c:v>
                </c:pt>
                <c:pt idx="643">
                  <c:v>545.51</c:v>
                </c:pt>
                <c:pt idx="644">
                  <c:v>545.51</c:v>
                </c:pt>
                <c:pt idx="645">
                  <c:v>503.53</c:v>
                </c:pt>
                <c:pt idx="646">
                  <c:v>526.48</c:v>
                </c:pt>
                <c:pt idx="647">
                  <c:v>542.4</c:v>
                </c:pt>
                <c:pt idx="648">
                  <c:v>548.4</c:v>
                </c:pt>
                <c:pt idx="649">
                  <c:v>625.63</c:v>
                </c:pt>
                <c:pt idx="650">
                  <c:v>638.01</c:v>
                </c:pt>
                <c:pt idx="651">
                  <c:v>624.67999999999995</c:v>
                </c:pt>
                <c:pt idx="652">
                  <c:v>610.19000000000005</c:v>
                </c:pt>
                <c:pt idx="653">
                  <c:v>-17.3</c:v>
                </c:pt>
                <c:pt idx="654">
                  <c:v>196.13</c:v>
                </c:pt>
                <c:pt idx="655">
                  <c:v>196.13</c:v>
                </c:pt>
                <c:pt idx="656">
                  <c:v>227.57</c:v>
                </c:pt>
                <c:pt idx="657">
                  <c:v>261.88</c:v>
                </c:pt>
                <c:pt idx="658">
                  <c:v>337.76</c:v>
                </c:pt>
                <c:pt idx="659">
                  <c:v>307.89999999999998</c:v>
                </c:pt>
                <c:pt idx="660">
                  <c:v>331.57</c:v>
                </c:pt>
                <c:pt idx="661">
                  <c:v>372.2</c:v>
                </c:pt>
                <c:pt idx="662">
                  <c:v>415.38</c:v>
                </c:pt>
                <c:pt idx="663">
                  <c:v>258.13</c:v>
                </c:pt>
                <c:pt idx="664">
                  <c:v>243.7</c:v>
                </c:pt>
                <c:pt idx="665">
                  <c:v>228.45</c:v>
                </c:pt>
                <c:pt idx="666">
                  <c:v>228.45</c:v>
                </c:pt>
                <c:pt idx="667">
                  <c:v>304.29000000000002</c:v>
                </c:pt>
                <c:pt idx="668">
                  <c:v>329.22</c:v>
                </c:pt>
                <c:pt idx="669">
                  <c:v>350.26</c:v>
                </c:pt>
                <c:pt idx="670">
                  <c:v>419.46</c:v>
                </c:pt>
                <c:pt idx="671">
                  <c:v>389.05</c:v>
                </c:pt>
                <c:pt idx="672">
                  <c:v>465.72</c:v>
                </c:pt>
                <c:pt idx="673">
                  <c:v>436.2</c:v>
                </c:pt>
                <c:pt idx="674">
                  <c:v>407.24</c:v>
                </c:pt>
                <c:pt idx="675">
                  <c:v>473.51</c:v>
                </c:pt>
                <c:pt idx="676">
                  <c:v>63.42</c:v>
                </c:pt>
                <c:pt idx="677">
                  <c:v>63.42</c:v>
                </c:pt>
                <c:pt idx="678">
                  <c:v>64.19</c:v>
                </c:pt>
                <c:pt idx="679">
                  <c:v>480.01</c:v>
                </c:pt>
                <c:pt idx="680">
                  <c:v>14.63</c:v>
                </c:pt>
                <c:pt idx="681">
                  <c:v>73.45</c:v>
                </c:pt>
                <c:pt idx="682">
                  <c:v>87.28</c:v>
                </c:pt>
                <c:pt idx="683">
                  <c:v>67.510000000000005</c:v>
                </c:pt>
                <c:pt idx="684">
                  <c:v>542.46</c:v>
                </c:pt>
                <c:pt idx="685">
                  <c:v>534.09</c:v>
                </c:pt>
                <c:pt idx="686">
                  <c:v>581.4</c:v>
                </c:pt>
                <c:pt idx="687">
                  <c:v>609.22</c:v>
                </c:pt>
                <c:pt idx="688">
                  <c:v>401.2</c:v>
                </c:pt>
                <c:pt idx="689">
                  <c:v>401.2</c:v>
                </c:pt>
                <c:pt idx="690">
                  <c:v>423.07</c:v>
                </c:pt>
                <c:pt idx="691">
                  <c:v>442.4</c:v>
                </c:pt>
                <c:pt idx="692">
                  <c:v>506.38</c:v>
                </c:pt>
                <c:pt idx="693">
                  <c:v>498.55</c:v>
                </c:pt>
                <c:pt idx="694">
                  <c:v>505.29</c:v>
                </c:pt>
                <c:pt idx="695">
                  <c:v>615.05999999999995</c:v>
                </c:pt>
                <c:pt idx="696">
                  <c:v>565.61</c:v>
                </c:pt>
                <c:pt idx="697">
                  <c:v>361.95</c:v>
                </c:pt>
                <c:pt idx="698">
                  <c:v>334.38</c:v>
                </c:pt>
                <c:pt idx="699">
                  <c:v>314.64999999999998</c:v>
                </c:pt>
                <c:pt idx="700">
                  <c:v>314.64999999999998</c:v>
                </c:pt>
                <c:pt idx="701">
                  <c:v>386.04</c:v>
                </c:pt>
                <c:pt idx="702">
                  <c:v>419.08</c:v>
                </c:pt>
                <c:pt idx="703">
                  <c:v>462.93</c:v>
                </c:pt>
                <c:pt idx="704">
                  <c:v>436.38</c:v>
                </c:pt>
                <c:pt idx="705">
                  <c:v>41.59</c:v>
                </c:pt>
                <c:pt idx="706">
                  <c:v>39.729999999999997</c:v>
                </c:pt>
                <c:pt idx="707">
                  <c:v>43.85</c:v>
                </c:pt>
              </c:numCache>
              <c:extLst xmlns:c15="http://schemas.microsoft.com/office/drawing/2012/chart"/>
            </c:numRef>
          </c:yVal>
          <c:smooth val="0"/>
          <c:extLst xmlns:c15="http://schemas.microsoft.com/office/drawing/2012/chart">
            <c:ext xmlns:c15="http://schemas.microsoft.com/office/drawing/2012/chart" uri="{02D57815-91ED-43cb-92C2-25804820EDAC}">
              <c15:datalabelsRange>
                <c15:f>FCS!$AN$11:$AN$825</c15:f>
                <c15:dlblRangeCache>
                  <c:ptCount val="815"/>
                  <c:pt idx="77">
                    <c:v>-</c:v>
                  </c:pt>
                  <c:pt idx="116">
                    <c:v>-</c:v>
                  </c:pt>
                  <c:pt idx="127">
                    <c:v>-</c:v>
                  </c:pt>
                  <c:pt idx="175">
                    <c:v>-</c:v>
                  </c:pt>
                  <c:pt idx="210">
                    <c:v>-</c:v>
                  </c:pt>
                  <c:pt idx="244">
                    <c:v>-</c:v>
                  </c:pt>
                  <c:pt idx="262">
                    <c:v>-</c:v>
                  </c:pt>
                  <c:pt idx="318">
                    <c:v>-</c:v>
                  </c:pt>
                  <c:pt idx="353">
                    <c:v>-</c:v>
                  </c:pt>
                  <c:pt idx="367">
                    <c:v>-</c:v>
                  </c:pt>
                  <c:pt idx="372">
                    <c:v>-</c:v>
                  </c:pt>
                  <c:pt idx="415">
                    <c:v>-</c:v>
                  </c:pt>
                  <c:pt idx="456">
                    <c:v>-</c:v>
                  </c:pt>
                  <c:pt idx="500">
                    <c:v>-</c:v>
                  </c:pt>
                  <c:pt idx="558">
                    <c:v>-</c:v>
                  </c:pt>
                  <c:pt idx="590">
                    <c:v>-</c:v>
                  </c:pt>
                  <c:pt idx="679">
                    <c:v>-</c:v>
                  </c:pt>
                </c15:dlblRangeCache>
              </c15:datalabelsRange>
            </c:ext>
            <c:ext xmlns:c16="http://schemas.microsoft.com/office/drawing/2014/chart" uri="{C3380CC4-5D6E-409C-BE32-E72D297353CC}">
              <c16:uniqueId val="{00000003-4F3C-47F5-BB9E-FED5FA569E47}"/>
            </c:ext>
          </c:extLst>
        </c:ser>
        <c:ser>
          <c:idx val="4"/>
          <c:order val="5"/>
          <c:tx>
            <c:v>Zona 1</c:v>
          </c:tx>
          <c:spPr>
            <a:ln w="25400" cap="rnd">
              <a:solidFill>
                <a:schemeClr val="tx1"/>
              </a:solidFill>
              <a:round/>
            </a:ln>
            <a:effectLst/>
          </c:spPr>
          <c:marker>
            <c:symbol val="none"/>
          </c:marker>
          <c:xVal>
            <c:numRef>
              <c:f>'R Semanal'!$AO$2:$AO$3</c:f>
              <c:numCache>
                <c:formatCode>0\+000.00</c:formatCode>
                <c:ptCount val="2"/>
                <c:pt idx="0">
                  <c:v>600</c:v>
                </c:pt>
                <c:pt idx="1">
                  <c:v>600</c:v>
                </c:pt>
              </c:numCache>
            </c:numRef>
          </c:xVal>
          <c:yVal>
            <c:numRef>
              <c:f>'R Semanal'!$AP$2:$AP$3</c:f>
              <c:numCache>
                <c:formatCode>0\+000.00</c:formatCode>
                <c:ptCount val="2"/>
                <c:pt idx="0">
                  <c:v>42.91</c:v>
                </c:pt>
                <c:pt idx="1">
                  <c:v>540.22</c:v>
                </c:pt>
              </c:numCache>
            </c:numRef>
          </c:yVal>
          <c:smooth val="0"/>
          <c:extLst>
            <c:ext xmlns:c16="http://schemas.microsoft.com/office/drawing/2014/chart" uri="{C3380CC4-5D6E-409C-BE32-E72D297353CC}">
              <c16:uniqueId val="{00000004-4F3C-47F5-BB9E-FED5FA569E47}"/>
            </c:ext>
          </c:extLst>
        </c:ser>
        <c:ser>
          <c:idx val="5"/>
          <c:order val="6"/>
          <c:tx>
            <c:v>Zona 2</c:v>
          </c:tx>
          <c:spPr>
            <a:ln w="25400" cap="rnd">
              <a:solidFill>
                <a:schemeClr val="tx1"/>
              </a:solidFill>
              <a:round/>
            </a:ln>
            <a:effectLst/>
          </c:spPr>
          <c:marker>
            <c:symbol val="none"/>
          </c:marker>
          <c:xVal>
            <c:numRef>
              <c:f>'R Semanal'!$AO$4:$AO$5</c:f>
              <c:numCache>
                <c:formatCode>0\+000.00</c:formatCode>
                <c:ptCount val="2"/>
                <c:pt idx="0">
                  <c:v>1120</c:v>
                </c:pt>
                <c:pt idx="1">
                  <c:v>1120</c:v>
                </c:pt>
              </c:numCache>
            </c:numRef>
          </c:xVal>
          <c:yVal>
            <c:numRef>
              <c:f>'R Semanal'!$AP$4:$AP$5</c:f>
              <c:numCache>
                <c:formatCode>0\+000.00</c:formatCode>
                <c:ptCount val="2"/>
                <c:pt idx="0">
                  <c:v>-32.33</c:v>
                </c:pt>
                <c:pt idx="1">
                  <c:v>833.77</c:v>
                </c:pt>
              </c:numCache>
            </c:numRef>
          </c:yVal>
          <c:smooth val="0"/>
          <c:extLst>
            <c:ext xmlns:c16="http://schemas.microsoft.com/office/drawing/2014/chart" uri="{C3380CC4-5D6E-409C-BE32-E72D297353CC}">
              <c16:uniqueId val="{00000005-4F3C-47F5-BB9E-FED5FA569E47}"/>
            </c:ext>
          </c:extLst>
        </c:ser>
        <c:ser>
          <c:idx val="6"/>
          <c:order val="7"/>
          <c:tx>
            <c:v>Zona 3</c:v>
          </c:tx>
          <c:spPr>
            <a:ln w="25400" cap="rnd">
              <a:solidFill>
                <a:schemeClr val="tx1"/>
              </a:solidFill>
              <a:round/>
            </a:ln>
            <a:effectLst/>
          </c:spPr>
          <c:marker>
            <c:symbol val="none"/>
          </c:marker>
          <c:xVal>
            <c:numRef>
              <c:f>'R Semanal'!$AO$6:$AO$7</c:f>
              <c:numCache>
                <c:formatCode>0\+000.00</c:formatCode>
                <c:ptCount val="2"/>
                <c:pt idx="0">
                  <c:v>1640</c:v>
                </c:pt>
                <c:pt idx="1">
                  <c:v>1640</c:v>
                </c:pt>
              </c:numCache>
            </c:numRef>
          </c:xVal>
          <c:yVal>
            <c:numRef>
              <c:f>'R Semanal'!$AP$6:$AP$7</c:f>
              <c:numCache>
                <c:formatCode>0\+000.00</c:formatCode>
                <c:ptCount val="2"/>
                <c:pt idx="0">
                  <c:v>-29.33</c:v>
                </c:pt>
                <c:pt idx="1">
                  <c:v>424.19</c:v>
                </c:pt>
              </c:numCache>
            </c:numRef>
          </c:yVal>
          <c:smooth val="0"/>
          <c:extLst>
            <c:ext xmlns:c16="http://schemas.microsoft.com/office/drawing/2014/chart" uri="{C3380CC4-5D6E-409C-BE32-E72D297353CC}">
              <c16:uniqueId val="{00000006-4F3C-47F5-BB9E-FED5FA569E47}"/>
            </c:ext>
          </c:extLst>
        </c:ser>
        <c:ser>
          <c:idx val="8"/>
          <c:order val="8"/>
          <c:tx>
            <c:v>Zona 1-1</c:v>
          </c:tx>
          <c:spPr>
            <a:ln w="12700" cap="rnd">
              <a:solidFill>
                <a:schemeClr val="accent3">
                  <a:lumMod val="60000"/>
                </a:schemeClr>
              </a:solidFill>
              <a:prstDash val="dash"/>
              <a:round/>
            </a:ln>
            <a:effectLst/>
          </c:spPr>
          <c:marker>
            <c:symbol val="none"/>
          </c:marker>
          <c:xVal>
            <c:numRef>
              <c:f>'R Semanal'!$AS$2:$AS$3</c:f>
              <c:numCache>
                <c:formatCode>0\+000.00</c:formatCode>
                <c:ptCount val="2"/>
                <c:pt idx="0">
                  <c:v>280</c:v>
                </c:pt>
                <c:pt idx="1">
                  <c:v>280</c:v>
                </c:pt>
              </c:numCache>
              <c:extLst xmlns:c15="http://schemas.microsoft.com/office/drawing/2012/chart"/>
            </c:numRef>
          </c:xVal>
          <c:yVal>
            <c:numRef>
              <c:f>'R Semanal'!$AT$2:$AT$3</c:f>
              <c:numCache>
                <c:formatCode>0\+000.00</c:formatCode>
                <c:ptCount val="2"/>
                <c:pt idx="0">
                  <c:v>35.43</c:v>
                </c:pt>
                <c:pt idx="1">
                  <c:v>340.96</c:v>
                </c:pt>
              </c:numCache>
              <c:extLst xmlns:c15="http://schemas.microsoft.com/office/drawing/2012/chart"/>
            </c:numRef>
          </c:yVal>
          <c:smooth val="0"/>
          <c:extLst xmlns:c15="http://schemas.microsoft.com/office/drawing/2012/chart">
            <c:ext xmlns:c16="http://schemas.microsoft.com/office/drawing/2014/chart" uri="{C3380CC4-5D6E-409C-BE32-E72D297353CC}">
              <c16:uniqueId val="{00000009-4F3C-47F5-BB9E-FED5FA569E47}"/>
            </c:ext>
          </c:extLst>
        </c:ser>
        <c:ser>
          <c:idx val="9"/>
          <c:order val="9"/>
          <c:tx>
            <c:v>Zona 1-2</c:v>
          </c:tx>
          <c:spPr>
            <a:ln w="12700" cap="rnd">
              <a:solidFill>
                <a:schemeClr val="tx1"/>
              </a:solidFill>
              <a:prstDash val="dash"/>
              <a:round/>
            </a:ln>
            <a:effectLst/>
          </c:spPr>
          <c:marker>
            <c:symbol val="none"/>
          </c:marker>
          <c:xVal>
            <c:numRef>
              <c:f>'R Semanal'!$AS$4:$AS$5</c:f>
              <c:numCache>
                <c:formatCode>0\+000.00</c:formatCode>
                <c:ptCount val="2"/>
                <c:pt idx="0">
                  <c:v>450</c:v>
                </c:pt>
                <c:pt idx="1">
                  <c:v>450</c:v>
                </c:pt>
              </c:numCache>
              <c:extLst xmlns:c15="http://schemas.microsoft.com/office/drawing/2012/chart"/>
            </c:numRef>
          </c:xVal>
          <c:yVal>
            <c:numRef>
              <c:f>'R Semanal'!$AT$4:$AT$5</c:f>
              <c:numCache>
                <c:formatCode>0\+000.00</c:formatCode>
                <c:ptCount val="2"/>
                <c:pt idx="0">
                  <c:v>39.42</c:v>
                </c:pt>
                <c:pt idx="1">
                  <c:v>461.69</c:v>
                </c:pt>
              </c:numCache>
              <c:extLst xmlns:c15="http://schemas.microsoft.com/office/drawing/2012/chart"/>
            </c:numRef>
          </c:yVal>
          <c:smooth val="0"/>
          <c:extLst xmlns:c15="http://schemas.microsoft.com/office/drawing/2012/chart">
            <c:ext xmlns:c16="http://schemas.microsoft.com/office/drawing/2014/chart" uri="{C3380CC4-5D6E-409C-BE32-E72D297353CC}">
              <c16:uniqueId val="{0000000A-4F3C-47F5-BB9E-FED5FA569E47}"/>
            </c:ext>
          </c:extLst>
        </c:ser>
        <c:ser>
          <c:idx val="10"/>
          <c:order val="10"/>
          <c:tx>
            <c:v>Zona 2-1</c:v>
          </c:tx>
          <c:spPr>
            <a:ln w="12700" cap="rnd">
              <a:solidFill>
                <a:schemeClr val="tx1"/>
              </a:solidFill>
              <a:prstDash val="dash"/>
              <a:round/>
            </a:ln>
            <a:effectLst/>
          </c:spPr>
          <c:marker>
            <c:symbol val="none"/>
          </c:marker>
          <c:xVal>
            <c:numRef>
              <c:f>'R Semanal'!$AS$6:$AS$7</c:f>
              <c:numCache>
                <c:formatCode>0\+000.00</c:formatCode>
                <c:ptCount val="2"/>
                <c:pt idx="0">
                  <c:v>780</c:v>
                </c:pt>
                <c:pt idx="1">
                  <c:v>780</c:v>
                </c:pt>
              </c:numCache>
              <c:extLst xmlns:c15="http://schemas.microsoft.com/office/drawing/2012/chart"/>
            </c:numRef>
          </c:xVal>
          <c:yVal>
            <c:numRef>
              <c:f>'R Semanal'!$AT$6:$AT$7</c:f>
              <c:numCache>
                <c:formatCode>0\+000.00</c:formatCode>
                <c:ptCount val="2"/>
                <c:pt idx="0">
                  <c:v>-18</c:v>
                </c:pt>
                <c:pt idx="1">
                  <c:v>620</c:v>
                </c:pt>
              </c:numCache>
              <c:extLst xmlns:c15="http://schemas.microsoft.com/office/drawing/2012/chart"/>
            </c:numRef>
          </c:yVal>
          <c:smooth val="0"/>
          <c:extLst xmlns:c15="http://schemas.microsoft.com/office/drawing/2012/chart">
            <c:ext xmlns:c16="http://schemas.microsoft.com/office/drawing/2014/chart" uri="{C3380CC4-5D6E-409C-BE32-E72D297353CC}">
              <c16:uniqueId val="{0000000B-4F3C-47F5-BB9E-FED5FA569E47}"/>
            </c:ext>
          </c:extLst>
        </c:ser>
        <c:ser>
          <c:idx val="11"/>
          <c:order val="11"/>
          <c:tx>
            <c:v>Zona 2-2</c:v>
          </c:tx>
          <c:spPr>
            <a:ln w="12700" cap="rnd">
              <a:solidFill>
                <a:schemeClr val="tx1"/>
              </a:solidFill>
              <a:prstDash val="dash"/>
              <a:round/>
            </a:ln>
            <a:effectLst/>
          </c:spPr>
          <c:marker>
            <c:symbol val="none"/>
          </c:marker>
          <c:xVal>
            <c:numRef>
              <c:f>'R Semanal'!$AS$8:$AS$9</c:f>
              <c:numCache>
                <c:formatCode>0\+000.00</c:formatCode>
                <c:ptCount val="2"/>
                <c:pt idx="0">
                  <c:v>940</c:v>
                </c:pt>
                <c:pt idx="1">
                  <c:v>940</c:v>
                </c:pt>
              </c:numCache>
              <c:extLst xmlns:c15="http://schemas.microsoft.com/office/drawing/2012/chart"/>
            </c:numRef>
          </c:xVal>
          <c:yVal>
            <c:numRef>
              <c:f>'R Semanal'!$AT$8:$AT$9</c:f>
              <c:numCache>
                <c:formatCode>0\+000.00</c:formatCode>
                <c:ptCount val="2"/>
                <c:pt idx="0">
                  <c:v>-18</c:v>
                </c:pt>
                <c:pt idx="1">
                  <c:v>720</c:v>
                </c:pt>
              </c:numCache>
              <c:extLst xmlns:c15="http://schemas.microsoft.com/office/drawing/2012/chart"/>
            </c:numRef>
          </c:yVal>
          <c:smooth val="0"/>
          <c:extLst xmlns:c15="http://schemas.microsoft.com/office/drawing/2012/chart">
            <c:ext xmlns:c16="http://schemas.microsoft.com/office/drawing/2014/chart" uri="{C3380CC4-5D6E-409C-BE32-E72D297353CC}">
              <c16:uniqueId val="{0000000C-4F3C-47F5-BB9E-FED5FA569E47}"/>
            </c:ext>
          </c:extLst>
        </c:ser>
        <c:ser>
          <c:idx val="12"/>
          <c:order val="12"/>
          <c:tx>
            <c:v>Zona 3-1</c:v>
          </c:tx>
          <c:spPr>
            <a:ln w="12700" cap="rnd">
              <a:solidFill>
                <a:schemeClr val="tx1"/>
              </a:solidFill>
              <a:prstDash val="dash"/>
              <a:round/>
            </a:ln>
            <a:effectLst/>
          </c:spPr>
          <c:marker>
            <c:symbol val="none"/>
          </c:marker>
          <c:xVal>
            <c:numRef>
              <c:f>'R Semanal'!$AS$10:$AS$11</c:f>
              <c:numCache>
                <c:formatCode>0\+000.00</c:formatCode>
                <c:ptCount val="2"/>
                <c:pt idx="0">
                  <c:v>1280</c:v>
                </c:pt>
                <c:pt idx="1">
                  <c:v>1280</c:v>
                </c:pt>
              </c:numCache>
              <c:extLst xmlns:c15="http://schemas.microsoft.com/office/drawing/2012/chart"/>
            </c:numRef>
          </c:xVal>
          <c:yVal>
            <c:numRef>
              <c:f>'R Semanal'!$AT$10:$AT$11</c:f>
              <c:numCache>
                <c:formatCode>0\+000.00</c:formatCode>
                <c:ptCount val="2"/>
                <c:pt idx="0">
                  <c:v>-31.16</c:v>
                </c:pt>
                <c:pt idx="1">
                  <c:v>1006.71</c:v>
                </c:pt>
              </c:numCache>
              <c:extLst xmlns:c15="http://schemas.microsoft.com/office/drawing/2012/chart"/>
            </c:numRef>
          </c:yVal>
          <c:smooth val="0"/>
          <c:extLst xmlns:c15="http://schemas.microsoft.com/office/drawing/2012/chart">
            <c:ext xmlns:c16="http://schemas.microsoft.com/office/drawing/2014/chart" uri="{C3380CC4-5D6E-409C-BE32-E72D297353CC}">
              <c16:uniqueId val="{0000000D-4F3C-47F5-BB9E-FED5FA569E47}"/>
            </c:ext>
          </c:extLst>
        </c:ser>
        <c:ser>
          <c:idx val="13"/>
          <c:order val="13"/>
          <c:tx>
            <c:v>Zona 3-2</c:v>
          </c:tx>
          <c:spPr>
            <a:ln w="12700" cap="rnd">
              <a:solidFill>
                <a:schemeClr val="tx1"/>
              </a:solidFill>
              <a:prstDash val="dash"/>
              <a:round/>
            </a:ln>
            <a:effectLst/>
          </c:spPr>
          <c:marker>
            <c:symbol val="none"/>
          </c:marker>
          <c:xVal>
            <c:numRef>
              <c:f>'R Semanal'!$AS$12:$AS$13</c:f>
              <c:numCache>
                <c:formatCode>0\+000.00</c:formatCode>
                <c:ptCount val="2"/>
                <c:pt idx="0">
                  <c:v>1460</c:v>
                </c:pt>
                <c:pt idx="1">
                  <c:v>1460</c:v>
                </c:pt>
              </c:numCache>
              <c:extLst xmlns:c15="http://schemas.microsoft.com/office/drawing/2012/chart"/>
            </c:numRef>
          </c:xVal>
          <c:yVal>
            <c:numRef>
              <c:f>'R Semanal'!$AT$12:$AT$13</c:f>
              <c:numCache>
                <c:formatCode>0\+000.00</c:formatCode>
                <c:ptCount val="2"/>
                <c:pt idx="0">
                  <c:v>-18</c:v>
                </c:pt>
                <c:pt idx="1">
                  <c:v>780</c:v>
                </c:pt>
              </c:numCache>
              <c:extLst xmlns:c15="http://schemas.microsoft.com/office/drawing/2012/chart"/>
            </c:numRef>
          </c:yVal>
          <c:smooth val="0"/>
          <c:extLst xmlns:c15="http://schemas.microsoft.com/office/drawing/2012/chart">
            <c:ext xmlns:c16="http://schemas.microsoft.com/office/drawing/2014/chart" uri="{C3380CC4-5D6E-409C-BE32-E72D297353CC}">
              <c16:uniqueId val="{0000000E-4F3C-47F5-BB9E-FED5FA569E47}"/>
            </c:ext>
          </c:extLst>
        </c:ser>
        <c:ser>
          <c:idx val="14"/>
          <c:order val="14"/>
          <c:tx>
            <c:v>Zona 4-1</c:v>
          </c:tx>
          <c:spPr>
            <a:ln w="12700" cap="rnd">
              <a:solidFill>
                <a:schemeClr val="tx1"/>
              </a:solidFill>
              <a:prstDash val="dash"/>
              <a:round/>
            </a:ln>
            <a:effectLst/>
          </c:spPr>
          <c:marker>
            <c:symbol val="none"/>
          </c:marker>
          <c:xVal>
            <c:numRef>
              <c:f>'R Semanal'!$AS$14:$AS$15</c:f>
              <c:numCache>
                <c:formatCode>0\+000.00</c:formatCode>
                <c:ptCount val="2"/>
                <c:pt idx="0">
                  <c:v>1760</c:v>
                </c:pt>
                <c:pt idx="1">
                  <c:v>1760</c:v>
                </c:pt>
              </c:numCache>
              <c:extLst xmlns:c15="http://schemas.microsoft.com/office/drawing/2012/chart"/>
            </c:numRef>
          </c:xVal>
          <c:yVal>
            <c:numRef>
              <c:f>'R Semanal'!$AT$14:$AT$15</c:f>
              <c:numCache>
                <c:formatCode>0\+000.00</c:formatCode>
                <c:ptCount val="2"/>
                <c:pt idx="0">
                  <c:v>-120</c:v>
                </c:pt>
                <c:pt idx="1">
                  <c:v>400</c:v>
                </c:pt>
              </c:numCache>
              <c:extLst xmlns:c15="http://schemas.microsoft.com/office/drawing/2012/chart"/>
            </c:numRef>
          </c:yVal>
          <c:smooth val="0"/>
          <c:extLst xmlns:c15="http://schemas.microsoft.com/office/drawing/2012/chart">
            <c:ext xmlns:c16="http://schemas.microsoft.com/office/drawing/2014/chart" uri="{C3380CC4-5D6E-409C-BE32-E72D297353CC}">
              <c16:uniqueId val="{0000000F-4F3C-47F5-BB9E-FED5FA569E47}"/>
            </c:ext>
          </c:extLst>
        </c:ser>
        <c:ser>
          <c:idx val="15"/>
          <c:order val="15"/>
          <c:tx>
            <c:v>Zona 4-2</c:v>
          </c:tx>
          <c:spPr>
            <a:ln w="12700" cap="rnd">
              <a:solidFill>
                <a:schemeClr val="tx1"/>
              </a:solidFill>
              <a:prstDash val="dash"/>
              <a:round/>
            </a:ln>
            <a:effectLst/>
          </c:spPr>
          <c:marker>
            <c:symbol val="none"/>
          </c:marker>
          <c:xVal>
            <c:numRef>
              <c:f>'R Semanal'!$AS$16:$AS$17</c:f>
              <c:numCache>
                <c:formatCode>0\+000.00</c:formatCode>
                <c:ptCount val="2"/>
                <c:pt idx="0">
                  <c:v>1920</c:v>
                </c:pt>
                <c:pt idx="1">
                  <c:v>1920</c:v>
                </c:pt>
              </c:numCache>
              <c:extLst xmlns:c15="http://schemas.microsoft.com/office/drawing/2012/chart"/>
            </c:numRef>
          </c:xVal>
          <c:yVal>
            <c:numRef>
              <c:f>'R Semanal'!$AT$16:$AT$17</c:f>
              <c:numCache>
                <c:formatCode>0\+000.00</c:formatCode>
                <c:ptCount val="2"/>
                <c:pt idx="0">
                  <c:v>-200</c:v>
                </c:pt>
                <c:pt idx="1">
                  <c:v>310</c:v>
                </c:pt>
              </c:numCache>
              <c:extLst xmlns:c15="http://schemas.microsoft.com/office/drawing/2012/chart"/>
            </c:numRef>
          </c:yVal>
          <c:smooth val="0"/>
          <c:extLst xmlns:c15="http://schemas.microsoft.com/office/drawing/2012/chart">
            <c:ext xmlns:c16="http://schemas.microsoft.com/office/drawing/2014/chart" uri="{C3380CC4-5D6E-409C-BE32-E72D297353CC}">
              <c16:uniqueId val="{00000010-4F3C-47F5-BB9E-FED5FA569E47}"/>
            </c:ext>
          </c:extLst>
        </c:ser>
        <c:ser>
          <c:idx val="16"/>
          <c:order val="16"/>
          <c:tx>
            <c:strRef>
              <c:f>'R Semanal'!$AZ$1:$BB$1</c:f>
              <c:strCache>
                <c:ptCount val="1"/>
                <c:pt idx="0">
                  <c:v>CONTORNO INTERNO C7 - JULIO 2025</c:v>
                </c:pt>
              </c:strCache>
            </c:strRef>
          </c:tx>
          <c:spPr>
            <a:ln w="12700" cap="rnd">
              <a:solidFill>
                <a:sysClr val="windowText" lastClr="000000"/>
              </a:solidFill>
              <a:round/>
            </a:ln>
            <a:effectLst/>
          </c:spPr>
          <c:marker>
            <c:symbol val="none"/>
          </c:marker>
          <c:dLbls>
            <c:dLbl>
              <c:idx val="228"/>
              <c:layout>
                <c:manualLayout>
                  <c:x val="-2.3970944798814259E-2"/>
                  <c:y val="-7.1400479177024471E-17"/>
                </c:manualLayout>
              </c:layout>
              <c:tx>
                <c:rich>
                  <a:bodyPr/>
                  <a:lstStyle/>
                  <a:p>
                    <a:r>
                      <a:rPr lang="en-US"/>
                      <a:t>C9</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B8D0-4DF5-8848-F706FF0328A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entury Gothic" panose="020B0502020202020204" pitchFamily="34" charset="0"/>
                    <a:ea typeface="+mn-ea"/>
                    <a:cs typeface="+mn-cs"/>
                  </a:defRPr>
                </a:pPr>
                <a:endParaRPr lang="es-PE"/>
              </a:p>
            </c:txPr>
            <c:dLblPos val="l"/>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'R Semanal'!$AZ$2:$AZ$330</c:f>
              <c:numCache>
                <c:formatCode>General</c:formatCode>
                <c:ptCount val="329"/>
                <c:pt idx="0">
                  <c:v>1523.8</c:v>
                </c:pt>
                <c:pt idx="1">
                  <c:v>1521.25</c:v>
                </c:pt>
                <c:pt idx="2">
                  <c:v>1519.23</c:v>
                </c:pt>
                <c:pt idx="3">
                  <c:v>1518.16</c:v>
                </c:pt>
                <c:pt idx="4">
                  <c:v>1517.41</c:v>
                </c:pt>
                <c:pt idx="5">
                  <c:v>1516.76</c:v>
                </c:pt>
                <c:pt idx="6">
                  <c:v>1516.77</c:v>
                </c:pt>
                <c:pt idx="7">
                  <c:v>1517.11</c:v>
                </c:pt>
                <c:pt idx="8">
                  <c:v>1517.01</c:v>
                </c:pt>
                <c:pt idx="9">
                  <c:v>1517.9</c:v>
                </c:pt>
                <c:pt idx="10">
                  <c:v>1519.48</c:v>
                </c:pt>
                <c:pt idx="11">
                  <c:v>1521.01</c:v>
                </c:pt>
                <c:pt idx="12">
                  <c:v>1521.97</c:v>
                </c:pt>
                <c:pt idx="13">
                  <c:v>1522.65</c:v>
                </c:pt>
                <c:pt idx="14">
                  <c:v>1521.02</c:v>
                </c:pt>
                <c:pt idx="15">
                  <c:v>1518.89</c:v>
                </c:pt>
                <c:pt idx="16">
                  <c:v>1518.06</c:v>
                </c:pt>
                <c:pt idx="17">
                  <c:v>1517.78</c:v>
                </c:pt>
                <c:pt idx="18">
                  <c:v>1517.38</c:v>
                </c:pt>
                <c:pt idx="19">
                  <c:v>1517.6</c:v>
                </c:pt>
                <c:pt idx="20">
                  <c:v>1517.57</c:v>
                </c:pt>
                <c:pt idx="21">
                  <c:v>1518.91</c:v>
                </c:pt>
                <c:pt idx="22">
                  <c:v>1520.29</c:v>
                </c:pt>
                <c:pt idx="23">
                  <c:v>1520.3</c:v>
                </c:pt>
                <c:pt idx="24">
                  <c:v>1520.25</c:v>
                </c:pt>
                <c:pt idx="25">
                  <c:v>1521.3</c:v>
                </c:pt>
                <c:pt idx="26">
                  <c:v>1521.13</c:v>
                </c:pt>
                <c:pt idx="27">
                  <c:v>1519.77</c:v>
                </c:pt>
                <c:pt idx="28">
                  <c:v>1519.08</c:v>
                </c:pt>
                <c:pt idx="29">
                  <c:v>1517.72</c:v>
                </c:pt>
                <c:pt idx="30">
                  <c:v>1515.28</c:v>
                </c:pt>
                <c:pt idx="31">
                  <c:v>1513.08</c:v>
                </c:pt>
                <c:pt idx="32">
                  <c:v>1511.17</c:v>
                </c:pt>
                <c:pt idx="33">
                  <c:v>1509.46</c:v>
                </c:pt>
                <c:pt idx="34">
                  <c:v>1506.24</c:v>
                </c:pt>
                <c:pt idx="35">
                  <c:v>1502.55</c:v>
                </c:pt>
                <c:pt idx="36">
                  <c:v>1499.88</c:v>
                </c:pt>
                <c:pt idx="37">
                  <c:v>1495.48</c:v>
                </c:pt>
                <c:pt idx="38">
                  <c:v>1494.05</c:v>
                </c:pt>
                <c:pt idx="39">
                  <c:v>1493.05</c:v>
                </c:pt>
                <c:pt idx="40">
                  <c:v>1488.69</c:v>
                </c:pt>
                <c:pt idx="41">
                  <c:v>1485.46</c:v>
                </c:pt>
                <c:pt idx="42">
                  <c:v>1481.01</c:v>
                </c:pt>
                <c:pt idx="43">
                  <c:v>1481.69</c:v>
                </c:pt>
                <c:pt idx="44">
                  <c:v>1483.17</c:v>
                </c:pt>
                <c:pt idx="45">
                  <c:v>1485.18</c:v>
                </c:pt>
                <c:pt idx="46">
                  <c:v>1488.55</c:v>
                </c:pt>
                <c:pt idx="47">
                  <c:v>1492.57</c:v>
                </c:pt>
                <c:pt idx="48">
                  <c:v>1497.07</c:v>
                </c:pt>
                <c:pt idx="49">
                  <c:v>1500.4</c:v>
                </c:pt>
                <c:pt idx="50">
                  <c:v>1503.11</c:v>
                </c:pt>
                <c:pt idx="51">
                  <c:v>1504.68</c:v>
                </c:pt>
                <c:pt idx="52">
                  <c:v>1505.11</c:v>
                </c:pt>
                <c:pt idx="53">
                  <c:v>1505.09</c:v>
                </c:pt>
                <c:pt idx="54">
                  <c:v>1505.64</c:v>
                </c:pt>
                <c:pt idx="55">
                  <c:v>1506.7</c:v>
                </c:pt>
                <c:pt idx="56">
                  <c:v>1508.33</c:v>
                </c:pt>
                <c:pt idx="57">
                  <c:v>1509.4</c:v>
                </c:pt>
                <c:pt idx="58">
                  <c:v>1510.15</c:v>
                </c:pt>
                <c:pt idx="59">
                  <c:v>1509.01</c:v>
                </c:pt>
                <c:pt idx="60">
                  <c:v>1507.61</c:v>
                </c:pt>
                <c:pt idx="61">
                  <c:v>1504.96</c:v>
                </c:pt>
                <c:pt idx="62">
                  <c:v>1502.05</c:v>
                </c:pt>
                <c:pt idx="63">
                  <c:v>1499.95</c:v>
                </c:pt>
                <c:pt idx="64">
                  <c:v>1497.15</c:v>
                </c:pt>
                <c:pt idx="65">
                  <c:v>1494.85</c:v>
                </c:pt>
                <c:pt idx="66">
                  <c:v>1492.32</c:v>
                </c:pt>
                <c:pt idx="67">
                  <c:v>1489.57</c:v>
                </c:pt>
                <c:pt idx="68">
                  <c:v>1485.13</c:v>
                </c:pt>
                <c:pt idx="69">
                  <c:v>1481.39</c:v>
                </c:pt>
                <c:pt idx="70">
                  <c:v>1476.84</c:v>
                </c:pt>
                <c:pt idx="71">
                  <c:v>1471.71</c:v>
                </c:pt>
                <c:pt idx="72">
                  <c:v>1467.2</c:v>
                </c:pt>
                <c:pt idx="73">
                  <c:v>1462.4</c:v>
                </c:pt>
                <c:pt idx="74">
                  <c:v>1457.38</c:v>
                </c:pt>
                <c:pt idx="75">
                  <c:v>1452.54</c:v>
                </c:pt>
                <c:pt idx="76">
                  <c:v>1449.46</c:v>
                </c:pt>
                <c:pt idx="77">
                  <c:v>1443.81</c:v>
                </c:pt>
                <c:pt idx="78">
                  <c:v>1438.08</c:v>
                </c:pt>
                <c:pt idx="79">
                  <c:v>1433.34</c:v>
                </c:pt>
                <c:pt idx="80">
                  <c:v>1431.9</c:v>
                </c:pt>
                <c:pt idx="81">
                  <c:v>1430.29</c:v>
                </c:pt>
                <c:pt idx="82">
                  <c:v>1430.26</c:v>
                </c:pt>
                <c:pt idx="83">
                  <c:v>1430.7</c:v>
                </c:pt>
                <c:pt idx="84">
                  <c:v>1431.6</c:v>
                </c:pt>
                <c:pt idx="85">
                  <c:v>1426.39</c:v>
                </c:pt>
                <c:pt idx="86">
                  <c:v>1420.42</c:v>
                </c:pt>
                <c:pt idx="87">
                  <c:v>1419.59</c:v>
                </c:pt>
                <c:pt idx="88">
                  <c:v>1419.52</c:v>
                </c:pt>
                <c:pt idx="89">
                  <c:v>1418.53</c:v>
                </c:pt>
                <c:pt idx="90">
                  <c:v>1417.56</c:v>
                </c:pt>
                <c:pt idx="91">
                  <c:v>1417.22</c:v>
                </c:pt>
                <c:pt idx="92">
                  <c:v>1417.93</c:v>
                </c:pt>
                <c:pt idx="93">
                  <c:v>1419.47</c:v>
                </c:pt>
                <c:pt idx="94">
                  <c:v>1422.51</c:v>
                </c:pt>
                <c:pt idx="95">
                  <c:v>1424.06</c:v>
                </c:pt>
                <c:pt idx="96">
                  <c:v>1424.25</c:v>
                </c:pt>
                <c:pt idx="97">
                  <c:v>1424</c:v>
                </c:pt>
                <c:pt idx="98">
                  <c:v>1422.97</c:v>
                </c:pt>
                <c:pt idx="99">
                  <c:v>1421.59</c:v>
                </c:pt>
                <c:pt idx="100">
                  <c:v>1421.14</c:v>
                </c:pt>
                <c:pt idx="101">
                  <c:v>1421.16</c:v>
                </c:pt>
                <c:pt idx="102">
                  <c:v>1421.91</c:v>
                </c:pt>
                <c:pt idx="103">
                  <c:v>1423.47</c:v>
                </c:pt>
                <c:pt idx="104">
                  <c:v>1425.83</c:v>
                </c:pt>
                <c:pt idx="105">
                  <c:v>1427.55</c:v>
                </c:pt>
                <c:pt idx="106">
                  <c:v>1428.9</c:v>
                </c:pt>
                <c:pt idx="107">
                  <c:v>1429.55</c:v>
                </c:pt>
                <c:pt idx="108">
                  <c:v>1430.63</c:v>
                </c:pt>
                <c:pt idx="109">
                  <c:v>1431.9</c:v>
                </c:pt>
                <c:pt idx="110">
                  <c:v>1433.47</c:v>
                </c:pt>
                <c:pt idx="111">
                  <c:v>1436.04</c:v>
                </c:pt>
                <c:pt idx="112">
                  <c:v>1438.16</c:v>
                </c:pt>
                <c:pt idx="113">
                  <c:v>1439.91</c:v>
                </c:pt>
                <c:pt idx="114">
                  <c:v>1443.31</c:v>
                </c:pt>
                <c:pt idx="115">
                  <c:v>1446.9</c:v>
                </c:pt>
                <c:pt idx="116">
                  <c:v>1450.05</c:v>
                </c:pt>
                <c:pt idx="117">
                  <c:v>1453.72</c:v>
                </c:pt>
                <c:pt idx="118">
                  <c:v>1457.26</c:v>
                </c:pt>
                <c:pt idx="119">
                  <c:v>1459.83</c:v>
                </c:pt>
                <c:pt idx="120">
                  <c:v>1462.23</c:v>
                </c:pt>
                <c:pt idx="121">
                  <c:v>1468.62</c:v>
                </c:pt>
                <c:pt idx="122">
                  <c:v>1474.05</c:v>
                </c:pt>
                <c:pt idx="123">
                  <c:v>1478.91</c:v>
                </c:pt>
                <c:pt idx="124">
                  <c:v>1484.28</c:v>
                </c:pt>
                <c:pt idx="125">
                  <c:v>1486.98</c:v>
                </c:pt>
                <c:pt idx="126">
                  <c:v>1493.2</c:v>
                </c:pt>
                <c:pt idx="127">
                  <c:v>1499.78</c:v>
                </c:pt>
                <c:pt idx="128">
                  <c:v>1507.11</c:v>
                </c:pt>
                <c:pt idx="129">
                  <c:v>1512.15</c:v>
                </c:pt>
                <c:pt idx="130">
                  <c:v>1516.01</c:v>
                </c:pt>
                <c:pt idx="131">
                  <c:v>1520.16</c:v>
                </c:pt>
                <c:pt idx="132">
                  <c:v>1527.06</c:v>
                </c:pt>
                <c:pt idx="133">
                  <c:v>1532.32</c:v>
                </c:pt>
                <c:pt idx="134">
                  <c:v>1536.58</c:v>
                </c:pt>
                <c:pt idx="135">
                  <c:v>1540.86</c:v>
                </c:pt>
                <c:pt idx="136">
                  <c:v>1545.12</c:v>
                </c:pt>
                <c:pt idx="137">
                  <c:v>1548.74</c:v>
                </c:pt>
                <c:pt idx="138">
                  <c:v>1552.33</c:v>
                </c:pt>
                <c:pt idx="139">
                  <c:v>1556.32</c:v>
                </c:pt>
                <c:pt idx="140">
                  <c:v>1560.3</c:v>
                </c:pt>
                <c:pt idx="141">
                  <c:v>1563.36</c:v>
                </c:pt>
                <c:pt idx="142">
                  <c:v>1568.28</c:v>
                </c:pt>
                <c:pt idx="143">
                  <c:v>1573.23</c:v>
                </c:pt>
                <c:pt idx="144">
                  <c:v>1578.45</c:v>
                </c:pt>
                <c:pt idx="145">
                  <c:v>1580.43</c:v>
                </c:pt>
                <c:pt idx="146">
                  <c:v>1585.02</c:v>
                </c:pt>
                <c:pt idx="147">
                  <c:v>1589.36</c:v>
                </c:pt>
                <c:pt idx="148">
                  <c:v>1595.06</c:v>
                </c:pt>
                <c:pt idx="149">
                  <c:v>1600.77</c:v>
                </c:pt>
                <c:pt idx="150">
                  <c:v>1608.38</c:v>
                </c:pt>
                <c:pt idx="151">
                  <c:v>1615.99</c:v>
                </c:pt>
                <c:pt idx="152">
                  <c:v>1619.86</c:v>
                </c:pt>
                <c:pt idx="153">
                  <c:v>1623.72</c:v>
                </c:pt>
                <c:pt idx="154">
                  <c:v>1626.42</c:v>
                </c:pt>
                <c:pt idx="155">
                  <c:v>1629.5</c:v>
                </c:pt>
                <c:pt idx="156">
                  <c:v>1629.9</c:v>
                </c:pt>
                <c:pt idx="157">
                  <c:v>1633.22</c:v>
                </c:pt>
                <c:pt idx="158">
                  <c:v>1635.8</c:v>
                </c:pt>
                <c:pt idx="159">
                  <c:v>1639.73</c:v>
                </c:pt>
                <c:pt idx="160">
                  <c:v>1640.64</c:v>
                </c:pt>
                <c:pt idx="161">
                  <c:v>1639.8</c:v>
                </c:pt>
                <c:pt idx="162">
                  <c:v>1639.57</c:v>
                </c:pt>
                <c:pt idx="163">
                  <c:v>1639.08</c:v>
                </c:pt>
                <c:pt idx="164">
                  <c:v>1638.27</c:v>
                </c:pt>
                <c:pt idx="165">
                  <c:v>1637.72</c:v>
                </c:pt>
                <c:pt idx="166">
                  <c:v>1636.19</c:v>
                </c:pt>
                <c:pt idx="167">
                  <c:v>1634.42</c:v>
                </c:pt>
                <c:pt idx="168">
                  <c:v>1636.36</c:v>
                </c:pt>
                <c:pt idx="169">
                  <c:v>1636.98</c:v>
                </c:pt>
                <c:pt idx="170">
                  <c:v>1637.15</c:v>
                </c:pt>
                <c:pt idx="171">
                  <c:v>1638.25</c:v>
                </c:pt>
                <c:pt idx="172">
                  <c:v>1637.94</c:v>
                </c:pt>
                <c:pt idx="173">
                  <c:v>1636.18</c:v>
                </c:pt>
                <c:pt idx="174">
                  <c:v>1634.43</c:v>
                </c:pt>
                <c:pt idx="175">
                  <c:v>1633.5</c:v>
                </c:pt>
                <c:pt idx="176">
                  <c:v>1623.24</c:v>
                </c:pt>
                <c:pt idx="177">
                  <c:v>1625.35</c:v>
                </c:pt>
                <c:pt idx="178">
                  <c:v>1626.29</c:v>
                </c:pt>
                <c:pt idx="179">
                  <c:v>1628.99</c:v>
                </c:pt>
                <c:pt idx="180">
                  <c:v>1632.63</c:v>
                </c:pt>
                <c:pt idx="181">
                  <c:v>1634.69</c:v>
                </c:pt>
                <c:pt idx="182">
                  <c:v>1637.3</c:v>
                </c:pt>
                <c:pt idx="183">
                  <c:v>1637.93</c:v>
                </c:pt>
                <c:pt idx="184">
                  <c:v>1638.02</c:v>
                </c:pt>
                <c:pt idx="185">
                  <c:v>1636.99</c:v>
                </c:pt>
                <c:pt idx="186">
                  <c:v>1635.8</c:v>
                </c:pt>
                <c:pt idx="187">
                  <c:v>1635.7</c:v>
                </c:pt>
                <c:pt idx="188">
                  <c:v>1635.21</c:v>
                </c:pt>
                <c:pt idx="189">
                  <c:v>1634.34</c:v>
                </c:pt>
                <c:pt idx="190">
                  <c:v>1633.78</c:v>
                </c:pt>
                <c:pt idx="191">
                  <c:v>1632.84</c:v>
                </c:pt>
                <c:pt idx="192">
                  <c:v>1631.78</c:v>
                </c:pt>
                <c:pt idx="193">
                  <c:v>1631.2</c:v>
                </c:pt>
                <c:pt idx="194">
                  <c:v>1629.41</c:v>
                </c:pt>
                <c:pt idx="195">
                  <c:v>1627.8</c:v>
                </c:pt>
                <c:pt idx="196">
                  <c:v>1628.76</c:v>
                </c:pt>
                <c:pt idx="197">
                  <c:v>1629.66</c:v>
                </c:pt>
                <c:pt idx="198">
                  <c:v>1630.12</c:v>
                </c:pt>
                <c:pt idx="199">
                  <c:v>1630.59</c:v>
                </c:pt>
                <c:pt idx="200">
                  <c:v>1630.62</c:v>
                </c:pt>
                <c:pt idx="201">
                  <c:v>1631.29</c:v>
                </c:pt>
                <c:pt idx="202">
                  <c:v>1631.93</c:v>
                </c:pt>
                <c:pt idx="203">
                  <c:v>1632.66</c:v>
                </c:pt>
                <c:pt idx="204">
                  <c:v>1632.2</c:v>
                </c:pt>
                <c:pt idx="205">
                  <c:v>1631.22</c:v>
                </c:pt>
                <c:pt idx="206">
                  <c:v>1629.69</c:v>
                </c:pt>
                <c:pt idx="207">
                  <c:v>1627.85</c:v>
                </c:pt>
                <c:pt idx="208">
                  <c:v>1626.11</c:v>
                </c:pt>
                <c:pt idx="209">
                  <c:v>1625.08</c:v>
                </c:pt>
                <c:pt idx="210">
                  <c:v>1624.06</c:v>
                </c:pt>
                <c:pt idx="211">
                  <c:v>1622.37</c:v>
                </c:pt>
                <c:pt idx="212">
                  <c:v>1620.89</c:v>
                </c:pt>
                <c:pt idx="213">
                  <c:v>1619.02</c:v>
                </c:pt>
                <c:pt idx="214">
                  <c:v>1618.51</c:v>
                </c:pt>
                <c:pt idx="215">
                  <c:v>1618.8</c:v>
                </c:pt>
                <c:pt idx="216">
                  <c:v>1618.75</c:v>
                </c:pt>
                <c:pt idx="217">
                  <c:v>1615.25</c:v>
                </c:pt>
                <c:pt idx="218">
                  <c:v>1615.98</c:v>
                </c:pt>
                <c:pt idx="219">
                  <c:v>1618.45</c:v>
                </c:pt>
                <c:pt idx="220">
                  <c:v>1620.93</c:v>
                </c:pt>
                <c:pt idx="221">
                  <c:v>1623.3</c:v>
                </c:pt>
                <c:pt idx="222">
                  <c:v>1624.22</c:v>
                </c:pt>
                <c:pt idx="223">
                  <c:v>1623.89</c:v>
                </c:pt>
                <c:pt idx="224">
                  <c:v>1621.8</c:v>
                </c:pt>
                <c:pt idx="225">
                  <c:v>1620.25</c:v>
                </c:pt>
                <c:pt idx="226">
                  <c:v>1619.47</c:v>
                </c:pt>
                <c:pt idx="227">
                  <c:v>1618.87</c:v>
                </c:pt>
                <c:pt idx="228">
                  <c:v>1618.37</c:v>
                </c:pt>
                <c:pt idx="229">
                  <c:v>1617.35</c:v>
                </c:pt>
                <c:pt idx="230">
                  <c:v>1617.48</c:v>
                </c:pt>
                <c:pt idx="231">
                  <c:v>1619.29</c:v>
                </c:pt>
                <c:pt idx="232">
                  <c:v>1620.21</c:v>
                </c:pt>
                <c:pt idx="233">
                  <c:v>1625.49</c:v>
                </c:pt>
                <c:pt idx="234">
                  <c:v>1629.12</c:v>
                </c:pt>
                <c:pt idx="235">
                  <c:v>1631.67</c:v>
                </c:pt>
                <c:pt idx="236">
                  <c:v>1632.18</c:v>
                </c:pt>
                <c:pt idx="237">
                  <c:v>1634.03</c:v>
                </c:pt>
                <c:pt idx="238">
                  <c:v>1635.4</c:v>
                </c:pt>
                <c:pt idx="239">
                  <c:v>1635.78</c:v>
                </c:pt>
                <c:pt idx="240">
                  <c:v>1637.7</c:v>
                </c:pt>
                <c:pt idx="241">
                  <c:v>1641.69</c:v>
                </c:pt>
                <c:pt idx="242">
                  <c:v>1646.49</c:v>
                </c:pt>
                <c:pt idx="243">
                  <c:v>1650.08</c:v>
                </c:pt>
                <c:pt idx="244">
                  <c:v>1654.02</c:v>
                </c:pt>
                <c:pt idx="245">
                  <c:v>1657.59</c:v>
                </c:pt>
                <c:pt idx="246">
                  <c:v>1662.7</c:v>
                </c:pt>
                <c:pt idx="247">
                  <c:v>1666.94</c:v>
                </c:pt>
                <c:pt idx="248">
                  <c:v>1669.49</c:v>
                </c:pt>
                <c:pt idx="249">
                  <c:v>1669.99</c:v>
                </c:pt>
                <c:pt idx="250">
                  <c:v>1669.71</c:v>
                </c:pt>
                <c:pt idx="251">
                  <c:v>1668.36</c:v>
                </c:pt>
                <c:pt idx="252">
                  <c:v>1666.1</c:v>
                </c:pt>
                <c:pt idx="253">
                  <c:v>1663.29</c:v>
                </c:pt>
                <c:pt idx="254">
                  <c:v>1661.31</c:v>
                </c:pt>
                <c:pt idx="255">
                  <c:v>1658.8</c:v>
                </c:pt>
                <c:pt idx="256">
                  <c:v>1657.48</c:v>
                </c:pt>
                <c:pt idx="257">
                  <c:v>1655.69</c:v>
                </c:pt>
                <c:pt idx="258">
                  <c:v>1653.38</c:v>
                </c:pt>
                <c:pt idx="259">
                  <c:v>1651.64</c:v>
                </c:pt>
                <c:pt idx="260">
                  <c:v>1649.32</c:v>
                </c:pt>
                <c:pt idx="261">
                  <c:v>1645.09</c:v>
                </c:pt>
                <c:pt idx="262">
                  <c:v>1639.98</c:v>
                </c:pt>
                <c:pt idx="263">
                  <c:v>1634.81</c:v>
                </c:pt>
                <c:pt idx="264">
                  <c:v>1630.27</c:v>
                </c:pt>
                <c:pt idx="265">
                  <c:v>1627.16</c:v>
                </c:pt>
                <c:pt idx="266">
                  <c:v>1623.51</c:v>
                </c:pt>
                <c:pt idx="267">
                  <c:v>1620.9</c:v>
                </c:pt>
                <c:pt idx="268">
                  <c:v>1617.13</c:v>
                </c:pt>
                <c:pt idx="269">
                  <c:v>1613.93</c:v>
                </c:pt>
                <c:pt idx="270">
                  <c:v>1610.97</c:v>
                </c:pt>
                <c:pt idx="271">
                  <c:v>1610.75</c:v>
                </c:pt>
                <c:pt idx="272">
                  <c:v>1611.27</c:v>
                </c:pt>
                <c:pt idx="273">
                  <c:v>1608.02</c:v>
                </c:pt>
                <c:pt idx="274">
                  <c:v>1606.87</c:v>
                </c:pt>
                <c:pt idx="275">
                  <c:v>1607.9</c:v>
                </c:pt>
                <c:pt idx="276">
                  <c:v>1609.22</c:v>
                </c:pt>
                <c:pt idx="277">
                  <c:v>1610.33</c:v>
                </c:pt>
                <c:pt idx="278">
                  <c:v>1611.77</c:v>
                </c:pt>
                <c:pt idx="279">
                  <c:v>1613.15</c:v>
                </c:pt>
                <c:pt idx="280">
                  <c:v>1614.28</c:v>
                </c:pt>
                <c:pt idx="281">
                  <c:v>1616.34</c:v>
                </c:pt>
                <c:pt idx="282">
                  <c:v>1616.83</c:v>
                </c:pt>
                <c:pt idx="283">
                  <c:v>1616.01</c:v>
                </c:pt>
                <c:pt idx="284">
                  <c:v>1615.24</c:v>
                </c:pt>
                <c:pt idx="285">
                  <c:v>1614.18</c:v>
                </c:pt>
                <c:pt idx="286">
                  <c:v>1611.95</c:v>
                </c:pt>
                <c:pt idx="287">
                  <c:v>1606.46</c:v>
                </c:pt>
                <c:pt idx="288">
                  <c:v>1603.2</c:v>
                </c:pt>
                <c:pt idx="289">
                  <c:v>1599.42</c:v>
                </c:pt>
                <c:pt idx="290">
                  <c:v>1598.99</c:v>
                </c:pt>
                <c:pt idx="291">
                  <c:v>1595.62</c:v>
                </c:pt>
                <c:pt idx="292">
                  <c:v>1592.82</c:v>
                </c:pt>
                <c:pt idx="293">
                  <c:v>1591.85</c:v>
                </c:pt>
                <c:pt idx="294">
                  <c:v>1588.96</c:v>
                </c:pt>
                <c:pt idx="295">
                  <c:v>1588.03</c:v>
                </c:pt>
                <c:pt idx="296">
                  <c:v>1587.61</c:v>
                </c:pt>
                <c:pt idx="297">
                  <c:v>1586.76</c:v>
                </c:pt>
                <c:pt idx="298">
                  <c:v>1585.71</c:v>
                </c:pt>
                <c:pt idx="299">
                  <c:v>1585.09</c:v>
                </c:pt>
                <c:pt idx="300">
                  <c:v>1583.82</c:v>
                </c:pt>
                <c:pt idx="301">
                  <c:v>1582.96</c:v>
                </c:pt>
                <c:pt idx="302">
                  <c:v>1582.76</c:v>
                </c:pt>
                <c:pt idx="303">
                  <c:v>1582.16</c:v>
                </c:pt>
                <c:pt idx="304">
                  <c:v>1580.39</c:v>
                </c:pt>
                <c:pt idx="305">
                  <c:v>1578.92</c:v>
                </c:pt>
                <c:pt idx="306">
                  <c:v>1575.39</c:v>
                </c:pt>
                <c:pt idx="307">
                  <c:v>1574.31</c:v>
                </c:pt>
                <c:pt idx="308">
                  <c:v>1573.24</c:v>
                </c:pt>
                <c:pt idx="309">
                  <c:v>1570.45</c:v>
                </c:pt>
                <c:pt idx="310">
                  <c:v>1568.61</c:v>
                </c:pt>
                <c:pt idx="311">
                  <c:v>1566.6</c:v>
                </c:pt>
                <c:pt idx="312">
                  <c:v>1564.5</c:v>
                </c:pt>
                <c:pt idx="313">
                  <c:v>1561.03</c:v>
                </c:pt>
                <c:pt idx="314">
                  <c:v>1558.81</c:v>
                </c:pt>
                <c:pt idx="315">
                  <c:v>1555.66</c:v>
                </c:pt>
                <c:pt idx="316">
                  <c:v>1553.56</c:v>
                </c:pt>
                <c:pt idx="317">
                  <c:v>1550.92</c:v>
                </c:pt>
                <c:pt idx="318">
                  <c:v>1549.31</c:v>
                </c:pt>
                <c:pt idx="319">
                  <c:v>1547.09</c:v>
                </c:pt>
                <c:pt idx="320">
                  <c:v>1545.36</c:v>
                </c:pt>
                <c:pt idx="321">
                  <c:v>1541.84</c:v>
                </c:pt>
                <c:pt idx="322">
                  <c:v>1539.56</c:v>
                </c:pt>
                <c:pt idx="323">
                  <c:v>1536.2</c:v>
                </c:pt>
                <c:pt idx="324">
                  <c:v>1533.31</c:v>
                </c:pt>
                <c:pt idx="325">
                  <c:v>1531.03</c:v>
                </c:pt>
                <c:pt idx="326">
                  <c:v>1528.86</c:v>
                </c:pt>
                <c:pt idx="327">
                  <c:v>1526.37</c:v>
                </c:pt>
                <c:pt idx="328">
                  <c:v>1523.8</c:v>
                </c:pt>
              </c:numCache>
            </c:numRef>
          </c:xVal>
          <c:yVal>
            <c:numRef>
              <c:f>'R Semanal'!$BA$2:$BA$330</c:f>
              <c:numCache>
                <c:formatCode>General</c:formatCode>
                <c:ptCount val="329"/>
                <c:pt idx="0">
                  <c:v>540.03</c:v>
                </c:pt>
                <c:pt idx="1">
                  <c:v>543.6</c:v>
                </c:pt>
                <c:pt idx="2">
                  <c:v>547.21</c:v>
                </c:pt>
                <c:pt idx="3">
                  <c:v>550.11</c:v>
                </c:pt>
                <c:pt idx="4">
                  <c:v>554.98</c:v>
                </c:pt>
                <c:pt idx="5">
                  <c:v>558.77</c:v>
                </c:pt>
                <c:pt idx="6">
                  <c:v>563.14</c:v>
                </c:pt>
                <c:pt idx="7">
                  <c:v>567.08000000000004</c:v>
                </c:pt>
                <c:pt idx="8">
                  <c:v>571.83000000000004</c:v>
                </c:pt>
                <c:pt idx="9">
                  <c:v>575.76</c:v>
                </c:pt>
                <c:pt idx="10">
                  <c:v>580.47</c:v>
                </c:pt>
                <c:pt idx="11">
                  <c:v>583.49</c:v>
                </c:pt>
                <c:pt idx="12">
                  <c:v>586.64</c:v>
                </c:pt>
                <c:pt idx="13">
                  <c:v>592.42999999999995</c:v>
                </c:pt>
                <c:pt idx="14">
                  <c:v>596.09</c:v>
                </c:pt>
                <c:pt idx="15">
                  <c:v>599.85</c:v>
                </c:pt>
                <c:pt idx="16">
                  <c:v>602.98</c:v>
                </c:pt>
                <c:pt idx="17">
                  <c:v>607.01</c:v>
                </c:pt>
                <c:pt idx="18">
                  <c:v>610.16</c:v>
                </c:pt>
                <c:pt idx="19">
                  <c:v>614.33000000000004</c:v>
                </c:pt>
                <c:pt idx="20">
                  <c:v>616.86</c:v>
                </c:pt>
                <c:pt idx="21">
                  <c:v>619.97</c:v>
                </c:pt>
                <c:pt idx="22">
                  <c:v>624.91999999999996</c:v>
                </c:pt>
                <c:pt idx="23">
                  <c:v>632.02</c:v>
                </c:pt>
                <c:pt idx="24">
                  <c:v>637.57000000000005</c:v>
                </c:pt>
                <c:pt idx="25">
                  <c:v>644.86</c:v>
                </c:pt>
                <c:pt idx="26">
                  <c:v>649.69000000000005</c:v>
                </c:pt>
                <c:pt idx="27">
                  <c:v>657.08</c:v>
                </c:pt>
                <c:pt idx="28">
                  <c:v>662.8</c:v>
                </c:pt>
                <c:pt idx="29">
                  <c:v>668.09</c:v>
                </c:pt>
                <c:pt idx="30">
                  <c:v>673.04</c:v>
                </c:pt>
                <c:pt idx="31">
                  <c:v>678.2</c:v>
                </c:pt>
                <c:pt idx="32">
                  <c:v>682.92</c:v>
                </c:pt>
                <c:pt idx="33">
                  <c:v>687.74</c:v>
                </c:pt>
                <c:pt idx="34">
                  <c:v>693.95</c:v>
                </c:pt>
                <c:pt idx="35">
                  <c:v>699.04</c:v>
                </c:pt>
                <c:pt idx="36">
                  <c:v>702.46</c:v>
                </c:pt>
                <c:pt idx="37">
                  <c:v>710.11</c:v>
                </c:pt>
                <c:pt idx="38">
                  <c:v>714.19</c:v>
                </c:pt>
                <c:pt idx="39">
                  <c:v>718.12</c:v>
                </c:pt>
                <c:pt idx="40">
                  <c:v>715.5</c:v>
                </c:pt>
                <c:pt idx="41">
                  <c:v>715.59</c:v>
                </c:pt>
                <c:pt idx="42">
                  <c:v>715.1</c:v>
                </c:pt>
                <c:pt idx="43">
                  <c:v>719.4</c:v>
                </c:pt>
                <c:pt idx="44">
                  <c:v>721.96</c:v>
                </c:pt>
                <c:pt idx="45">
                  <c:v>724.27</c:v>
                </c:pt>
                <c:pt idx="46">
                  <c:v>726.76</c:v>
                </c:pt>
                <c:pt idx="47">
                  <c:v>728.22</c:v>
                </c:pt>
                <c:pt idx="48">
                  <c:v>728.84</c:v>
                </c:pt>
                <c:pt idx="49">
                  <c:v>729.91</c:v>
                </c:pt>
                <c:pt idx="50">
                  <c:v>732.01</c:v>
                </c:pt>
                <c:pt idx="51">
                  <c:v>735.3</c:v>
                </c:pt>
                <c:pt idx="52">
                  <c:v>739</c:v>
                </c:pt>
                <c:pt idx="53">
                  <c:v>742.61</c:v>
                </c:pt>
                <c:pt idx="54">
                  <c:v>746.01</c:v>
                </c:pt>
                <c:pt idx="55">
                  <c:v>749.13</c:v>
                </c:pt>
                <c:pt idx="56">
                  <c:v>752.48</c:v>
                </c:pt>
                <c:pt idx="57">
                  <c:v>755.95</c:v>
                </c:pt>
                <c:pt idx="58">
                  <c:v>759.38</c:v>
                </c:pt>
                <c:pt idx="59">
                  <c:v>764.18</c:v>
                </c:pt>
                <c:pt idx="60">
                  <c:v>766.22</c:v>
                </c:pt>
                <c:pt idx="61">
                  <c:v>768.92</c:v>
                </c:pt>
                <c:pt idx="62">
                  <c:v>771.01</c:v>
                </c:pt>
                <c:pt idx="63">
                  <c:v>772.03</c:v>
                </c:pt>
                <c:pt idx="64">
                  <c:v>773.54</c:v>
                </c:pt>
                <c:pt idx="65">
                  <c:v>776.33</c:v>
                </c:pt>
                <c:pt idx="66">
                  <c:v>779.12</c:v>
                </c:pt>
                <c:pt idx="67">
                  <c:v>781.99</c:v>
                </c:pt>
                <c:pt idx="68">
                  <c:v>784.81</c:v>
                </c:pt>
                <c:pt idx="69">
                  <c:v>785.46</c:v>
                </c:pt>
                <c:pt idx="70">
                  <c:v>784.86</c:v>
                </c:pt>
                <c:pt idx="71">
                  <c:v>784.97</c:v>
                </c:pt>
                <c:pt idx="72">
                  <c:v>785.46</c:v>
                </c:pt>
                <c:pt idx="73">
                  <c:v>786.15</c:v>
                </c:pt>
                <c:pt idx="74">
                  <c:v>787.98</c:v>
                </c:pt>
                <c:pt idx="75">
                  <c:v>789.95</c:v>
                </c:pt>
                <c:pt idx="76">
                  <c:v>791.29</c:v>
                </c:pt>
                <c:pt idx="77">
                  <c:v>794.12</c:v>
                </c:pt>
                <c:pt idx="78">
                  <c:v>797.41</c:v>
                </c:pt>
                <c:pt idx="79">
                  <c:v>800.75</c:v>
                </c:pt>
                <c:pt idx="80">
                  <c:v>801.86</c:v>
                </c:pt>
                <c:pt idx="81">
                  <c:v>805.79</c:v>
                </c:pt>
                <c:pt idx="82">
                  <c:v>808.53</c:v>
                </c:pt>
                <c:pt idx="83">
                  <c:v>812.41</c:v>
                </c:pt>
                <c:pt idx="84">
                  <c:v>815.12</c:v>
                </c:pt>
                <c:pt idx="85">
                  <c:v>815.2</c:v>
                </c:pt>
                <c:pt idx="86">
                  <c:v>815.29</c:v>
                </c:pt>
                <c:pt idx="87">
                  <c:v>815.53</c:v>
                </c:pt>
                <c:pt idx="88">
                  <c:v>815.76</c:v>
                </c:pt>
                <c:pt idx="89">
                  <c:v>820.5</c:v>
                </c:pt>
                <c:pt idx="90">
                  <c:v>826.71</c:v>
                </c:pt>
                <c:pt idx="91">
                  <c:v>831.01</c:v>
                </c:pt>
                <c:pt idx="92">
                  <c:v>834.78</c:v>
                </c:pt>
                <c:pt idx="93">
                  <c:v>837.35</c:v>
                </c:pt>
                <c:pt idx="94">
                  <c:v>841.48</c:v>
                </c:pt>
                <c:pt idx="95">
                  <c:v>844.28</c:v>
                </c:pt>
                <c:pt idx="96">
                  <c:v>848.74</c:v>
                </c:pt>
                <c:pt idx="97">
                  <c:v>854.14</c:v>
                </c:pt>
                <c:pt idx="98">
                  <c:v>857.57</c:v>
                </c:pt>
                <c:pt idx="99">
                  <c:v>860.88</c:v>
                </c:pt>
                <c:pt idx="100">
                  <c:v>866.2</c:v>
                </c:pt>
                <c:pt idx="101">
                  <c:v>871.93</c:v>
                </c:pt>
                <c:pt idx="102">
                  <c:v>877.8</c:v>
                </c:pt>
                <c:pt idx="103">
                  <c:v>882.21</c:v>
                </c:pt>
                <c:pt idx="104">
                  <c:v>887.89</c:v>
                </c:pt>
                <c:pt idx="105">
                  <c:v>893.83</c:v>
                </c:pt>
                <c:pt idx="106">
                  <c:v>900.36</c:v>
                </c:pt>
                <c:pt idx="107">
                  <c:v>905.54</c:v>
                </c:pt>
                <c:pt idx="108">
                  <c:v>910.43</c:v>
                </c:pt>
                <c:pt idx="109">
                  <c:v>915.11</c:v>
                </c:pt>
                <c:pt idx="110">
                  <c:v>919.39</c:v>
                </c:pt>
                <c:pt idx="111">
                  <c:v>923.05</c:v>
                </c:pt>
                <c:pt idx="112">
                  <c:v>926.11</c:v>
                </c:pt>
                <c:pt idx="113">
                  <c:v>928.3</c:v>
                </c:pt>
                <c:pt idx="114">
                  <c:v>930.09</c:v>
                </c:pt>
                <c:pt idx="115">
                  <c:v>931.6</c:v>
                </c:pt>
                <c:pt idx="116">
                  <c:v>931.96</c:v>
                </c:pt>
                <c:pt idx="117">
                  <c:v>929.89</c:v>
                </c:pt>
                <c:pt idx="118">
                  <c:v>929.03</c:v>
                </c:pt>
                <c:pt idx="119">
                  <c:v>928.46</c:v>
                </c:pt>
                <c:pt idx="120">
                  <c:v>928.89</c:v>
                </c:pt>
                <c:pt idx="121">
                  <c:v>929.56</c:v>
                </c:pt>
                <c:pt idx="122">
                  <c:v>929.19</c:v>
                </c:pt>
                <c:pt idx="123">
                  <c:v>929.2</c:v>
                </c:pt>
                <c:pt idx="124">
                  <c:v>929.51</c:v>
                </c:pt>
                <c:pt idx="125">
                  <c:v>929.86</c:v>
                </c:pt>
                <c:pt idx="126">
                  <c:v>930.13</c:v>
                </c:pt>
                <c:pt idx="127">
                  <c:v>929.17</c:v>
                </c:pt>
                <c:pt idx="128">
                  <c:v>927.13</c:v>
                </c:pt>
                <c:pt idx="129">
                  <c:v>926.03</c:v>
                </c:pt>
                <c:pt idx="130">
                  <c:v>924.59</c:v>
                </c:pt>
                <c:pt idx="131">
                  <c:v>922.58</c:v>
                </c:pt>
                <c:pt idx="132">
                  <c:v>920.9</c:v>
                </c:pt>
                <c:pt idx="133">
                  <c:v>919.5</c:v>
                </c:pt>
                <c:pt idx="134">
                  <c:v>918.32</c:v>
                </c:pt>
                <c:pt idx="135">
                  <c:v>917.15</c:v>
                </c:pt>
                <c:pt idx="136">
                  <c:v>915.72</c:v>
                </c:pt>
                <c:pt idx="137">
                  <c:v>913.48</c:v>
                </c:pt>
                <c:pt idx="138">
                  <c:v>911.19</c:v>
                </c:pt>
                <c:pt idx="139">
                  <c:v>908.94</c:v>
                </c:pt>
                <c:pt idx="140">
                  <c:v>907.36</c:v>
                </c:pt>
                <c:pt idx="141">
                  <c:v>906.03</c:v>
                </c:pt>
                <c:pt idx="142">
                  <c:v>903.54</c:v>
                </c:pt>
                <c:pt idx="143">
                  <c:v>902.11</c:v>
                </c:pt>
                <c:pt idx="144">
                  <c:v>902.25</c:v>
                </c:pt>
                <c:pt idx="145">
                  <c:v>899.17</c:v>
                </c:pt>
                <c:pt idx="146">
                  <c:v>901.63</c:v>
                </c:pt>
                <c:pt idx="147">
                  <c:v>901.59</c:v>
                </c:pt>
                <c:pt idx="148">
                  <c:v>902.53</c:v>
                </c:pt>
                <c:pt idx="149">
                  <c:v>903.47</c:v>
                </c:pt>
                <c:pt idx="150">
                  <c:v>899.54</c:v>
                </c:pt>
                <c:pt idx="151">
                  <c:v>895.6</c:v>
                </c:pt>
                <c:pt idx="152">
                  <c:v>891.29</c:v>
                </c:pt>
                <c:pt idx="153">
                  <c:v>886.99</c:v>
                </c:pt>
                <c:pt idx="154">
                  <c:v>881.97</c:v>
                </c:pt>
                <c:pt idx="155">
                  <c:v>876.28</c:v>
                </c:pt>
                <c:pt idx="156">
                  <c:v>875.61</c:v>
                </c:pt>
                <c:pt idx="157">
                  <c:v>870.12</c:v>
                </c:pt>
                <c:pt idx="158">
                  <c:v>866.7</c:v>
                </c:pt>
                <c:pt idx="159">
                  <c:v>857.13</c:v>
                </c:pt>
                <c:pt idx="160">
                  <c:v>852.94</c:v>
                </c:pt>
                <c:pt idx="161">
                  <c:v>842.64</c:v>
                </c:pt>
                <c:pt idx="162">
                  <c:v>840.57</c:v>
                </c:pt>
                <c:pt idx="163">
                  <c:v>837.73</c:v>
                </c:pt>
                <c:pt idx="164">
                  <c:v>836.2</c:v>
                </c:pt>
                <c:pt idx="165">
                  <c:v>835.43</c:v>
                </c:pt>
                <c:pt idx="166">
                  <c:v>833.61</c:v>
                </c:pt>
                <c:pt idx="167">
                  <c:v>831.25</c:v>
                </c:pt>
                <c:pt idx="168">
                  <c:v>827.03</c:v>
                </c:pt>
                <c:pt idx="169">
                  <c:v>824.77</c:v>
                </c:pt>
                <c:pt idx="170">
                  <c:v>819.31</c:v>
                </c:pt>
                <c:pt idx="171">
                  <c:v>814</c:v>
                </c:pt>
                <c:pt idx="172">
                  <c:v>809.08</c:v>
                </c:pt>
                <c:pt idx="173">
                  <c:v>805.22</c:v>
                </c:pt>
                <c:pt idx="174">
                  <c:v>802.16</c:v>
                </c:pt>
                <c:pt idx="175">
                  <c:v>800.38</c:v>
                </c:pt>
                <c:pt idx="176">
                  <c:v>802.63</c:v>
                </c:pt>
                <c:pt idx="177">
                  <c:v>799.16</c:v>
                </c:pt>
                <c:pt idx="178">
                  <c:v>798.44</c:v>
                </c:pt>
                <c:pt idx="179">
                  <c:v>793.65</c:v>
                </c:pt>
                <c:pt idx="180">
                  <c:v>786.77</c:v>
                </c:pt>
                <c:pt idx="181">
                  <c:v>782.31</c:v>
                </c:pt>
                <c:pt idx="182">
                  <c:v>776.12</c:v>
                </c:pt>
                <c:pt idx="183">
                  <c:v>769.61</c:v>
                </c:pt>
                <c:pt idx="184">
                  <c:v>763.64</c:v>
                </c:pt>
                <c:pt idx="185">
                  <c:v>757.34</c:v>
                </c:pt>
                <c:pt idx="186">
                  <c:v>751.44</c:v>
                </c:pt>
                <c:pt idx="187">
                  <c:v>746.08</c:v>
                </c:pt>
                <c:pt idx="188">
                  <c:v>741.68</c:v>
                </c:pt>
                <c:pt idx="189">
                  <c:v>740.87</c:v>
                </c:pt>
                <c:pt idx="190">
                  <c:v>740.59</c:v>
                </c:pt>
                <c:pt idx="191">
                  <c:v>742.46</c:v>
                </c:pt>
                <c:pt idx="192">
                  <c:v>744.42</c:v>
                </c:pt>
                <c:pt idx="193">
                  <c:v>746.33</c:v>
                </c:pt>
                <c:pt idx="194">
                  <c:v>747.31</c:v>
                </c:pt>
                <c:pt idx="195">
                  <c:v>746.09</c:v>
                </c:pt>
                <c:pt idx="196">
                  <c:v>744.27</c:v>
                </c:pt>
                <c:pt idx="197">
                  <c:v>742.44</c:v>
                </c:pt>
                <c:pt idx="198">
                  <c:v>741.44</c:v>
                </c:pt>
                <c:pt idx="199">
                  <c:v>739.79</c:v>
                </c:pt>
                <c:pt idx="200">
                  <c:v>739.14</c:v>
                </c:pt>
                <c:pt idx="201">
                  <c:v>736.94</c:v>
                </c:pt>
                <c:pt idx="202">
                  <c:v>734.84</c:v>
                </c:pt>
                <c:pt idx="203">
                  <c:v>732.76</c:v>
                </c:pt>
                <c:pt idx="204">
                  <c:v>728.77</c:v>
                </c:pt>
                <c:pt idx="205">
                  <c:v>724.18</c:v>
                </c:pt>
                <c:pt idx="206">
                  <c:v>719</c:v>
                </c:pt>
                <c:pt idx="207">
                  <c:v>714.11</c:v>
                </c:pt>
                <c:pt idx="208">
                  <c:v>708.18</c:v>
                </c:pt>
                <c:pt idx="209">
                  <c:v>702.2</c:v>
                </c:pt>
                <c:pt idx="210">
                  <c:v>696.63</c:v>
                </c:pt>
                <c:pt idx="211">
                  <c:v>689.88</c:v>
                </c:pt>
                <c:pt idx="212">
                  <c:v>685.85</c:v>
                </c:pt>
                <c:pt idx="213">
                  <c:v>679.53</c:v>
                </c:pt>
                <c:pt idx="214">
                  <c:v>675.15</c:v>
                </c:pt>
                <c:pt idx="215">
                  <c:v>671.84</c:v>
                </c:pt>
                <c:pt idx="216">
                  <c:v>664.7</c:v>
                </c:pt>
                <c:pt idx="217">
                  <c:v>659.55</c:v>
                </c:pt>
                <c:pt idx="218">
                  <c:v>656.68</c:v>
                </c:pt>
                <c:pt idx="219">
                  <c:v>651.27</c:v>
                </c:pt>
                <c:pt idx="220">
                  <c:v>645.86</c:v>
                </c:pt>
                <c:pt idx="221">
                  <c:v>640.15</c:v>
                </c:pt>
                <c:pt idx="222">
                  <c:v>636.07000000000005</c:v>
                </c:pt>
                <c:pt idx="223">
                  <c:v>630.74</c:v>
                </c:pt>
                <c:pt idx="224">
                  <c:v>625.24</c:v>
                </c:pt>
                <c:pt idx="225">
                  <c:v>619.9</c:v>
                </c:pt>
                <c:pt idx="226">
                  <c:v>614.19000000000005</c:v>
                </c:pt>
                <c:pt idx="227">
                  <c:v>609.02</c:v>
                </c:pt>
                <c:pt idx="228">
                  <c:v>604.38</c:v>
                </c:pt>
                <c:pt idx="229">
                  <c:v>599.12</c:v>
                </c:pt>
                <c:pt idx="230">
                  <c:v>593.82000000000005</c:v>
                </c:pt>
                <c:pt idx="231">
                  <c:v>587.53</c:v>
                </c:pt>
                <c:pt idx="232">
                  <c:v>582.04999999999995</c:v>
                </c:pt>
                <c:pt idx="233">
                  <c:v>580.45000000000005</c:v>
                </c:pt>
                <c:pt idx="234">
                  <c:v>576.99</c:v>
                </c:pt>
                <c:pt idx="235">
                  <c:v>571.41</c:v>
                </c:pt>
                <c:pt idx="236">
                  <c:v>566.48</c:v>
                </c:pt>
                <c:pt idx="237">
                  <c:v>560.87</c:v>
                </c:pt>
                <c:pt idx="238">
                  <c:v>555.6</c:v>
                </c:pt>
                <c:pt idx="239">
                  <c:v>550.30999999999995</c:v>
                </c:pt>
                <c:pt idx="240">
                  <c:v>545.54999999999995</c:v>
                </c:pt>
                <c:pt idx="241">
                  <c:v>541.99</c:v>
                </c:pt>
                <c:pt idx="242">
                  <c:v>542.09</c:v>
                </c:pt>
                <c:pt idx="243">
                  <c:v>540.85</c:v>
                </c:pt>
                <c:pt idx="244">
                  <c:v>538.91</c:v>
                </c:pt>
                <c:pt idx="245">
                  <c:v>534.41</c:v>
                </c:pt>
                <c:pt idx="246">
                  <c:v>530.12</c:v>
                </c:pt>
                <c:pt idx="247">
                  <c:v>526.92999999999995</c:v>
                </c:pt>
                <c:pt idx="248">
                  <c:v>522.27</c:v>
                </c:pt>
                <c:pt idx="249">
                  <c:v>518.63</c:v>
                </c:pt>
                <c:pt idx="250">
                  <c:v>512.83000000000004</c:v>
                </c:pt>
                <c:pt idx="251">
                  <c:v>508.36</c:v>
                </c:pt>
                <c:pt idx="252">
                  <c:v>504.04</c:v>
                </c:pt>
                <c:pt idx="253">
                  <c:v>499.97</c:v>
                </c:pt>
                <c:pt idx="254">
                  <c:v>495.88</c:v>
                </c:pt>
                <c:pt idx="255">
                  <c:v>491.93</c:v>
                </c:pt>
                <c:pt idx="256">
                  <c:v>487.85</c:v>
                </c:pt>
                <c:pt idx="257">
                  <c:v>483.57</c:v>
                </c:pt>
                <c:pt idx="258">
                  <c:v>479.1</c:v>
                </c:pt>
                <c:pt idx="259">
                  <c:v>477.4</c:v>
                </c:pt>
                <c:pt idx="260">
                  <c:v>476.35</c:v>
                </c:pt>
                <c:pt idx="261">
                  <c:v>474.79</c:v>
                </c:pt>
                <c:pt idx="262">
                  <c:v>473.44</c:v>
                </c:pt>
                <c:pt idx="263">
                  <c:v>471.93</c:v>
                </c:pt>
                <c:pt idx="264">
                  <c:v>470.43</c:v>
                </c:pt>
                <c:pt idx="265">
                  <c:v>468.16</c:v>
                </c:pt>
                <c:pt idx="266">
                  <c:v>465.43</c:v>
                </c:pt>
                <c:pt idx="267">
                  <c:v>463</c:v>
                </c:pt>
                <c:pt idx="268">
                  <c:v>462.52</c:v>
                </c:pt>
                <c:pt idx="269">
                  <c:v>463.03</c:v>
                </c:pt>
                <c:pt idx="270">
                  <c:v>462.62</c:v>
                </c:pt>
                <c:pt idx="271">
                  <c:v>460.02</c:v>
                </c:pt>
                <c:pt idx="272">
                  <c:v>455.04</c:v>
                </c:pt>
                <c:pt idx="273">
                  <c:v>452.41</c:v>
                </c:pt>
                <c:pt idx="274">
                  <c:v>452.36</c:v>
                </c:pt>
                <c:pt idx="275">
                  <c:v>455.29</c:v>
                </c:pt>
                <c:pt idx="276">
                  <c:v>459.42</c:v>
                </c:pt>
                <c:pt idx="277">
                  <c:v>463.31</c:v>
                </c:pt>
                <c:pt idx="278">
                  <c:v>469.58</c:v>
                </c:pt>
                <c:pt idx="279">
                  <c:v>474.8</c:v>
                </c:pt>
                <c:pt idx="280">
                  <c:v>479.81</c:v>
                </c:pt>
                <c:pt idx="281">
                  <c:v>484.34</c:v>
                </c:pt>
                <c:pt idx="282">
                  <c:v>487.43</c:v>
                </c:pt>
                <c:pt idx="283">
                  <c:v>490.01</c:v>
                </c:pt>
                <c:pt idx="284">
                  <c:v>490.86</c:v>
                </c:pt>
                <c:pt idx="285">
                  <c:v>491.91</c:v>
                </c:pt>
                <c:pt idx="286">
                  <c:v>492.3</c:v>
                </c:pt>
                <c:pt idx="287">
                  <c:v>493.03</c:v>
                </c:pt>
                <c:pt idx="288">
                  <c:v>493.29</c:v>
                </c:pt>
                <c:pt idx="289">
                  <c:v>493.43</c:v>
                </c:pt>
                <c:pt idx="290">
                  <c:v>493.44</c:v>
                </c:pt>
                <c:pt idx="291">
                  <c:v>494.51</c:v>
                </c:pt>
                <c:pt idx="292">
                  <c:v>493.57</c:v>
                </c:pt>
                <c:pt idx="293">
                  <c:v>492.93</c:v>
                </c:pt>
                <c:pt idx="294">
                  <c:v>489.37</c:v>
                </c:pt>
                <c:pt idx="295">
                  <c:v>485.68</c:v>
                </c:pt>
                <c:pt idx="296">
                  <c:v>480.64</c:v>
                </c:pt>
                <c:pt idx="297">
                  <c:v>476.99</c:v>
                </c:pt>
                <c:pt idx="298">
                  <c:v>470.66</c:v>
                </c:pt>
                <c:pt idx="299">
                  <c:v>463.89</c:v>
                </c:pt>
                <c:pt idx="300">
                  <c:v>460.07</c:v>
                </c:pt>
                <c:pt idx="301">
                  <c:v>456.13</c:v>
                </c:pt>
                <c:pt idx="302">
                  <c:v>451.38</c:v>
                </c:pt>
                <c:pt idx="303">
                  <c:v>450.22</c:v>
                </c:pt>
                <c:pt idx="304">
                  <c:v>453.86</c:v>
                </c:pt>
                <c:pt idx="305">
                  <c:v>457.48</c:v>
                </c:pt>
                <c:pt idx="306">
                  <c:v>459.88</c:v>
                </c:pt>
                <c:pt idx="307">
                  <c:v>465.41</c:v>
                </c:pt>
                <c:pt idx="308">
                  <c:v>470.94</c:v>
                </c:pt>
                <c:pt idx="309">
                  <c:v>475.9</c:v>
                </c:pt>
                <c:pt idx="310">
                  <c:v>479.3</c:v>
                </c:pt>
                <c:pt idx="311">
                  <c:v>482.68</c:v>
                </c:pt>
                <c:pt idx="312">
                  <c:v>486.23</c:v>
                </c:pt>
                <c:pt idx="313">
                  <c:v>490.1</c:v>
                </c:pt>
                <c:pt idx="314">
                  <c:v>493.35</c:v>
                </c:pt>
                <c:pt idx="315">
                  <c:v>497.66</c:v>
                </c:pt>
                <c:pt idx="316">
                  <c:v>501.16</c:v>
                </c:pt>
                <c:pt idx="317">
                  <c:v>505.28</c:v>
                </c:pt>
                <c:pt idx="318">
                  <c:v>508.94</c:v>
                </c:pt>
                <c:pt idx="319">
                  <c:v>512.79</c:v>
                </c:pt>
                <c:pt idx="320">
                  <c:v>515.04</c:v>
                </c:pt>
                <c:pt idx="321">
                  <c:v>517.13</c:v>
                </c:pt>
                <c:pt idx="322">
                  <c:v>519.46</c:v>
                </c:pt>
                <c:pt idx="323">
                  <c:v>522.54</c:v>
                </c:pt>
                <c:pt idx="324">
                  <c:v>526.22</c:v>
                </c:pt>
                <c:pt idx="325">
                  <c:v>529.88</c:v>
                </c:pt>
                <c:pt idx="326">
                  <c:v>533.01</c:v>
                </c:pt>
                <c:pt idx="327">
                  <c:v>536.33000000000004</c:v>
                </c:pt>
                <c:pt idx="328">
                  <c:v>540.03</c:v>
                </c:pt>
              </c:numCache>
            </c:numRef>
          </c:yVal>
          <c:smooth val="0"/>
          <c:extLst>
            <c:ext xmlns:c16="http://schemas.microsoft.com/office/drawing/2014/chart" uri="{C3380CC4-5D6E-409C-BE32-E72D297353CC}">
              <c16:uniqueId val="{00000000-B8D0-4DF5-8848-F706FF0328A8}"/>
            </c:ext>
          </c:extLst>
        </c:ser>
        <c:dLbls>
          <c:showLegendKey val="0"/>
          <c:showVal val="0"/>
          <c:showCatName val="0"/>
          <c:showSerName val="0"/>
          <c:showPercent val="0"/>
          <c:showBubbleSize val="0"/>
        </c:dLbls>
        <c:axId val="293577295"/>
        <c:axId val="295654639"/>
        <c:extLst/>
      </c:scatterChart>
      <c:valAx>
        <c:axId val="293577295"/>
        <c:scaling>
          <c:orientation val="minMax"/>
          <c:max val="2165"/>
          <c:min val="5"/>
        </c:scaling>
        <c:delete val="0"/>
        <c:axPos val="t"/>
        <c:numFmt formatCode="0\+000" sourceLinked="0"/>
        <c:majorTickMark val="none"/>
        <c:minorTickMark val="none"/>
        <c:tickLblPos val="high"/>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entury Gothic" panose="020B0502020202020204" pitchFamily="34" charset="0"/>
                <a:ea typeface="+mn-ea"/>
                <a:cs typeface="+mn-cs"/>
              </a:defRPr>
            </a:pPr>
            <a:endParaRPr lang="es-PE"/>
          </a:p>
        </c:txPr>
        <c:crossAx val="295654639"/>
        <c:crosses val="autoZero"/>
        <c:crossBetween val="midCat"/>
        <c:majorUnit val="200"/>
        <c:minorUnit val="40"/>
      </c:valAx>
      <c:valAx>
        <c:axId val="295654639"/>
        <c:scaling>
          <c:orientation val="maxMin"/>
          <c:max val="1037"/>
          <c:min val="-270"/>
        </c:scaling>
        <c:delete val="0"/>
        <c:axPos val="l"/>
        <c:numFmt formatCode="0\+000" sourceLinked="0"/>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entury Gothic" panose="020B0502020202020204" pitchFamily="34" charset="0"/>
                <a:ea typeface="+mn-ea"/>
                <a:cs typeface="+mn-cs"/>
              </a:defRPr>
            </a:pPr>
            <a:endParaRPr lang="es-PE"/>
          </a:p>
        </c:txPr>
        <c:crossAx val="293577295"/>
        <c:crosses val="autoZero"/>
        <c:crossBetween val="midCat"/>
        <c:majorUnit val="27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50000"/>
          <a:lumOff val="50000"/>
        </a:schemeClr>
      </a:solidFill>
      <a:prstDash val="dash"/>
      <a:round/>
    </a:ln>
    <a:effectLst/>
  </c:spPr>
  <c:txPr>
    <a:bodyPr/>
    <a:lstStyle/>
    <a:p>
      <a:pPr>
        <a:defRPr>
          <a:latin typeface="Century Gothic" panose="020B0502020202020204" pitchFamily="34" charset="0"/>
        </a:defRPr>
      </a:pPr>
      <a:endParaRPr lang="es-PE"/>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5</xdr:col>
      <xdr:colOff>638736</xdr:colOff>
      <xdr:row>834</xdr:row>
      <xdr:rowOff>56030</xdr:rowOff>
    </xdr:from>
    <xdr:to>
      <xdr:col>17</xdr:col>
      <xdr:colOff>187007</xdr:colOff>
      <xdr:row>854</xdr:row>
      <xdr:rowOff>107011</xdr:rowOff>
    </xdr:to>
    <xdr:graphicFrame macro="">
      <xdr:nvGraphicFramePr>
        <xdr:cNvPr id="2" name="Chart 1">
          <a:extLst>
            <a:ext uri="{FF2B5EF4-FFF2-40B4-BE49-F238E27FC236}">
              <a16:creationId xmlns:a16="http://schemas.microsoft.com/office/drawing/2014/main" id="{11C2B98D-B174-42BA-A619-7C2B0404CA1B}"/>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123264</xdr:colOff>
      <xdr:row>834</xdr:row>
      <xdr:rowOff>89648</xdr:rowOff>
    </xdr:from>
    <xdr:to>
      <xdr:col>5</xdr:col>
      <xdr:colOff>448235</xdr:colOff>
      <xdr:row>849</xdr:row>
      <xdr:rowOff>0</xdr:rowOff>
    </xdr:to>
    <xdr:grpSp>
      <xdr:nvGrpSpPr>
        <xdr:cNvPr id="5" name="Group 4">
          <a:extLst>
            <a:ext uri="{FF2B5EF4-FFF2-40B4-BE49-F238E27FC236}">
              <a16:creationId xmlns:a16="http://schemas.microsoft.com/office/drawing/2014/main" id="{7FF47DCA-AD22-3A67-CFEE-D2FBBC03340E}"/>
            </a:ext>
          </a:extLst>
        </xdr:cNvPr>
        <xdr:cNvGrpSpPr/>
      </xdr:nvGrpSpPr>
      <xdr:grpSpPr>
        <a:xfrm>
          <a:off x="1456764" y="209294367"/>
          <a:ext cx="1706096" cy="2589258"/>
          <a:chOff x="1490382" y="155772971"/>
          <a:chExt cx="1703294" cy="2599764"/>
        </a:xfrm>
      </xdr:grpSpPr>
      <mc:AlternateContent xmlns:mc="http://schemas.openxmlformats.org/markup-compatibility/2006" xmlns:sle15="http://schemas.microsoft.com/office/drawing/2012/slicer">
        <mc:Choice Requires="sle15">
          <xdr:graphicFrame macro="">
            <xdr:nvGraphicFramePr>
              <xdr:cNvPr id="3" name="Column47">
                <a:extLst>
                  <a:ext uri="{FF2B5EF4-FFF2-40B4-BE49-F238E27FC236}">
                    <a16:creationId xmlns:a16="http://schemas.microsoft.com/office/drawing/2014/main" id="{C6B43DFE-B206-C7E2-7436-2BFF36779E87}"/>
                  </a:ext>
                </a:extLst>
              </xdr:cNvPr>
              <xdr:cNvGraphicFramePr/>
            </xdr:nvGraphicFramePr>
            <xdr:xfrm>
              <a:off x="1636059" y="155871582"/>
              <a:ext cx="1434353" cy="2381250"/>
            </xdr:xfrm>
            <a:graphic>
              <a:graphicData uri="http://schemas.microsoft.com/office/drawing/2010/slicer">
                <sle:slicer xmlns:sle="http://schemas.microsoft.com/office/drawing/2010/slicer" name="Column47"/>
              </a:graphicData>
            </a:graphic>
          </xdr:graphicFrame>
        </mc:Choice>
        <mc:Fallback xmlns="">
          <xdr:sp macro="" textlink="">
            <xdr:nvSpPr>
              <xdr:cNvPr id="0" name=""/>
              <xdr:cNvSpPr>
                <a:spLocks noTextEdit="1"/>
              </xdr:cNvSpPr>
            </xdr:nvSpPr>
            <xdr:spPr>
              <a:xfrm>
                <a:off x="1613647" y="155972435"/>
                <a:ext cx="1434353" cy="2381250"/>
              </a:xfrm>
              <a:prstGeom prst="rect">
                <a:avLst/>
              </a:prstGeom>
              <a:solidFill>
                <a:prstClr val="white"/>
              </a:solidFill>
              <a:ln w="1">
                <a:solidFill>
                  <a:prstClr val="green"/>
                </a:solidFill>
              </a:ln>
            </xdr:spPr>
            <xdr:txBody>
              <a:bodyPr vertOverflow="clip" horzOverflow="clip"/>
              <a:lstStyle/>
              <a:p>
                <a:r>
                  <a:rPr lang="es-PE"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sp macro="" textlink="">
        <xdr:nvSpPr>
          <xdr:cNvPr id="4" name="Rectangle 3">
            <a:extLst>
              <a:ext uri="{FF2B5EF4-FFF2-40B4-BE49-F238E27FC236}">
                <a16:creationId xmlns:a16="http://schemas.microsoft.com/office/drawing/2014/main" id="{98C80217-043D-219C-1045-0890B7F38CF1}"/>
              </a:ext>
            </a:extLst>
          </xdr:cNvPr>
          <xdr:cNvSpPr/>
        </xdr:nvSpPr>
        <xdr:spPr>
          <a:xfrm>
            <a:off x="1490382" y="155772971"/>
            <a:ext cx="1703294" cy="2599764"/>
          </a:xfrm>
          <a:prstGeom prst="rect">
            <a:avLst/>
          </a:prstGeom>
          <a:noFill/>
          <a:ln w="9525" cap="flat" cmpd="sng" algn="ctr">
            <a:solidFill>
              <a:schemeClr val="accent1"/>
            </a:solidFill>
            <a:prstDash val="solid"/>
            <a:round/>
            <a:headEnd type="none" w="med" len="med"/>
            <a:tailEnd type="none" w="med" len="med"/>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es-PE" sz="1100"/>
          </a:p>
        </xdr:txBody>
      </xdr:sp>
    </xdr:grpSp>
    <xdr:clientData/>
  </xdr:twoCellAnchor>
  <xdr:twoCellAnchor>
    <xdr:from>
      <xdr:col>19</xdr:col>
      <xdr:colOff>11907</xdr:colOff>
      <xdr:row>832</xdr:row>
      <xdr:rowOff>82820</xdr:rowOff>
    </xdr:from>
    <xdr:to>
      <xdr:col>34</xdr:col>
      <xdr:colOff>416719</xdr:colOff>
      <xdr:row>865</xdr:row>
      <xdr:rowOff>9104</xdr:rowOff>
    </xdr:to>
    <xdr:graphicFrame macro="">
      <xdr:nvGraphicFramePr>
        <xdr:cNvPr id="8" name="Chart 5">
          <a:extLst>
            <a:ext uri="{FF2B5EF4-FFF2-40B4-BE49-F238E27FC236}">
              <a16:creationId xmlns:a16="http://schemas.microsoft.com/office/drawing/2014/main" id="{4BE6AF71-D7DD-49A2-8935-E1A5573EC4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1904</xdr:colOff>
      <xdr:row>2</xdr:row>
      <xdr:rowOff>0</xdr:rowOff>
    </xdr:from>
    <xdr:to>
      <xdr:col>26</xdr:col>
      <xdr:colOff>294704</xdr:colOff>
      <xdr:row>33</xdr:row>
      <xdr:rowOff>190499</xdr:rowOff>
    </xdr:to>
    <xdr:graphicFrame macro="">
      <xdr:nvGraphicFramePr>
        <xdr:cNvPr id="3" name="Chart 2">
          <a:extLst>
            <a:ext uri="{FF2B5EF4-FFF2-40B4-BE49-F238E27FC236}">
              <a16:creationId xmlns:a16="http://schemas.microsoft.com/office/drawing/2014/main" id="{6FB11595-E9A4-A37A-3295-5EF46E22C6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REPORTES%20CONSOLIDADO.xlsm" TargetMode="External"/><Relationship Id="rId2" Type="http://schemas.openxmlformats.org/officeDocument/2006/relationships/externalLinkPath" Target="https://fcx365.sharepoint.com/Sites/CVE-RLVEnlozada/03%20QAQC%20C1%20Gabinete/REPORTES%20MENSUALES/REPORTES%20CONSOLIDADO.xlsm" TargetMode="External"/><Relationship Id="rId1" Type="http://schemas.openxmlformats.org/officeDocument/2006/relationships/externalLinkPath" Target="/Sites/CVE-RLVEnlozada/03%20QAQC%20C1%20Gabinete/REPORTES%20MENSUALES/REPORTES%20CONSOLIDADO.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BD"/>
      <sheetName val="NOTAs"/>
      <sheetName val="MENSUAL"/>
      <sheetName val="ESTADO DE POZOS QC"/>
      <sheetName val="RELEVO"/>
      <sheetName val="DATOS"/>
      <sheetName val="TOPOGRAFIA"/>
      <sheetName val="SEMANAL PPT"/>
      <sheetName val="Seguimiento reportes"/>
      <sheetName val="SEMANAL"/>
      <sheetName val="DATOS CICLONES"/>
      <sheetName val="ENVIO DATOS STANTEC "/>
      <sheetName val="DB L."/>
      <sheetName val="DB E."/>
    </sheetNames>
    <sheetDataSet>
      <sheetData sheetId="0"/>
      <sheetData sheetId="1"/>
      <sheetData sheetId="2"/>
      <sheetData sheetId="3"/>
      <sheetData sheetId="4"/>
      <sheetData sheetId="5"/>
      <sheetData sheetId="6">
        <row r="7">
          <cell r="D7">
            <v>0</v>
          </cell>
        </row>
      </sheetData>
      <sheetData sheetId="7"/>
      <sheetData sheetId="8"/>
      <sheetData sheetId="9"/>
      <sheetData sheetId="10"/>
      <sheetData sheetId="11"/>
      <sheetData sheetId="12"/>
      <sheetData sheetId="13"/>
    </sheetDataSet>
  </externalBook>
</externalLink>
</file>

<file path=xl/persons/person.xml><?xml version="1.0" encoding="utf-8"?>
<personList xmlns="http://schemas.microsoft.com/office/spreadsheetml/2018/threadedcomments" xmlns:x="http://schemas.openxmlformats.org/spreadsheetml/2006/main">
  <person displayName="Torres aguilar, Guillermo manuel" id="{14731624-9FE8-40C1-AD69-44244C618BD1}" userId="S::gtorresa@fmi.com::81551290-b0c3-45e8-b875-42048267dd32" providerId="AD"/>
</personList>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lumn47" xr10:uid="{8CF8DBEE-57AD-4A58-AF1E-D3193FF91826}" sourceName="Column47">
  <extLst>
    <x:ext xmlns:x15="http://schemas.microsoft.com/office/spreadsheetml/2010/11/main" uri="{2F2917AC-EB37-4324-AD4E-5DD8C200BD13}">
      <x15:tableSlicerCache tableId="4" column="47"/>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lumn47" xr10:uid="{590BB781-9503-4757-A930-080FB885923A}" cache="Slicer_Column47" caption="Column47" rowHeight="22542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able1" displayName="Table1" ref="B10:AV826" totalsRowCount="1" headerRowDxfId="185" dataDxfId="184" totalsRowDxfId="182" tableBorderDxfId="183">
  <autoFilter ref="B10:AV825" xr:uid="{07CE1FF8-4CA8-42C2-AD7F-5EB782362420}"/>
  <tableColumns count="47">
    <tableColumn id="1" xr3:uid="{00000000-0010-0000-0000-000001000000}" name="Column1" dataDxfId="181" totalsRowDxfId="180"/>
    <tableColumn id="2" xr3:uid="{00000000-0010-0000-0000-000002000000}" name="Column2" dataDxfId="179" totalsRowDxfId="178"/>
    <tableColumn id="3" xr3:uid="{00000000-0010-0000-0000-000003000000}" name="Column3" dataDxfId="177" totalsRowDxfId="176"/>
    <tableColumn id="4" xr3:uid="{00000000-0010-0000-0000-000004000000}" name="Column4" dataDxfId="175" totalsRowDxfId="174"/>
    <tableColumn id="5" xr3:uid="{00000000-0010-0000-0000-000005000000}" name="Column5" dataDxfId="173" totalsRowDxfId="172"/>
    <tableColumn id="6" xr3:uid="{00000000-0010-0000-0000-000006000000}" name="Column6" dataDxfId="171" totalsRowDxfId="170"/>
    <tableColumn id="7" xr3:uid="{00000000-0010-0000-0000-000007000000}" name="Column7" dataDxfId="169" totalsRowDxfId="168"/>
    <tableColumn id="8" xr3:uid="{00000000-0010-0000-0000-000008000000}" name="Column8" dataDxfId="167" totalsRowDxfId="166"/>
    <tableColumn id="9" xr3:uid="{00000000-0010-0000-0000-000009000000}" name="Column9" dataDxfId="165" totalsRowDxfId="164"/>
    <tableColumn id="10" xr3:uid="{00000000-0010-0000-0000-00000A000000}" name="Column10" dataDxfId="163" totalsRowDxfId="162"/>
    <tableColumn id="11" xr3:uid="{00000000-0010-0000-0000-00000B000000}" name="Column11" dataDxfId="161" totalsRowDxfId="160"/>
    <tableColumn id="12" xr3:uid="{00000000-0010-0000-0000-00000C000000}" name="Column12" dataDxfId="159" totalsRowDxfId="158"/>
    <tableColumn id="13" xr3:uid="{00000000-0010-0000-0000-00000D000000}" name="Column13" dataDxfId="157" totalsRowDxfId="156"/>
    <tableColumn id="14" xr3:uid="{00000000-0010-0000-0000-00000E000000}" name="Column14" dataDxfId="155" totalsRowDxfId="154"/>
    <tableColumn id="15" xr3:uid="{00000000-0010-0000-0000-00000F000000}" name="Column15" dataDxfId="153" totalsRowDxfId="152"/>
    <tableColumn id="16" xr3:uid="{00000000-0010-0000-0000-000010000000}" name="Column16" dataDxfId="151" totalsRowDxfId="150"/>
    <tableColumn id="17" xr3:uid="{00000000-0010-0000-0000-000011000000}" name="Column17" totalsRowFunction="average" dataDxfId="149" totalsRowDxfId="148"/>
    <tableColumn id="18" xr3:uid="{00000000-0010-0000-0000-000012000000}" name="Column18" dataDxfId="147" totalsRowDxfId="146"/>
    <tableColumn id="19" xr3:uid="{00000000-0010-0000-0000-000013000000}" name="Column19" dataDxfId="145" totalsRowDxfId="144"/>
    <tableColumn id="20" xr3:uid="{00000000-0010-0000-0000-000014000000}" name="Column20" dataDxfId="143" totalsRowDxfId="142"/>
    <tableColumn id="21" xr3:uid="{00000000-0010-0000-0000-000015000000}" name="Column21" dataDxfId="141" totalsRowDxfId="140"/>
    <tableColumn id="22" xr3:uid="{00000000-0010-0000-0000-000016000000}" name="Column22" dataDxfId="139" totalsRowDxfId="138"/>
    <tableColumn id="23" xr3:uid="{00000000-0010-0000-0000-000017000000}" name="Column23" dataDxfId="137" totalsRowDxfId="136"/>
    <tableColumn id="24" xr3:uid="{00000000-0010-0000-0000-000018000000}" name="Column24" dataDxfId="135" totalsRowDxfId="134"/>
    <tableColumn id="25" xr3:uid="{00000000-0010-0000-0000-000019000000}" name="Column25" dataDxfId="133" totalsRowDxfId="132"/>
    <tableColumn id="26" xr3:uid="{00000000-0010-0000-0000-00001A000000}" name="Column26" dataDxfId="131" totalsRowDxfId="130"/>
    <tableColumn id="27" xr3:uid="{00000000-0010-0000-0000-00001B000000}" name="Column27" dataDxfId="129" totalsRowDxfId="128"/>
    <tableColumn id="28" xr3:uid="{00000000-0010-0000-0000-00001C000000}" name="Column28" dataDxfId="127" totalsRowDxfId="126"/>
    <tableColumn id="29" xr3:uid="{00000000-0010-0000-0000-00001D000000}" name="Column29" dataDxfId="125" totalsRowDxfId="124"/>
    <tableColumn id="30" xr3:uid="{00000000-0010-0000-0000-00001E000000}" name="Column30" dataDxfId="123" totalsRowDxfId="122"/>
    <tableColumn id="31" xr3:uid="{00000000-0010-0000-0000-00001F000000}" name="Column31" dataDxfId="121" totalsRowDxfId="120"/>
    <tableColumn id="32" xr3:uid="{00000000-0010-0000-0000-000020000000}" name="Column32" dataDxfId="119" totalsRowDxfId="118"/>
    <tableColumn id="33" xr3:uid="{00000000-0010-0000-0000-000021000000}" name="Column33" dataDxfId="117" totalsRowDxfId="116"/>
    <tableColumn id="34" xr3:uid="{00000000-0010-0000-0000-000022000000}" name="Column34" dataDxfId="115" totalsRowDxfId="114"/>
    <tableColumn id="35" xr3:uid="{00000000-0010-0000-0000-000023000000}" name="Column35" dataDxfId="113" totalsRowDxfId="112"/>
    <tableColumn id="36" xr3:uid="{00000000-0010-0000-0000-000024000000}" name="Column36" dataDxfId="111" totalsRowDxfId="110"/>
    <tableColumn id="37" xr3:uid="{00000000-0010-0000-0000-000025000000}" name="Column37" dataDxfId="109" totalsRowDxfId="108"/>
    <tableColumn id="38" xr3:uid="{00000000-0010-0000-0000-000026000000}" name="Column38" totalsRowFunction="average" dataDxfId="107" totalsRowDxfId="106"/>
    <tableColumn id="39" xr3:uid="{00000000-0010-0000-0000-000027000000}" name="Column39" dataDxfId="105" totalsRowDxfId="104"/>
    <tableColumn id="40" xr3:uid="{00000000-0010-0000-0000-000028000000}" name="Column40" dataDxfId="103" totalsRowDxfId="102"/>
    <tableColumn id="41" xr3:uid="{00000000-0010-0000-0000-000029000000}" name="Column41" dataDxfId="101" totalsRowDxfId="100"/>
    <tableColumn id="42" xr3:uid="{00000000-0010-0000-0000-00002A000000}" name="Column42" dataDxfId="99" totalsRowDxfId="98"/>
    <tableColumn id="43" xr3:uid="{00000000-0010-0000-0000-00002B000000}" name="Column43" dataDxfId="97"/>
    <tableColumn id="44" xr3:uid="{87F095B3-D101-4580-B02D-E4D2E00D14AC}" name="Column44" dataDxfId="96">
      <calculatedColumnFormula>+IF(Table1[[#This Row],[Column40]]="ok",Table1[[#This Row],[Column7]],0)</calculatedColumnFormula>
    </tableColumn>
    <tableColumn id="45" xr3:uid="{88301B07-5DD5-4BF0-8209-FF2EA7E24187}" name="Column45" dataDxfId="95">
      <calculatedColumnFormula>+IF(Table1[[#This Row],[Column40]]="No",Table1[[#This Row],[Column7]],0)</calculatedColumnFormula>
    </tableColumn>
    <tableColumn id="46" xr3:uid="{E2993D88-4717-4579-86EF-43668ED74A7B}" name="Column46" dataDxfId="94">
      <calculatedColumnFormula>+IF(LEFT(Table1[[#This Row],[Column42]],2)="DN",IF(Table1[[#This Row],[Column40]]="ok","(CA)",_xlfn.CONCAT("(CA)",CHAR(10),"FAIL")),"")</calculatedColumnFormula>
    </tableColumn>
    <tableColumn id="47" xr3:uid="{0048A4C9-D94E-4B61-92C1-8658B0290220}" name="Column47" dataDxfId="93">
      <calculatedColumnFormula>+IF(Table1[[#This Row],[Column6]]=0,"",_xlfn.CONCAT("Sem ",WEEKNUM(Table1[[#This Row],[Column6]],2)))</calculatedColumnFormula>
    </tableColumn>
  </tableColumns>
  <tableStyleInfo name="TableStyleMedium12" showFirstColumn="0" showLastColumn="0" showRowStripes="1" showColumnStripes="1"/>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J871" dT="2023-11-05T17:02:01.37" personId="{14731624-9FE8-40C1-AD69-44244C618BD1}" id="{CD9B83F2-87BE-4CFC-9CE6-347C1C4855A9}">
    <text>NO BORRAR cuadro filtro para BD</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7" Type="http://schemas.microsoft.com/office/2017/10/relationships/threadedComment" Target="../threadedComments/threadedComment1.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omments" Target="../comments1.xml"/><Relationship Id="rId5" Type="http://schemas.microsoft.com/office/2007/relationships/slicer" Target="../slicers/slicer1.xm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1">
    <tabColor rgb="FFC00000"/>
    <pageSetUpPr fitToPage="1"/>
  </sheetPr>
  <dimension ref="A1:AX2224"/>
  <sheetViews>
    <sheetView showGridLines="0" showZeros="0" tabSelected="1" showOutlineSymbols="0" topLeftCell="T7" zoomScale="80" zoomScaleNormal="80" zoomScaleSheetLayoutView="91" workbookViewId="0">
      <pane ySplit="4" topLeftCell="A11" activePane="bottomLeft" state="frozen"/>
      <selection activeCell="A7" sqref="A7"/>
      <selection pane="bottomLeft" activeCell="AC446" sqref="AC446"/>
    </sheetView>
  </sheetViews>
  <sheetFormatPr baseColWidth="10" defaultColWidth="9.140625" defaultRowHeight="14.25" x14ac:dyDescent="0.3"/>
  <cols>
    <col min="1" max="1" width="5.42578125" style="7" customWidth="1"/>
    <col min="2" max="2" width="14.7109375" style="7" customWidth="1"/>
    <col min="3" max="3" width="6.5703125" style="7" customWidth="1"/>
    <col min="4" max="4" width="6.7109375" style="131" customWidth="1"/>
    <col min="5" max="5" width="7.28515625" style="7" customWidth="1"/>
    <col min="6" max="6" width="10.5703125" style="7" customWidth="1"/>
    <col min="7" max="7" width="18" style="92" customWidth="1"/>
    <col min="8" max="8" width="13.42578125" style="7" customWidth="1"/>
    <col min="9" max="9" width="14" style="7" customWidth="1"/>
    <col min="10" max="10" width="11.28515625" style="7" customWidth="1"/>
    <col min="11" max="11" width="12.7109375" style="7" customWidth="1"/>
    <col min="12" max="12" width="12.28515625" style="7" customWidth="1"/>
    <col min="13" max="13" width="8.140625" style="141" customWidth="1"/>
    <col min="14" max="14" width="14.7109375" style="16" customWidth="1"/>
    <col min="15" max="15" width="7.7109375" style="7" customWidth="1"/>
    <col min="16" max="16" width="8.7109375" style="26" customWidth="1"/>
    <col min="17" max="17" width="9" style="26" customWidth="1"/>
    <col min="18" max="18" width="10.140625" style="7" customWidth="1"/>
    <col min="19" max="19" width="10.7109375" style="7" customWidth="1"/>
    <col min="20" max="20" width="9.5703125" style="7" customWidth="1"/>
    <col min="21" max="21" width="10.140625" style="7" customWidth="1"/>
    <col min="22" max="22" width="30.140625" style="27" customWidth="1"/>
    <col min="23" max="23" width="10" style="28" customWidth="1"/>
    <col min="24" max="24" width="10.7109375" style="29" customWidth="1"/>
    <col min="25" max="25" width="7.7109375" style="18" customWidth="1"/>
    <col min="26" max="26" width="7.5703125" style="26" customWidth="1"/>
    <col min="27" max="28" width="9.140625" style="26" customWidth="1"/>
    <col min="29" max="29" width="9.7109375" style="26" customWidth="1"/>
    <col min="30" max="30" width="10.140625" style="26" customWidth="1"/>
    <col min="31" max="31" width="10.7109375" style="152" customWidth="1"/>
    <col min="32" max="32" width="12.7109375" style="156" customWidth="1"/>
    <col min="33" max="33" width="11.7109375" style="7" customWidth="1"/>
    <col min="34" max="34" width="9" style="18" customWidth="1"/>
    <col min="35" max="35" width="9.28515625" style="18" customWidth="1"/>
    <col min="36" max="36" width="10.140625" style="26" customWidth="1"/>
    <col min="37" max="37" width="11.7109375" style="7" customWidth="1"/>
    <col min="38" max="38" width="12.42578125" style="156" customWidth="1"/>
    <col min="39" max="39" width="12.140625" style="26" customWidth="1"/>
    <col min="40" max="40" width="10.140625" style="135" customWidth="1"/>
    <col min="41" max="41" width="9.140625" style="7" customWidth="1"/>
    <col min="42" max="42" width="13" style="30" customWidth="1"/>
    <col min="43" max="43" width="17.28515625" style="27" customWidth="1"/>
    <col min="44" max="44" width="13.5703125" style="27" customWidth="1"/>
    <col min="45" max="47" width="7.7109375" style="27" customWidth="1"/>
    <col min="48" max="48" width="7.7109375" style="7" customWidth="1"/>
    <col min="49" max="49" width="5.7109375" style="7" customWidth="1"/>
  </cols>
  <sheetData>
    <row r="1" spans="1:50" s="7" customFormat="1" ht="60" customHeight="1" x14ac:dyDescent="0.25">
      <c r="A1" s="499" t="s">
        <v>0</v>
      </c>
      <c r="B1" s="500"/>
      <c r="C1" s="500"/>
      <c r="D1" s="500"/>
      <c r="E1" s="500"/>
      <c r="F1" s="500"/>
      <c r="G1" s="500"/>
      <c r="H1" s="500"/>
      <c r="I1" s="500"/>
      <c r="J1" s="500"/>
      <c r="K1" s="500"/>
      <c r="L1" s="500"/>
      <c r="M1" s="500"/>
      <c r="N1" s="500"/>
      <c r="O1" s="501"/>
      <c r="P1" s="502" t="s">
        <v>1</v>
      </c>
      <c r="Q1" s="503"/>
      <c r="R1" s="503"/>
      <c r="S1" s="227" t="s">
        <v>2</v>
      </c>
      <c r="T1" s="228"/>
      <c r="U1" s="228"/>
      <c r="V1" s="229"/>
      <c r="W1" s="21"/>
      <c r="X1" s="22"/>
      <c r="Y1" s="23"/>
      <c r="Z1" s="19"/>
      <c r="AA1" s="19"/>
      <c r="AB1" s="19"/>
      <c r="AC1" s="19"/>
      <c r="AD1" s="19"/>
      <c r="AE1" s="151"/>
      <c r="AF1" s="155"/>
      <c r="AG1" s="8"/>
      <c r="AH1" s="23"/>
      <c r="AI1" s="23"/>
      <c r="AJ1" s="19"/>
      <c r="AK1" s="8"/>
      <c r="AL1" s="155"/>
      <c r="AM1" s="19"/>
      <c r="AN1" s="134"/>
      <c r="AO1" s="8"/>
      <c r="AP1" s="24"/>
      <c r="AQ1" s="25"/>
      <c r="AR1" s="25"/>
      <c r="AS1" s="25"/>
      <c r="AT1" s="25"/>
      <c r="AU1" s="25"/>
    </row>
    <row r="2" spans="1:50" s="7" customFormat="1" ht="30.75" customHeight="1" x14ac:dyDescent="0.3">
      <c r="A2" s="504" t="s">
        <v>3</v>
      </c>
      <c r="B2" s="505"/>
      <c r="C2" s="505"/>
      <c r="D2" s="505"/>
      <c r="E2" s="505"/>
      <c r="F2" s="505"/>
      <c r="G2" s="505"/>
      <c r="H2" s="505"/>
      <c r="I2" s="505"/>
      <c r="J2" s="505"/>
      <c r="K2" s="505"/>
      <c r="L2" s="505"/>
      <c r="M2" s="505"/>
      <c r="N2" s="505"/>
      <c r="O2" s="506"/>
      <c r="P2" s="507" t="s">
        <v>4</v>
      </c>
      <c r="Q2" s="508"/>
      <c r="R2" s="508"/>
      <c r="S2" s="230" t="s">
        <v>5</v>
      </c>
      <c r="V2" s="231"/>
      <c r="W2" s="28"/>
      <c r="X2" s="29"/>
      <c r="Y2" s="18"/>
      <c r="Z2" s="26"/>
      <c r="AA2" s="26"/>
      <c r="AB2" s="26"/>
      <c r="AC2" s="26"/>
      <c r="AD2" s="26"/>
      <c r="AE2" s="152"/>
      <c r="AF2" s="156"/>
      <c r="AH2" s="18"/>
      <c r="AI2" s="18"/>
      <c r="AJ2" s="26"/>
      <c r="AL2" s="156"/>
      <c r="AM2" s="26"/>
      <c r="AN2" s="135"/>
      <c r="AP2" s="30"/>
      <c r="AQ2" s="27"/>
      <c r="AR2" s="27"/>
      <c r="AS2" s="27"/>
      <c r="AT2" s="27"/>
      <c r="AU2" s="27"/>
    </row>
    <row r="3" spans="1:50" s="7" customFormat="1" ht="30.75" customHeight="1" thickBot="1" x14ac:dyDescent="0.35">
      <c r="A3" s="232"/>
      <c r="B3" s="233"/>
      <c r="C3" s="233"/>
      <c r="D3" s="234"/>
      <c r="E3" s="233"/>
      <c r="F3" s="235"/>
      <c r="G3" s="236"/>
      <c r="H3" s="235"/>
      <c r="I3" s="235"/>
      <c r="J3" s="235"/>
      <c r="K3" s="235"/>
      <c r="L3" s="235"/>
      <c r="M3" s="237"/>
      <c r="N3" s="233"/>
      <c r="O3" s="238"/>
      <c r="P3" s="509" t="s">
        <v>6</v>
      </c>
      <c r="Q3" s="510"/>
      <c r="R3" s="510"/>
      <c r="S3" s="239">
        <v>44531</v>
      </c>
      <c r="T3" s="240" t="s">
        <v>7</v>
      </c>
      <c r="U3" s="239">
        <v>44530</v>
      </c>
      <c r="V3" s="241"/>
      <c r="W3" s="242"/>
      <c r="X3" s="62"/>
      <c r="Y3" s="63"/>
      <c r="Z3" s="42"/>
      <c r="AA3" s="42"/>
      <c r="AB3" s="42"/>
      <c r="AC3" s="42"/>
      <c r="AD3" s="42"/>
      <c r="AE3" s="153"/>
      <c r="AF3" s="157"/>
      <c r="AG3" s="37"/>
      <c r="AH3" s="63"/>
      <c r="AI3" s="63"/>
      <c r="AJ3" s="42"/>
      <c r="AK3" s="37"/>
      <c r="AL3" s="157"/>
      <c r="AM3" s="42"/>
      <c r="AN3" s="243"/>
      <c r="AO3" s="37"/>
      <c r="AP3" s="244"/>
      <c r="AQ3" s="443"/>
      <c r="AR3" s="443"/>
      <c r="AS3" s="4"/>
      <c r="AT3" s="4"/>
      <c r="AU3" s="4"/>
    </row>
    <row r="4" spans="1:50" s="7" customFormat="1" ht="13.5" x14ac:dyDescent="0.25">
      <c r="A4" s="493" t="s">
        <v>8</v>
      </c>
      <c r="B4" s="494"/>
      <c r="C4" s="494"/>
      <c r="D4" s="494"/>
      <c r="E4" s="494"/>
      <c r="F4" s="494"/>
      <c r="G4" s="494"/>
      <c r="H4" s="494"/>
      <c r="I4" s="494"/>
      <c r="J4" s="299"/>
      <c r="K4" s="299"/>
      <c r="L4" s="299"/>
      <c r="M4" s="300"/>
      <c r="N4" s="184" t="s">
        <v>9</v>
      </c>
      <c r="O4" s="299"/>
      <c r="P4" s="301"/>
      <c r="Q4" s="301"/>
      <c r="R4" s="299"/>
      <c r="S4" s="299"/>
      <c r="T4" s="299"/>
      <c r="U4" s="299"/>
      <c r="V4" s="302"/>
      <c r="W4" s="303"/>
      <c r="X4" s="304"/>
      <c r="Y4" s="75" t="s">
        <v>10</v>
      </c>
      <c r="Z4" s="301"/>
      <c r="AA4" s="301"/>
      <c r="AB4" s="301"/>
      <c r="AC4" s="301"/>
      <c r="AD4" s="301"/>
      <c r="AE4" s="305"/>
      <c r="AF4" s="301"/>
      <c r="AG4" s="306"/>
      <c r="AH4" s="75" t="s">
        <v>11</v>
      </c>
      <c r="AI4" s="305"/>
      <c r="AJ4" s="301"/>
      <c r="AK4" s="299"/>
      <c r="AL4" s="301"/>
      <c r="AM4" s="301"/>
      <c r="AN4" s="307"/>
      <c r="AO4" s="444" t="s">
        <v>12</v>
      </c>
      <c r="AP4" s="445"/>
      <c r="AQ4" s="445"/>
      <c r="AR4" s="446"/>
      <c r="AS4"/>
      <c r="AT4"/>
      <c r="AU4"/>
    </row>
    <row r="5" spans="1:50" s="7" customFormat="1" x14ac:dyDescent="0.3">
      <c r="A5" s="495" t="s">
        <v>13</v>
      </c>
      <c r="B5" s="496"/>
      <c r="C5" s="496"/>
      <c r="D5" s="496"/>
      <c r="E5" s="496"/>
      <c r="F5" s="496"/>
      <c r="G5" s="496"/>
      <c r="H5" s="496"/>
      <c r="I5" s="496"/>
      <c r="M5" s="142"/>
      <c r="N5" s="185"/>
      <c r="P5" s="26"/>
      <c r="Q5" s="26"/>
      <c r="V5" s="27"/>
      <c r="W5" s="28"/>
      <c r="X5" s="29"/>
      <c r="Y5" s="35"/>
      <c r="Z5" s="34"/>
      <c r="AA5" s="26"/>
      <c r="AB5" s="26"/>
      <c r="AC5" s="26"/>
      <c r="AD5" s="26"/>
      <c r="AE5" s="152"/>
      <c r="AF5" s="156"/>
      <c r="AG5" s="33"/>
      <c r="AH5" s="35"/>
      <c r="AI5" s="18"/>
      <c r="AJ5" s="26"/>
      <c r="AL5" s="156"/>
      <c r="AM5" s="26"/>
      <c r="AN5" s="136"/>
      <c r="AO5" s="447"/>
      <c r="AP5" s="448"/>
      <c r="AQ5" s="448"/>
      <c r="AR5" s="449"/>
      <c r="AS5"/>
      <c r="AT5"/>
      <c r="AU5"/>
    </row>
    <row r="6" spans="1:50" s="7" customFormat="1" x14ac:dyDescent="0.3">
      <c r="A6" s="497" t="s">
        <v>14</v>
      </c>
      <c r="B6" s="498"/>
      <c r="C6" s="498"/>
      <c r="D6" s="498"/>
      <c r="E6" s="498"/>
      <c r="F6" s="498"/>
      <c r="G6" s="498"/>
      <c r="H6" s="498"/>
      <c r="I6" s="498"/>
      <c r="J6" s="38"/>
      <c r="K6" s="38"/>
      <c r="L6" s="38"/>
      <c r="M6" s="143"/>
      <c r="N6" s="32"/>
      <c r="O6" s="39"/>
      <c r="P6" s="40" t="s">
        <v>15</v>
      </c>
      <c r="Q6" s="40"/>
      <c r="R6" s="39"/>
      <c r="S6" s="39"/>
      <c r="T6" s="39"/>
      <c r="U6" s="41" t="s">
        <v>16</v>
      </c>
      <c r="V6" s="27"/>
      <c r="W6" s="28"/>
      <c r="X6" s="29"/>
      <c r="Y6" s="66" t="s">
        <v>17</v>
      </c>
      <c r="Z6" s="26"/>
      <c r="AA6" s="26"/>
      <c r="AB6" s="26"/>
      <c r="AC6" s="26"/>
      <c r="AD6" s="26"/>
      <c r="AE6" s="152"/>
      <c r="AF6" s="156"/>
      <c r="AG6" s="33"/>
      <c r="AH6" s="35"/>
      <c r="AI6" s="18"/>
      <c r="AJ6" s="26"/>
      <c r="AL6" s="156"/>
      <c r="AM6" s="26"/>
      <c r="AN6" s="136"/>
      <c r="AO6" s="447"/>
      <c r="AP6" s="448"/>
      <c r="AQ6" s="448"/>
      <c r="AR6" s="449"/>
      <c r="AS6"/>
      <c r="AT6"/>
      <c r="AU6" s="220"/>
    </row>
    <row r="7" spans="1:50" s="7" customFormat="1" ht="23.25" customHeight="1" x14ac:dyDescent="0.3">
      <c r="A7" s="475" t="s">
        <v>18</v>
      </c>
      <c r="B7" s="476"/>
      <c r="C7" s="472" t="s">
        <v>19</v>
      </c>
      <c r="D7" s="472" t="s">
        <v>20</v>
      </c>
      <c r="E7" s="472" t="s">
        <v>21</v>
      </c>
      <c r="F7" s="457" t="s">
        <v>22</v>
      </c>
      <c r="G7" s="483" t="s">
        <v>23</v>
      </c>
      <c r="H7" s="76" t="s">
        <v>24</v>
      </c>
      <c r="I7" s="77"/>
      <c r="J7" s="77"/>
      <c r="K7" s="77"/>
      <c r="L7" s="77"/>
      <c r="M7" s="144"/>
      <c r="N7" s="185"/>
      <c r="P7" s="26"/>
      <c r="Q7" s="26"/>
      <c r="V7" s="27"/>
      <c r="W7" s="28"/>
      <c r="X7" s="29"/>
      <c r="Y7" s="67" t="s">
        <v>25</v>
      </c>
      <c r="Z7" s="26"/>
      <c r="AA7" s="42"/>
      <c r="AB7" s="42"/>
      <c r="AC7" s="43">
        <v>98</v>
      </c>
      <c r="AD7" s="43" t="s">
        <v>26</v>
      </c>
      <c r="AE7" s="192" t="s">
        <v>27</v>
      </c>
      <c r="AF7" s="78"/>
      <c r="AG7" s="79"/>
      <c r="AH7" s="80" t="s">
        <v>28</v>
      </c>
      <c r="AI7" s="81"/>
      <c r="AJ7" s="82"/>
      <c r="AK7" s="1"/>
      <c r="AL7" s="156"/>
      <c r="AM7" s="26"/>
      <c r="AN7" s="136"/>
      <c r="AO7" s="450"/>
      <c r="AP7" s="451"/>
      <c r="AQ7" s="451"/>
      <c r="AR7" s="452"/>
      <c r="AS7"/>
      <c r="AT7"/>
      <c r="AU7"/>
      <c r="AX7" s="328" t="s">
        <v>29</v>
      </c>
    </row>
    <row r="8" spans="1:50" s="7" customFormat="1" ht="22.15" customHeight="1" x14ac:dyDescent="0.25">
      <c r="A8" s="477"/>
      <c r="B8" s="478"/>
      <c r="C8" s="473"/>
      <c r="D8" s="473"/>
      <c r="E8" s="473"/>
      <c r="F8" s="486"/>
      <c r="G8" s="484"/>
      <c r="H8" s="481" t="s">
        <v>30</v>
      </c>
      <c r="I8" s="479" t="s">
        <v>31</v>
      </c>
      <c r="J8" s="479" t="s">
        <v>32</v>
      </c>
      <c r="K8" s="479" t="s">
        <v>33</v>
      </c>
      <c r="L8" s="479" t="s">
        <v>34</v>
      </c>
      <c r="M8" s="145" t="s">
        <v>35</v>
      </c>
      <c r="N8" s="488" t="s">
        <v>36</v>
      </c>
      <c r="O8" s="72" t="s">
        <v>37</v>
      </c>
      <c r="P8" s="490" t="s">
        <v>38</v>
      </c>
      <c r="Q8" s="491"/>
      <c r="R8" s="459" t="s">
        <v>39</v>
      </c>
      <c r="S8" s="492"/>
      <c r="T8" s="462" t="s">
        <v>40</v>
      </c>
      <c r="U8" s="44" t="s">
        <v>41</v>
      </c>
      <c r="V8" s="457" t="s">
        <v>42</v>
      </c>
      <c r="W8" s="45" t="s">
        <v>43</v>
      </c>
      <c r="X8" s="46" t="s">
        <v>44</v>
      </c>
      <c r="Y8" s="68" t="s">
        <v>45</v>
      </c>
      <c r="Z8" s="461" t="s">
        <v>46</v>
      </c>
      <c r="AA8" s="83" t="s">
        <v>47</v>
      </c>
      <c r="AB8" s="86"/>
      <c r="AC8" s="86"/>
      <c r="AD8" s="87"/>
      <c r="AE8" s="47" t="s">
        <v>48</v>
      </c>
      <c r="AF8" s="48" t="s">
        <v>49</v>
      </c>
      <c r="AG8" s="73" t="s">
        <v>50</v>
      </c>
      <c r="AH8" s="47" t="s">
        <v>51</v>
      </c>
      <c r="AI8" s="49" t="s">
        <v>52</v>
      </c>
      <c r="AJ8" s="50" t="s">
        <v>53</v>
      </c>
      <c r="AK8" s="74" t="s">
        <v>54</v>
      </c>
      <c r="AL8" s="71" t="s">
        <v>55</v>
      </c>
      <c r="AM8" s="459" t="s">
        <v>56</v>
      </c>
      <c r="AN8" s="460"/>
      <c r="AO8" s="453" t="s">
        <v>57</v>
      </c>
      <c r="AP8" s="455" t="s">
        <v>58</v>
      </c>
      <c r="AQ8" s="127" t="s">
        <v>59</v>
      </c>
      <c r="AR8" s="128" t="s">
        <v>60</v>
      </c>
      <c r="AS8" s="298" t="s">
        <v>61</v>
      </c>
      <c r="AT8" s="298" t="s">
        <v>61</v>
      </c>
      <c r="AU8" s="298" t="s">
        <v>61</v>
      </c>
      <c r="AV8" s="298" t="s">
        <v>61</v>
      </c>
      <c r="AX8" s="329" t="s">
        <v>62</v>
      </c>
    </row>
    <row r="9" spans="1:50" s="7" customFormat="1" ht="27" x14ac:dyDescent="0.25">
      <c r="A9" s="245" t="s">
        <v>63</v>
      </c>
      <c r="B9" s="104" t="s">
        <v>64</v>
      </c>
      <c r="C9" s="474"/>
      <c r="D9" s="474"/>
      <c r="E9" s="474"/>
      <c r="F9" s="487"/>
      <c r="G9" s="485"/>
      <c r="H9" s="482"/>
      <c r="I9" s="480"/>
      <c r="J9" s="480"/>
      <c r="K9" s="458"/>
      <c r="L9" s="480"/>
      <c r="M9" s="146"/>
      <c r="N9" s="489"/>
      <c r="O9" s="105" t="s">
        <v>65</v>
      </c>
      <c r="P9" s="106" t="s">
        <v>66</v>
      </c>
      <c r="Q9" s="106" t="s">
        <v>67</v>
      </c>
      <c r="R9" s="107" t="s">
        <v>68</v>
      </c>
      <c r="S9" s="107" t="s">
        <v>67</v>
      </c>
      <c r="T9" s="458"/>
      <c r="U9" s="108" t="s">
        <v>69</v>
      </c>
      <c r="V9" s="458"/>
      <c r="W9" s="88" t="s">
        <v>70</v>
      </c>
      <c r="X9" s="89" t="s">
        <v>70</v>
      </c>
      <c r="Y9" s="90" t="s">
        <v>71</v>
      </c>
      <c r="Z9" s="458"/>
      <c r="AA9" s="97" t="s">
        <v>72</v>
      </c>
      <c r="AB9" s="97" t="s">
        <v>73</v>
      </c>
      <c r="AC9" s="97" t="s">
        <v>74</v>
      </c>
      <c r="AD9" s="98" t="s">
        <v>75</v>
      </c>
      <c r="AE9" s="99" t="s">
        <v>71</v>
      </c>
      <c r="AF9" s="97" t="s">
        <v>26</v>
      </c>
      <c r="AG9" s="100"/>
      <c r="AH9" s="99" t="s">
        <v>71</v>
      </c>
      <c r="AI9" s="101" t="s">
        <v>71</v>
      </c>
      <c r="AJ9" s="98" t="s">
        <v>26</v>
      </c>
      <c r="AK9" s="102" t="s">
        <v>76</v>
      </c>
      <c r="AL9" s="103" t="s">
        <v>77</v>
      </c>
      <c r="AM9" s="97" t="s">
        <v>78</v>
      </c>
      <c r="AN9" s="98" t="s">
        <v>79</v>
      </c>
      <c r="AO9" s="454"/>
      <c r="AP9" s="456"/>
      <c r="AQ9" s="126"/>
      <c r="AR9" s="129"/>
      <c r="AS9" s="296" t="s">
        <v>80</v>
      </c>
      <c r="AT9" s="296" t="s">
        <v>81</v>
      </c>
      <c r="AU9" s="296" t="s">
        <v>82</v>
      </c>
      <c r="AV9" s="222" t="s">
        <v>83</v>
      </c>
    </row>
    <row r="10" spans="1:50" s="7" customFormat="1" ht="19.5" customHeight="1" x14ac:dyDescent="0.3">
      <c r="B10" s="160" t="s">
        <v>84</v>
      </c>
      <c r="C10" s="160" t="s">
        <v>85</v>
      </c>
      <c r="D10" s="160" t="s">
        <v>86</v>
      </c>
      <c r="E10" s="160" t="s">
        <v>87</v>
      </c>
      <c r="F10" s="161" t="s">
        <v>88</v>
      </c>
      <c r="G10" s="162" t="s">
        <v>89</v>
      </c>
      <c r="H10" s="163" t="s">
        <v>90</v>
      </c>
      <c r="I10" s="164" t="s">
        <v>91</v>
      </c>
      <c r="J10" s="161" t="s">
        <v>92</v>
      </c>
      <c r="K10" s="164" t="s">
        <v>93</v>
      </c>
      <c r="L10" s="164" t="s">
        <v>94</v>
      </c>
      <c r="M10" s="165" t="s">
        <v>95</v>
      </c>
      <c r="N10" s="186" t="s">
        <v>96</v>
      </c>
      <c r="O10" s="164" t="s">
        <v>97</v>
      </c>
      <c r="P10" s="166" t="s">
        <v>98</v>
      </c>
      <c r="Q10" s="166" t="s">
        <v>99</v>
      </c>
      <c r="R10" s="167" t="s">
        <v>100</v>
      </c>
      <c r="S10" s="167" t="s">
        <v>101</v>
      </c>
      <c r="T10" s="164" t="s">
        <v>102</v>
      </c>
      <c r="U10" s="168" t="s">
        <v>103</v>
      </c>
      <c r="V10" s="161" t="s">
        <v>104</v>
      </c>
      <c r="W10" s="169" t="s">
        <v>105</v>
      </c>
      <c r="X10" s="170" t="s">
        <v>106</v>
      </c>
      <c r="Y10" s="171" t="s">
        <v>107</v>
      </c>
      <c r="Z10" s="172" t="s">
        <v>108</v>
      </c>
      <c r="AA10" s="173" t="s">
        <v>109</v>
      </c>
      <c r="AB10" s="173" t="s">
        <v>110</v>
      </c>
      <c r="AC10" s="173" t="s">
        <v>111</v>
      </c>
      <c r="AD10" s="174" t="s">
        <v>112</v>
      </c>
      <c r="AE10" s="171" t="s">
        <v>113</v>
      </c>
      <c r="AF10" s="173" t="s">
        <v>114</v>
      </c>
      <c r="AG10" s="175" t="s">
        <v>115</v>
      </c>
      <c r="AH10" s="171" t="s">
        <v>116</v>
      </c>
      <c r="AI10" s="176" t="s">
        <v>117</v>
      </c>
      <c r="AJ10" s="174" t="s">
        <v>118</v>
      </c>
      <c r="AK10" s="177" t="s">
        <v>119</v>
      </c>
      <c r="AL10" s="166" t="s">
        <v>120</v>
      </c>
      <c r="AM10" s="173" t="s">
        <v>121</v>
      </c>
      <c r="AN10" s="174" t="s">
        <v>122</v>
      </c>
      <c r="AO10" s="159" t="s">
        <v>123</v>
      </c>
      <c r="AP10" s="178" t="s">
        <v>124</v>
      </c>
      <c r="AQ10" s="180" t="s">
        <v>125</v>
      </c>
      <c r="AR10" s="181" t="s">
        <v>126</v>
      </c>
      <c r="AS10" s="221" t="s">
        <v>127</v>
      </c>
      <c r="AT10" s="27" t="s">
        <v>128</v>
      </c>
      <c r="AU10" s="27" t="s">
        <v>129</v>
      </c>
      <c r="AV10" s="222" t="s">
        <v>130</v>
      </c>
    </row>
    <row r="11" spans="1:50" ht="19.5" customHeight="1" x14ac:dyDescent="0.3">
      <c r="B11" s="330" t="s">
        <v>131</v>
      </c>
      <c r="C11" s="331"/>
      <c r="D11" s="332" t="s">
        <v>132</v>
      </c>
      <c r="E11" s="332" t="s">
        <v>133</v>
      </c>
      <c r="F11" s="333"/>
      <c r="G11" s="334">
        <v>46082</v>
      </c>
      <c r="H11" s="335">
        <v>1845.17</v>
      </c>
      <c r="I11" s="336">
        <v>98.61</v>
      </c>
      <c r="J11" s="337">
        <v>2590.66</v>
      </c>
      <c r="K11" s="338" t="s">
        <v>134</v>
      </c>
      <c r="L11" s="339" t="s">
        <v>135</v>
      </c>
      <c r="M11" s="340">
        <v>30</v>
      </c>
      <c r="N11" s="341">
        <v>88653</v>
      </c>
      <c r="O11" s="332">
        <v>67.5</v>
      </c>
      <c r="P11" s="342">
        <v>7.6</v>
      </c>
      <c r="Q11" s="343">
        <v>8.7361677344204978</v>
      </c>
      <c r="R11" s="344">
        <v>1.7351301115241635</v>
      </c>
      <c r="S11" s="344">
        <v>1.7170000000000001</v>
      </c>
      <c r="T11" s="344">
        <v>1.867</v>
      </c>
      <c r="U11" s="344" t="s">
        <v>136</v>
      </c>
      <c r="V11" s="332" t="s">
        <v>137</v>
      </c>
      <c r="W11" s="345">
        <v>8</v>
      </c>
      <c r="X11" s="346">
        <v>4</v>
      </c>
      <c r="Y11" s="208">
        <v>2.8069999999999999</v>
      </c>
      <c r="Z11" s="332"/>
      <c r="AA11" s="342"/>
      <c r="AB11" s="342"/>
      <c r="AC11" s="342"/>
      <c r="AD11" s="347"/>
      <c r="AE11" s="348">
        <v>1.714</v>
      </c>
      <c r="AF11" s="349">
        <v>16.2</v>
      </c>
      <c r="AG11" s="350"/>
      <c r="AH11" s="351">
        <v>1.7131782945736433</v>
      </c>
      <c r="AI11" s="352">
        <v>1.9890000000000001</v>
      </c>
      <c r="AJ11" s="206">
        <v>16.100000000000001</v>
      </c>
      <c r="AK11" s="353" t="s">
        <v>138</v>
      </c>
      <c r="AL11" s="206">
        <v>9.9999999999997868E-2</v>
      </c>
      <c r="AM11" s="349">
        <v>101.23279530479368</v>
      </c>
      <c r="AN11" s="354" t="s">
        <v>139</v>
      </c>
      <c r="AO11" s="355" t="s">
        <v>140</v>
      </c>
      <c r="AP11" s="206" t="s">
        <v>139</v>
      </c>
      <c r="AQ11" s="207" t="s">
        <v>141</v>
      </c>
      <c r="AR11" s="211"/>
      <c r="AS11" s="297">
        <f>+IF(Table1[[#This Row],[Column40]]="ok",Table1[[#This Row],[Column7]],0)</f>
        <v>1845.17</v>
      </c>
      <c r="AT11" s="295">
        <f>+IF(Table1[[#This Row],[Column40]]="No",Table1[[#This Row],[Column7]],0)</f>
        <v>0</v>
      </c>
      <c r="AU11" s="4" t="str">
        <f>+IF(LEFT(Table1[[#This Row],[Column42]],2)="DN",IF(Table1[[#This Row],[Column40]]="ok","(CA)",_xlfn.CONCAT("(CA)",CHAR(10),"FAIL")),"")</f>
        <v/>
      </c>
      <c r="AV11" s="154" t="str">
        <f>+IF(Table1[[#This Row],[Column6]]=0,"",_xlfn.CONCAT("Sem ",WEEKNUM(Table1[[#This Row],[Column6]],2)))</f>
        <v>Sem 9</v>
      </c>
    </row>
    <row r="12" spans="1:50" ht="19.5" customHeight="1" x14ac:dyDescent="0.3">
      <c r="B12" s="330" t="s">
        <v>141</v>
      </c>
      <c r="C12" s="331"/>
      <c r="D12" s="332" t="s">
        <v>132</v>
      </c>
      <c r="E12" s="332" t="s">
        <v>133</v>
      </c>
      <c r="F12" s="333"/>
      <c r="G12" s="334">
        <v>46082</v>
      </c>
      <c r="H12" s="335">
        <v>1845.17</v>
      </c>
      <c r="I12" s="336">
        <v>98.61</v>
      </c>
      <c r="J12" s="337">
        <v>2590.66</v>
      </c>
      <c r="K12" s="338" t="s">
        <v>134</v>
      </c>
      <c r="L12" s="339" t="s">
        <v>135</v>
      </c>
      <c r="M12" s="340">
        <v>15</v>
      </c>
      <c r="N12" s="341"/>
      <c r="O12" s="332"/>
      <c r="P12" s="342">
        <v>7.6181872929840271</v>
      </c>
      <c r="Q12" s="343"/>
      <c r="R12" s="344">
        <v>1.7292598534353281</v>
      </c>
      <c r="S12" s="344"/>
      <c r="T12" s="344">
        <v>1.8609981078524125</v>
      </c>
      <c r="U12" s="344" t="s">
        <v>142</v>
      </c>
      <c r="V12" s="332" t="s">
        <v>137</v>
      </c>
      <c r="W12" s="345">
        <v>6</v>
      </c>
      <c r="X12" s="346">
        <v>8</v>
      </c>
      <c r="Y12" s="208"/>
      <c r="Z12" s="332" t="s">
        <v>143</v>
      </c>
      <c r="AA12" s="342">
        <v>98.614875037639266</v>
      </c>
      <c r="AB12" s="342">
        <v>76.964769647696485</v>
      </c>
      <c r="AC12" s="342">
        <v>35.35079795242396</v>
      </c>
      <c r="AD12" s="347">
        <v>13.15868714242697</v>
      </c>
      <c r="AE12" s="348">
        <v>1.714</v>
      </c>
      <c r="AF12" s="349">
        <v>16.2</v>
      </c>
      <c r="AG12" s="350" t="s">
        <v>138</v>
      </c>
      <c r="AH12" s="351">
        <v>1.71305562701713</v>
      </c>
      <c r="AI12" s="352">
        <v>1.9887150005323113</v>
      </c>
      <c r="AJ12" s="206">
        <v>16.091676718938491</v>
      </c>
      <c r="AK12" s="353" t="s">
        <v>138</v>
      </c>
      <c r="AL12" s="206">
        <v>0.10832328106150868</v>
      </c>
      <c r="AM12" s="349">
        <v>100.89030650147772</v>
      </c>
      <c r="AN12" s="354" t="s">
        <v>139</v>
      </c>
      <c r="AO12" s="355" t="s">
        <v>144</v>
      </c>
      <c r="AP12" s="206">
        <v>0</v>
      </c>
      <c r="AQ12" s="207" t="s">
        <v>131</v>
      </c>
      <c r="AR12" s="211"/>
      <c r="AS12" s="297">
        <f>+IF(Table1[[#This Row],[Column40]]="ok",Table1[[#This Row],[Column7]],0)</f>
        <v>1845.17</v>
      </c>
      <c r="AT12" s="295">
        <f>+IF(Table1[[#This Row],[Column40]]="No",Table1[[#This Row],[Column7]],0)</f>
        <v>0</v>
      </c>
      <c r="AU12" s="4" t="str">
        <f>+IF(LEFT(Table1[[#This Row],[Column42]],2)="DN",IF(Table1[[#This Row],[Column40]]="ok","(CA)",_xlfn.CONCAT("(CA)",CHAR(10),"FAIL")),"")</f>
        <v>(CA)</v>
      </c>
      <c r="AV12" s="154" t="str">
        <f>+IF(Table1[[#This Row],[Column6]]=0,"",_xlfn.CONCAT("Sem ",WEEKNUM(Table1[[#This Row],[Column6]],2)))</f>
        <v>Sem 9</v>
      </c>
    </row>
    <row r="13" spans="1:50" ht="19.5" customHeight="1" x14ac:dyDescent="0.3">
      <c r="B13" s="356" t="s">
        <v>145</v>
      </c>
      <c r="C13" s="331"/>
      <c r="D13" s="332" t="s">
        <v>132</v>
      </c>
      <c r="E13" s="332" t="s">
        <v>133</v>
      </c>
      <c r="F13" s="333"/>
      <c r="G13" s="334">
        <v>46082</v>
      </c>
      <c r="H13" s="335">
        <v>1769.33</v>
      </c>
      <c r="I13" s="336">
        <v>111.15</v>
      </c>
      <c r="J13" s="337">
        <v>2601.52</v>
      </c>
      <c r="K13" s="338" t="s">
        <v>134</v>
      </c>
      <c r="L13" s="339" t="s">
        <v>146</v>
      </c>
      <c r="M13" s="340">
        <v>30</v>
      </c>
      <c r="N13" s="341">
        <v>88653</v>
      </c>
      <c r="O13" s="332">
        <v>67.5</v>
      </c>
      <c r="P13" s="342">
        <v>8.7999999999999989</v>
      </c>
      <c r="Q13" s="343">
        <v>8.8747099767981563</v>
      </c>
      <c r="R13" s="344">
        <v>1.7251838235294117</v>
      </c>
      <c r="S13" s="344">
        <v>1.724</v>
      </c>
      <c r="T13" s="344">
        <v>1.877</v>
      </c>
      <c r="U13" s="344" t="s">
        <v>136</v>
      </c>
      <c r="V13" s="332" t="s">
        <v>137</v>
      </c>
      <c r="W13" s="345">
        <v>8</v>
      </c>
      <c r="X13" s="346">
        <v>4</v>
      </c>
      <c r="Y13" s="208">
        <v>2.8069999999999999</v>
      </c>
      <c r="Z13" s="332"/>
      <c r="AA13" s="342"/>
      <c r="AB13" s="342"/>
      <c r="AC13" s="342"/>
      <c r="AD13" s="347"/>
      <c r="AE13" s="348">
        <v>1.7170000000000001</v>
      </c>
      <c r="AF13" s="349">
        <v>0</v>
      </c>
      <c r="AG13" s="350"/>
      <c r="AH13" s="351" t="s">
        <v>139</v>
      </c>
      <c r="AI13" s="352" t="s">
        <v>139</v>
      </c>
      <c r="AJ13" s="206" t="s">
        <v>139</v>
      </c>
      <c r="AK13" s="353" t="s">
        <v>147</v>
      </c>
      <c r="AL13" s="206" t="s">
        <v>139</v>
      </c>
      <c r="AM13" s="349">
        <v>100.47663503374558</v>
      </c>
      <c r="AN13" s="354" t="s">
        <v>139</v>
      </c>
      <c r="AO13" s="355" t="s">
        <v>140</v>
      </c>
      <c r="AP13" s="206" t="s">
        <v>139</v>
      </c>
      <c r="AQ13" s="207">
        <v>0</v>
      </c>
      <c r="AR13" s="211"/>
      <c r="AS13" s="297">
        <f>+IF(Table1[[#This Row],[Column40]]="ok",Table1[[#This Row],[Column7]],0)</f>
        <v>1769.33</v>
      </c>
      <c r="AT13" s="295">
        <f>+IF(Table1[[#This Row],[Column40]]="No",Table1[[#This Row],[Column7]],0)</f>
        <v>0</v>
      </c>
      <c r="AU13" s="4" t="str">
        <f>+IF(LEFT(Table1[[#This Row],[Column42]],2)="DN",IF(Table1[[#This Row],[Column40]]="ok","(CA)",_xlfn.CONCAT("(CA)",CHAR(10),"FAIL")),"")</f>
        <v/>
      </c>
      <c r="AV13" s="154" t="str">
        <f>+IF(Table1[[#This Row],[Column6]]=0,"",_xlfn.CONCAT("Sem ",WEEKNUM(Table1[[#This Row],[Column6]],2)))</f>
        <v>Sem 9</v>
      </c>
    </row>
    <row r="14" spans="1:50" ht="19.5" customHeight="1" x14ac:dyDescent="0.3">
      <c r="B14" s="356" t="s">
        <v>148</v>
      </c>
      <c r="C14" s="331"/>
      <c r="D14" s="332" t="s">
        <v>132</v>
      </c>
      <c r="E14" s="332" t="s">
        <v>133</v>
      </c>
      <c r="F14" s="333"/>
      <c r="G14" s="334">
        <v>46082</v>
      </c>
      <c r="H14" s="335">
        <v>1700.27</v>
      </c>
      <c r="I14" s="336">
        <v>129.83000000000001</v>
      </c>
      <c r="J14" s="337">
        <v>2604.08</v>
      </c>
      <c r="K14" s="338" t="s">
        <v>149</v>
      </c>
      <c r="L14" s="339" t="s">
        <v>150</v>
      </c>
      <c r="M14" s="340">
        <v>30</v>
      </c>
      <c r="N14" s="341">
        <v>88653</v>
      </c>
      <c r="O14" s="332">
        <v>67.5</v>
      </c>
      <c r="P14" s="342">
        <v>10.5</v>
      </c>
      <c r="Q14" s="343">
        <v>10.152284263959398</v>
      </c>
      <c r="R14" s="344">
        <v>1.7674208144796382</v>
      </c>
      <c r="S14" s="344">
        <v>1.7729999999999999</v>
      </c>
      <c r="T14" s="344">
        <v>1.9530000000000001</v>
      </c>
      <c r="U14" s="344" t="s">
        <v>136</v>
      </c>
      <c r="V14" s="332" t="s">
        <v>137</v>
      </c>
      <c r="W14" s="345">
        <v>8</v>
      </c>
      <c r="X14" s="346">
        <v>4</v>
      </c>
      <c r="Y14" s="208">
        <v>2.8069999999999999</v>
      </c>
      <c r="Z14" s="332"/>
      <c r="AA14" s="342"/>
      <c r="AB14" s="342"/>
      <c r="AC14" s="342"/>
      <c r="AD14" s="347"/>
      <c r="AE14" s="348">
        <v>1.7170000000000001</v>
      </c>
      <c r="AF14" s="349">
        <v>0</v>
      </c>
      <c r="AG14" s="350"/>
      <c r="AH14" s="351" t="s">
        <v>139</v>
      </c>
      <c r="AI14" s="352" t="s">
        <v>139</v>
      </c>
      <c r="AJ14" s="206" t="s">
        <v>139</v>
      </c>
      <c r="AK14" s="353" t="s">
        <v>147</v>
      </c>
      <c r="AL14" s="206" t="s">
        <v>139</v>
      </c>
      <c r="AM14" s="349">
        <v>102.93656461733478</v>
      </c>
      <c r="AN14" s="354" t="s">
        <v>139</v>
      </c>
      <c r="AO14" s="355" t="s">
        <v>140</v>
      </c>
      <c r="AP14" s="206" t="s">
        <v>139</v>
      </c>
      <c r="AQ14" s="207">
        <v>0</v>
      </c>
      <c r="AR14" s="211"/>
      <c r="AS14" s="297">
        <f>+IF(Table1[[#This Row],[Column40]]="ok",Table1[[#This Row],[Column7]],0)</f>
        <v>1700.27</v>
      </c>
      <c r="AT14" s="295">
        <f>+IF(Table1[[#This Row],[Column40]]="No",Table1[[#This Row],[Column7]],0)</f>
        <v>0</v>
      </c>
      <c r="AU14" s="4" t="str">
        <f>+IF(LEFT(Table1[[#This Row],[Column42]],2)="DN",IF(Table1[[#This Row],[Column40]]="ok","(CA)",_xlfn.CONCAT("(CA)",CHAR(10),"FAIL")),"")</f>
        <v/>
      </c>
      <c r="AV14" s="154" t="str">
        <f>+IF(Table1[[#This Row],[Column6]]=0,"",_xlfn.CONCAT("Sem ",WEEKNUM(Table1[[#This Row],[Column6]],2)))</f>
        <v>Sem 9</v>
      </c>
    </row>
    <row r="15" spans="1:50" ht="19.5" customHeight="1" x14ac:dyDescent="0.3">
      <c r="B15" s="356" t="s">
        <v>151</v>
      </c>
      <c r="C15" s="331"/>
      <c r="D15" s="332" t="s">
        <v>132</v>
      </c>
      <c r="E15" s="332" t="s">
        <v>133</v>
      </c>
      <c r="F15" s="333"/>
      <c r="G15" s="334">
        <v>46082</v>
      </c>
      <c r="H15" s="335">
        <v>1723.48</v>
      </c>
      <c r="I15" s="336">
        <v>209.82</v>
      </c>
      <c r="J15" s="337">
        <v>2578.96</v>
      </c>
      <c r="K15" s="338" t="s">
        <v>149</v>
      </c>
      <c r="L15" s="339" t="s">
        <v>152</v>
      </c>
      <c r="M15" s="340">
        <v>30</v>
      </c>
      <c r="N15" s="341">
        <v>88653</v>
      </c>
      <c r="O15" s="332">
        <v>67.5</v>
      </c>
      <c r="P15" s="342">
        <v>10.4</v>
      </c>
      <c r="Q15" s="343">
        <v>9.1967403958090657</v>
      </c>
      <c r="R15" s="344">
        <v>1.6992753623188404</v>
      </c>
      <c r="S15" s="344">
        <v>1.718</v>
      </c>
      <c r="T15" s="344">
        <v>1.8759999999999999</v>
      </c>
      <c r="U15" s="344" t="s">
        <v>136</v>
      </c>
      <c r="V15" s="332" t="s">
        <v>137</v>
      </c>
      <c r="W15" s="345">
        <v>8</v>
      </c>
      <c r="X15" s="346">
        <v>4</v>
      </c>
      <c r="Y15" s="208">
        <v>2.8069999999999999</v>
      </c>
      <c r="Z15" s="332"/>
      <c r="AA15" s="342"/>
      <c r="AB15" s="342"/>
      <c r="AC15" s="342"/>
      <c r="AD15" s="347"/>
      <c r="AE15" s="348">
        <v>1.7170000000000001</v>
      </c>
      <c r="AF15" s="349" t="s">
        <v>139</v>
      </c>
      <c r="AG15" s="350"/>
      <c r="AH15" s="351" t="s">
        <v>139</v>
      </c>
      <c r="AI15" s="352" t="s">
        <v>139</v>
      </c>
      <c r="AJ15" s="206" t="s">
        <v>139</v>
      </c>
      <c r="AK15" s="353" t="s">
        <v>147</v>
      </c>
      <c r="AL15" s="206" t="s">
        <v>139</v>
      </c>
      <c r="AM15" s="349">
        <v>98.967697281237051</v>
      </c>
      <c r="AN15" s="354" t="s">
        <v>139</v>
      </c>
      <c r="AO15" s="355" t="s">
        <v>140</v>
      </c>
      <c r="AP15" s="206" t="s">
        <v>139</v>
      </c>
      <c r="AQ15" s="207">
        <v>0</v>
      </c>
      <c r="AR15" s="211"/>
      <c r="AS15" s="297">
        <f>+IF(Table1[[#This Row],[Column40]]="ok",Table1[[#This Row],[Column7]],0)</f>
        <v>1723.48</v>
      </c>
      <c r="AT15" s="295">
        <f>+IF(Table1[[#This Row],[Column40]]="No",Table1[[#This Row],[Column7]],0)</f>
        <v>0</v>
      </c>
      <c r="AU15" s="4" t="str">
        <f>+IF(LEFT(Table1[[#This Row],[Column42]],2)="DN",IF(Table1[[#This Row],[Column40]]="ok","(CA)",_xlfn.CONCAT("(CA)",CHAR(10),"FAIL")),"")</f>
        <v/>
      </c>
      <c r="AV15" s="154" t="str">
        <f>+IF(Table1[[#This Row],[Column6]]=0,"",_xlfn.CONCAT("Sem ",WEEKNUM(Table1[[#This Row],[Column6]],2)))</f>
        <v>Sem 9</v>
      </c>
    </row>
    <row r="16" spans="1:50" ht="19.5" customHeight="1" x14ac:dyDescent="0.3">
      <c r="B16" s="356" t="s">
        <v>153</v>
      </c>
      <c r="C16" s="331"/>
      <c r="D16" s="332" t="s">
        <v>132</v>
      </c>
      <c r="E16" s="332" t="s">
        <v>133</v>
      </c>
      <c r="F16" s="333"/>
      <c r="G16" s="334">
        <v>46082</v>
      </c>
      <c r="H16" s="335">
        <v>1801.93</v>
      </c>
      <c r="I16" s="336">
        <v>190.9</v>
      </c>
      <c r="J16" s="337">
        <v>2573.7399999999998</v>
      </c>
      <c r="K16" s="338" t="s">
        <v>134</v>
      </c>
      <c r="L16" s="339" t="s">
        <v>154</v>
      </c>
      <c r="M16" s="340">
        <v>30</v>
      </c>
      <c r="N16" s="341">
        <v>88653</v>
      </c>
      <c r="O16" s="332">
        <v>67.5</v>
      </c>
      <c r="P16" s="342">
        <v>15.9</v>
      </c>
      <c r="Q16" s="343">
        <v>13.847012841987727</v>
      </c>
      <c r="R16" s="344">
        <v>1.7592752372735116</v>
      </c>
      <c r="S16" s="344">
        <v>1.7909999999999999</v>
      </c>
      <c r="T16" s="344">
        <v>2.0390000000000001</v>
      </c>
      <c r="U16" s="344" t="s">
        <v>136</v>
      </c>
      <c r="V16" s="332" t="s">
        <v>137</v>
      </c>
      <c r="W16" s="345">
        <v>8</v>
      </c>
      <c r="X16" s="346">
        <v>4</v>
      </c>
      <c r="Y16" s="208">
        <v>2.8069999999999999</v>
      </c>
      <c r="Z16" s="332"/>
      <c r="AA16" s="342"/>
      <c r="AB16" s="342"/>
      <c r="AC16" s="342"/>
      <c r="AD16" s="347"/>
      <c r="AE16" s="348">
        <v>1.7170000000000001</v>
      </c>
      <c r="AF16" s="349">
        <v>0</v>
      </c>
      <c r="AG16" s="350"/>
      <c r="AH16" s="351" t="s">
        <v>139</v>
      </c>
      <c r="AI16" s="352" t="s">
        <v>139</v>
      </c>
      <c r="AJ16" s="206" t="s">
        <v>139</v>
      </c>
      <c r="AK16" s="353" t="s">
        <v>147</v>
      </c>
      <c r="AL16" s="206" t="s">
        <v>139</v>
      </c>
      <c r="AM16" s="349">
        <v>102.46215709222548</v>
      </c>
      <c r="AN16" s="354" t="s">
        <v>139</v>
      </c>
      <c r="AO16" s="355" t="s">
        <v>140</v>
      </c>
      <c r="AP16" s="206" t="s">
        <v>139</v>
      </c>
      <c r="AQ16" s="207">
        <v>0</v>
      </c>
      <c r="AR16" s="211"/>
      <c r="AS16" s="297">
        <f>+IF(Table1[[#This Row],[Column40]]="ok",Table1[[#This Row],[Column7]],0)</f>
        <v>1801.93</v>
      </c>
      <c r="AT16" s="295">
        <f>+IF(Table1[[#This Row],[Column40]]="No",Table1[[#This Row],[Column7]],0)</f>
        <v>0</v>
      </c>
      <c r="AU16" s="4" t="str">
        <f>+IF(LEFT(Table1[[#This Row],[Column42]],2)="DN",IF(Table1[[#This Row],[Column40]]="ok","(CA)",_xlfn.CONCAT("(CA)",CHAR(10),"FAIL")),"")</f>
        <v/>
      </c>
      <c r="AV16" s="154" t="str">
        <f>+IF(Table1[[#This Row],[Column6]]=0,"",_xlfn.CONCAT("Sem ",WEEKNUM(Table1[[#This Row],[Column6]],2)))</f>
        <v>Sem 9</v>
      </c>
    </row>
    <row r="17" spans="2:48" ht="19.5" customHeight="1" x14ac:dyDescent="0.3">
      <c r="B17" s="356" t="s">
        <v>155</v>
      </c>
      <c r="C17" s="331"/>
      <c r="D17" s="332" t="s">
        <v>132</v>
      </c>
      <c r="E17" s="332" t="s">
        <v>133</v>
      </c>
      <c r="F17" s="333"/>
      <c r="G17" s="334">
        <v>46082</v>
      </c>
      <c r="H17" s="335">
        <v>1886.67</v>
      </c>
      <c r="I17" s="336">
        <v>167.36</v>
      </c>
      <c r="J17" s="337">
        <v>2571.16</v>
      </c>
      <c r="K17" s="338" t="s">
        <v>134</v>
      </c>
      <c r="L17" s="339" t="s">
        <v>156</v>
      </c>
      <c r="M17" s="340">
        <v>30</v>
      </c>
      <c r="N17" s="341">
        <v>88653</v>
      </c>
      <c r="O17" s="332">
        <v>67.5</v>
      </c>
      <c r="P17" s="342">
        <v>7.0000000000000009</v>
      </c>
      <c r="Q17" s="343">
        <v>8.4872979214780653</v>
      </c>
      <c r="R17" s="344">
        <v>1.7560747663551401</v>
      </c>
      <c r="S17" s="344">
        <v>1.732</v>
      </c>
      <c r="T17" s="344">
        <v>1.879</v>
      </c>
      <c r="U17" s="344" t="s">
        <v>136</v>
      </c>
      <c r="V17" s="332" t="s">
        <v>137</v>
      </c>
      <c r="W17" s="345">
        <v>8</v>
      </c>
      <c r="X17" s="346">
        <v>4</v>
      </c>
      <c r="Y17" s="208">
        <v>2.8069999999999999</v>
      </c>
      <c r="Z17" s="332"/>
      <c r="AA17" s="342"/>
      <c r="AB17" s="342"/>
      <c r="AC17" s="342"/>
      <c r="AD17" s="347"/>
      <c r="AE17" s="348">
        <v>1.7170000000000001</v>
      </c>
      <c r="AF17" s="349">
        <v>0</v>
      </c>
      <c r="AG17" s="350"/>
      <c r="AH17" s="351" t="s">
        <v>139</v>
      </c>
      <c r="AI17" s="352" t="s">
        <v>139</v>
      </c>
      <c r="AJ17" s="206" t="s">
        <v>139</v>
      </c>
      <c r="AK17" s="353" t="s">
        <v>147</v>
      </c>
      <c r="AL17" s="206" t="s">
        <v>139</v>
      </c>
      <c r="AM17" s="349">
        <v>102.27575808707863</v>
      </c>
      <c r="AN17" s="354" t="s">
        <v>139</v>
      </c>
      <c r="AO17" s="355" t="s">
        <v>140</v>
      </c>
      <c r="AP17" s="206" t="s">
        <v>139</v>
      </c>
      <c r="AQ17" s="207">
        <v>0</v>
      </c>
      <c r="AR17" s="211"/>
      <c r="AS17" s="297">
        <f>+IF(Table1[[#This Row],[Column40]]="ok",Table1[[#This Row],[Column7]],0)</f>
        <v>1886.67</v>
      </c>
      <c r="AT17" s="295">
        <f>+IF(Table1[[#This Row],[Column40]]="No",Table1[[#This Row],[Column7]],0)</f>
        <v>0</v>
      </c>
      <c r="AU17" s="4" t="str">
        <f>+IF(LEFT(Table1[[#This Row],[Column42]],2)="DN",IF(Table1[[#This Row],[Column40]]="ok","(CA)",_xlfn.CONCAT("(CA)",CHAR(10),"FAIL")),"")</f>
        <v/>
      </c>
      <c r="AV17" s="154" t="str">
        <f>+IF(Table1[[#This Row],[Column6]]=0,"",_xlfn.CONCAT("Sem ",WEEKNUM(Table1[[#This Row],[Column6]],2)))</f>
        <v>Sem 9</v>
      </c>
    </row>
    <row r="18" spans="2:48" ht="19.5" customHeight="1" x14ac:dyDescent="0.3">
      <c r="B18" s="356" t="s">
        <v>157</v>
      </c>
      <c r="C18" s="331"/>
      <c r="D18" s="332" t="s">
        <v>132</v>
      </c>
      <c r="E18" s="332" t="s">
        <v>133</v>
      </c>
      <c r="F18" s="333"/>
      <c r="G18" s="334">
        <v>46082</v>
      </c>
      <c r="H18" s="335">
        <v>1827.54</v>
      </c>
      <c r="I18" s="336">
        <v>252.76</v>
      </c>
      <c r="J18" s="337">
        <v>2555.87</v>
      </c>
      <c r="K18" s="338" t="s">
        <v>158</v>
      </c>
      <c r="L18" s="339" t="s">
        <v>159</v>
      </c>
      <c r="M18" s="340">
        <v>30</v>
      </c>
      <c r="N18" s="341">
        <v>88653</v>
      </c>
      <c r="O18" s="332">
        <v>67.5</v>
      </c>
      <c r="P18" s="342">
        <v>10.7</v>
      </c>
      <c r="Q18" s="343">
        <v>10.075275043427911</v>
      </c>
      <c r="R18" s="344">
        <v>1.7172538392050587</v>
      </c>
      <c r="S18" s="344">
        <v>1.7270000000000001</v>
      </c>
      <c r="T18" s="344">
        <v>1.901</v>
      </c>
      <c r="U18" s="344" t="s">
        <v>136</v>
      </c>
      <c r="V18" s="332" t="s">
        <v>137</v>
      </c>
      <c r="W18" s="345">
        <v>8</v>
      </c>
      <c r="X18" s="346">
        <v>4</v>
      </c>
      <c r="Y18" s="208">
        <v>2.8069999999999999</v>
      </c>
      <c r="Z18" s="332"/>
      <c r="AA18" s="342"/>
      <c r="AB18" s="342"/>
      <c r="AC18" s="342"/>
      <c r="AD18" s="347"/>
      <c r="AE18" s="348">
        <v>1.7170000000000001</v>
      </c>
      <c r="AF18" s="349">
        <v>0</v>
      </c>
      <c r="AG18" s="350"/>
      <c r="AH18" s="351" t="s">
        <v>139</v>
      </c>
      <c r="AI18" s="352" t="s">
        <v>139</v>
      </c>
      <c r="AJ18" s="206" t="s">
        <v>139</v>
      </c>
      <c r="AK18" s="353" t="s">
        <v>147</v>
      </c>
      <c r="AL18" s="206" t="s">
        <v>139</v>
      </c>
      <c r="AM18" s="349">
        <v>100.0147838791531</v>
      </c>
      <c r="AN18" s="354" t="s">
        <v>139</v>
      </c>
      <c r="AO18" s="355" t="s">
        <v>140</v>
      </c>
      <c r="AP18" s="206" t="s">
        <v>139</v>
      </c>
      <c r="AQ18" s="207">
        <v>0</v>
      </c>
      <c r="AR18" s="211"/>
      <c r="AS18" s="297">
        <f>+IF(Table1[[#This Row],[Column40]]="ok",Table1[[#This Row],[Column7]],0)</f>
        <v>1827.54</v>
      </c>
      <c r="AT18" s="295">
        <f>+IF(Table1[[#This Row],[Column40]]="No",Table1[[#This Row],[Column7]],0)</f>
        <v>0</v>
      </c>
      <c r="AU18" s="4" t="str">
        <f>+IF(LEFT(Table1[[#This Row],[Column42]],2)="DN",IF(Table1[[#This Row],[Column40]]="ok","(CA)",_xlfn.CONCAT("(CA)",CHAR(10),"FAIL")),"")</f>
        <v/>
      </c>
      <c r="AV18" s="154" t="str">
        <f>+IF(Table1[[#This Row],[Column6]]=0,"",_xlfn.CONCAT("Sem ",WEEKNUM(Table1[[#This Row],[Column6]],2)))</f>
        <v>Sem 9</v>
      </c>
    </row>
    <row r="19" spans="2:48" ht="19.5" customHeight="1" x14ac:dyDescent="0.3">
      <c r="B19" s="356" t="s">
        <v>160</v>
      </c>
      <c r="C19" s="331"/>
      <c r="D19" s="332" t="s">
        <v>132</v>
      </c>
      <c r="E19" s="332" t="s">
        <v>133</v>
      </c>
      <c r="F19" s="333"/>
      <c r="G19" s="334">
        <v>46082</v>
      </c>
      <c r="H19" s="335">
        <v>1761.91</v>
      </c>
      <c r="I19" s="336">
        <v>252.76</v>
      </c>
      <c r="J19" s="337">
        <v>2563.96</v>
      </c>
      <c r="K19" s="338" t="s">
        <v>158</v>
      </c>
      <c r="L19" s="339" t="s">
        <v>146</v>
      </c>
      <c r="M19" s="340">
        <v>30</v>
      </c>
      <c r="N19" s="341">
        <v>88653</v>
      </c>
      <c r="O19" s="332">
        <v>67.5</v>
      </c>
      <c r="P19" s="342">
        <v>9.1</v>
      </c>
      <c r="Q19" s="343">
        <v>9.4903339191564129</v>
      </c>
      <c r="R19" s="344">
        <v>1.7131072410632449</v>
      </c>
      <c r="S19" s="344">
        <v>1.7070000000000001</v>
      </c>
      <c r="T19" s="344">
        <v>1.869</v>
      </c>
      <c r="U19" s="344" t="s">
        <v>136</v>
      </c>
      <c r="V19" s="332" t="s">
        <v>137</v>
      </c>
      <c r="W19" s="345">
        <v>8</v>
      </c>
      <c r="X19" s="346">
        <v>4</v>
      </c>
      <c r="Y19" s="208">
        <v>2.8069999999999999</v>
      </c>
      <c r="Z19" s="332"/>
      <c r="AA19" s="342"/>
      <c r="AB19" s="342"/>
      <c r="AC19" s="342"/>
      <c r="AD19" s="347"/>
      <c r="AE19" s="348">
        <v>1.7170000000000001</v>
      </c>
      <c r="AF19" s="349">
        <v>16.3</v>
      </c>
      <c r="AG19" s="350"/>
      <c r="AH19" s="351">
        <v>1.7157622739018088</v>
      </c>
      <c r="AI19" s="352">
        <v>1.992</v>
      </c>
      <c r="AJ19" s="206">
        <v>16.100000000000001</v>
      </c>
      <c r="AK19" s="353" t="s">
        <v>147</v>
      </c>
      <c r="AL19" s="206">
        <v>0.19999999999999929</v>
      </c>
      <c r="AM19" s="349">
        <v>99.773281366525609</v>
      </c>
      <c r="AN19" s="354" t="s">
        <v>139</v>
      </c>
      <c r="AO19" s="355" t="s">
        <v>140</v>
      </c>
      <c r="AP19" s="206" t="s">
        <v>139</v>
      </c>
      <c r="AQ19" s="207">
        <v>0</v>
      </c>
      <c r="AR19" s="211"/>
      <c r="AS19" s="297">
        <f>+IF(Table1[[#This Row],[Column40]]="ok",Table1[[#This Row],[Column7]],0)</f>
        <v>1761.91</v>
      </c>
      <c r="AT19" s="295">
        <f>+IF(Table1[[#This Row],[Column40]]="No",Table1[[#This Row],[Column7]],0)</f>
        <v>0</v>
      </c>
      <c r="AU19" s="4" t="str">
        <f>+IF(LEFT(Table1[[#This Row],[Column42]],2)="DN",IF(Table1[[#This Row],[Column40]]="ok","(CA)",_xlfn.CONCAT("(CA)",CHAR(10),"FAIL")),"")</f>
        <v/>
      </c>
      <c r="AV19" s="154" t="str">
        <f>+IF(Table1[[#This Row],[Column6]]=0,"",_xlfn.CONCAT("Sem ",WEEKNUM(Table1[[#This Row],[Column6]],2)))</f>
        <v>Sem 9</v>
      </c>
    </row>
    <row r="20" spans="2:48" ht="19.5" customHeight="1" x14ac:dyDescent="0.3">
      <c r="B20" s="356" t="s">
        <v>161</v>
      </c>
      <c r="C20" s="331"/>
      <c r="D20" s="332" t="s">
        <v>132</v>
      </c>
      <c r="E20" s="332" t="s">
        <v>133</v>
      </c>
      <c r="F20" s="333"/>
      <c r="G20" s="334">
        <v>46082</v>
      </c>
      <c r="H20" s="335">
        <v>1614.85</v>
      </c>
      <c r="I20" s="336">
        <v>155.49</v>
      </c>
      <c r="J20" s="337">
        <v>2597.06</v>
      </c>
      <c r="K20" s="338" t="s">
        <v>162</v>
      </c>
      <c r="L20" s="339" t="s">
        <v>163</v>
      </c>
      <c r="M20" s="340">
        <v>30</v>
      </c>
      <c r="N20" s="341">
        <v>88653</v>
      </c>
      <c r="O20" s="332">
        <v>67.5</v>
      </c>
      <c r="P20" s="342">
        <v>10.8</v>
      </c>
      <c r="Q20" s="343">
        <v>9.9360836722835355</v>
      </c>
      <c r="R20" s="344">
        <v>1.7075812274368229</v>
      </c>
      <c r="S20" s="344">
        <v>1.7210000000000001</v>
      </c>
      <c r="T20" s="344">
        <v>1.8919999999999999</v>
      </c>
      <c r="U20" s="344" t="s">
        <v>136</v>
      </c>
      <c r="V20" s="332" t="s">
        <v>137</v>
      </c>
      <c r="W20" s="345">
        <v>8</v>
      </c>
      <c r="X20" s="346">
        <v>4</v>
      </c>
      <c r="Y20" s="208">
        <v>2.8069999999999999</v>
      </c>
      <c r="Z20" s="332"/>
      <c r="AA20" s="342"/>
      <c r="AB20" s="342"/>
      <c r="AC20" s="342"/>
      <c r="AD20" s="347"/>
      <c r="AE20" s="348">
        <v>1.7170000000000001</v>
      </c>
      <c r="AF20" s="349">
        <v>0</v>
      </c>
      <c r="AG20" s="350"/>
      <c r="AH20" s="351" t="s">
        <v>139</v>
      </c>
      <c r="AI20" s="352" t="s">
        <v>139</v>
      </c>
      <c r="AJ20" s="206" t="s">
        <v>139</v>
      </c>
      <c r="AK20" s="353" t="s">
        <v>147</v>
      </c>
      <c r="AL20" s="206" t="s">
        <v>139</v>
      </c>
      <c r="AM20" s="349">
        <v>99.451440153571511</v>
      </c>
      <c r="AN20" s="354" t="s">
        <v>139</v>
      </c>
      <c r="AO20" s="355" t="s">
        <v>140</v>
      </c>
      <c r="AP20" s="206" t="s">
        <v>139</v>
      </c>
      <c r="AQ20" s="207">
        <v>0</v>
      </c>
      <c r="AR20" s="211"/>
      <c r="AS20" s="297">
        <f>+IF(Table1[[#This Row],[Column40]]="ok",Table1[[#This Row],[Column7]],0)</f>
        <v>1614.85</v>
      </c>
      <c r="AT20" s="295">
        <f>+IF(Table1[[#This Row],[Column40]]="No",Table1[[#This Row],[Column7]],0)</f>
        <v>0</v>
      </c>
      <c r="AU20" s="4" t="str">
        <f>+IF(LEFT(Table1[[#This Row],[Column42]],2)="DN",IF(Table1[[#This Row],[Column40]]="ok","(CA)",_xlfn.CONCAT("(CA)",CHAR(10),"FAIL")),"")</f>
        <v/>
      </c>
      <c r="AV20" s="154" t="str">
        <f>+IF(Table1[[#This Row],[Column6]]=0,"",_xlfn.CONCAT("Sem ",WEEKNUM(Table1[[#This Row],[Column6]],2)))</f>
        <v>Sem 9</v>
      </c>
    </row>
    <row r="21" spans="2:48" ht="19.5" customHeight="1" x14ac:dyDescent="0.3">
      <c r="B21" s="356" t="s">
        <v>164</v>
      </c>
      <c r="C21" s="331"/>
      <c r="D21" s="332" t="s">
        <v>132</v>
      </c>
      <c r="E21" s="332" t="s">
        <v>133</v>
      </c>
      <c r="F21" s="333"/>
      <c r="G21" s="334">
        <v>46082</v>
      </c>
      <c r="H21" s="335">
        <v>1618.5</v>
      </c>
      <c r="I21" s="336">
        <v>238.34</v>
      </c>
      <c r="J21" s="337">
        <v>2571.8000000000002</v>
      </c>
      <c r="K21" s="338" t="s">
        <v>162</v>
      </c>
      <c r="L21" s="339" t="s">
        <v>163</v>
      </c>
      <c r="M21" s="340">
        <v>30</v>
      </c>
      <c r="N21" s="341">
        <v>88653</v>
      </c>
      <c r="O21" s="332">
        <v>67.5</v>
      </c>
      <c r="P21" s="342">
        <v>9.4</v>
      </c>
      <c r="Q21" s="343">
        <v>9.384164222873892</v>
      </c>
      <c r="R21" s="344">
        <v>1.7047531992687384</v>
      </c>
      <c r="S21" s="344">
        <v>1.7050000000000001</v>
      </c>
      <c r="T21" s="344">
        <v>1.865</v>
      </c>
      <c r="U21" s="344" t="s">
        <v>136</v>
      </c>
      <c r="V21" s="332" t="s">
        <v>137</v>
      </c>
      <c r="W21" s="345">
        <v>8</v>
      </c>
      <c r="X21" s="346">
        <v>4</v>
      </c>
      <c r="Y21" s="208">
        <v>2.8069999999999999</v>
      </c>
      <c r="Z21" s="332"/>
      <c r="AA21" s="342"/>
      <c r="AB21" s="342"/>
      <c r="AC21" s="342"/>
      <c r="AD21" s="347"/>
      <c r="AE21" s="348">
        <v>1.724</v>
      </c>
      <c r="AF21" s="349">
        <v>16.100000000000001</v>
      </c>
      <c r="AG21" s="350"/>
      <c r="AH21" s="351">
        <v>1.722652885443583</v>
      </c>
      <c r="AI21" s="352">
        <v>2</v>
      </c>
      <c r="AJ21" s="206">
        <v>16.100000000000001</v>
      </c>
      <c r="AK21" s="353" t="s">
        <v>165</v>
      </c>
      <c r="AL21" s="206">
        <v>0</v>
      </c>
      <c r="AM21" s="349">
        <v>98.883596245286455</v>
      </c>
      <c r="AN21" s="354" t="s">
        <v>139</v>
      </c>
      <c r="AO21" s="355" t="s">
        <v>140</v>
      </c>
      <c r="AP21" s="206" t="s">
        <v>139</v>
      </c>
      <c r="AQ21" s="207">
        <v>0</v>
      </c>
      <c r="AR21" s="211"/>
      <c r="AS21" s="297">
        <f>+IF(Table1[[#This Row],[Column40]]="ok",Table1[[#This Row],[Column7]],0)</f>
        <v>1618.5</v>
      </c>
      <c r="AT21" s="295">
        <f>+IF(Table1[[#This Row],[Column40]]="No",Table1[[#This Row],[Column7]],0)</f>
        <v>0</v>
      </c>
      <c r="AU21" s="4" t="str">
        <f>+IF(LEFT(Table1[[#This Row],[Column42]],2)="DN",IF(Table1[[#This Row],[Column40]]="ok","(CA)",_xlfn.CONCAT("(CA)",CHAR(10),"FAIL")),"")</f>
        <v/>
      </c>
      <c r="AV21" s="154" t="str">
        <f>+IF(Table1[[#This Row],[Column6]]=0,"",_xlfn.CONCAT("Sem ",WEEKNUM(Table1[[#This Row],[Column6]],2)))</f>
        <v>Sem 9</v>
      </c>
    </row>
    <row r="22" spans="2:48" ht="19.5" customHeight="1" x14ac:dyDescent="0.3">
      <c r="B22" s="356" t="s">
        <v>166</v>
      </c>
      <c r="C22" s="331"/>
      <c r="D22" s="332" t="s">
        <v>132</v>
      </c>
      <c r="E22" s="332" t="s">
        <v>133</v>
      </c>
      <c r="F22" s="333"/>
      <c r="G22" s="334">
        <v>46082</v>
      </c>
      <c r="H22" s="335">
        <v>661.66</v>
      </c>
      <c r="I22" s="336">
        <v>45.54</v>
      </c>
      <c r="J22" s="337">
        <v>2635.6</v>
      </c>
      <c r="K22" s="338" t="s">
        <v>167</v>
      </c>
      <c r="L22" s="339" t="s">
        <v>168</v>
      </c>
      <c r="M22" s="340">
        <v>30</v>
      </c>
      <c r="N22" s="341">
        <v>88653</v>
      </c>
      <c r="O22" s="332">
        <v>67.5</v>
      </c>
      <c r="P22" s="342">
        <v>8.2000000000000011</v>
      </c>
      <c r="Q22" s="343">
        <v>9.1514143094841849</v>
      </c>
      <c r="R22" s="344">
        <v>1.8188539741219962</v>
      </c>
      <c r="S22" s="344">
        <v>1.8029999999999999</v>
      </c>
      <c r="T22" s="344">
        <v>1.968</v>
      </c>
      <c r="U22" s="344" t="s">
        <v>136</v>
      </c>
      <c r="V22" s="332" t="s">
        <v>169</v>
      </c>
      <c r="W22" s="345">
        <v>4</v>
      </c>
      <c r="X22" s="346">
        <v>2</v>
      </c>
      <c r="Y22" s="208">
        <v>2.8069999999999999</v>
      </c>
      <c r="Z22" s="332"/>
      <c r="AA22" s="342"/>
      <c r="AB22" s="342"/>
      <c r="AC22" s="342"/>
      <c r="AD22" s="347"/>
      <c r="AE22" s="348">
        <v>1.7370000000000001</v>
      </c>
      <c r="AF22" s="349">
        <v>16.2</v>
      </c>
      <c r="AG22" s="350"/>
      <c r="AH22" s="351">
        <v>1.7358003442340793</v>
      </c>
      <c r="AI22" s="352">
        <v>2.0169999999999999</v>
      </c>
      <c r="AJ22" s="206">
        <v>16.2</v>
      </c>
      <c r="AK22" s="353" t="s">
        <v>170</v>
      </c>
      <c r="AL22" s="206">
        <v>0</v>
      </c>
      <c r="AM22" s="349">
        <v>104.7123761728265</v>
      </c>
      <c r="AN22" s="354" t="s">
        <v>139</v>
      </c>
      <c r="AO22" s="355" t="s">
        <v>140</v>
      </c>
      <c r="AP22" s="206" t="s">
        <v>139</v>
      </c>
      <c r="AQ22" s="207" t="s">
        <v>171</v>
      </c>
      <c r="AR22" s="211"/>
      <c r="AS22" s="297">
        <f>+IF(Table1[[#This Row],[Column40]]="ok",Table1[[#This Row],[Column7]],0)</f>
        <v>661.66</v>
      </c>
      <c r="AT22" s="295">
        <f>+IF(Table1[[#This Row],[Column40]]="No",Table1[[#This Row],[Column7]],0)</f>
        <v>0</v>
      </c>
      <c r="AU22" s="4" t="str">
        <f>+IF(LEFT(Table1[[#This Row],[Column42]],2)="DN",IF(Table1[[#This Row],[Column40]]="ok","(CA)",_xlfn.CONCAT("(CA)",CHAR(10),"FAIL")),"")</f>
        <v/>
      </c>
      <c r="AV22" s="154" t="str">
        <f>+IF(Table1[[#This Row],[Column6]]=0,"",_xlfn.CONCAT("Sem ",WEEKNUM(Table1[[#This Row],[Column6]],2)))</f>
        <v>Sem 9</v>
      </c>
    </row>
    <row r="23" spans="2:48" ht="19.5" customHeight="1" x14ac:dyDescent="0.3">
      <c r="B23" s="356" t="s">
        <v>171</v>
      </c>
      <c r="C23" s="331"/>
      <c r="D23" s="332" t="s">
        <v>132</v>
      </c>
      <c r="E23" s="332" t="s">
        <v>172</v>
      </c>
      <c r="F23" s="333"/>
      <c r="G23" s="334">
        <v>46082</v>
      </c>
      <c r="H23" s="335">
        <v>661.66</v>
      </c>
      <c r="I23" s="336">
        <v>45.54</v>
      </c>
      <c r="J23" s="337">
        <v>2635.6</v>
      </c>
      <c r="K23" s="338" t="s">
        <v>167</v>
      </c>
      <c r="L23" s="339" t="s">
        <v>168</v>
      </c>
      <c r="M23" s="340">
        <v>15</v>
      </c>
      <c r="N23" s="341"/>
      <c r="O23" s="332"/>
      <c r="P23" s="342">
        <v>8.2290362953691965</v>
      </c>
      <c r="Q23" s="343"/>
      <c r="R23" s="344">
        <v>1.7630155894440673</v>
      </c>
      <c r="S23" s="344"/>
      <c r="T23" s="344">
        <v>1.9080947821924368</v>
      </c>
      <c r="U23" s="344" t="s">
        <v>142</v>
      </c>
      <c r="V23" s="332" t="s">
        <v>169</v>
      </c>
      <c r="W23" s="345" t="s">
        <v>173</v>
      </c>
      <c r="X23" s="346" t="s">
        <v>174</v>
      </c>
      <c r="Y23" s="208"/>
      <c r="Z23" s="332" t="s">
        <v>143</v>
      </c>
      <c r="AA23" s="342">
        <v>98.998748435544428</v>
      </c>
      <c r="AB23" s="342">
        <v>77.377972465581976</v>
      </c>
      <c r="AC23" s="342">
        <v>35.294117647058826</v>
      </c>
      <c r="AD23" s="347">
        <v>11.983729662077593</v>
      </c>
      <c r="AE23" s="348">
        <v>1.7370000000000001</v>
      </c>
      <c r="AF23" s="349">
        <v>16.2</v>
      </c>
      <c r="AG23" s="350" t="s">
        <v>170</v>
      </c>
      <c r="AH23" s="351">
        <v>1.7362510512726512</v>
      </c>
      <c r="AI23" s="352">
        <v>2.0174598104971788</v>
      </c>
      <c r="AJ23" s="206">
        <v>16.19631901840491</v>
      </c>
      <c r="AK23" s="353" t="s">
        <v>170</v>
      </c>
      <c r="AL23" s="206">
        <v>3.6809815950888947E-3</v>
      </c>
      <c r="AM23" s="349">
        <v>101.49773111364809</v>
      </c>
      <c r="AN23" s="354" t="s">
        <v>139</v>
      </c>
      <c r="AO23" s="355" t="s">
        <v>144</v>
      </c>
      <c r="AP23" s="206">
        <v>0</v>
      </c>
      <c r="AQ23" s="207" t="s">
        <v>166</v>
      </c>
      <c r="AR23" s="211"/>
      <c r="AS23" s="297">
        <f>+IF(Table1[[#This Row],[Column40]]="ok",Table1[[#This Row],[Column7]],0)</f>
        <v>661.66</v>
      </c>
      <c r="AT23" s="295">
        <f>+IF(Table1[[#This Row],[Column40]]="No",Table1[[#This Row],[Column7]],0)</f>
        <v>0</v>
      </c>
      <c r="AU23" s="4" t="str">
        <f>+IF(LEFT(Table1[[#This Row],[Column42]],2)="DN",IF(Table1[[#This Row],[Column40]]="ok","(CA)",_xlfn.CONCAT("(CA)",CHAR(10),"FAIL")),"")</f>
        <v>(CA)</v>
      </c>
      <c r="AV23" s="154" t="str">
        <f>+IF(Table1[[#This Row],[Column6]]=0,"",_xlfn.CONCAT("Sem ",WEEKNUM(Table1[[#This Row],[Column6]],2)))</f>
        <v>Sem 9</v>
      </c>
    </row>
    <row r="24" spans="2:48" ht="19.5" customHeight="1" x14ac:dyDescent="0.3">
      <c r="B24" s="356" t="s">
        <v>175</v>
      </c>
      <c r="C24" s="331"/>
      <c r="D24" s="332" t="s">
        <v>132</v>
      </c>
      <c r="E24" s="332" t="s">
        <v>176</v>
      </c>
      <c r="F24" s="333"/>
      <c r="G24" s="334">
        <v>46082</v>
      </c>
      <c r="H24" s="335">
        <v>1548.05</v>
      </c>
      <c r="I24" s="336">
        <v>138.03</v>
      </c>
      <c r="J24" s="337">
        <v>2604.431</v>
      </c>
      <c r="K24" s="338" t="s">
        <v>162</v>
      </c>
      <c r="L24" s="339" t="s">
        <v>177</v>
      </c>
      <c r="M24" s="340">
        <v>30</v>
      </c>
      <c r="N24" s="341">
        <v>88653</v>
      </c>
      <c r="O24" s="332">
        <v>67.5</v>
      </c>
      <c r="P24" s="342">
        <v>8.6</v>
      </c>
      <c r="Q24" s="343">
        <v>7.1054164239953366</v>
      </c>
      <c r="R24" s="344">
        <v>1.6933701657458562</v>
      </c>
      <c r="S24" s="344">
        <v>1.7170000000000001</v>
      </c>
      <c r="T24" s="344">
        <v>1.839</v>
      </c>
      <c r="U24" s="344" t="s">
        <v>136</v>
      </c>
      <c r="V24" s="332" t="s">
        <v>137</v>
      </c>
      <c r="W24" s="345">
        <v>8</v>
      </c>
      <c r="X24" s="346">
        <v>4</v>
      </c>
      <c r="Y24" s="208">
        <v>2.8069999999999999</v>
      </c>
      <c r="Z24" s="332"/>
      <c r="AA24" s="342"/>
      <c r="AB24" s="342"/>
      <c r="AC24" s="342"/>
      <c r="AD24" s="347"/>
      <c r="AE24" s="348">
        <v>1.7170000000000001</v>
      </c>
      <c r="AF24" s="349" t="s">
        <v>139</v>
      </c>
      <c r="AG24" s="350"/>
      <c r="AH24" s="351" t="s">
        <v>139</v>
      </c>
      <c r="AI24" s="352" t="s">
        <v>139</v>
      </c>
      <c r="AJ24" s="206" t="s">
        <v>139</v>
      </c>
      <c r="AK24" s="353" t="s">
        <v>147</v>
      </c>
      <c r="AL24" s="206" t="s">
        <v>139</v>
      </c>
      <c r="AM24" s="349">
        <v>98.62377202946162</v>
      </c>
      <c r="AN24" s="354" t="s">
        <v>139</v>
      </c>
      <c r="AO24" s="355" t="s">
        <v>140</v>
      </c>
      <c r="AP24" s="206" t="s">
        <v>139</v>
      </c>
      <c r="AQ24" s="207"/>
      <c r="AR24" s="211"/>
      <c r="AS24" s="297">
        <f>+IF(Table1[[#This Row],[Column40]]="ok",Table1[[#This Row],[Column7]],0)</f>
        <v>1548.05</v>
      </c>
      <c r="AT24" s="295">
        <f>+IF(Table1[[#This Row],[Column40]]="No",Table1[[#This Row],[Column7]],0)</f>
        <v>0</v>
      </c>
      <c r="AU24" s="4" t="str">
        <f>+IF(LEFT(Table1[[#This Row],[Column42]],2)="DN",IF(Table1[[#This Row],[Column40]]="ok","(CA)",_xlfn.CONCAT("(CA)",CHAR(10),"FAIL")),"")</f>
        <v/>
      </c>
      <c r="AV24" s="154" t="str">
        <f>+IF(Table1[[#This Row],[Column6]]=0,"",_xlfn.CONCAT("Sem ",WEEKNUM(Table1[[#This Row],[Column6]],2)))</f>
        <v>Sem 9</v>
      </c>
    </row>
    <row r="25" spans="2:48" ht="19.5" customHeight="1" x14ac:dyDescent="0.3">
      <c r="B25" s="356" t="s">
        <v>178</v>
      </c>
      <c r="C25" s="331"/>
      <c r="D25" s="332" t="s">
        <v>132</v>
      </c>
      <c r="E25" s="332" t="s">
        <v>176</v>
      </c>
      <c r="F25" s="333"/>
      <c r="G25" s="334">
        <v>46082</v>
      </c>
      <c r="H25" s="335">
        <v>1470.97</v>
      </c>
      <c r="I25" s="336">
        <v>109.77</v>
      </c>
      <c r="J25" s="337">
        <v>2612.4389999999999</v>
      </c>
      <c r="K25" s="338" t="s">
        <v>162</v>
      </c>
      <c r="L25" s="339" t="s">
        <v>179</v>
      </c>
      <c r="M25" s="340">
        <v>30</v>
      </c>
      <c r="N25" s="341">
        <v>88653</v>
      </c>
      <c r="O25" s="332">
        <v>67.5</v>
      </c>
      <c r="P25" s="342">
        <v>10.100000000000001</v>
      </c>
      <c r="Q25" s="343">
        <v>9.4393592677345595</v>
      </c>
      <c r="R25" s="344">
        <v>1.737511353315168</v>
      </c>
      <c r="S25" s="344">
        <v>1.748</v>
      </c>
      <c r="T25" s="344">
        <v>1.913</v>
      </c>
      <c r="U25" s="344" t="s">
        <v>136</v>
      </c>
      <c r="V25" s="332" t="s">
        <v>137</v>
      </c>
      <c r="W25" s="345">
        <v>8</v>
      </c>
      <c r="X25" s="346">
        <v>4</v>
      </c>
      <c r="Y25" s="208">
        <v>2.8069999999999999</v>
      </c>
      <c r="Z25" s="332"/>
      <c r="AA25" s="342"/>
      <c r="AB25" s="342"/>
      <c r="AC25" s="342"/>
      <c r="AD25" s="347"/>
      <c r="AE25" s="348">
        <v>1.7170000000000001</v>
      </c>
      <c r="AF25" s="349">
        <v>0</v>
      </c>
      <c r="AG25" s="350"/>
      <c r="AH25" s="351" t="s">
        <v>139</v>
      </c>
      <c r="AI25" s="352" t="s">
        <v>139</v>
      </c>
      <c r="AJ25" s="206" t="s">
        <v>139</v>
      </c>
      <c r="AK25" s="353" t="s">
        <v>147</v>
      </c>
      <c r="AL25" s="206" t="s">
        <v>139</v>
      </c>
      <c r="AM25" s="349">
        <v>101.19460415347513</v>
      </c>
      <c r="AN25" s="354" t="s">
        <v>139</v>
      </c>
      <c r="AO25" s="355" t="s">
        <v>140</v>
      </c>
      <c r="AP25" s="206" t="s">
        <v>139</v>
      </c>
      <c r="AQ25" s="207"/>
      <c r="AR25" s="211"/>
      <c r="AS25" s="297">
        <f>+IF(Table1[[#This Row],[Column40]]="ok",Table1[[#This Row],[Column7]],0)</f>
        <v>1470.97</v>
      </c>
      <c r="AT25" s="295">
        <f>+IF(Table1[[#This Row],[Column40]]="No",Table1[[#This Row],[Column7]],0)</f>
        <v>0</v>
      </c>
      <c r="AU25" s="4" t="str">
        <f>+IF(LEFT(Table1[[#This Row],[Column42]],2)="DN",IF(Table1[[#This Row],[Column40]]="ok","(CA)",_xlfn.CONCAT("(CA)",CHAR(10),"FAIL")),"")</f>
        <v/>
      </c>
      <c r="AV25" s="154" t="str">
        <f>+IF(Table1[[#This Row],[Column6]]=0,"",_xlfn.CONCAT("Sem ",WEEKNUM(Table1[[#This Row],[Column6]],2)))</f>
        <v>Sem 9</v>
      </c>
    </row>
    <row r="26" spans="2:48" ht="19.5" customHeight="1" x14ac:dyDescent="0.3">
      <c r="B26" s="356" t="s">
        <v>180</v>
      </c>
      <c r="C26" s="331"/>
      <c r="D26" s="332" t="s">
        <v>132</v>
      </c>
      <c r="E26" s="332" t="s">
        <v>176</v>
      </c>
      <c r="F26" s="333"/>
      <c r="G26" s="334">
        <v>46082</v>
      </c>
      <c r="H26" s="335">
        <v>1475.25</v>
      </c>
      <c r="I26" s="336">
        <v>190.77</v>
      </c>
      <c r="J26" s="337">
        <v>2589.2649999999999</v>
      </c>
      <c r="K26" s="338" t="s">
        <v>162</v>
      </c>
      <c r="L26" s="339" t="s">
        <v>179</v>
      </c>
      <c r="M26" s="340">
        <v>30</v>
      </c>
      <c r="N26" s="341">
        <v>88653</v>
      </c>
      <c r="O26" s="332">
        <v>67.5</v>
      </c>
      <c r="P26" s="342">
        <v>8</v>
      </c>
      <c r="Q26" s="343">
        <v>8.871915393654529</v>
      </c>
      <c r="R26" s="344">
        <v>1.7157407407407406</v>
      </c>
      <c r="S26" s="344">
        <v>1.702</v>
      </c>
      <c r="T26" s="344">
        <v>1.853</v>
      </c>
      <c r="U26" s="344" t="s">
        <v>136</v>
      </c>
      <c r="V26" s="332" t="s">
        <v>137</v>
      </c>
      <c r="W26" s="345">
        <v>8</v>
      </c>
      <c r="X26" s="346">
        <v>4</v>
      </c>
      <c r="Y26" s="208">
        <v>2.8069999999999999</v>
      </c>
      <c r="Z26" s="332"/>
      <c r="AA26" s="342"/>
      <c r="AB26" s="342"/>
      <c r="AC26" s="342"/>
      <c r="AD26" s="347"/>
      <c r="AE26" s="348">
        <v>1.7310000000000001</v>
      </c>
      <c r="AF26" s="349">
        <v>16.3</v>
      </c>
      <c r="AG26" s="350"/>
      <c r="AH26" s="351">
        <v>1.7185886402753874</v>
      </c>
      <c r="AI26" s="352">
        <v>1.9970000000000001</v>
      </c>
      <c r="AJ26" s="206">
        <v>16.2</v>
      </c>
      <c r="AK26" s="353" t="s">
        <v>181</v>
      </c>
      <c r="AL26" s="206">
        <v>0.10000000000000142</v>
      </c>
      <c r="AM26" s="349">
        <v>99.118471446605454</v>
      </c>
      <c r="AN26" s="354" t="s">
        <v>139</v>
      </c>
      <c r="AO26" s="355" t="s">
        <v>140</v>
      </c>
      <c r="AP26" s="206" t="s">
        <v>139</v>
      </c>
      <c r="AQ26" s="207"/>
      <c r="AR26" s="211"/>
      <c r="AS26" s="297">
        <f>+IF(Table1[[#This Row],[Column40]]="ok",Table1[[#This Row],[Column7]],0)</f>
        <v>1475.25</v>
      </c>
      <c r="AT26" s="295">
        <f>+IF(Table1[[#This Row],[Column40]]="No",Table1[[#This Row],[Column7]],0)</f>
        <v>0</v>
      </c>
      <c r="AU26" s="4" t="str">
        <f>+IF(LEFT(Table1[[#This Row],[Column42]],2)="DN",IF(Table1[[#This Row],[Column40]]="ok","(CA)",_xlfn.CONCAT("(CA)",CHAR(10),"FAIL")),"")</f>
        <v/>
      </c>
      <c r="AV26" s="154" t="str">
        <f>+IF(Table1[[#This Row],[Column6]]=0,"",_xlfn.CONCAT("Sem ",WEEKNUM(Table1[[#This Row],[Column6]],2)))</f>
        <v>Sem 9</v>
      </c>
    </row>
    <row r="27" spans="2:48" ht="19.5" customHeight="1" x14ac:dyDescent="0.3">
      <c r="B27" s="356" t="s">
        <v>182</v>
      </c>
      <c r="C27" s="331"/>
      <c r="D27" s="332" t="s">
        <v>132</v>
      </c>
      <c r="E27" s="332" t="s">
        <v>176</v>
      </c>
      <c r="F27" s="333"/>
      <c r="G27" s="334">
        <v>46082</v>
      </c>
      <c r="H27" s="335">
        <v>1541.25</v>
      </c>
      <c r="I27" s="336">
        <v>219.06</v>
      </c>
      <c r="J27" s="337">
        <v>2580.7600000000002</v>
      </c>
      <c r="K27" s="338" t="s">
        <v>162</v>
      </c>
      <c r="L27" s="339" t="s">
        <v>177</v>
      </c>
      <c r="M27" s="340">
        <v>30</v>
      </c>
      <c r="N27" s="341">
        <v>88653</v>
      </c>
      <c r="O27" s="332">
        <v>67.5</v>
      </c>
      <c r="P27" s="342">
        <v>8.6999999999999993</v>
      </c>
      <c r="Q27" s="343">
        <v>8.7260034904014017</v>
      </c>
      <c r="R27" s="344">
        <v>1.7194112235510579</v>
      </c>
      <c r="S27" s="344">
        <v>1.7190000000000001</v>
      </c>
      <c r="T27" s="344">
        <v>1.869</v>
      </c>
      <c r="U27" s="344" t="s">
        <v>136</v>
      </c>
      <c r="V27" s="332" t="s">
        <v>137</v>
      </c>
      <c r="W27" s="345">
        <v>8</v>
      </c>
      <c r="X27" s="346">
        <v>4</v>
      </c>
      <c r="Y27" s="208">
        <v>2.8069999999999999</v>
      </c>
      <c r="Z27" s="332"/>
      <c r="AA27" s="342"/>
      <c r="AB27" s="342"/>
      <c r="AC27" s="342"/>
      <c r="AD27" s="347"/>
      <c r="AE27" s="348">
        <v>1.7170000000000001</v>
      </c>
      <c r="AF27" s="349" t="s">
        <v>139</v>
      </c>
      <c r="AG27" s="350"/>
      <c r="AH27" s="351" t="s">
        <v>139</v>
      </c>
      <c r="AI27" s="352" t="s">
        <v>139</v>
      </c>
      <c r="AJ27" s="206" t="s">
        <v>139</v>
      </c>
      <c r="AK27" s="353" t="s">
        <v>147</v>
      </c>
      <c r="AL27" s="206" t="s">
        <v>139</v>
      </c>
      <c r="AM27" s="349">
        <v>100.14043235591484</v>
      </c>
      <c r="AN27" s="354" t="s">
        <v>139</v>
      </c>
      <c r="AO27" s="355" t="s">
        <v>140</v>
      </c>
      <c r="AP27" s="206" t="s">
        <v>139</v>
      </c>
      <c r="AQ27" s="207"/>
      <c r="AR27" s="211"/>
      <c r="AS27" s="297">
        <f>+IF(Table1[[#This Row],[Column40]]="ok",Table1[[#This Row],[Column7]],0)</f>
        <v>1541.25</v>
      </c>
      <c r="AT27" s="295">
        <f>+IF(Table1[[#This Row],[Column40]]="No",Table1[[#This Row],[Column7]],0)</f>
        <v>0</v>
      </c>
      <c r="AU27" s="4" t="str">
        <f>+IF(LEFT(Table1[[#This Row],[Column42]],2)="DN",IF(Table1[[#This Row],[Column40]]="ok","(CA)",_xlfn.CONCAT("(CA)",CHAR(10),"FAIL")),"")</f>
        <v/>
      </c>
      <c r="AV27" s="154" t="str">
        <f>+IF(Table1[[#This Row],[Column6]]=0,"",_xlfn.CONCAT("Sem ",WEEKNUM(Table1[[#This Row],[Column6]],2)))</f>
        <v>Sem 9</v>
      </c>
    </row>
    <row r="28" spans="2:48" ht="19.5" customHeight="1" x14ac:dyDescent="0.3">
      <c r="B28" s="356" t="s">
        <v>183</v>
      </c>
      <c r="C28" s="331"/>
      <c r="D28" s="332" t="s">
        <v>132</v>
      </c>
      <c r="E28" s="332" t="s">
        <v>176</v>
      </c>
      <c r="F28" s="333"/>
      <c r="G28" s="334">
        <v>46082</v>
      </c>
      <c r="H28" s="335">
        <v>1571.96</v>
      </c>
      <c r="I28" s="336">
        <v>262.55</v>
      </c>
      <c r="J28" s="337">
        <v>2566.9549999999999</v>
      </c>
      <c r="K28" s="338" t="s">
        <v>184</v>
      </c>
      <c r="L28" s="339" t="s">
        <v>185</v>
      </c>
      <c r="M28" s="340">
        <v>30</v>
      </c>
      <c r="N28" s="341">
        <v>88653</v>
      </c>
      <c r="O28" s="332">
        <v>67.5</v>
      </c>
      <c r="P28" s="342">
        <v>7.7</v>
      </c>
      <c r="Q28" s="343">
        <v>7.9512478235635564</v>
      </c>
      <c r="R28" s="344">
        <v>1.7270194986072425</v>
      </c>
      <c r="S28" s="344">
        <v>1.7230000000000001</v>
      </c>
      <c r="T28" s="344">
        <v>1.86</v>
      </c>
      <c r="U28" s="344" t="s">
        <v>136</v>
      </c>
      <c r="V28" s="332" t="s">
        <v>137</v>
      </c>
      <c r="W28" s="345">
        <v>8</v>
      </c>
      <c r="X28" s="346">
        <v>4</v>
      </c>
      <c r="Y28" s="208">
        <v>2.8069999999999999</v>
      </c>
      <c r="Z28" s="332"/>
      <c r="AA28" s="342"/>
      <c r="AB28" s="342"/>
      <c r="AC28" s="342"/>
      <c r="AD28" s="347"/>
      <c r="AE28" s="348">
        <v>1.7170000000000001</v>
      </c>
      <c r="AF28" s="349">
        <v>0</v>
      </c>
      <c r="AG28" s="350"/>
      <c r="AH28" s="351" t="s">
        <v>139</v>
      </c>
      <c r="AI28" s="352" t="s">
        <v>139</v>
      </c>
      <c r="AJ28" s="206" t="s">
        <v>139</v>
      </c>
      <c r="AK28" s="353" t="s">
        <v>147</v>
      </c>
      <c r="AL28" s="206" t="s">
        <v>139</v>
      </c>
      <c r="AM28" s="349">
        <v>100.5835468029844</v>
      </c>
      <c r="AN28" s="354" t="s">
        <v>139</v>
      </c>
      <c r="AO28" s="355" t="s">
        <v>140</v>
      </c>
      <c r="AP28" s="206" t="s">
        <v>139</v>
      </c>
      <c r="AQ28" s="207"/>
      <c r="AR28" s="211"/>
      <c r="AS28" s="297">
        <f>+IF(Table1[[#This Row],[Column40]]="ok",Table1[[#This Row],[Column7]],0)</f>
        <v>1571.96</v>
      </c>
      <c r="AT28" s="295">
        <f>+IF(Table1[[#This Row],[Column40]]="No",Table1[[#This Row],[Column7]],0)</f>
        <v>0</v>
      </c>
      <c r="AU28" s="4" t="str">
        <f>+IF(LEFT(Table1[[#This Row],[Column42]],2)="DN",IF(Table1[[#This Row],[Column40]]="ok","(CA)",_xlfn.CONCAT("(CA)",CHAR(10),"FAIL")),"")</f>
        <v/>
      </c>
      <c r="AV28" s="154" t="str">
        <f>+IF(Table1[[#This Row],[Column6]]=0,"",_xlfn.CONCAT("Sem ",WEEKNUM(Table1[[#This Row],[Column6]],2)))</f>
        <v>Sem 9</v>
      </c>
    </row>
    <row r="29" spans="2:48" ht="19.5" customHeight="1" x14ac:dyDescent="0.3">
      <c r="B29" s="357" t="s">
        <v>186</v>
      </c>
      <c r="C29" s="331"/>
      <c r="D29" s="332" t="s">
        <v>132</v>
      </c>
      <c r="E29" s="332" t="s">
        <v>176</v>
      </c>
      <c r="F29" s="333"/>
      <c r="G29" s="334">
        <v>46082</v>
      </c>
      <c r="H29" s="335">
        <v>1764.3</v>
      </c>
      <c r="I29" s="336">
        <v>-45.39</v>
      </c>
      <c r="J29" s="337">
        <v>2635.2170000000001</v>
      </c>
      <c r="K29" s="338" t="s">
        <v>134</v>
      </c>
      <c r="L29" s="339" t="s">
        <v>146</v>
      </c>
      <c r="M29" s="340">
        <v>30</v>
      </c>
      <c r="N29" s="341">
        <v>88653</v>
      </c>
      <c r="O29" s="332">
        <v>67.5</v>
      </c>
      <c r="P29" s="342">
        <v>16.2</v>
      </c>
      <c r="Q29" s="343">
        <v>17.275943396226424</v>
      </c>
      <c r="R29" s="344">
        <v>1.7117039586919107</v>
      </c>
      <c r="S29" s="344">
        <v>1.696</v>
      </c>
      <c r="T29" s="344">
        <v>1.9890000000000001</v>
      </c>
      <c r="U29" s="344" t="s">
        <v>136</v>
      </c>
      <c r="V29" s="332" t="s">
        <v>187</v>
      </c>
      <c r="W29" s="345">
        <v>12</v>
      </c>
      <c r="X29" s="346">
        <v>6</v>
      </c>
      <c r="Y29" s="208">
        <v>2.8069999999999999</v>
      </c>
      <c r="Z29" s="332"/>
      <c r="AA29" s="342"/>
      <c r="AB29" s="342"/>
      <c r="AC29" s="342"/>
      <c r="AD29" s="347"/>
      <c r="AE29" s="348">
        <v>1.6839999999999999</v>
      </c>
      <c r="AF29" s="349">
        <v>16.8</v>
      </c>
      <c r="AG29" s="350"/>
      <c r="AH29" s="351">
        <v>1.67725321888412</v>
      </c>
      <c r="AI29" s="352">
        <v>1.954</v>
      </c>
      <c r="AJ29" s="206">
        <v>16.5</v>
      </c>
      <c r="AK29" s="353" t="s">
        <v>188</v>
      </c>
      <c r="AL29" s="206">
        <v>0.30000000000000071</v>
      </c>
      <c r="AM29" s="349">
        <v>101.64512818835574</v>
      </c>
      <c r="AN29" s="354" t="s">
        <v>139</v>
      </c>
      <c r="AO29" s="355" t="s">
        <v>140</v>
      </c>
      <c r="AP29" s="206" t="s">
        <v>139</v>
      </c>
      <c r="AQ29" s="207"/>
      <c r="AR29" s="211"/>
      <c r="AS29" s="297">
        <f>+IF(Table1[[#This Row],[Column40]]="ok",Table1[[#This Row],[Column7]],0)</f>
        <v>1764.3</v>
      </c>
      <c r="AT29" s="295">
        <f>+IF(Table1[[#This Row],[Column40]]="No",Table1[[#This Row],[Column7]],0)</f>
        <v>0</v>
      </c>
      <c r="AU29" s="4" t="str">
        <f>+IF(LEFT(Table1[[#This Row],[Column42]],2)="DN",IF(Table1[[#This Row],[Column40]]="ok","(CA)",_xlfn.CONCAT("(CA)",CHAR(10),"FAIL")),"")</f>
        <v/>
      </c>
      <c r="AV29" s="154" t="str">
        <f>+IF(Table1[[#This Row],[Column6]]=0,"",_xlfn.CONCAT("Sem ",WEEKNUM(Table1[[#This Row],[Column6]],2)))</f>
        <v>Sem 9</v>
      </c>
    </row>
    <row r="30" spans="2:48" ht="19.5" customHeight="1" x14ac:dyDescent="0.3">
      <c r="B30" s="356" t="s">
        <v>189</v>
      </c>
      <c r="C30" s="331"/>
      <c r="D30" s="332" t="s">
        <v>132</v>
      </c>
      <c r="E30" s="332" t="s">
        <v>133</v>
      </c>
      <c r="F30" s="333"/>
      <c r="G30" s="334">
        <v>46083</v>
      </c>
      <c r="H30" s="335">
        <v>661.38</v>
      </c>
      <c r="I30" s="336">
        <v>24.75</v>
      </c>
      <c r="J30" s="337">
        <v>2635.6</v>
      </c>
      <c r="K30" s="338" t="s">
        <v>167</v>
      </c>
      <c r="L30" s="339" t="s">
        <v>190</v>
      </c>
      <c r="M30" s="340">
        <v>30</v>
      </c>
      <c r="N30" s="341">
        <v>88653</v>
      </c>
      <c r="O30" s="332">
        <v>67.5</v>
      </c>
      <c r="P30" s="342">
        <v>8.9</v>
      </c>
      <c r="Q30" s="343">
        <v>9.2128279883381801</v>
      </c>
      <c r="R30" s="344">
        <v>1.7199265381083564</v>
      </c>
      <c r="S30" s="344">
        <v>1.7150000000000001</v>
      </c>
      <c r="T30" s="344">
        <v>1.873</v>
      </c>
      <c r="U30" s="344" t="s">
        <v>136</v>
      </c>
      <c r="V30" s="332" t="s">
        <v>191</v>
      </c>
      <c r="W30" s="345">
        <v>6</v>
      </c>
      <c r="X30" s="346">
        <v>3</v>
      </c>
      <c r="Y30" s="208">
        <v>2.8069999999999999</v>
      </c>
      <c r="Z30" s="332"/>
      <c r="AA30" s="342"/>
      <c r="AB30" s="342"/>
      <c r="AC30" s="342"/>
      <c r="AD30" s="347"/>
      <c r="AE30" s="348">
        <v>1.7170000000000001</v>
      </c>
      <c r="AF30" s="349">
        <v>16.3</v>
      </c>
      <c r="AG30" s="350"/>
      <c r="AH30" s="351">
        <v>1.7128116938950988</v>
      </c>
      <c r="AI30" s="352">
        <v>1.992</v>
      </c>
      <c r="AJ30" s="206">
        <v>16.3</v>
      </c>
      <c r="AK30" s="353" t="s">
        <v>147</v>
      </c>
      <c r="AL30" s="206">
        <v>0</v>
      </c>
      <c r="AM30" s="349">
        <v>100.17044485197182</v>
      </c>
      <c r="AN30" s="354" t="s">
        <v>139</v>
      </c>
      <c r="AO30" s="355" t="s">
        <v>140</v>
      </c>
      <c r="AP30" s="206" t="s">
        <v>139</v>
      </c>
      <c r="AQ30" s="207">
        <v>0</v>
      </c>
      <c r="AR30" s="211"/>
      <c r="AS30" s="297">
        <f>+IF(Table1[[#This Row],[Column40]]="ok",Table1[[#This Row],[Column7]],0)</f>
        <v>661.38</v>
      </c>
      <c r="AT30" s="295">
        <f>+IF(Table1[[#This Row],[Column40]]="No",Table1[[#This Row],[Column7]],0)</f>
        <v>0</v>
      </c>
      <c r="AU30" s="4" t="str">
        <f>+IF(LEFT(Table1[[#This Row],[Column42]],2)="DN",IF(Table1[[#This Row],[Column40]]="ok","(CA)",_xlfn.CONCAT("(CA)",CHAR(10),"FAIL")),"")</f>
        <v/>
      </c>
      <c r="AV30" s="154" t="str">
        <f>+IF(Table1[[#This Row],[Column6]]=0,"",_xlfn.CONCAT("Sem ",WEEKNUM(Table1[[#This Row],[Column6]],2)))</f>
        <v>Sem 10</v>
      </c>
    </row>
    <row r="31" spans="2:48" ht="19.5" customHeight="1" x14ac:dyDescent="0.3">
      <c r="B31" s="356" t="s">
        <v>192</v>
      </c>
      <c r="C31" s="331"/>
      <c r="D31" s="332" t="s">
        <v>132</v>
      </c>
      <c r="E31" s="332" t="s">
        <v>133</v>
      </c>
      <c r="F31" s="333"/>
      <c r="G31" s="334">
        <v>46083</v>
      </c>
      <c r="H31" s="335">
        <v>661</v>
      </c>
      <c r="I31" s="336">
        <v>18.190000000000001</v>
      </c>
      <c r="J31" s="337">
        <v>2635.6</v>
      </c>
      <c r="K31" s="338" t="s">
        <v>167</v>
      </c>
      <c r="L31" s="339" t="s">
        <v>193</v>
      </c>
      <c r="M31" s="340">
        <v>30</v>
      </c>
      <c r="N31" s="341">
        <v>88653</v>
      </c>
      <c r="O31" s="332">
        <v>67.5</v>
      </c>
      <c r="P31" s="342">
        <v>8.5</v>
      </c>
      <c r="Q31" s="343">
        <v>9.0079817559863162</v>
      </c>
      <c r="R31" s="344">
        <v>1.7622119815668202</v>
      </c>
      <c r="S31" s="344">
        <v>1.754</v>
      </c>
      <c r="T31" s="344">
        <v>1.9119999999999999</v>
      </c>
      <c r="U31" s="344" t="s">
        <v>136</v>
      </c>
      <c r="V31" s="332" t="s">
        <v>194</v>
      </c>
      <c r="W31" s="345" t="s">
        <v>195</v>
      </c>
      <c r="X31" s="346">
        <v>3</v>
      </c>
      <c r="Y31" s="208">
        <v>2.8069999999999999</v>
      </c>
      <c r="Z31" s="332"/>
      <c r="AA31" s="342"/>
      <c r="AB31" s="342"/>
      <c r="AC31" s="342"/>
      <c r="AD31" s="347"/>
      <c r="AE31" s="348">
        <v>1.74</v>
      </c>
      <c r="AF31" s="349">
        <v>0</v>
      </c>
      <c r="AG31" s="350"/>
      <c r="AH31" s="351" t="s">
        <v>139</v>
      </c>
      <c r="AI31" s="352" t="s">
        <v>139</v>
      </c>
      <c r="AJ31" s="206" t="s">
        <v>139</v>
      </c>
      <c r="AK31" s="353" t="s">
        <v>196</v>
      </c>
      <c r="AL31" s="206" t="s">
        <v>139</v>
      </c>
      <c r="AM31" s="349">
        <v>101.27655066475978</v>
      </c>
      <c r="AN31" s="354" t="s">
        <v>139</v>
      </c>
      <c r="AO31" s="355" t="s">
        <v>140</v>
      </c>
      <c r="AP31" s="206" t="s">
        <v>139</v>
      </c>
      <c r="AQ31" s="207">
        <v>0</v>
      </c>
      <c r="AR31" s="211"/>
      <c r="AS31" s="297">
        <f>+IF(Table1[[#This Row],[Column40]]="ok",Table1[[#This Row],[Column7]],0)</f>
        <v>661</v>
      </c>
      <c r="AT31" s="295">
        <f>+IF(Table1[[#This Row],[Column40]]="No",Table1[[#This Row],[Column7]],0)</f>
        <v>0</v>
      </c>
      <c r="AU31" s="4" t="str">
        <f>+IF(LEFT(Table1[[#This Row],[Column42]],2)="DN",IF(Table1[[#This Row],[Column40]]="ok","(CA)",_xlfn.CONCAT("(CA)",CHAR(10),"FAIL")),"")</f>
        <v/>
      </c>
      <c r="AV31" s="154" t="str">
        <f>+IF(Table1[[#This Row],[Column6]]=0,"",_xlfn.CONCAT("Sem ",WEEKNUM(Table1[[#This Row],[Column6]],2)))</f>
        <v>Sem 10</v>
      </c>
    </row>
    <row r="32" spans="2:48" ht="19.5" customHeight="1" x14ac:dyDescent="0.3">
      <c r="B32" s="356" t="s">
        <v>197</v>
      </c>
      <c r="C32" s="331"/>
      <c r="D32" s="332" t="s">
        <v>132</v>
      </c>
      <c r="E32" s="332" t="s">
        <v>133</v>
      </c>
      <c r="F32" s="333"/>
      <c r="G32" s="334">
        <v>46083</v>
      </c>
      <c r="H32" s="335">
        <v>660.94</v>
      </c>
      <c r="I32" s="336">
        <v>84.9</v>
      </c>
      <c r="J32" s="337">
        <v>2635.54</v>
      </c>
      <c r="K32" s="338" t="s">
        <v>167</v>
      </c>
      <c r="L32" s="339" t="s">
        <v>198</v>
      </c>
      <c r="M32" s="340">
        <v>30</v>
      </c>
      <c r="N32" s="341">
        <v>88653</v>
      </c>
      <c r="O32" s="332">
        <v>67.5</v>
      </c>
      <c r="P32" s="342">
        <v>8.5</v>
      </c>
      <c r="Q32" s="343">
        <v>8.2758620689655125</v>
      </c>
      <c r="R32" s="344">
        <v>1.7364055299539169</v>
      </c>
      <c r="S32" s="344">
        <v>1.74</v>
      </c>
      <c r="T32" s="344">
        <v>1.8839999999999999</v>
      </c>
      <c r="U32" s="344" t="s">
        <v>136</v>
      </c>
      <c r="V32" s="332" t="s">
        <v>194</v>
      </c>
      <c r="W32" s="345" t="s">
        <v>195</v>
      </c>
      <c r="X32" s="346">
        <v>3</v>
      </c>
      <c r="Y32" s="208">
        <v>2.8069999999999999</v>
      </c>
      <c r="Z32" s="332"/>
      <c r="AA32" s="342"/>
      <c r="AB32" s="342"/>
      <c r="AC32" s="342"/>
      <c r="AD32" s="347"/>
      <c r="AE32" s="348">
        <v>1.74</v>
      </c>
      <c r="AF32" s="349" t="s">
        <v>139</v>
      </c>
      <c r="AG32" s="350"/>
      <c r="AH32" s="351" t="s">
        <v>139</v>
      </c>
      <c r="AI32" s="352" t="s">
        <v>139</v>
      </c>
      <c r="AJ32" s="206" t="s">
        <v>139</v>
      </c>
      <c r="AK32" s="353" t="s">
        <v>196</v>
      </c>
      <c r="AL32" s="206" t="s">
        <v>139</v>
      </c>
      <c r="AM32" s="349">
        <v>99.793421261719359</v>
      </c>
      <c r="AN32" s="354" t="s">
        <v>139</v>
      </c>
      <c r="AO32" s="355" t="s">
        <v>140</v>
      </c>
      <c r="AP32" s="206" t="s">
        <v>139</v>
      </c>
      <c r="AQ32" s="207">
        <v>0</v>
      </c>
      <c r="AR32" s="211"/>
      <c r="AS32" s="297">
        <f>+IF(Table1[[#This Row],[Column40]]="ok",Table1[[#This Row],[Column7]],0)</f>
        <v>660.94</v>
      </c>
      <c r="AT32" s="295">
        <f>+IF(Table1[[#This Row],[Column40]]="No",Table1[[#This Row],[Column7]],0)</f>
        <v>0</v>
      </c>
      <c r="AU32" s="4" t="str">
        <f>+IF(LEFT(Table1[[#This Row],[Column42]],2)="DN",IF(Table1[[#This Row],[Column40]]="ok","(CA)",_xlfn.CONCAT("(CA)",CHAR(10),"FAIL")),"")</f>
        <v/>
      </c>
      <c r="AV32" s="154" t="str">
        <f>+IF(Table1[[#This Row],[Column6]]=0,"",_xlfn.CONCAT("Sem ",WEEKNUM(Table1[[#This Row],[Column6]],2)))</f>
        <v>Sem 10</v>
      </c>
    </row>
    <row r="33" spans="2:49" ht="19.5" customHeight="1" x14ac:dyDescent="0.3">
      <c r="B33" s="356" t="s">
        <v>199</v>
      </c>
      <c r="C33" s="331"/>
      <c r="D33" s="332" t="s">
        <v>132</v>
      </c>
      <c r="E33" s="332" t="s">
        <v>133</v>
      </c>
      <c r="F33" s="333"/>
      <c r="G33" s="334">
        <v>46083</v>
      </c>
      <c r="H33" s="335">
        <v>818.24</v>
      </c>
      <c r="I33" s="336">
        <v>19.36</v>
      </c>
      <c r="J33" s="337">
        <v>2635.61</v>
      </c>
      <c r="K33" s="338" t="s">
        <v>200</v>
      </c>
      <c r="L33" s="339" t="s">
        <v>201</v>
      </c>
      <c r="M33" s="340">
        <v>30</v>
      </c>
      <c r="N33" s="341">
        <v>88653</v>
      </c>
      <c r="O33" s="332">
        <v>67.5</v>
      </c>
      <c r="P33" s="342">
        <v>10.4</v>
      </c>
      <c r="Q33" s="343">
        <v>9.2677345537757425</v>
      </c>
      <c r="R33" s="344">
        <v>1.7300724637681157</v>
      </c>
      <c r="S33" s="344">
        <v>1.748</v>
      </c>
      <c r="T33" s="344">
        <v>1.91</v>
      </c>
      <c r="U33" s="344" t="s">
        <v>136</v>
      </c>
      <c r="V33" s="332" t="s">
        <v>191</v>
      </c>
      <c r="W33" s="345">
        <v>6</v>
      </c>
      <c r="X33" s="346">
        <v>3</v>
      </c>
      <c r="Y33" s="208">
        <v>2.8069999999999999</v>
      </c>
      <c r="Z33" s="332"/>
      <c r="AA33" s="342"/>
      <c r="AB33" s="342"/>
      <c r="AC33" s="342"/>
      <c r="AD33" s="347"/>
      <c r="AE33" s="348">
        <v>1.7170000000000001</v>
      </c>
      <c r="AF33" s="349">
        <v>16.3</v>
      </c>
      <c r="AG33" s="350"/>
      <c r="AH33" s="351">
        <v>1.7160068846815837</v>
      </c>
      <c r="AI33" s="352">
        <v>1.994</v>
      </c>
      <c r="AJ33" s="206">
        <v>16.2</v>
      </c>
      <c r="AK33" s="353" t="s">
        <v>147</v>
      </c>
      <c r="AL33" s="206">
        <v>0.10000000000000142</v>
      </c>
      <c r="AM33" s="349">
        <v>100.76135490786928</v>
      </c>
      <c r="AN33" s="354" t="s">
        <v>139</v>
      </c>
      <c r="AO33" s="355" t="s">
        <v>140</v>
      </c>
      <c r="AP33" s="206" t="s">
        <v>139</v>
      </c>
      <c r="AQ33" s="207" t="s">
        <v>202</v>
      </c>
      <c r="AR33" s="211"/>
      <c r="AS33" s="297">
        <f>+IF(Table1[[#This Row],[Column40]]="ok",Table1[[#This Row],[Column7]],0)</f>
        <v>818.24</v>
      </c>
      <c r="AT33" s="295">
        <f>+IF(Table1[[#This Row],[Column40]]="No",Table1[[#This Row],[Column7]],0)</f>
        <v>0</v>
      </c>
      <c r="AU33" s="4" t="str">
        <f>+IF(LEFT(Table1[[#This Row],[Column42]],2)="DN",IF(Table1[[#This Row],[Column40]]="ok","(CA)",_xlfn.CONCAT("(CA)",CHAR(10),"FAIL")),"")</f>
        <v/>
      </c>
      <c r="AV33" s="154" t="str">
        <f>+IF(Table1[[#This Row],[Column6]]=0,"",_xlfn.CONCAT("Sem ",WEEKNUM(Table1[[#This Row],[Column6]],2)))</f>
        <v>Sem 10</v>
      </c>
    </row>
    <row r="34" spans="2:49" ht="19.5" customHeight="1" x14ac:dyDescent="0.3">
      <c r="B34" s="356" t="s">
        <v>202</v>
      </c>
      <c r="C34" s="331"/>
      <c r="D34" s="332" t="s">
        <v>132</v>
      </c>
      <c r="E34" s="332" t="s">
        <v>133</v>
      </c>
      <c r="F34" s="333"/>
      <c r="G34" s="334">
        <v>46083</v>
      </c>
      <c r="H34" s="335">
        <v>818.24</v>
      </c>
      <c r="I34" s="336">
        <v>19.36</v>
      </c>
      <c r="J34" s="337">
        <v>2635.61</v>
      </c>
      <c r="K34" s="338" t="s">
        <v>200</v>
      </c>
      <c r="L34" s="339" t="s">
        <v>201</v>
      </c>
      <c r="M34" s="340">
        <v>15</v>
      </c>
      <c r="N34" s="341"/>
      <c r="O34" s="332"/>
      <c r="P34" s="342">
        <v>10.364814183429925</v>
      </c>
      <c r="Q34" s="343"/>
      <c r="R34" s="344">
        <v>1.7072372514050558</v>
      </c>
      <c r="S34" s="344"/>
      <c r="T34" s="344">
        <v>1.884189220183486</v>
      </c>
      <c r="U34" s="344" t="s">
        <v>142</v>
      </c>
      <c r="V34" s="332" t="s">
        <v>191</v>
      </c>
      <c r="W34" s="345" t="s">
        <v>173</v>
      </c>
      <c r="X34" s="346" t="s">
        <v>195</v>
      </c>
      <c r="Y34" s="208"/>
      <c r="Z34" s="332" t="s">
        <v>143</v>
      </c>
      <c r="AA34" s="342">
        <v>98.772587794067505</v>
      </c>
      <c r="AB34" s="342">
        <v>72.690078418002045</v>
      </c>
      <c r="AC34" s="342">
        <v>29.526082509376081</v>
      </c>
      <c r="AD34" s="347">
        <v>10.398908966928076</v>
      </c>
      <c r="AE34" s="348">
        <v>1.7170000000000001</v>
      </c>
      <c r="AF34" s="349">
        <v>16.3</v>
      </c>
      <c r="AG34" s="350" t="s">
        <v>147</v>
      </c>
      <c r="AH34" s="351">
        <v>1.7157619440588745</v>
      </c>
      <c r="AI34" s="352">
        <v>1.9940381134887684</v>
      </c>
      <c r="AJ34" s="206">
        <v>16.218809980806125</v>
      </c>
      <c r="AK34" s="353" t="s">
        <v>147</v>
      </c>
      <c r="AL34" s="206">
        <v>8.119001919387614E-2</v>
      </c>
      <c r="AM34" s="349">
        <v>99.431406604837264</v>
      </c>
      <c r="AN34" s="354" t="s">
        <v>139</v>
      </c>
      <c r="AO34" s="355" t="s">
        <v>144</v>
      </c>
      <c r="AP34" s="206">
        <v>0</v>
      </c>
      <c r="AQ34" s="207" t="s">
        <v>199</v>
      </c>
      <c r="AR34" s="211"/>
      <c r="AS34" s="297">
        <f>+IF(Table1[[#This Row],[Column40]]="ok",Table1[[#This Row],[Column7]],0)</f>
        <v>818.24</v>
      </c>
      <c r="AT34" s="295">
        <f>+IF(Table1[[#This Row],[Column40]]="No",Table1[[#This Row],[Column7]],0)</f>
        <v>0</v>
      </c>
      <c r="AU34" s="4" t="str">
        <f>+IF(LEFT(Table1[[#This Row],[Column42]],2)="DN",IF(Table1[[#This Row],[Column40]]="ok","(CA)",_xlfn.CONCAT("(CA)",CHAR(10),"FAIL")),"")</f>
        <v>(CA)</v>
      </c>
      <c r="AV34" s="154" t="str">
        <f>+IF(Table1[[#This Row],[Column6]]=0,"",_xlfn.CONCAT("Sem ",WEEKNUM(Table1[[#This Row],[Column6]],2)))</f>
        <v>Sem 10</v>
      </c>
    </row>
    <row r="35" spans="2:49" ht="19.5" customHeight="1" x14ac:dyDescent="0.3">
      <c r="B35" s="356" t="s">
        <v>203</v>
      </c>
      <c r="C35" s="331"/>
      <c r="D35" s="332" t="s">
        <v>132</v>
      </c>
      <c r="E35" s="332" t="s">
        <v>133</v>
      </c>
      <c r="F35" s="333"/>
      <c r="G35" s="334">
        <v>46083</v>
      </c>
      <c r="H35" s="335">
        <v>810.7</v>
      </c>
      <c r="I35" s="336">
        <v>25.16</v>
      </c>
      <c r="J35" s="337">
        <v>2635.55</v>
      </c>
      <c r="K35" s="338" t="s">
        <v>200</v>
      </c>
      <c r="L35" s="339" t="s">
        <v>198</v>
      </c>
      <c r="M35" s="340">
        <v>30</v>
      </c>
      <c r="N35" s="341">
        <v>88653</v>
      </c>
      <c r="O35" s="332">
        <v>67.5</v>
      </c>
      <c r="P35" s="342">
        <v>8.2000000000000011</v>
      </c>
      <c r="Q35" s="343">
        <v>9.5048377916903792</v>
      </c>
      <c r="R35" s="344">
        <v>1.7781885397412198</v>
      </c>
      <c r="S35" s="344">
        <v>1.7569999999999999</v>
      </c>
      <c r="T35" s="344">
        <v>1.9239999999999999</v>
      </c>
      <c r="U35" s="344" t="s">
        <v>136</v>
      </c>
      <c r="V35" s="332" t="s">
        <v>194</v>
      </c>
      <c r="W35" s="345" t="s">
        <v>195</v>
      </c>
      <c r="X35" s="346">
        <v>3</v>
      </c>
      <c r="Y35" s="208">
        <v>2.8069999999999999</v>
      </c>
      <c r="Z35" s="332"/>
      <c r="AA35" s="342"/>
      <c r="AB35" s="342"/>
      <c r="AC35" s="342"/>
      <c r="AD35" s="347"/>
      <c r="AE35" s="348">
        <v>1.74</v>
      </c>
      <c r="AF35" s="349">
        <v>0</v>
      </c>
      <c r="AG35" s="350"/>
      <c r="AH35" s="351" t="s">
        <v>139</v>
      </c>
      <c r="AI35" s="352" t="s">
        <v>139</v>
      </c>
      <c r="AJ35" s="206" t="s">
        <v>139</v>
      </c>
      <c r="AK35" s="353" t="s">
        <v>196</v>
      </c>
      <c r="AL35" s="206" t="s">
        <v>139</v>
      </c>
      <c r="AM35" s="349">
        <v>102.19474366328849</v>
      </c>
      <c r="AN35" s="354" t="s">
        <v>139</v>
      </c>
      <c r="AO35" s="355" t="s">
        <v>140</v>
      </c>
      <c r="AP35" s="206" t="s">
        <v>139</v>
      </c>
      <c r="AQ35" s="207">
        <v>0</v>
      </c>
      <c r="AR35" s="211"/>
      <c r="AS35" s="297">
        <f>+IF(Table1[[#This Row],[Column40]]="ok",Table1[[#This Row],[Column7]],0)</f>
        <v>810.7</v>
      </c>
      <c r="AT35" s="295">
        <f>+IF(Table1[[#This Row],[Column40]]="No",Table1[[#This Row],[Column7]],0)</f>
        <v>0</v>
      </c>
      <c r="AU35" s="4" t="str">
        <f>+IF(LEFT(Table1[[#This Row],[Column42]],2)="DN",IF(Table1[[#This Row],[Column40]]="ok","(CA)",_xlfn.CONCAT("(CA)",CHAR(10),"FAIL")),"")</f>
        <v/>
      </c>
      <c r="AV35" s="154" t="str">
        <f>+IF(Table1[[#This Row],[Column6]]=0,"",_xlfn.CONCAT("Sem ",WEEKNUM(Table1[[#This Row],[Column6]],2)))</f>
        <v>Sem 10</v>
      </c>
    </row>
    <row r="36" spans="2:49" ht="19.5" customHeight="1" x14ac:dyDescent="0.3">
      <c r="B36" s="356" t="s">
        <v>204</v>
      </c>
      <c r="C36" s="331"/>
      <c r="D36" s="332" t="s">
        <v>132</v>
      </c>
      <c r="E36" s="332" t="s">
        <v>133</v>
      </c>
      <c r="F36" s="333"/>
      <c r="G36" s="334">
        <v>46083</v>
      </c>
      <c r="H36" s="335">
        <v>998.8</v>
      </c>
      <c r="I36" s="336">
        <v>-30.77</v>
      </c>
      <c r="J36" s="337">
        <v>2635.6</v>
      </c>
      <c r="K36" s="338" t="s">
        <v>205</v>
      </c>
      <c r="L36" s="339" t="s">
        <v>193</v>
      </c>
      <c r="M36" s="340">
        <v>30</v>
      </c>
      <c r="N36" s="341">
        <v>88653</v>
      </c>
      <c r="O36" s="332">
        <v>67.5</v>
      </c>
      <c r="P36" s="342">
        <v>6.2</v>
      </c>
      <c r="Q36" s="343">
        <v>7.6484018264840081</v>
      </c>
      <c r="R36" s="344">
        <v>1.7758945386064029</v>
      </c>
      <c r="S36" s="344">
        <v>1.752</v>
      </c>
      <c r="T36" s="344">
        <v>1.8859999999999999</v>
      </c>
      <c r="U36" s="344" t="s">
        <v>136</v>
      </c>
      <c r="V36" s="332" t="s">
        <v>194</v>
      </c>
      <c r="W36" s="345" t="s">
        <v>195</v>
      </c>
      <c r="X36" s="346">
        <v>3</v>
      </c>
      <c r="Y36" s="208">
        <v>2.8069999999999999</v>
      </c>
      <c r="Z36" s="332"/>
      <c r="AA36" s="342"/>
      <c r="AB36" s="342"/>
      <c r="AC36" s="342"/>
      <c r="AD36" s="347"/>
      <c r="AE36" s="348">
        <v>1.74</v>
      </c>
      <c r="AF36" s="349" t="s">
        <v>139</v>
      </c>
      <c r="AG36" s="350"/>
      <c r="AH36" s="351" t="s">
        <v>139</v>
      </c>
      <c r="AI36" s="352" t="s">
        <v>139</v>
      </c>
      <c r="AJ36" s="206" t="s">
        <v>139</v>
      </c>
      <c r="AK36" s="353" t="s">
        <v>196</v>
      </c>
      <c r="AL36" s="206" t="s">
        <v>139</v>
      </c>
      <c r="AM36" s="349">
        <v>102.06290451760935</v>
      </c>
      <c r="AN36" s="354" t="s">
        <v>139</v>
      </c>
      <c r="AO36" s="355" t="s">
        <v>140</v>
      </c>
      <c r="AP36" s="206" t="s">
        <v>139</v>
      </c>
      <c r="AQ36" s="207">
        <v>0</v>
      </c>
      <c r="AR36" s="211"/>
      <c r="AS36" s="297">
        <f>+IF(Table1[[#This Row],[Column40]]="ok",Table1[[#This Row],[Column7]],0)</f>
        <v>998.8</v>
      </c>
      <c r="AT36" s="295">
        <f>+IF(Table1[[#This Row],[Column40]]="No",Table1[[#This Row],[Column7]],0)</f>
        <v>0</v>
      </c>
      <c r="AU36" s="4" t="str">
        <f>+IF(LEFT(Table1[[#This Row],[Column42]],2)="DN",IF(Table1[[#This Row],[Column40]]="ok","(CA)",_xlfn.CONCAT("(CA)",CHAR(10),"FAIL")),"")</f>
        <v/>
      </c>
      <c r="AV36" s="154" t="str">
        <f>+IF(Table1[[#This Row],[Column6]]=0,"",_xlfn.CONCAT("Sem ",WEEKNUM(Table1[[#This Row],[Column6]],2)))</f>
        <v>Sem 10</v>
      </c>
      <c r="AW36" s="211"/>
    </row>
    <row r="37" spans="2:49" ht="19.5" customHeight="1" x14ac:dyDescent="0.3">
      <c r="B37" s="356" t="s">
        <v>206</v>
      </c>
      <c r="C37" s="331"/>
      <c r="D37" s="332" t="s">
        <v>207</v>
      </c>
      <c r="E37" s="332" t="s">
        <v>176</v>
      </c>
      <c r="F37" s="333"/>
      <c r="G37" s="334">
        <v>46083</v>
      </c>
      <c r="H37" s="335">
        <v>1135.97</v>
      </c>
      <c r="I37" s="336">
        <v>62.23</v>
      </c>
      <c r="J37" s="337">
        <v>2626.19</v>
      </c>
      <c r="K37" s="338" t="s">
        <v>208</v>
      </c>
      <c r="L37" s="339" t="s">
        <v>209</v>
      </c>
      <c r="M37" s="340">
        <v>30</v>
      </c>
      <c r="N37" s="341">
        <v>88653</v>
      </c>
      <c r="O37" s="332">
        <v>55.75</v>
      </c>
      <c r="P37" s="342">
        <v>11.200000000000001</v>
      </c>
      <c r="Q37" s="343">
        <v>12.116040955631412</v>
      </c>
      <c r="R37" s="344">
        <v>1.7724820143884892</v>
      </c>
      <c r="S37" s="344">
        <v>1.758</v>
      </c>
      <c r="T37" s="344">
        <v>1.9710000000000001</v>
      </c>
      <c r="U37" s="344" t="s">
        <v>136</v>
      </c>
      <c r="V37" s="332" t="s">
        <v>137</v>
      </c>
      <c r="W37" s="345">
        <v>8</v>
      </c>
      <c r="X37" s="346">
        <v>4</v>
      </c>
      <c r="Y37" s="208">
        <v>2.8069999999999999</v>
      </c>
      <c r="Z37" s="332"/>
      <c r="AA37" s="342"/>
      <c r="AB37" s="342"/>
      <c r="AC37" s="342"/>
      <c r="AD37" s="347"/>
      <c r="AE37" s="348">
        <v>1.7210000000000001</v>
      </c>
      <c r="AF37" s="349" t="s">
        <v>139</v>
      </c>
      <c r="AG37" s="350"/>
      <c r="AH37" s="351" t="s">
        <v>139</v>
      </c>
      <c r="AI37" s="352" t="s">
        <v>139</v>
      </c>
      <c r="AJ37" s="206" t="s">
        <v>139</v>
      </c>
      <c r="AK37" s="353" t="s">
        <v>210</v>
      </c>
      <c r="AL37" s="206" t="s">
        <v>139</v>
      </c>
      <c r="AM37" s="349">
        <v>102.9914011846885</v>
      </c>
      <c r="AN37" s="354" t="s">
        <v>139</v>
      </c>
      <c r="AO37" s="355" t="s">
        <v>140</v>
      </c>
      <c r="AP37" s="206" t="s">
        <v>139</v>
      </c>
      <c r="AQ37" s="207"/>
      <c r="AR37" s="211"/>
      <c r="AS37" s="297">
        <f>+IF(Table1[[#This Row],[Column40]]="ok",Table1[[#This Row],[Column7]],0)</f>
        <v>1135.97</v>
      </c>
      <c r="AT37" s="295">
        <f>+IF(Table1[[#This Row],[Column40]]="No",Table1[[#This Row],[Column7]],0)</f>
        <v>0</v>
      </c>
      <c r="AU37" s="4" t="str">
        <f>+IF(LEFT(Table1[[#This Row],[Column42]],2)="DN",IF(Table1[[#This Row],[Column40]]="ok","(CA)",_xlfn.CONCAT("(CA)",CHAR(10),"FAIL")),"")</f>
        <v/>
      </c>
      <c r="AV37" s="154" t="str">
        <f>+IF(Table1[[#This Row],[Column6]]=0,"",_xlfn.CONCAT("Sem ",WEEKNUM(Table1[[#This Row],[Column6]],2)))</f>
        <v>Sem 10</v>
      </c>
      <c r="AW37" s="211"/>
    </row>
    <row r="38" spans="2:49" ht="19.5" customHeight="1" x14ac:dyDescent="0.3">
      <c r="B38" s="356" t="s">
        <v>211</v>
      </c>
      <c r="C38" s="331"/>
      <c r="D38" s="332" t="s">
        <v>207</v>
      </c>
      <c r="E38" s="332" t="s">
        <v>176</v>
      </c>
      <c r="F38" s="333"/>
      <c r="G38" s="334">
        <v>46083</v>
      </c>
      <c r="H38" s="335">
        <v>1244.03</v>
      </c>
      <c r="I38" s="336">
        <v>54.69</v>
      </c>
      <c r="J38" s="337">
        <v>2628.41</v>
      </c>
      <c r="K38" s="338" t="s">
        <v>208</v>
      </c>
      <c r="L38" s="339" t="s">
        <v>212</v>
      </c>
      <c r="M38" s="340">
        <v>30</v>
      </c>
      <c r="N38" s="341">
        <v>88653</v>
      </c>
      <c r="O38" s="332">
        <v>55.75</v>
      </c>
      <c r="P38" s="342">
        <v>12.4</v>
      </c>
      <c r="Q38" s="343">
        <v>12.036508841985171</v>
      </c>
      <c r="R38" s="344">
        <v>1.7473309608540923</v>
      </c>
      <c r="S38" s="344">
        <v>1.7529999999999999</v>
      </c>
      <c r="T38" s="344">
        <v>1.964</v>
      </c>
      <c r="U38" s="344" t="s">
        <v>136</v>
      </c>
      <c r="V38" s="332" t="s">
        <v>137</v>
      </c>
      <c r="W38" s="345">
        <v>8</v>
      </c>
      <c r="X38" s="346">
        <v>4</v>
      </c>
      <c r="Y38" s="208">
        <v>2.8069999999999999</v>
      </c>
      <c r="Z38" s="332"/>
      <c r="AA38" s="342"/>
      <c r="AB38" s="342"/>
      <c r="AC38" s="342"/>
      <c r="AD38" s="347"/>
      <c r="AE38" s="348">
        <v>1.7210000000000001</v>
      </c>
      <c r="AF38" s="349">
        <v>0</v>
      </c>
      <c r="AG38" s="350"/>
      <c r="AH38" s="351" t="s">
        <v>139</v>
      </c>
      <c r="AI38" s="352" t="s">
        <v>139</v>
      </c>
      <c r="AJ38" s="206" t="s">
        <v>139</v>
      </c>
      <c r="AK38" s="353" t="s">
        <v>210</v>
      </c>
      <c r="AL38" s="206" t="s">
        <v>139</v>
      </c>
      <c r="AM38" s="349">
        <v>101.52998029367184</v>
      </c>
      <c r="AN38" s="354" t="s">
        <v>139</v>
      </c>
      <c r="AO38" s="355" t="s">
        <v>140</v>
      </c>
      <c r="AP38" s="206" t="s">
        <v>139</v>
      </c>
      <c r="AQ38" s="207"/>
      <c r="AR38" s="211"/>
      <c r="AS38" s="297">
        <f>+IF(Table1[[#This Row],[Column40]]="ok",Table1[[#This Row],[Column7]],0)</f>
        <v>1244.03</v>
      </c>
      <c r="AT38" s="295">
        <f>+IF(Table1[[#This Row],[Column40]]="No",Table1[[#This Row],[Column7]],0)</f>
        <v>0</v>
      </c>
      <c r="AU38" s="4" t="str">
        <f>+IF(LEFT(Table1[[#This Row],[Column42]],2)="DN",IF(Table1[[#This Row],[Column40]]="ok","(CA)",_xlfn.CONCAT("(CA)",CHAR(10),"FAIL")),"")</f>
        <v/>
      </c>
      <c r="AV38" s="154" t="str">
        <f>+IF(Table1[[#This Row],[Column6]]=0,"",_xlfn.CONCAT("Sem ",WEEKNUM(Table1[[#This Row],[Column6]],2)))</f>
        <v>Sem 10</v>
      </c>
      <c r="AW38" s="211"/>
    </row>
    <row r="39" spans="2:49" ht="19.5" customHeight="1" x14ac:dyDescent="0.3">
      <c r="B39" s="356" t="s">
        <v>213</v>
      </c>
      <c r="C39" s="331"/>
      <c r="D39" s="332" t="s">
        <v>207</v>
      </c>
      <c r="E39" s="332" t="s">
        <v>176</v>
      </c>
      <c r="F39" s="333"/>
      <c r="G39" s="334">
        <v>46083</v>
      </c>
      <c r="H39" s="335">
        <v>1245.53</v>
      </c>
      <c r="I39" s="336">
        <v>120.8</v>
      </c>
      <c r="J39" s="337">
        <v>2609.94</v>
      </c>
      <c r="K39" s="338" t="s">
        <v>208</v>
      </c>
      <c r="L39" s="339" t="s">
        <v>212</v>
      </c>
      <c r="M39" s="340">
        <v>30</v>
      </c>
      <c r="N39" s="341">
        <v>88653</v>
      </c>
      <c r="O39" s="332">
        <v>55.75</v>
      </c>
      <c r="P39" s="342">
        <v>12.3</v>
      </c>
      <c r="Q39" s="343">
        <v>11.794582392776531</v>
      </c>
      <c r="R39" s="344">
        <v>1.7640249332146039</v>
      </c>
      <c r="S39" s="344">
        <v>1.772</v>
      </c>
      <c r="T39" s="344">
        <v>1.9810000000000001</v>
      </c>
      <c r="U39" s="344" t="s">
        <v>136</v>
      </c>
      <c r="V39" s="332" t="s">
        <v>137</v>
      </c>
      <c r="W39" s="345">
        <v>8</v>
      </c>
      <c r="X39" s="346">
        <v>4</v>
      </c>
      <c r="Y39" s="208">
        <v>2.8069999999999999</v>
      </c>
      <c r="Z39" s="332"/>
      <c r="AA39" s="342"/>
      <c r="AB39" s="342"/>
      <c r="AC39" s="342"/>
      <c r="AD39" s="347"/>
      <c r="AE39" s="348">
        <v>1.7210000000000001</v>
      </c>
      <c r="AF39" s="349" t="s">
        <v>139</v>
      </c>
      <c r="AG39" s="350"/>
      <c r="AH39" s="351" t="s">
        <v>139</v>
      </c>
      <c r="AI39" s="352" t="s">
        <v>139</v>
      </c>
      <c r="AJ39" s="206" t="s">
        <v>139</v>
      </c>
      <c r="AK39" s="353" t="s">
        <v>210</v>
      </c>
      <c r="AL39" s="206" t="s">
        <v>139</v>
      </c>
      <c r="AM39" s="349">
        <v>102.49999611938429</v>
      </c>
      <c r="AN39" s="354" t="s">
        <v>139</v>
      </c>
      <c r="AO39" s="355" t="s">
        <v>140</v>
      </c>
      <c r="AP39" s="206" t="s">
        <v>139</v>
      </c>
      <c r="AQ39" s="207"/>
      <c r="AR39" s="211"/>
      <c r="AS39" s="297">
        <f>+IF(Table1[[#This Row],[Column40]]="ok",Table1[[#This Row],[Column7]],0)</f>
        <v>1245.53</v>
      </c>
      <c r="AT39" s="295">
        <f>+IF(Table1[[#This Row],[Column40]]="No",Table1[[#This Row],[Column7]],0)</f>
        <v>0</v>
      </c>
      <c r="AU39" s="4" t="str">
        <f>+IF(LEFT(Table1[[#This Row],[Column42]],2)="DN",IF(Table1[[#This Row],[Column40]]="ok","(CA)",_xlfn.CONCAT("(CA)",CHAR(10),"FAIL")),"")</f>
        <v/>
      </c>
      <c r="AV39" s="154" t="str">
        <f>+IF(Table1[[#This Row],[Column6]]=0,"",_xlfn.CONCAT("Sem ",WEEKNUM(Table1[[#This Row],[Column6]],2)))</f>
        <v>Sem 10</v>
      </c>
      <c r="AW39" s="211"/>
    </row>
    <row r="40" spans="2:49" ht="19.5" customHeight="1" x14ac:dyDescent="0.3">
      <c r="B40" s="356" t="s">
        <v>214</v>
      </c>
      <c r="C40" s="331"/>
      <c r="D40" s="332" t="s">
        <v>207</v>
      </c>
      <c r="E40" s="332" t="s">
        <v>176</v>
      </c>
      <c r="F40" s="333"/>
      <c r="G40" s="334">
        <v>46083</v>
      </c>
      <c r="H40" s="335">
        <v>1568.63</v>
      </c>
      <c r="I40" s="336">
        <v>497.41</v>
      </c>
      <c r="J40" s="337">
        <v>2499.77</v>
      </c>
      <c r="K40" s="338" t="s">
        <v>184</v>
      </c>
      <c r="L40" s="339" t="s">
        <v>215</v>
      </c>
      <c r="M40" s="340">
        <v>30</v>
      </c>
      <c r="N40" s="341">
        <v>88653</v>
      </c>
      <c r="O40" s="332">
        <v>55.75</v>
      </c>
      <c r="P40" s="342">
        <v>7.9</v>
      </c>
      <c r="Q40" s="343">
        <v>7.1880391029327306</v>
      </c>
      <c r="R40" s="344">
        <v>1.7275254865616314</v>
      </c>
      <c r="S40" s="344">
        <v>1.7390000000000001</v>
      </c>
      <c r="T40" s="344">
        <v>1.8640000000000001</v>
      </c>
      <c r="U40" s="344" t="s">
        <v>136</v>
      </c>
      <c r="V40" s="332" t="s">
        <v>216</v>
      </c>
      <c r="W40" s="345">
        <v>15</v>
      </c>
      <c r="X40" s="346">
        <v>15</v>
      </c>
      <c r="Y40" s="208">
        <v>2.8069999999999999</v>
      </c>
      <c r="Z40" s="332"/>
      <c r="AA40" s="342"/>
      <c r="AB40" s="342"/>
      <c r="AC40" s="342"/>
      <c r="AD40" s="347"/>
      <c r="AE40" s="348">
        <v>1.7210000000000001</v>
      </c>
      <c r="AF40" s="349" t="s">
        <v>139</v>
      </c>
      <c r="AG40" s="350"/>
      <c r="AH40" s="351" t="s">
        <v>139</v>
      </c>
      <c r="AI40" s="352" t="s">
        <v>139</v>
      </c>
      <c r="AJ40" s="206" t="s">
        <v>139</v>
      </c>
      <c r="AK40" s="353" t="s">
        <v>210</v>
      </c>
      <c r="AL40" s="206" t="s">
        <v>139</v>
      </c>
      <c r="AM40" s="349">
        <v>100.37916830689315</v>
      </c>
      <c r="AN40" s="354" t="s">
        <v>139</v>
      </c>
      <c r="AO40" s="355" t="s">
        <v>140</v>
      </c>
      <c r="AP40" s="206" t="s">
        <v>139</v>
      </c>
      <c r="AQ40" s="207"/>
      <c r="AR40" s="211"/>
      <c r="AS40" s="297">
        <f>+IF(Table1[[#This Row],[Column40]]="ok",Table1[[#This Row],[Column7]],0)</f>
        <v>1568.63</v>
      </c>
      <c r="AT40" s="295">
        <f>+IF(Table1[[#This Row],[Column40]]="No",Table1[[#This Row],[Column7]],0)</f>
        <v>0</v>
      </c>
      <c r="AU40" s="4" t="str">
        <f>+IF(LEFT(Table1[[#This Row],[Column42]],2)="DN",IF(Table1[[#This Row],[Column40]]="ok","(CA)",_xlfn.CONCAT("(CA)",CHAR(10),"FAIL")),"")</f>
        <v/>
      </c>
      <c r="AV40" s="154" t="str">
        <f>+IF(Table1[[#This Row],[Column6]]=0,"",_xlfn.CONCAT("Sem ",WEEKNUM(Table1[[#This Row],[Column6]],2)))</f>
        <v>Sem 10</v>
      </c>
      <c r="AW40" s="211"/>
    </row>
    <row r="41" spans="2:49" ht="19.5" customHeight="1" x14ac:dyDescent="0.3">
      <c r="B41" s="356" t="s">
        <v>217</v>
      </c>
      <c r="C41" s="331"/>
      <c r="D41" s="332" t="s">
        <v>207</v>
      </c>
      <c r="E41" s="332" t="s">
        <v>176</v>
      </c>
      <c r="F41" s="333"/>
      <c r="G41" s="334">
        <v>46083</v>
      </c>
      <c r="H41" s="335">
        <v>1932.2</v>
      </c>
      <c r="I41" s="336">
        <v>-156.69999999999999</v>
      </c>
      <c r="J41" s="337">
        <v>2635.28</v>
      </c>
      <c r="K41" s="338" t="s">
        <v>218</v>
      </c>
      <c r="L41" s="339" t="s">
        <v>219</v>
      </c>
      <c r="M41" s="340">
        <v>30</v>
      </c>
      <c r="N41" s="341">
        <v>88653</v>
      </c>
      <c r="O41" s="332">
        <v>55.75</v>
      </c>
      <c r="P41" s="342">
        <v>11.1</v>
      </c>
      <c r="Q41" s="343">
        <v>10.785463071512314</v>
      </c>
      <c r="R41" s="344">
        <v>1.7011701170117011</v>
      </c>
      <c r="S41" s="344">
        <v>1.706</v>
      </c>
      <c r="T41" s="344">
        <v>1.89</v>
      </c>
      <c r="U41" s="344" t="s">
        <v>136</v>
      </c>
      <c r="V41" s="332" t="s">
        <v>191</v>
      </c>
      <c r="W41" s="345">
        <v>6</v>
      </c>
      <c r="X41" s="346">
        <v>3</v>
      </c>
      <c r="Y41" s="208">
        <v>2.8069999999999999</v>
      </c>
      <c r="Z41" s="332"/>
      <c r="AA41" s="342"/>
      <c r="AB41" s="342"/>
      <c r="AC41" s="342"/>
      <c r="AD41" s="347"/>
      <c r="AE41" s="358">
        <v>1.7307890926303404</v>
      </c>
      <c r="AF41" s="349">
        <v>16.256701093687461</v>
      </c>
      <c r="AG41" s="350"/>
      <c r="AH41" s="351">
        <v>1.723752151462995</v>
      </c>
      <c r="AI41" s="351">
        <v>2.0030000000000001</v>
      </c>
      <c r="AJ41" s="206">
        <v>16.2</v>
      </c>
      <c r="AK41" s="353" t="s">
        <v>181</v>
      </c>
      <c r="AL41" s="206">
        <v>5.6701093687461679E-2</v>
      </c>
      <c r="AM41" s="349">
        <v>98.288701047126054</v>
      </c>
      <c r="AN41" s="354" t="s">
        <v>139</v>
      </c>
      <c r="AO41" s="355" t="s">
        <v>140</v>
      </c>
      <c r="AP41" s="206" t="s">
        <v>139</v>
      </c>
      <c r="AQ41" s="246"/>
      <c r="AR41" s="211"/>
      <c r="AS41" s="297">
        <f>+IF(Table1[[#This Row],[Column40]]="ok",Table1[[#This Row],[Column7]],0)</f>
        <v>1932.2</v>
      </c>
      <c r="AT41" s="295">
        <f>+IF(Table1[[#This Row],[Column40]]="No",Table1[[#This Row],[Column7]],0)</f>
        <v>0</v>
      </c>
      <c r="AU41" s="4" t="str">
        <f>+IF(LEFT(Table1[[#This Row],[Column42]],2)="DN",IF(Table1[[#This Row],[Column40]]="ok","(CA)",_xlfn.CONCAT("(CA)",CHAR(10),"FAIL")),"")</f>
        <v/>
      </c>
      <c r="AV41" s="154" t="str">
        <f>+IF(Table1[[#This Row],[Column6]]=0,"",_xlfn.CONCAT("Sem ",WEEKNUM(Table1[[#This Row],[Column6]],2)))</f>
        <v>Sem 10</v>
      </c>
      <c r="AW41" s="211"/>
    </row>
    <row r="42" spans="2:49" ht="19.5" customHeight="1" x14ac:dyDescent="0.3">
      <c r="B42" s="356" t="s">
        <v>220</v>
      </c>
      <c r="C42" s="331"/>
      <c r="D42" s="332" t="s">
        <v>207</v>
      </c>
      <c r="E42" s="332" t="s">
        <v>133</v>
      </c>
      <c r="F42" s="333"/>
      <c r="G42" s="334">
        <v>46084</v>
      </c>
      <c r="H42" s="335">
        <v>1310.3900000000001</v>
      </c>
      <c r="I42" s="336">
        <v>33.1</v>
      </c>
      <c r="J42" s="337">
        <v>2634.28</v>
      </c>
      <c r="K42" s="338" t="s">
        <v>221</v>
      </c>
      <c r="L42" s="339" t="s">
        <v>222</v>
      </c>
      <c r="M42" s="340">
        <v>30</v>
      </c>
      <c r="N42" s="341">
        <v>85462</v>
      </c>
      <c r="O42" s="332">
        <v>67.5</v>
      </c>
      <c r="P42" s="342">
        <v>10.5</v>
      </c>
      <c r="Q42" s="343">
        <v>12.061155152887881</v>
      </c>
      <c r="R42" s="344">
        <v>1.790950226244344</v>
      </c>
      <c r="S42" s="344">
        <v>1.766</v>
      </c>
      <c r="T42" s="344">
        <v>1.9790000000000001</v>
      </c>
      <c r="U42" s="344" t="s">
        <v>136</v>
      </c>
      <c r="V42" s="332" t="s">
        <v>137</v>
      </c>
      <c r="W42" s="345">
        <v>8</v>
      </c>
      <c r="X42" s="346">
        <v>4</v>
      </c>
      <c r="Y42" s="208">
        <v>2.8069999999999999</v>
      </c>
      <c r="Z42" s="332"/>
      <c r="AA42" s="342"/>
      <c r="AB42" s="342"/>
      <c r="AC42" s="342"/>
      <c r="AD42" s="347"/>
      <c r="AE42" s="358">
        <v>1.7210000000000001</v>
      </c>
      <c r="AF42" s="349">
        <v>0</v>
      </c>
      <c r="AG42" s="350"/>
      <c r="AH42" s="351" t="s">
        <v>139</v>
      </c>
      <c r="AI42" s="351" t="s">
        <v>139</v>
      </c>
      <c r="AJ42" s="206" t="s">
        <v>139</v>
      </c>
      <c r="AK42" s="353" t="s">
        <v>210</v>
      </c>
      <c r="AL42" s="206" t="s">
        <v>139</v>
      </c>
      <c r="AM42" s="349">
        <v>104.06451053133898</v>
      </c>
      <c r="AN42" s="354" t="s">
        <v>139</v>
      </c>
      <c r="AO42" s="355" t="s">
        <v>140</v>
      </c>
      <c r="AP42" s="206" t="s">
        <v>139</v>
      </c>
      <c r="AQ42" s="207">
        <v>0</v>
      </c>
      <c r="AR42" s="211"/>
      <c r="AS42" s="297">
        <f>+IF(Table1[[#This Row],[Column40]]="ok",Table1[[#This Row],[Column7]],0)</f>
        <v>1310.3900000000001</v>
      </c>
      <c r="AT42" s="295">
        <f>+IF(Table1[[#This Row],[Column40]]="No",Table1[[#This Row],[Column7]],0)</f>
        <v>0</v>
      </c>
      <c r="AU42" s="4" t="str">
        <f>+IF(LEFT(Table1[[#This Row],[Column42]],2)="DN",IF(Table1[[#This Row],[Column40]]="ok","(CA)",_xlfn.CONCAT("(CA)",CHAR(10),"FAIL")),"")</f>
        <v/>
      </c>
      <c r="AV42" s="154" t="str">
        <f>+IF(Table1[[#This Row],[Column6]]=0,"",_xlfn.CONCAT("Sem ",WEEKNUM(Table1[[#This Row],[Column6]],2)))</f>
        <v>Sem 10</v>
      </c>
      <c r="AW42" s="211"/>
    </row>
    <row r="43" spans="2:49" ht="19.5" customHeight="1" x14ac:dyDescent="0.3">
      <c r="B43" s="356" t="s">
        <v>223</v>
      </c>
      <c r="C43" s="331"/>
      <c r="D43" s="332" t="s">
        <v>207</v>
      </c>
      <c r="E43" s="332" t="s">
        <v>133</v>
      </c>
      <c r="F43" s="333"/>
      <c r="G43" s="334">
        <v>46084</v>
      </c>
      <c r="H43" s="335">
        <v>1392.1</v>
      </c>
      <c r="I43" s="336">
        <v>48.5</v>
      </c>
      <c r="J43" s="337">
        <v>2630.12</v>
      </c>
      <c r="K43" s="338" t="s">
        <v>221</v>
      </c>
      <c r="L43" s="339" t="s">
        <v>224</v>
      </c>
      <c r="M43" s="340">
        <v>30</v>
      </c>
      <c r="N43" s="341">
        <v>85462</v>
      </c>
      <c r="O43" s="332">
        <v>67.5</v>
      </c>
      <c r="P43" s="342">
        <v>9.1999999999999993</v>
      </c>
      <c r="Q43" s="343">
        <v>11.168981481481488</v>
      </c>
      <c r="R43" s="344">
        <v>1.7591575091575091</v>
      </c>
      <c r="S43" s="344">
        <v>1.728</v>
      </c>
      <c r="T43" s="344">
        <v>1.921</v>
      </c>
      <c r="U43" s="344" t="s">
        <v>136</v>
      </c>
      <c r="V43" s="332" t="s">
        <v>137</v>
      </c>
      <c r="W43" s="345">
        <v>8</v>
      </c>
      <c r="X43" s="346">
        <v>4</v>
      </c>
      <c r="Y43" s="208">
        <v>2.8069999999999999</v>
      </c>
      <c r="Z43" s="332"/>
      <c r="AA43" s="342"/>
      <c r="AB43" s="342"/>
      <c r="AC43" s="342"/>
      <c r="AD43" s="123"/>
      <c r="AE43" s="358">
        <v>1.7210000000000001</v>
      </c>
      <c r="AF43" s="349">
        <v>0</v>
      </c>
      <c r="AG43" s="350"/>
      <c r="AH43" s="351" t="s">
        <v>139</v>
      </c>
      <c r="AI43" s="351" t="s">
        <v>139</v>
      </c>
      <c r="AJ43" s="206" t="s">
        <v>139</v>
      </c>
      <c r="AK43" s="353" t="s">
        <v>210</v>
      </c>
      <c r="AL43" s="206" t="s">
        <v>139</v>
      </c>
      <c r="AM43" s="349">
        <v>102.21717078195869</v>
      </c>
      <c r="AN43" s="354" t="s">
        <v>139</v>
      </c>
      <c r="AO43" s="355" t="s">
        <v>140</v>
      </c>
      <c r="AP43" s="206" t="s">
        <v>139</v>
      </c>
      <c r="AQ43" s="207">
        <v>0</v>
      </c>
      <c r="AR43" s="211"/>
      <c r="AS43" s="297">
        <f>+IF(Table1[[#This Row],[Column40]]="ok",Table1[[#This Row],[Column7]],0)</f>
        <v>1392.1</v>
      </c>
      <c r="AT43" s="295">
        <f>+IF(Table1[[#This Row],[Column40]]="No",Table1[[#This Row],[Column7]],0)</f>
        <v>0</v>
      </c>
      <c r="AU43" s="4" t="str">
        <f>+IF(LEFT(Table1[[#This Row],[Column42]],2)="DN",IF(Table1[[#This Row],[Column40]]="ok","(CA)",_xlfn.CONCAT("(CA)",CHAR(10),"FAIL")),"")</f>
        <v/>
      </c>
      <c r="AV43" s="154" t="str">
        <f>+IF(Table1[[#This Row],[Column6]]=0,"",_xlfn.CONCAT("Sem ",WEEKNUM(Table1[[#This Row],[Column6]],2)))</f>
        <v>Sem 10</v>
      </c>
      <c r="AW43" s="211"/>
    </row>
    <row r="44" spans="2:49" ht="19.5" customHeight="1" x14ac:dyDescent="0.3">
      <c r="B44" s="356" t="s">
        <v>225</v>
      </c>
      <c r="C44" s="331"/>
      <c r="D44" s="332" t="s">
        <v>207</v>
      </c>
      <c r="E44" s="332" t="s">
        <v>133</v>
      </c>
      <c r="F44" s="333"/>
      <c r="G44" s="334">
        <v>46084</v>
      </c>
      <c r="H44" s="335">
        <v>1478.91</v>
      </c>
      <c r="I44" s="336">
        <v>48.98</v>
      </c>
      <c r="J44" s="337">
        <v>2630.09</v>
      </c>
      <c r="K44" s="338" t="s">
        <v>162</v>
      </c>
      <c r="L44" s="339" t="s">
        <v>179</v>
      </c>
      <c r="M44" s="340">
        <v>30</v>
      </c>
      <c r="N44" s="341">
        <v>85462</v>
      </c>
      <c r="O44" s="332">
        <v>67.5</v>
      </c>
      <c r="P44" s="342">
        <v>11.4</v>
      </c>
      <c r="Q44" s="343">
        <v>11.293054771315658</v>
      </c>
      <c r="R44" s="344">
        <v>1.7692998204667862</v>
      </c>
      <c r="S44" s="344">
        <v>1.7709999999999999</v>
      </c>
      <c r="T44" s="344">
        <v>1.9710000000000001</v>
      </c>
      <c r="U44" s="344" t="s">
        <v>136</v>
      </c>
      <c r="V44" s="332" t="s">
        <v>137</v>
      </c>
      <c r="W44" s="345">
        <v>8</v>
      </c>
      <c r="X44" s="346">
        <v>4</v>
      </c>
      <c r="Y44" s="208">
        <v>2.8069999999999999</v>
      </c>
      <c r="Z44" s="332"/>
      <c r="AA44" s="342"/>
      <c r="AB44" s="342"/>
      <c r="AC44" s="342"/>
      <c r="AD44" s="347"/>
      <c r="AE44" s="358">
        <v>1.7212255868741</v>
      </c>
      <c r="AF44" s="349">
        <v>16.004057014383466</v>
      </c>
      <c r="AG44" s="350"/>
      <c r="AH44" s="351">
        <v>1.7215517241379312</v>
      </c>
      <c r="AI44" s="352">
        <v>1.9970000000000001</v>
      </c>
      <c r="AJ44" s="206">
        <v>16</v>
      </c>
      <c r="AK44" s="353" t="s">
        <v>210</v>
      </c>
      <c r="AL44" s="206">
        <v>4.0570143834663952E-3</v>
      </c>
      <c r="AM44" s="349">
        <v>102.79302341071941</v>
      </c>
      <c r="AN44" s="354" t="s">
        <v>139</v>
      </c>
      <c r="AO44" s="355" t="s">
        <v>140</v>
      </c>
      <c r="AP44" s="206" t="s">
        <v>139</v>
      </c>
      <c r="AQ44" s="246" t="s">
        <v>226</v>
      </c>
      <c r="AR44" s="211"/>
      <c r="AS44" s="297">
        <f>+IF(Table1[[#This Row],[Column40]]="ok",Table1[[#This Row],[Column7]],0)</f>
        <v>1478.91</v>
      </c>
      <c r="AT44" s="295">
        <f>+IF(Table1[[#This Row],[Column40]]="No",Table1[[#This Row],[Column7]],0)</f>
        <v>0</v>
      </c>
      <c r="AU44" s="4" t="str">
        <f>+IF(LEFT(Table1[[#This Row],[Column42]],2)="DN",IF(Table1[[#This Row],[Column40]]="ok","(CA)",_xlfn.CONCAT("(CA)",CHAR(10),"FAIL")),"")</f>
        <v/>
      </c>
      <c r="AV44" s="154" t="str">
        <f>+IF(Table1[[#This Row],[Column6]]=0,"",_xlfn.CONCAT("Sem ",WEEKNUM(Table1[[#This Row],[Column6]],2)))</f>
        <v>Sem 10</v>
      </c>
      <c r="AW44" s="211"/>
    </row>
    <row r="45" spans="2:49" ht="19.5" customHeight="1" x14ac:dyDescent="0.3">
      <c r="B45" s="356" t="s">
        <v>226</v>
      </c>
      <c r="C45" s="331"/>
      <c r="D45" s="332" t="s">
        <v>207</v>
      </c>
      <c r="E45" s="332" t="s">
        <v>133</v>
      </c>
      <c r="F45" s="333"/>
      <c r="G45" s="334">
        <v>46084</v>
      </c>
      <c r="H45" s="335">
        <v>1478.91</v>
      </c>
      <c r="I45" s="336">
        <v>48.98</v>
      </c>
      <c r="J45" s="337">
        <v>2630.09</v>
      </c>
      <c r="K45" s="338" t="s">
        <v>162</v>
      </c>
      <c r="L45" s="339" t="s">
        <v>179</v>
      </c>
      <c r="M45" s="340">
        <v>15</v>
      </c>
      <c r="N45" s="341"/>
      <c r="O45" s="332"/>
      <c r="P45" s="342">
        <v>11.380431569612771</v>
      </c>
      <c r="Q45" s="343"/>
      <c r="R45" s="344">
        <v>1.7498126273385284</v>
      </c>
      <c r="S45" s="344"/>
      <c r="T45" s="344">
        <v>1.948948855989233</v>
      </c>
      <c r="U45" s="344" t="s">
        <v>142</v>
      </c>
      <c r="V45" s="332" t="s">
        <v>137</v>
      </c>
      <c r="W45" s="345">
        <v>6</v>
      </c>
      <c r="X45" s="346">
        <v>8</v>
      </c>
      <c r="Y45" s="208"/>
      <c r="Z45" s="332" t="s">
        <v>227</v>
      </c>
      <c r="AA45" s="342">
        <v>98.64026012415016</v>
      </c>
      <c r="AB45" s="342">
        <v>76.322790422701743</v>
      </c>
      <c r="AC45" s="342">
        <v>34.525569021578463</v>
      </c>
      <c r="AD45" s="347">
        <v>10.81879988176172</v>
      </c>
      <c r="AE45" s="358">
        <v>1.7212255868741</v>
      </c>
      <c r="AF45" s="349">
        <v>16.004057014383466</v>
      </c>
      <c r="AG45" s="350" t="s">
        <v>210</v>
      </c>
      <c r="AH45" s="351">
        <v>1.7212162461931209</v>
      </c>
      <c r="AI45" s="352">
        <v>1.9967042313416972</v>
      </c>
      <c r="AJ45" s="206">
        <v>16.005425567989125</v>
      </c>
      <c r="AK45" s="353" t="s">
        <v>210</v>
      </c>
      <c r="AL45" s="206">
        <v>-1.3685536056584624E-3</v>
      </c>
      <c r="AM45" s="349">
        <v>101.66085379408895</v>
      </c>
      <c r="AN45" s="354" t="s">
        <v>139</v>
      </c>
      <c r="AO45" s="355" t="s">
        <v>144</v>
      </c>
      <c r="AP45" s="206">
        <v>0</v>
      </c>
      <c r="AQ45" s="246" t="s">
        <v>225</v>
      </c>
      <c r="AR45" s="211"/>
      <c r="AS45" s="297">
        <f>+IF(Table1[[#This Row],[Column40]]="ok",Table1[[#This Row],[Column7]],0)</f>
        <v>1478.91</v>
      </c>
      <c r="AT45" s="295">
        <f>+IF(Table1[[#This Row],[Column40]]="No",Table1[[#This Row],[Column7]],0)</f>
        <v>0</v>
      </c>
      <c r="AU45" s="4" t="str">
        <f>+IF(LEFT(Table1[[#This Row],[Column42]],2)="DN",IF(Table1[[#This Row],[Column40]]="ok","(CA)",_xlfn.CONCAT("(CA)",CHAR(10),"FAIL")),"")</f>
        <v>(CA)</v>
      </c>
      <c r="AV45" s="154" t="str">
        <f>+IF(Table1[[#This Row],[Column6]]=0,"",_xlfn.CONCAT("Sem ",WEEKNUM(Table1[[#This Row],[Column6]],2)))</f>
        <v>Sem 10</v>
      </c>
      <c r="AW45" s="211"/>
    </row>
    <row r="46" spans="2:49" ht="19.5" customHeight="1" x14ac:dyDescent="0.3">
      <c r="B46" s="356" t="s">
        <v>228</v>
      </c>
      <c r="C46" s="331"/>
      <c r="D46" s="332" t="s">
        <v>207</v>
      </c>
      <c r="E46" s="332" t="s">
        <v>133</v>
      </c>
      <c r="F46" s="333"/>
      <c r="G46" s="334">
        <v>46084</v>
      </c>
      <c r="H46" s="335">
        <v>1573.76</v>
      </c>
      <c r="I46" s="336">
        <v>34.65</v>
      </c>
      <c r="J46" s="337">
        <v>2634.58</v>
      </c>
      <c r="K46" s="338" t="s">
        <v>162</v>
      </c>
      <c r="L46" s="339" t="s">
        <v>185</v>
      </c>
      <c r="M46" s="340">
        <v>30</v>
      </c>
      <c r="N46" s="341">
        <v>85462</v>
      </c>
      <c r="O46" s="332">
        <v>67.5</v>
      </c>
      <c r="P46" s="342">
        <v>10</v>
      </c>
      <c r="Q46" s="343">
        <v>11.379310344827577</v>
      </c>
      <c r="R46" s="344">
        <v>1.7618181818181817</v>
      </c>
      <c r="S46" s="344">
        <v>1.74</v>
      </c>
      <c r="T46" s="344">
        <v>1.9379999999999999</v>
      </c>
      <c r="U46" s="344" t="s">
        <v>136</v>
      </c>
      <c r="V46" s="332" t="s">
        <v>137</v>
      </c>
      <c r="W46" s="345">
        <v>8</v>
      </c>
      <c r="X46" s="346">
        <v>4</v>
      </c>
      <c r="Y46" s="208">
        <v>2.8069999999999999</v>
      </c>
      <c r="Z46" s="332"/>
      <c r="AA46" s="342"/>
      <c r="AB46" s="342"/>
      <c r="AC46" s="342"/>
      <c r="AD46" s="347"/>
      <c r="AE46" s="358">
        <v>1.7210000000000001</v>
      </c>
      <c r="AF46" s="349">
        <v>0</v>
      </c>
      <c r="AG46" s="350"/>
      <c r="AH46" s="351" t="s">
        <v>139</v>
      </c>
      <c r="AI46" s="352" t="s">
        <v>139</v>
      </c>
      <c r="AJ46" s="206" t="s">
        <v>139</v>
      </c>
      <c r="AK46" s="353" t="s">
        <v>210</v>
      </c>
      <c r="AL46" s="206" t="s">
        <v>139</v>
      </c>
      <c r="AM46" s="349">
        <v>102.37177116898208</v>
      </c>
      <c r="AN46" s="354" t="s">
        <v>139</v>
      </c>
      <c r="AO46" s="355" t="s">
        <v>140</v>
      </c>
      <c r="AP46" s="206" t="s">
        <v>139</v>
      </c>
      <c r="AQ46" s="246">
        <v>0</v>
      </c>
      <c r="AR46" s="211"/>
      <c r="AS46" s="297">
        <f>+IF(Table1[[#This Row],[Column40]]="ok",Table1[[#This Row],[Column7]],0)</f>
        <v>1573.76</v>
      </c>
      <c r="AT46" s="295">
        <f>+IF(Table1[[#This Row],[Column40]]="No",Table1[[#This Row],[Column7]],0)</f>
        <v>0</v>
      </c>
      <c r="AU46" s="4" t="str">
        <f>+IF(LEFT(Table1[[#This Row],[Column42]],2)="DN",IF(Table1[[#This Row],[Column40]]="ok","(CA)",_xlfn.CONCAT("(CA)",CHAR(10),"FAIL")),"")</f>
        <v/>
      </c>
      <c r="AV46" s="154" t="str">
        <f>+IF(Table1[[#This Row],[Column6]]=0,"",_xlfn.CONCAT("Sem ",WEEKNUM(Table1[[#This Row],[Column6]],2)))</f>
        <v>Sem 10</v>
      </c>
      <c r="AW46" s="211"/>
    </row>
    <row r="47" spans="2:49" ht="19.5" customHeight="1" x14ac:dyDescent="0.3">
      <c r="B47" s="356" t="s">
        <v>229</v>
      </c>
      <c r="C47" s="331"/>
      <c r="D47" s="332" t="s">
        <v>207</v>
      </c>
      <c r="E47" s="332" t="s">
        <v>133</v>
      </c>
      <c r="F47" s="333"/>
      <c r="G47" s="334">
        <v>46084</v>
      </c>
      <c r="H47" s="335">
        <v>1419.68</v>
      </c>
      <c r="I47" s="336">
        <v>116.49</v>
      </c>
      <c r="J47" s="337">
        <v>2609.3000000000002</v>
      </c>
      <c r="K47" s="338" t="s">
        <v>221</v>
      </c>
      <c r="L47" s="339" t="s">
        <v>230</v>
      </c>
      <c r="M47" s="340">
        <v>30</v>
      </c>
      <c r="N47" s="341">
        <v>85462</v>
      </c>
      <c r="O47" s="332">
        <v>67.5</v>
      </c>
      <c r="P47" s="342">
        <v>10.8</v>
      </c>
      <c r="Q47" s="343">
        <v>9.5613048368953901</v>
      </c>
      <c r="R47" s="344">
        <v>1.7581227436823104</v>
      </c>
      <c r="S47" s="344">
        <v>1.778</v>
      </c>
      <c r="T47" s="344">
        <v>1.948</v>
      </c>
      <c r="U47" s="344" t="s">
        <v>136</v>
      </c>
      <c r="V47" s="332" t="s">
        <v>137</v>
      </c>
      <c r="W47" s="345">
        <v>8</v>
      </c>
      <c r="X47" s="346">
        <v>4</v>
      </c>
      <c r="Y47" s="208">
        <v>2.8069999999999999</v>
      </c>
      <c r="Z47" s="332"/>
      <c r="AA47" s="342"/>
      <c r="AB47" s="342"/>
      <c r="AC47" s="342"/>
      <c r="AD47" s="347"/>
      <c r="AE47" s="358">
        <v>1.7210000000000001</v>
      </c>
      <c r="AF47" s="349">
        <v>0</v>
      </c>
      <c r="AG47" s="350"/>
      <c r="AH47" s="351" t="s">
        <v>139</v>
      </c>
      <c r="AI47" s="352" t="s">
        <v>139</v>
      </c>
      <c r="AJ47" s="206" t="s">
        <v>139</v>
      </c>
      <c r="AK47" s="353" t="s">
        <v>210</v>
      </c>
      <c r="AL47" s="206" t="s">
        <v>139</v>
      </c>
      <c r="AM47" s="349">
        <v>102.15704495539282</v>
      </c>
      <c r="AN47" s="354" t="s">
        <v>139</v>
      </c>
      <c r="AO47" s="355" t="s">
        <v>140</v>
      </c>
      <c r="AP47" s="206" t="s">
        <v>139</v>
      </c>
      <c r="AQ47" s="246">
        <v>0</v>
      </c>
      <c r="AR47" s="211"/>
      <c r="AS47" s="297">
        <f>+IF(Table1[[#This Row],[Column40]]="ok",Table1[[#This Row],[Column7]],0)</f>
        <v>1419.68</v>
      </c>
      <c r="AT47" s="295">
        <f>+IF(Table1[[#This Row],[Column40]]="No",Table1[[#This Row],[Column7]],0)</f>
        <v>0</v>
      </c>
      <c r="AU47" s="4" t="str">
        <f>+IF(LEFT(Table1[[#This Row],[Column42]],2)="DN",IF(Table1[[#This Row],[Column40]]="ok","(CA)",_xlfn.CONCAT("(CA)",CHAR(10),"FAIL")),"")</f>
        <v/>
      </c>
      <c r="AV47" s="154" t="str">
        <f>+IF(Table1[[#This Row],[Column6]]=0,"",_xlfn.CONCAT("Sem ",WEEKNUM(Table1[[#This Row],[Column6]],2)))</f>
        <v>Sem 10</v>
      </c>
      <c r="AW47" s="211"/>
    </row>
    <row r="48" spans="2:49" ht="19.5" customHeight="1" x14ac:dyDescent="0.3">
      <c r="B48" s="356" t="s">
        <v>231</v>
      </c>
      <c r="C48" s="331"/>
      <c r="D48" s="332" t="s">
        <v>207</v>
      </c>
      <c r="E48" s="332" t="s">
        <v>133</v>
      </c>
      <c r="F48" s="333"/>
      <c r="G48" s="334">
        <v>46084</v>
      </c>
      <c r="H48" s="335">
        <v>1300.73</v>
      </c>
      <c r="I48" s="336">
        <v>114.06</v>
      </c>
      <c r="J48" s="337">
        <v>2610.41</v>
      </c>
      <c r="K48" s="338" t="s">
        <v>221</v>
      </c>
      <c r="L48" s="339" t="s">
        <v>222</v>
      </c>
      <c r="M48" s="340">
        <v>30</v>
      </c>
      <c r="N48" s="341">
        <v>85462</v>
      </c>
      <c r="O48" s="332">
        <v>67.5</v>
      </c>
      <c r="P48" s="342">
        <v>8.4</v>
      </c>
      <c r="Q48" s="343">
        <v>11.580775911986096</v>
      </c>
      <c r="R48" s="344">
        <v>1.7776752767527675</v>
      </c>
      <c r="S48" s="344">
        <v>1.7270000000000001</v>
      </c>
      <c r="T48" s="344">
        <v>1.927</v>
      </c>
      <c r="U48" s="344" t="s">
        <v>136</v>
      </c>
      <c r="V48" s="332" t="s">
        <v>137</v>
      </c>
      <c r="W48" s="345">
        <v>8</v>
      </c>
      <c r="X48" s="346">
        <v>4</v>
      </c>
      <c r="Y48" s="208">
        <v>2.8069999999999999</v>
      </c>
      <c r="Z48" s="332"/>
      <c r="AA48" s="342"/>
      <c r="AB48" s="342"/>
      <c r="AC48" s="342"/>
      <c r="AD48" s="347"/>
      <c r="AE48" s="358">
        <v>1.7210000000000001</v>
      </c>
      <c r="AF48" s="349">
        <v>0</v>
      </c>
      <c r="AG48" s="350"/>
      <c r="AH48" s="351" t="s">
        <v>139</v>
      </c>
      <c r="AI48" s="351" t="s">
        <v>139</v>
      </c>
      <c r="AJ48" s="206" t="s">
        <v>139</v>
      </c>
      <c r="AK48" s="353" t="s">
        <v>210</v>
      </c>
      <c r="AL48" s="206" t="s">
        <v>139</v>
      </c>
      <c r="AM48" s="349">
        <v>103.29315960213638</v>
      </c>
      <c r="AN48" s="354" t="s">
        <v>139</v>
      </c>
      <c r="AO48" s="355" t="s">
        <v>140</v>
      </c>
      <c r="AP48" s="206" t="s">
        <v>139</v>
      </c>
      <c r="AQ48" s="246">
        <v>0</v>
      </c>
      <c r="AR48" s="211"/>
      <c r="AS48" s="297">
        <f>+IF(Table1[[#This Row],[Column40]]="ok",Table1[[#This Row],[Column7]],0)</f>
        <v>1300.73</v>
      </c>
      <c r="AT48" s="295">
        <f>+IF(Table1[[#This Row],[Column40]]="No",Table1[[#This Row],[Column7]],0)</f>
        <v>0</v>
      </c>
      <c r="AU48" s="4" t="str">
        <f>+IF(LEFT(Table1[[#This Row],[Column42]],2)="DN",IF(Table1[[#This Row],[Column40]]="ok","(CA)",_xlfn.CONCAT("(CA)",CHAR(10),"FAIL")),"")</f>
        <v/>
      </c>
      <c r="AV48" s="154" t="str">
        <f>+IF(Table1[[#This Row],[Column6]]=0,"",_xlfn.CONCAT("Sem ",WEEKNUM(Table1[[#This Row],[Column6]],2)))</f>
        <v>Sem 10</v>
      </c>
      <c r="AW48" s="211"/>
    </row>
    <row r="49" spans="2:49" ht="19.5" customHeight="1" x14ac:dyDescent="0.3">
      <c r="B49" s="356" t="s">
        <v>232</v>
      </c>
      <c r="C49" s="331"/>
      <c r="D49" s="332" t="s">
        <v>207</v>
      </c>
      <c r="E49" s="332" t="s">
        <v>133</v>
      </c>
      <c r="F49" s="333"/>
      <c r="G49" s="334">
        <v>46084</v>
      </c>
      <c r="H49" s="335">
        <v>648.45000000000005</v>
      </c>
      <c r="I49" s="336">
        <v>61.48</v>
      </c>
      <c r="J49" s="337">
        <v>2635.6</v>
      </c>
      <c r="K49" s="338" t="s">
        <v>167</v>
      </c>
      <c r="L49" s="339" t="s">
        <v>233</v>
      </c>
      <c r="M49" s="340">
        <v>30</v>
      </c>
      <c r="N49" s="341">
        <v>85462</v>
      </c>
      <c r="O49" s="332">
        <v>67.5</v>
      </c>
      <c r="P49" s="342">
        <v>9.8000000000000007</v>
      </c>
      <c r="Q49" s="343">
        <v>10.166666666666679</v>
      </c>
      <c r="R49" s="344">
        <v>1.8060109289617485</v>
      </c>
      <c r="S49" s="344">
        <v>1.8</v>
      </c>
      <c r="T49" s="344">
        <v>1.9830000000000001</v>
      </c>
      <c r="U49" s="344" t="s">
        <v>136</v>
      </c>
      <c r="V49" s="332" t="s">
        <v>234</v>
      </c>
      <c r="W49" s="345">
        <v>16</v>
      </c>
      <c r="X49" s="346">
        <v>8</v>
      </c>
      <c r="Y49" s="208">
        <v>2.8069999999999999</v>
      </c>
      <c r="Z49" s="332"/>
      <c r="AA49" s="342"/>
      <c r="AB49" s="342"/>
      <c r="AC49" s="342"/>
      <c r="AD49" s="347"/>
      <c r="AE49" s="358">
        <v>1.74</v>
      </c>
      <c r="AF49" s="349">
        <v>0</v>
      </c>
      <c r="AG49" s="350"/>
      <c r="AH49" s="351" t="s">
        <v>139</v>
      </c>
      <c r="AI49" s="351" t="s">
        <v>139</v>
      </c>
      <c r="AJ49" s="206" t="s">
        <v>139</v>
      </c>
      <c r="AK49" s="353" t="s">
        <v>196</v>
      </c>
      <c r="AL49" s="206" t="s">
        <v>139</v>
      </c>
      <c r="AM49" s="349">
        <v>103.79373154952577</v>
      </c>
      <c r="AN49" s="354" t="s">
        <v>139</v>
      </c>
      <c r="AO49" s="355" t="s">
        <v>140</v>
      </c>
      <c r="AP49" s="206" t="s">
        <v>139</v>
      </c>
      <c r="AQ49" s="246">
        <v>0</v>
      </c>
      <c r="AR49" s="211"/>
      <c r="AS49" s="297">
        <f>+IF(Table1[[#This Row],[Column40]]="ok",Table1[[#This Row],[Column7]],0)</f>
        <v>648.45000000000005</v>
      </c>
      <c r="AT49" s="295">
        <f>+IF(Table1[[#This Row],[Column40]]="No",Table1[[#This Row],[Column7]],0)</f>
        <v>0</v>
      </c>
      <c r="AU49" s="4" t="str">
        <f>+IF(LEFT(Table1[[#This Row],[Column42]],2)="DN",IF(Table1[[#This Row],[Column40]]="ok","(CA)",_xlfn.CONCAT("(CA)",CHAR(10),"FAIL")),"")</f>
        <v/>
      </c>
      <c r="AV49" s="154" t="str">
        <f>+IF(Table1[[#This Row],[Column6]]=0,"",_xlfn.CONCAT("Sem ",WEEKNUM(Table1[[#This Row],[Column6]],2)))</f>
        <v>Sem 10</v>
      </c>
      <c r="AW49" s="211"/>
    </row>
    <row r="50" spans="2:49" ht="19.5" customHeight="1" x14ac:dyDescent="0.3">
      <c r="B50" s="356" t="s">
        <v>235</v>
      </c>
      <c r="C50" s="331"/>
      <c r="D50" s="332" t="s">
        <v>207</v>
      </c>
      <c r="E50" s="332" t="s">
        <v>176</v>
      </c>
      <c r="F50" s="333"/>
      <c r="G50" s="334">
        <v>46084</v>
      </c>
      <c r="H50" s="335">
        <v>940.81</v>
      </c>
      <c r="I50" s="336">
        <v>389.14</v>
      </c>
      <c r="J50" s="337">
        <v>2532.09</v>
      </c>
      <c r="K50" s="338" t="s">
        <v>236</v>
      </c>
      <c r="L50" s="339" t="s">
        <v>237</v>
      </c>
      <c r="M50" s="340">
        <v>30</v>
      </c>
      <c r="N50" s="341">
        <v>85462</v>
      </c>
      <c r="O50" s="332">
        <v>67.5</v>
      </c>
      <c r="P50" s="342">
        <v>13.3</v>
      </c>
      <c r="Q50" s="343">
        <v>14.006888633754301</v>
      </c>
      <c r="R50" s="344">
        <v>1.7528684907325685</v>
      </c>
      <c r="S50" s="344">
        <v>1.742</v>
      </c>
      <c r="T50" s="344">
        <v>1.986</v>
      </c>
      <c r="U50" s="344" t="s">
        <v>136</v>
      </c>
      <c r="V50" s="332" t="s">
        <v>137</v>
      </c>
      <c r="W50" s="345">
        <v>8</v>
      </c>
      <c r="X50" s="346">
        <v>4</v>
      </c>
      <c r="Y50" s="208">
        <v>2.8069999999999999</v>
      </c>
      <c r="Z50" s="332"/>
      <c r="AA50" s="342"/>
      <c r="AB50" s="342"/>
      <c r="AC50" s="342"/>
      <c r="AD50" s="347"/>
      <c r="AE50" s="358">
        <v>1.69</v>
      </c>
      <c r="AF50" s="349">
        <v>0</v>
      </c>
      <c r="AG50" s="350"/>
      <c r="AH50" s="351" t="s">
        <v>139</v>
      </c>
      <c r="AI50" s="352" t="s">
        <v>139</v>
      </c>
      <c r="AJ50" s="206" t="s">
        <v>139</v>
      </c>
      <c r="AK50" s="353" t="s">
        <v>238</v>
      </c>
      <c r="AL50" s="206" t="s">
        <v>139</v>
      </c>
      <c r="AM50" s="349">
        <v>103.72002903743009</v>
      </c>
      <c r="AN50" s="354" t="s">
        <v>139</v>
      </c>
      <c r="AO50" s="355" t="s">
        <v>140</v>
      </c>
      <c r="AP50" s="206" t="s">
        <v>139</v>
      </c>
      <c r="AQ50" s="246">
        <v>0</v>
      </c>
      <c r="AR50" s="211"/>
      <c r="AS50" s="297">
        <f>+IF(Table1[[#This Row],[Column40]]="ok",Table1[[#This Row],[Column7]],0)</f>
        <v>940.81</v>
      </c>
      <c r="AT50" s="295">
        <f>+IF(Table1[[#This Row],[Column40]]="No",Table1[[#This Row],[Column7]],0)</f>
        <v>0</v>
      </c>
      <c r="AU50" s="4" t="str">
        <f>+IF(LEFT(Table1[[#This Row],[Column42]],2)="DN",IF(Table1[[#This Row],[Column40]]="ok","(CA)",_xlfn.CONCAT("(CA)",CHAR(10),"FAIL")),"")</f>
        <v/>
      </c>
      <c r="AV50" s="154" t="str">
        <f>+IF(Table1[[#This Row],[Column6]]=0,"",_xlfn.CONCAT("Sem ",WEEKNUM(Table1[[#This Row],[Column6]],2)))</f>
        <v>Sem 10</v>
      </c>
      <c r="AW50" s="211"/>
    </row>
    <row r="51" spans="2:49" ht="19.5" customHeight="1" x14ac:dyDescent="0.3">
      <c r="B51" s="356" t="s">
        <v>239</v>
      </c>
      <c r="C51" s="331"/>
      <c r="D51" s="332" t="s">
        <v>207</v>
      </c>
      <c r="E51" s="332" t="s">
        <v>176</v>
      </c>
      <c r="F51" s="333"/>
      <c r="G51" s="334">
        <v>46084</v>
      </c>
      <c r="H51" s="335">
        <v>935.35</v>
      </c>
      <c r="I51" s="336">
        <v>510.87</v>
      </c>
      <c r="J51" s="337">
        <v>2496.94</v>
      </c>
      <c r="K51" s="338" t="s">
        <v>240</v>
      </c>
      <c r="L51" s="339" t="s">
        <v>237</v>
      </c>
      <c r="M51" s="340">
        <v>30</v>
      </c>
      <c r="N51" s="341">
        <v>85462</v>
      </c>
      <c r="O51" s="332">
        <v>67.5</v>
      </c>
      <c r="P51" s="342">
        <v>11.5</v>
      </c>
      <c r="Q51" s="343">
        <v>13.079178885630483</v>
      </c>
      <c r="R51" s="344">
        <v>1.7291479820627802</v>
      </c>
      <c r="S51" s="344">
        <v>1.7050000000000001</v>
      </c>
      <c r="T51" s="344">
        <v>1.9279999999999999</v>
      </c>
      <c r="U51" s="344" t="s">
        <v>136</v>
      </c>
      <c r="V51" s="332" t="s">
        <v>137</v>
      </c>
      <c r="W51" s="345">
        <v>8</v>
      </c>
      <c r="X51" s="346">
        <v>4</v>
      </c>
      <c r="Y51" s="208">
        <v>2.8069999999999999</v>
      </c>
      <c r="Z51" s="332"/>
      <c r="AA51" s="342"/>
      <c r="AB51" s="342"/>
      <c r="AC51" s="342"/>
      <c r="AD51" s="347"/>
      <c r="AE51" s="358">
        <v>1.69</v>
      </c>
      <c r="AF51" s="349">
        <v>0</v>
      </c>
      <c r="AG51" s="350"/>
      <c r="AH51" s="351" t="s">
        <v>139</v>
      </c>
      <c r="AI51" s="352" t="s">
        <v>139</v>
      </c>
      <c r="AJ51" s="206" t="s">
        <v>139</v>
      </c>
      <c r="AK51" s="353" t="s">
        <v>238</v>
      </c>
      <c r="AL51" s="206" t="s">
        <v>139</v>
      </c>
      <c r="AM51" s="349">
        <v>102.31644864276805</v>
      </c>
      <c r="AN51" s="354" t="s">
        <v>139</v>
      </c>
      <c r="AO51" s="355" t="s">
        <v>140</v>
      </c>
      <c r="AP51" s="206" t="s">
        <v>139</v>
      </c>
      <c r="AQ51" s="246">
        <v>0</v>
      </c>
      <c r="AR51" s="211"/>
      <c r="AS51" s="297">
        <f>+IF(Table1[[#This Row],[Column40]]="ok",Table1[[#This Row],[Column7]],0)</f>
        <v>935.35</v>
      </c>
      <c r="AT51" s="295">
        <f>+IF(Table1[[#This Row],[Column40]]="No",Table1[[#This Row],[Column7]],0)</f>
        <v>0</v>
      </c>
      <c r="AU51" s="4" t="str">
        <f>+IF(LEFT(Table1[[#This Row],[Column42]],2)="DN",IF(Table1[[#This Row],[Column40]]="ok","(CA)",_xlfn.CONCAT("(CA)",CHAR(10),"FAIL")),"")</f>
        <v/>
      </c>
      <c r="AV51" s="154" t="str">
        <f>+IF(Table1[[#This Row],[Column6]]=0,"",_xlfn.CONCAT("Sem ",WEEKNUM(Table1[[#This Row],[Column6]],2)))</f>
        <v>Sem 10</v>
      </c>
      <c r="AW51" s="211"/>
    </row>
    <row r="52" spans="2:49" ht="19.5" customHeight="1" x14ac:dyDescent="0.3">
      <c r="B52" s="356" t="s">
        <v>241</v>
      </c>
      <c r="C52" s="331"/>
      <c r="D52" s="332" t="s">
        <v>207</v>
      </c>
      <c r="E52" s="332" t="s">
        <v>176</v>
      </c>
      <c r="F52" s="333"/>
      <c r="G52" s="334">
        <v>46084</v>
      </c>
      <c r="H52" s="335">
        <v>1007.68</v>
      </c>
      <c r="I52" s="336">
        <v>427.05</v>
      </c>
      <c r="J52" s="337">
        <v>2521.61</v>
      </c>
      <c r="K52" s="338" t="s">
        <v>236</v>
      </c>
      <c r="L52" s="339" t="s">
        <v>242</v>
      </c>
      <c r="M52" s="340">
        <v>30</v>
      </c>
      <c r="N52" s="341">
        <v>85462</v>
      </c>
      <c r="O52" s="332">
        <v>67.5</v>
      </c>
      <c r="P52" s="342">
        <v>14.299999999999999</v>
      </c>
      <c r="Q52" s="343">
        <v>14.649321266968339</v>
      </c>
      <c r="R52" s="344">
        <v>1.773403324584427</v>
      </c>
      <c r="S52" s="344">
        <v>1.768</v>
      </c>
      <c r="T52" s="344">
        <v>2.0270000000000001</v>
      </c>
      <c r="U52" s="344" t="s">
        <v>136</v>
      </c>
      <c r="V52" s="332" t="s">
        <v>137</v>
      </c>
      <c r="W52" s="345">
        <v>8</v>
      </c>
      <c r="X52" s="346">
        <v>4</v>
      </c>
      <c r="Y52" s="208">
        <v>2.8069999999999999</v>
      </c>
      <c r="Z52" s="332"/>
      <c r="AA52" s="342"/>
      <c r="AB52" s="342"/>
      <c r="AC52" s="342"/>
      <c r="AD52" s="347"/>
      <c r="AE52" s="358">
        <v>1.69</v>
      </c>
      <c r="AF52" s="349">
        <v>0</v>
      </c>
      <c r="AG52" s="350"/>
      <c r="AH52" s="351" t="s">
        <v>139</v>
      </c>
      <c r="AI52" s="352" t="s">
        <v>139</v>
      </c>
      <c r="AJ52" s="206" t="s">
        <v>139</v>
      </c>
      <c r="AK52" s="353" t="s">
        <v>210</v>
      </c>
      <c r="AL52" s="206" t="s">
        <v>139</v>
      </c>
      <c r="AM52" s="349">
        <v>104.93510796357558</v>
      </c>
      <c r="AN52" s="354" t="s">
        <v>139</v>
      </c>
      <c r="AO52" s="355" t="s">
        <v>140</v>
      </c>
      <c r="AP52" s="206" t="s">
        <v>139</v>
      </c>
      <c r="AQ52" s="246">
        <v>0</v>
      </c>
      <c r="AR52" s="211"/>
      <c r="AS52" s="297">
        <f>+IF(Table1[[#This Row],[Column40]]="ok",Table1[[#This Row],[Column7]],0)</f>
        <v>1007.68</v>
      </c>
      <c r="AT52" s="295">
        <f>+IF(Table1[[#This Row],[Column40]]="No",Table1[[#This Row],[Column7]],0)</f>
        <v>0</v>
      </c>
      <c r="AU52" s="4" t="str">
        <f>+IF(LEFT(Table1[[#This Row],[Column42]],2)="DN",IF(Table1[[#This Row],[Column40]]="ok","(CA)",_xlfn.CONCAT("(CA)",CHAR(10),"FAIL")),"")</f>
        <v/>
      </c>
      <c r="AV52" s="154" t="str">
        <f>+IF(Table1[[#This Row],[Column6]]=0,"",_xlfn.CONCAT("Sem ",WEEKNUM(Table1[[#This Row],[Column6]],2)))</f>
        <v>Sem 10</v>
      </c>
      <c r="AW52" s="211"/>
    </row>
    <row r="53" spans="2:49" ht="19.5" customHeight="1" x14ac:dyDescent="0.3">
      <c r="B53" s="356" t="s">
        <v>243</v>
      </c>
      <c r="C53" s="331"/>
      <c r="D53" s="332" t="s">
        <v>207</v>
      </c>
      <c r="E53" s="332" t="s">
        <v>176</v>
      </c>
      <c r="F53" s="333"/>
      <c r="G53" s="334">
        <v>46084</v>
      </c>
      <c r="H53" s="335">
        <v>1035.22</v>
      </c>
      <c r="I53" s="336">
        <v>570.42999999999995</v>
      </c>
      <c r="J53" s="337">
        <v>2478.3200000000002</v>
      </c>
      <c r="K53" s="338" t="s">
        <v>244</v>
      </c>
      <c r="L53" s="339" t="s">
        <v>245</v>
      </c>
      <c r="M53" s="340">
        <v>30</v>
      </c>
      <c r="N53" s="341">
        <v>85462</v>
      </c>
      <c r="O53" s="332">
        <v>67.5</v>
      </c>
      <c r="P53" s="342">
        <v>13</v>
      </c>
      <c r="Q53" s="343">
        <v>13.636363636363647</v>
      </c>
      <c r="R53" s="344">
        <v>1.7699115044247788</v>
      </c>
      <c r="S53" s="344">
        <v>1.76</v>
      </c>
      <c r="T53" s="344">
        <v>2</v>
      </c>
      <c r="U53" s="344" t="s">
        <v>136</v>
      </c>
      <c r="V53" s="332" t="s">
        <v>137</v>
      </c>
      <c r="W53" s="345">
        <v>8</v>
      </c>
      <c r="X53" s="346">
        <v>4</v>
      </c>
      <c r="Y53" s="208">
        <v>2.8069999999999999</v>
      </c>
      <c r="Z53" s="332"/>
      <c r="AA53" s="342"/>
      <c r="AB53" s="342"/>
      <c r="AC53" s="342"/>
      <c r="AD53" s="347"/>
      <c r="AE53" s="358">
        <v>1.69</v>
      </c>
      <c r="AF53" s="349">
        <v>0</v>
      </c>
      <c r="AG53" s="350"/>
      <c r="AH53" s="351" t="s">
        <v>139</v>
      </c>
      <c r="AI53" s="351" t="s">
        <v>139</v>
      </c>
      <c r="AJ53" s="206" t="s">
        <v>139</v>
      </c>
      <c r="AK53" s="353" t="s">
        <v>238</v>
      </c>
      <c r="AL53" s="206" t="s">
        <v>139</v>
      </c>
      <c r="AM53" s="349">
        <v>104.7284913860816</v>
      </c>
      <c r="AN53" s="354" t="s">
        <v>139</v>
      </c>
      <c r="AO53" s="355" t="s">
        <v>140</v>
      </c>
      <c r="AP53" s="206" t="s">
        <v>139</v>
      </c>
      <c r="AQ53" s="207">
        <v>0</v>
      </c>
      <c r="AR53" s="211"/>
      <c r="AS53" s="297">
        <f>+IF(Table1[[#This Row],[Column40]]="ok",Table1[[#This Row],[Column7]],0)</f>
        <v>1035.22</v>
      </c>
      <c r="AT53" s="295">
        <f>+IF(Table1[[#This Row],[Column40]]="No",Table1[[#This Row],[Column7]],0)</f>
        <v>0</v>
      </c>
      <c r="AU53" s="4" t="str">
        <f>+IF(LEFT(Table1[[#This Row],[Column42]],2)="DN",IF(Table1[[#This Row],[Column40]]="ok","(CA)",_xlfn.CONCAT("(CA)",CHAR(10),"FAIL")),"")</f>
        <v/>
      </c>
      <c r="AV53" s="154" t="str">
        <f>+IF(Table1[[#This Row],[Column6]]=0,"",_xlfn.CONCAT("Sem ",WEEKNUM(Table1[[#This Row],[Column6]],2)))</f>
        <v>Sem 10</v>
      </c>
      <c r="AW53" s="211"/>
    </row>
    <row r="54" spans="2:49" ht="19.5" customHeight="1" x14ac:dyDescent="0.3">
      <c r="B54" s="356" t="s">
        <v>246</v>
      </c>
      <c r="C54" s="331"/>
      <c r="D54" s="332" t="s">
        <v>207</v>
      </c>
      <c r="E54" s="332" t="s">
        <v>176</v>
      </c>
      <c r="F54" s="333"/>
      <c r="G54" s="334">
        <v>46084</v>
      </c>
      <c r="H54" s="335">
        <v>1118.9000000000001</v>
      </c>
      <c r="I54" s="336">
        <v>439.21</v>
      </c>
      <c r="J54" s="337">
        <v>2516.92</v>
      </c>
      <c r="K54" s="338" t="s">
        <v>236</v>
      </c>
      <c r="L54" s="339" t="s">
        <v>247</v>
      </c>
      <c r="M54" s="340">
        <v>30</v>
      </c>
      <c r="N54" s="341">
        <v>85462</v>
      </c>
      <c r="O54" s="332">
        <v>67.5</v>
      </c>
      <c r="P54" s="342">
        <v>14.000000000000002</v>
      </c>
      <c r="Q54" s="343">
        <v>10.305775764439407</v>
      </c>
      <c r="R54" s="344">
        <v>1.7087719298245612</v>
      </c>
      <c r="S54" s="344">
        <v>1.766</v>
      </c>
      <c r="T54" s="344">
        <v>1.948</v>
      </c>
      <c r="U54" s="344" t="s">
        <v>136</v>
      </c>
      <c r="V54" s="332" t="s">
        <v>137</v>
      </c>
      <c r="W54" s="345">
        <v>8</v>
      </c>
      <c r="X54" s="346">
        <v>4</v>
      </c>
      <c r="Y54" s="208">
        <v>2.8069999999999999</v>
      </c>
      <c r="Z54" s="332"/>
      <c r="AA54" s="342"/>
      <c r="AB54" s="342"/>
      <c r="AC54" s="342"/>
      <c r="AD54" s="123"/>
      <c r="AE54" s="358">
        <v>1.69</v>
      </c>
      <c r="AF54" s="349">
        <v>0</v>
      </c>
      <c r="AG54" s="350"/>
      <c r="AH54" s="351" t="s">
        <v>139</v>
      </c>
      <c r="AI54" s="351" t="s">
        <v>139</v>
      </c>
      <c r="AJ54" s="206" t="s">
        <v>139</v>
      </c>
      <c r="AK54" s="353" t="s">
        <v>238</v>
      </c>
      <c r="AL54" s="206" t="s">
        <v>139</v>
      </c>
      <c r="AM54" s="349">
        <v>101.1107650783764</v>
      </c>
      <c r="AN54" s="354" t="s">
        <v>139</v>
      </c>
      <c r="AO54" s="355" t="s">
        <v>140</v>
      </c>
      <c r="AP54" s="206" t="s">
        <v>139</v>
      </c>
      <c r="AQ54" s="207">
        <v>0</v>
      </c>
      <c r="AR54" s="211"/>
      <c r="AS54" s="297">
        <f>+IF(Table1[[#This Row],[Column40]]="ok",Table1[[#This Row],[Column7]],0)</f>
        <v>1118.9000000000001</v>
      </c>
      <c r="AT54" s="295">
        <f>+IF(Table1[[#This Row],[Column40]]="No",Table1[[#This Row],[Column7]],0)</f>
        <v>0</v>
      </c>
      <c r="AU54" s="4" t="str">
        <f>+IF(LEFT(Table1[[#This Row],[Column42]],2)="DN",IF(Table1[[#This Row],[Column40]]="ok","(CA)",_xlfn.CONCAT("(CA)",CHAR(10),"FAIL")),"")</f>
        <v/>
      </c>
      <c r="AV54" s="154" t="str">
        <f>+IF(Table1[[#This Row],[Column6]]=0,"",_xlfn.CONCAT("Sem ",WEEKNUM(Table1[[#This Row],[Column6]],2)))</f>
        <v>Sem 10</v>
      </c>
      <c r="AW54" s="211"/>
    </row>
    <row r="55" spans="2:49" ht="19.5" customHeight="1" x14ac:dyDescent="0.3">
      <c r="B55" s="356" t="s">
        <v>248</v>
      </c>
      <c r="C55" s="331"/>
      <c r="D55" s="332" t="s">
        <v>207</v>
      </c>
      <c r="E55" s="332" t="s">
        <v>176</v>
      </c>
      <c r="F55" s="333"/>
      <c r="G55" s="334">
        <v>46084</v>
      </c>
      <c r="H55" s="335">
        <v>1085.92</v>
      </c>
      <c r="I55" s="336">
        <v>590.98</v>
      </c>
      <c r="J55" s="337">
        <v>2472.27</v>
      </c>
      <c r="K55" s="338" t="s">
        <v>244</v>
      </c>
      <c r="L55" s="339" t="s">
        <v>249</v>
      </c>
      <c r="M55" s="340">
        <v>30</v>
      </c>
      <c r="N55" s="341">
        <v>85462</v>
      </c>
      <c r="O55" s="332">
        <v>67.5</v>
      </c>
      <c r="P55" s="342">
        <v>9.9</v>
      </c>
      <c r="Q55" s="343">
        <v>10.489510489510479</v>
      </c>
      <c r="R55" s="344">
        <v>1.7252047315741583</v>
      </c>
      <c r="S55" s="344">
        <v>1.716</v>
      </c>
      <c r="T55" s="344">
        <v>1.8959999999999999</v>
      </c>
      <c r="U55" s="344" t="s">
        <v>136</v>
      </c>
      <c r="V55" s="332" t="s">
        <v>137</v>
      </c>
      <c r="W55" s="345">
        <v>8</v>
      </c>
      <c r="X55" s="346">
        <v>4</v>
      </c>
      <c r="Y55" s="208">
        <v>2.8069999999999999</v>
      </c>
      <c r="Z55" s="332"/>
      <c r="AA55" s="342"/>
      <c r="AB55" s="342"/>
      <c r="AC55" s="342"/>
      <c r="AD55" s="347"/>
      <c r="AE55" s="348">
        <v>1.709379825755752</v>
      </c>
      <c r="AF55" s="349">
        <v>17.146040795525575</v>
      </c>
      <c r="AG55" s="350"/>
      <c r="AH55" s="351">
        <v>1.7079037800687287</v>
      </c>
      <c r="AI55" s="352">
        <v>1.988</v>
      </c>
      <c r="AJ55" s="206">
        <v>16.400000000000002</v>
      </c>
      <c r="AK55" s="353" t="s">
        <v>250</v>
      </c>
      <c r="AL55" s="206">
        <v>0.74604079552557323</v>
      </c>
      <c r="AM55" s="349">
        <v>100.92576884200734</v>
      </c>
      <c r="AN55" s="354" t="s">
        <v>139</v>
      </c>
      <c r="AO55" s="355" t="s">
        <v>140</v>
      </c>
      <c r="AP55" s="206" t="s">
        <v>139</v>
      </c>
      <c r="AQ55" s="207" t="s">
        <v>251</v>
      </c>
      <c r="AR55" s="211"/>
      <c r="AS55" s="297">
        <f>+IF(Table1[[#This Row],[Column40]]="ok",Table1[[#This Row],[Column7]],0)</f>
        <v>1085.92</v>
      </c>
      <c r="AT55" s="295">
        <f>+IF(Table1[[#This Row],[Column40]]="No",Table1[[#This Row],[Column7]],0)</f>
        <v>0</v>
      </c>
      <c r="AU55" s="4" t="str">
        <f>+IF(LEFT(Table1[[#This Row],[Column42]],2)="DN",IF(Table1[[#This Row],[Column40]]="ok","(CA)",_xlfn.CONCAT("(CA)",CHAR(10),"FAIL")),"")</f>
        <v/>
      </c>
      <c r="AV55" s="154" t="str">
        <f>+IF(Table1[[#This Row],[Column6]]=0,"",_xlfn.CONCAT("Sem ",WEEKNUM(Table1[[#This Row],[Column6]],2)))</f>
        <v>Sem 10</v>
      </c>
      <c r="AW55" s="211"/>
    </row>
    <row r="56" spans="2:49" ht="19.5" customHeight="1" x14ac:dyDescent="0.3">
      <c r="B56" s="356" t="s">
        <v>251</v>
      </c>
      <c r="C56" s="331"/>
      <c r="D56" s="332" t="s">
        <v>207</v>
      </c>
      <c r="E56" s="332" t="s">
        <v>176</v>
      </c>
      <c r="F56" s="333"/>
      <c r="G56" s="334">
        <v>46084</v>
      </c>
      <c r="H56" s="335">
        <v>1085.92</v>
      </c>
      <c r="I56" s="336">
        <v>590.98</v>
      </c>
      <c r="J56" s="337">
        <v>2472.27</v>
      </c>
      <c r="K56" s="338" t="s">
        <v>244</v>
      </c>
      <c r="L56" s="339" t="s">
        <v>249</v>
      </c>
      <c r="M56" s="340">
        <v>15</v>
      </c>
      <c r="N56" s="341"/>
      <c r="O56" s="332"/>
      <c r="P56" s="342">
        <v>9.9440646364201619</v>
      </c>
      <c r="Q56" s="343"/>
      <c r="R56" s="344">
        <v>1.6775390391778733</v>
      </c>
      <c r="S56" s="344"/>
      <c r="T56" s="344">
        <v>1.8443546055349029</v>
      </c>
      <c r="U56" s="344" t="s">
        <v>142</v>
      </c>
      <c r="V56" s="332" t="s">
        <v>137</v>
      </c>
      <c r="W56" s="345">
        <v>6</v>
      </c>
      <c r="X56" s="346">
        <v>8</v>
      </c>
      <c r="Y56" s="208"/>
      <c r="Z56" s="332" t="s">
        <v>143</v>
      </c>
      <c r="AA56" s="342">
        <v>98.443663392406592</v>
      </c>
      <c r="AB56" s="342">
        <v>74.237070799301947</v>
      </c>
      <c r="AC56" s="342">
        <v>32.54948309590705</v>
      </c>
      <c r="AD56" s="347">
        <v>11.066479566090877</v>
      </c>
      <c r="AE56" s="348">
        <v>1.709379825755752</v>
      </c>
      <c r="AF56" s="349">
        <v>17.146040795525575</v>
      </c>
      <c r="AG56" s="350" t="s">
        <v>250</v>
      </c>
      <c r="AH56" s="351">
        <v>1.7076343515629806</v>
      </c>
      <c r="AI56" s="352">
        <v>1.9881990219009147</v>
      </c>
      <c r="AJ56" s="206">
        <v>16.430020283975661</v>
      </c>
      <c r="AK56" s="353" t="s">
        <v>250</v>
      </c>
      <c r="AL56" s="206">
        <v>0.71602051154991386</v>
      </c>
      <c r="AM56" s="349">
        <v>98.137290138907474</v>
      </c>
      <c r="AN56" s="354" t="s">
        <v>139</v>
      </c>
      <c r="AO56" s="355" t="s">
        <v>144</v>
      </c>
      <c r="AP56" s="206">
        <v>0</v>
      </c>
      <c r="AQ56" s="207" t="s">
        <v>248</v>
      </c>
      <c r="AR56" s="211"/>
      <c r="AS56" s="297">
        <f>+IF(Table1[[#This Row],[Column40]]="ok",Table1[[#This Row],[Column7]],0)</f>
        <v>1085.92</v>
      </c>
      <c r="AT56" s="295">
        <f>+IF(Table1[[#This Row],[Column40]]="No",Table1[[#This Row],[Column7]],0)</f>
        <v>0</v>
      </c>
      <c r="AU56" s="4" t="str">
        <f>+IF(LEFT(Table1[[#This Row],[Column42]],2)="DN",IF(Table1[[#This Row],[Column40]]="ok","(CA)",_xlfn.CONCAT("(CA)",CHAR(10),"FAIL")),"")</f>
        <v>(CA)</v>
      </c>
      <c r="AV56" s="154" t="str">
        <f>+IF(Table1[[#This Row],[Column6]]=0,"",_xlfn.CONCAT("Sem ",WEEKNUM(Table1[[#This Row],[Column6]],2)))</f>
        <v>Sem 10</v>
      </c>
      <c r="AW56" s="211"/>
    </row>
    <row r="57" spans="2:49" ht="19.5" customHeight="1" x14ac:dyDescent="0.3">
      <c r="B57" s="356" t="s">
        <v>252</v>
      </c>
      <c r="C57" s="331"/>
      <c r="D57" s="332" t="s">
        <v>207</v>
      </c>
      <c r="E57" s="332" t="s">
        <v>176</v>
      </c>
      <c r="F57" s="333"/>
      <c r="G57" s="334">
        <v>46084</v>
      </c>
      <c r="H57" s="335">
        <v>1190.18</v>
      </c>
      <c r="I57" s="336">
        <v>416.6</v>
      </c>
      <c r="J57" s="337">
        <v>2524.54</v>
      </c>
      <c r="K57" s="338" t="s">
        <v>253</v>
      </c>
      <c r="L57" s="339" t="s">
        <v>254</v>
      </c>
      <c r="M57" s="340">
        <v>30</v>
      </c>
      <c r="N57" s="341">
        <v>85462</v>
      </c>
      <c r="O57" s="332">
        <v>67.5</v>
      </c>
      <c r="P57" s="342">
        <v>16.5</v>
      </c>
      <c r="Q57" s="343">
        <v>16.512166859791442</v>
      </c>
      <c r="R57" s="344">
        <v>1.7261802575107297</v>
      </c>
      <c r="S57" s="344">
        <v>1.726</v>
      </c>
      <c r="T57" s="344">
        <v>2.0110000000000001</v>
      </c>
      <c r="U57" s="344" t="s">
        <v>136</v>
      </c>
      <c r="V57" s="332" t="s">
        <v>137</v>
      </c>
      <c r="W57" s="345">
        <v>8</v>
      </c>
      <c r="X57" s="346">
        <v>4</v>
      </c>
      <c r="Y57" s="208">
        <v>2.8069999999999999</v>
      </c>
      <c r="Z57" s="332"/>
      <c r="AA57" s="342"/>
      <c r="AB57" s="342"/>
      <c r="AC57" s="342"/>
      <c r="AD57" s="347"/>
      <c r="AE57" s="348">
        <v>1.69</v>
      </c>
      <c r="AF57" s="349">
        <v>0</v>
      </c>
      <c r="AG57" s="350"/>
      <c r="AH57" s="351" t="s">
        <v>139</v>
      </c>
      <c r="AI57" s="352" t="s">
        <v>139</v>
      </c>
      <c r="AJ57" s="206" t="s">
        <v>139</v>
      </c>
      <c r="AK57" s="353" t="s">
        <v>238</v>
      </c>
      <c r="AL57" s="206" t="s">
        <v>139</v>
      </c>
      <c r="AM57" s="349">
        <v>102.14084363968814</v>
      </c>
      <c r="AN57" s="354" t="s">
        <v>139</v>
      </c>
      <c r="AO57" s="355" t="s">
        <v>140</v>
      </c>
      <c r="AP57" s="206" t="s">
        <v>139</v>
      </c>
      <c r="AQ57" s="207">
        <v>0</v>
      </c>
      <c r="AR57" s="211"/>
      <c r="AS57" s="297">
        <f>+IF(Table1[[#This Row],[Column40]]="ok",Table1[[#This Row],[Column7]],0)</f>
        <v>1190.18</v>
      </c>
      <c r="AT57" s="295">
        <f>+IF(Table1[[#This Row],[Column40]]="No",Table1[[#This Row],[Column7]],0)</f>
        <v>0</v>
      </c>
      <c r="AU57" s="4" t="str">
        <f>+IF(LEFT(Table1[[#This Row],[Column42]],2)="DN",IF(Table1[[#This Row],[Column40]]="ok","(CA)",_xlfn.CONCAT("(CA)",CHAR(10),"FAIL")),"")</f>
        <v/>
      </c>
      <c r="AV57" s="154" t="str">
        <f>+IF(Table1[[#This Row],[Column6]]=0,"",_xlfn.CONCAT("Sem ",WEEKNUM(Table1[[#This Row],[Column6]],2)))</f>
        <v>Sem 10</v>
      </c>
      <c r="AW57" s="211"/>
    </row>
    <row r="58" spans="2:49" ht="19.5" customHeight="1" x14ac:dyDescent="0.3">
      <c r="B58" s="356" t="s">
        <v>255</v>
      </c>
      <c r="C58" s="331"/>
      <c r="D58" s="332" t="s">
        <v>207</v>
      </c>
      <c r="E58" s="332" t="s">
        <v>176</v>
      </c>
      <c r="F58" s="333"/>
      <c r="G58" s="334">
        <v>46084</v>
      </c>
      <c r="H58" s="335">
        <v>1249.4100000000001</v>
      </c>
      <c r="I58" s="336">
        <v>390.98</v>
      </c>
      <c r="J58" s="337">
        <v>2531.04</v>
      </c>
      <c r="K58" s="338" t="s">
        <v>253</v>
      </c>
      <c r="L58" s="339" t="s">
        <v>212</v>
      </c>
      <c r="M58" s="340">
        <v>30</v>
      </c>
      <c r="N58" s="341">
        <v>85462</v>
      </c>
      <c r="O58" s="332">
        <v>67.5</v>
      </c>
      <c r="P58" s="342">
        <v>14.000000000000002</v>
      </c>
      <c r="Q58" s="343">
        <v>12.839366515837103</v>
      </c>
      <c r="R58" s="344">
        <v>1.75</v>
      </c>
      <c r="S58" s="344">
        <v>1.768</v>
      </c>
      <c r="T58" s="344">
        <v>1.9950000000000001</v>
      </c>
      <c r="U58" s="344" t="s">
        <v>136</v>
      </c>
      <c r="V58" s="332" t="s">
        <v>137</v>
      </c>
      <c r="W58" s="345">
        <v>8</v>
      </c>
      <c r="X58" s="346">
        <v>4</v>
      </c>
      <c r="Y58" s="208">
        <v>2.8069999999999999</v>
      </c>
      <c r="Z58" s="332"/>
      <c r="AA58" s="342"/>
      <c r="AB58" s="342"/>
      <c r="AC58" s="342"/>
      <c r="AD58" s="347"/>
      <c r="AE58" s="348">
        <v>1.69</v>
      </c>
      <c r="AF58" s="349">
        <v>0</v>
      </c>
      <c r="AG58" s="350"/>
      <c r="AH58" s="351" t="s">
        <v>139</v>
      </c>
      <c r="AI58" s="352" t="s">
        <v>139</v>
      </c>
      <c r="AJ58" s="206" t="s">
        <v>139</v>
      </c>
      <c r="AK58" s="353" t="s">
        <v>238</v>
      </c>
      <c r="AL58" s="206" t="s">
        <v>139</v>
      </c>
      <c r="AM58" s="349">
        <v>103.55029585798816</v>
      </c>
      <c r="AN58" s="354" t="s">
        <v>139</v>
      </c>
      <c r="AO58" s="355" t="s">
        <v>140</v>
      </c>
      <c r="AP58" s="206" t="s">
        <v>139</v>
      </c>
      <c r="AQ58" s="207">
        <v>0</v>
      </c>
      <c r="AR58" s="211"/>
      <c r="AS58" s="297">
        <f>+IF(Table1[[#This Row],[Column40]]="ok",Table1[[#This Row],[Column7]],0)</f>
        <v>1249.4100000000001</v>
      </c>
      <c r="AT58" s="295">
        <f>+IF(Table1[[#This Row],[Column40]]="No",Table1[[#This Row],[Column7]],0)</f>
        <v>0</v>
      </c>
      <c r="AU58" s="4" t="str">
        <f>+IF(LEFT(Table1[[#This Row],[Column42]],2)="DN",IF(Table1[[#This Row],[Column40]]="ok","(CA)",_xlfn.CONCAT("(CA)",CHAR(10),"FAIL")),"")</f>
        <v/>
      </c>
      <c r="AV58" s="154" t="str">
        <f>+IF(Table1[[#This Row],[Column6]]=0,"",_xlfn.CONCAT("Sem ",WEEKNUM(Table1[[#This Row],[Column6]],2)))</f>
        <v>Sem 10</v>
      </c>
      <c r="AW58" s="211"/>
    </row>
    <row r="59" spans="2:49" ht="19.5" customHeight="1" x14ac:dyDescent="0.3">
      <c r="B59" s="356" t="s">
        <v>256</v>
      </c>
      <c r="C59" s="331"/>
      <c r="D59" s="332" t="s">
        <v>207</v>
      </c>
      <c r="E59" s="332" t="s">
        <v>176</v>
      </c>
      <c r="F59" s="333"/>
      <c r="G59" s="334">
        <v>46084</v>
      </c>
      <c r="H59" s="335">
        <v>1152.47</v>
      </c>
      <c r="I59" s="336">
        <v>531.83000000000004</v>
      </c>
      <c r="J59" s="337">
        <v>2489.86</v>
      </c>
      <c r="K59" s="338" t="s">
        <v>257</v>
      </c>
      <c r="L59" s="339" t="s">
        <v>209</v>
      </c>
      <c r="M59" s="340">
        <v>30</v>
      </c>
      <c r="N59" s="341">
        <v>85462</v>
      </c>
      <c r="O59" s="332">
        <v>67.5</v>
      </c>
      <c r="P59" s="342">
        <v>10.100000000000001</v>
      </c>
      <c r="Q59" s="343">
        <v>12.543352601156066</v>
      </c>
      <c r="R59" s="344">
        <v>1.7683923705722071</v>
      </c>
      <c r="S59" s="344">
        <v>1.73</v>
      </c>
      <c r="T59" s="344">
        <v>1.9470000000000001</v>
      </c>
      <c r="U59" s="344" t="s">
        <v>136</v>
      </c>
      <c r="V59" s="332" t="s">
        <v>137</v>
      </c>
      <c r="W59" s="345">
        <v>8</v>
      </c>
      <c r="X59" s="346">
        <v>4</v>
      </c>
      <c r="Y59" s="208">
        <v>2.8069999999999999</v>
      </c>
      <c r="Z59" s="332"/>
      <c r="AA59" s="342"/>
      <c r="AB59" s="342"/>
      <c r="AC59" s="342"/>
      <c r="AD59" s="347"/>
      <c r="AE59" s="348">
        <v>1.69</v>
      </c>
      <c r="AF59" s="349">
        <v>0</v>
      </c>
      <c r="AG59" s="350"/>
      <c r="AH59" s="351" t="s">
        <v>139</v>
      </c>
      <c r="AI59" s="352" t="s">
        <v>139</v>
      </c>
      <c r="AJ59" s="206" t="s">
        <v>139</v>
      </c>
      <c r="AK59" s="353" t="s">
        <v>238</v>
      </c>
      <c r="AL59" s="206" t="s">
        <v>139</v>
      </c>
      <c r="AM59" s="349">
        <v>104.63860180900635</v>
      </c>
      <c r="AN59" s="354" t="s">
        <v>139</v>
      </c>
      <c r="AO59" s="355" t="s">
        <v>140</v>
      </c>
      <c r="AP59" s="206" t="s">
        <v>139</v>
      </c>
      <c r="AQ59" s="207">
        <v>0</v>
      </c>
      <c r="AR59" s="211"/>
      <c r="AS59" s="297">
        <f>+IF(Table1[[#This Row],[Column40]]="ok",Table1[[#This Row],[Column7]],0)</f>
        <v>1152.47</v>
      </c>
      <c r="AT59" s="295">
        <f>+IF(Table1[[#This Row],[Column40]]="No",Table1[[#This Row],[Column7]],0)</f>
        <v>0</v>
      </c>
      <c r="AU59" s="4" t="str">
        <f>+IF(LEFT(Table1[[#This Row],[Column42]],2)="DN",IF(Table1[[#This Row],[Column40]]="ok","(CA)",_xlfn.CONCAT("(CA)",CHAR(10),"FAIL")),"")</f>
        <v/>
      </c>
      <c r="AV59" s="154" t="str">
        <f>+IF(Table1[[#This Row],[Column6]]=0,"",_xlfn.CONCAT("Sem ",WEEKNUM(Table1[[#This Row],[Column6]],2)))</f>
        <v>Sem 10</v>
      </c>
      <c r="AW59" s="211"/>
    </row>
    <row r="60" spans="2:49" ht="19.5" customHeight="1" x14ac:dyDescent="0.3">
      <c r="B60" s="356" t="s">
        <v>258</v>
      </c>
      <c r="C60" s="331"/>
      <c r="D60" s="332" t="s">
        <v>207</v>
      </c>
      <c r="E60" s="332" t="s">
        <v>176</v>
      </c>
      <c r="F60" s="333"/>
      <c r="G60" s="334">
        <v>46084</v>
      </c>
      <c r="H60" s="335">
        <v>1252.08</v>
      </c>
      <c r="I60" s="336">
        <v>531.59</v>
      </c>
      <c r="J60" s="337">
        <v>2489.66</v>
      </c>
      <c r="K60" s="338" t="s">
        <v>257</v>
      </c>
      <c r="L60" s="339" t="s">
        <v>212</v>
      </c>
      <c r="M60" s="340">
        <v>30</v>
      </c>
      <c r="N60" s="341">
        <v>85462</v>
      </c>
      <c r="O60" s="332">
        <v>67.5</v>
      </c>
      <c r="P60" s="342">
        <v>12.7</v>
      </c>
      <c r="Q60" s="343">
        <v>12.986270022883307</v>
      </c>
      <c r="R60" s="344">
        <v>1.7524401064773736</v>
      </c>
      <c r="S60" s="344">
        <v>1.748</v>
      </c>
      <c r="T60" s="344">
        <v>1.9750000000000001</v>
      </c>
      <c r="U60" s="344" t="s">
        <v>136</v>
      </c>
      <c r="V60" s="332" t="s">
        <v>137</v>
      </c>
      <c r="W60" s="345">
        <v>8</v>
      </c>
      <c r="X60" s="346">
        <v>4</v>
      </c>
      <c r="Y60" s="208">
        <v>2.8069999999999999</v>
      </c>
      <c r="Z60" s="332"/>
      <c r="AA60" s="342"/>
      <c r="AB60" s="342"/>
      <c r="AC60" s="342"/>
      <c r="AD60" s="347"/>
      <c r="AE60" s="348">
        <v>1.69</v>
      </c>
      <c r="AF60" s="349">
        <v>0</v>
      </c>
      <c r="AG60" s="350"/>
      <c r="AH60" s="351" t="s">
        <v>139</v>
      </c>
      <c r="AI60" s="352" t="s">
        <v>139</v>
      </c>
      <c r="AJ60" s="206" t="s">
        <v>139</v>
      </c>
      <c r="AK60" s="353" t="s">
        <v>238</v>
      </c>
      <c r="AL60" s="206" t="s">
        <v>139</v>
      </c>
      <c r="AM60" s="349">
        <v>103.69468085664933</v>
      </c>
      <c r="AN60" s="354" t="s">
        <v>139</v>
      </c>
      <c r="AO60" s="355" t="s">
        <v>140</v>
      </c>
      <c r="AP60" s="206" t="s">
        <v>139</v>
      </c>
      <c r="AQ60" s="207">
        <v>0</v>
      </c>
      <c r="AR60" s="211"/>
      <c r="AS60" s="297">
        <f>+IF(Table1[[#This Row],[Column40]]="ok",Table1[[#This Row],[Column7]],0)</f>
        <v>1252.08</v>
      </c>
      <c r="AT60" s="295">
        <f>+IF(Table1[[#This Row],[Column40]]="No",Table1[[#This Row],[Column7]],0)</f>
        <v>0</v>
      </c>
      <c r="AU60" s="4" t="str">
        <f>+IF(LEFT(Table1[[#This Row],[Column42]],2)="DN",IF(Table1[[#This Row],[Column40]]="ok","(CA)",_xlfn.CONCAT("(CA)",CHAR(10),"FAIL")),"")</f>
        <v/>
      </c>
      <c r="AV60" s="154" t="str">
        <f>+IF(Table1[[#This Row],[Column6]]=0,"",_xlfn.CONCAT("Sem ",WEEKNUM(Table1[[#This Row],[Column6]],2)))</f>
        <v>Sem 10</v>
      </c>
      <c r="AW60" s="211"/>
    </row>
    <row r="61" spans="2:49" ht="19.5" customHeight="1" x14ac:dyDescent="0.3">
      <c r="B61" s="356" t="s">
        <v>259</v>
      </c>
      <c r="C61" s="331"/>
      <c r="D61" s="332" t="s">
        <v>207</v>
      </c>
      <c r="E61" s="332" t="s">
        <v>176</v>
      </c>
      <c r="F61" s="333"/>
      <c r="G61" s="334">
        <v>46084</v>
      </c>
      <c r="H61" s="335">
        <v>1163.8800000000001</v>
      </c>
      <c r="I61" s="336">
        <v>-29.34</v>
      </c>
      <c r="J61" s="337">
        <v>2635.89</v>
      </c>
      <c r="K61" s="338" t="s">
        <v>208</v>
      </c>
      <c r="L61" s="339" t="s">
        <v>193</v>
      </c>
      <c r="M61" s="340">
        <v>30</v>
      </c>
      <c r="N61" s="341">
        <v>85462</v>
      </c>
      <c r="O61" s="332">
        <v>67.5</v>
      </c>
      <c r="P61" s="342">
        <v>8.3000000000000007</v>
      </c>
      <c r="Q61" s="343">
        <v>10.229885057471266</v>
      </c>
      <c r="R61" s="344">
        <v>1.7710064635272391</v>
      </c>
      <c r="S61" s="344">
        <v>1.74</v>
      </c>
      <c r="T61" s="344">
        <v>1.9179999999999999</v>
      </c>
      <c r="U61" s="344" t="s">
        <v>136</v>
      </c>
      <c r="V61" s="332" t="s">
        <v>194</v>
      </c>
      <c r="W61" s="345" t="s">
        <v>195</v>
      </c>
      <c r="X61" s="346">
        <v>3</v>
      </c>
      <c r="Y61" s="208">
        <v>2.8069999999999999</v>
      </c>
      <c r="Z61" s="332"/>
      <c r="AA61" s="342"/>
      <c r="AB61" s="342"/>
      <c r="AC61" s="342"/>
      <c r="AD61" s="347"/>
      <c r="AE61" s="348">
        <v>1.7210000000000001</v>
      </c>
      <c r="AF61" s="349">
        <v>0</v>
      </c>
      <c r="AG61" s="350"/>
      <c r="AH61" s="351" t="s">
        <v>139</v>
      </c>
      <c r="AI61" s="352" t="s">
        <v>139</v>
      </c>
      <c r="AJ61" s="206" t="s">
        <v>139</v>
      </c>
      <c r="AK61" s="353" t="s">
        <v>210</v>
      </c>
      <c r="AL61" s="206" t="s">
        <v>139</v>
      </c>
      <c r="AM61" s="349">
        <v>102.90566319158856</v>
      </c>
      <c r="AN61" s="354" t="s">
        <v>139</v>
      </c>
      <c r="AO61" s="355" t="s">
        <v>140</v>
      </c>
      <c r="AP61" s="206" t="s">
        <v>139</v>
      </c>
      <c r="AQ61" s="207">
        <v>0</v>
      </c>
      <c r="AR61" s="211"/>
      <c r="AS61" s="297">
        <f>+IF(Table1[[#This Row],[Column40]]="ok",Table1[[#This Row],[Column7]],0)</f>
        <v>1163.8800000000001</v>
      </c>
      <c r="AT61" s="295">
        <f>+IF(Table1[[#This Row],[Column40]]="No",Table1[[#This Row],[Column7]],0)</f>
        <v>0</v>
      </c>
      <c r="AU61" s="4" t="str">
        <f>+IF(LEFT(Table1[[#This Row],[Column42]],2)="DN",IF(Table1[[#This Row],[Column40]]="ok","(CA)",_xlfn.CONCAT("(CA)",CHAR(10),"FAIL")),"")</f>
        <v/>
      </c>
      <c r="AV61" s="154" t="str">
        <f>+IF(Table1[[#This Row],[Column6]]=0,"",_xlfn.CONCAT("Sem ",WEEKNUM(Table1[[#This Row],[Column6]],2)))</f>
        <v>Sem 10</v>
      </c>
      <c r="AW61" s="211"/>
    </row>
    <row r="62" spans="2:49" ht="19.5" customHeight="1" x14ac:dyDescent="0.3">
      <c r="B62" s="356" t="s">
        <v>260</v>
      </c>
      <c r="C62" s="331"/>
      <c r="D62" s="332" t="s">
        <v>207</v>
      </c>
      <c r="E62" s="332" t="s">
        <v>133</v>
      </c>
      <c r="F62" s="333"/>
      <c r="G62" s="334">
        <v>46085</v>
      </c>
      <c r="H62" s="335">
        <v>1228.6600000000001</v>
      </c>
      <c r="I62" s="336">
        <v>-25.66</v>
      </c>
      <c r="J62" s="337">
        <v>2635.9</v>
      </c>
      <c r="K62" s="338" t="s">
        <v>208</v>
      </c>
      <c r="L62" s="339" t="s">
        <v>261</v>
      </c>
      <c r="M62" s="340">
        <v>30</v>
      </c>
      <c r="N62" s="341">
        <v>85462</v>
      </c>
      <c r="O62" s="332">
        <v>67.5</v>
      </c>
      <c r="P62" s="342">
        <v>10.7</v>
      </c>
      <c r="Q62" s="343">
        <v>10.414333706606937</v>
      </c>
      <c r="R62" s="344">
        <v>1.7813911472448059</v>
      </c>
      <c r="S62" s="344">
        <v>1.786</v>
      </c>
      <c r="T62" s="344">
        <v>1.972</v>
      </c>
      <c r="U62" s="344" t="s">
        <v>136</v>
      </c>
      <c r="V62" s="332" t="s">
        <v>187</v>
      </c>
      <c r="W62" s="345">
        <v>12</v>
      </c>
      <c r="X62" s="346">
        <v>6</v>
      </c>
      <c r="Y62" s="208">
        <v>2.8069999999999999</v>
      </c>
      <c r="Z62" s="332"/>
      <c r="AA62" s="342"/>
      <c r="AB62" s="342"/>
      <c r="AC62" s="342"/>
      <c r="AD62" s="347"/>
      <c r="AE62" s="348">
        <v>1.7210000000000001</v>
      </c>
      <c r="AF62" s="349">
        <v>0</v>
      </c>
      <c r="AG62" s="350"/>
      <c r="AH62" s="351" t="s">
        <v>139</v>
      </c>
      <c r="AI62" s="352" t="s">
        <v>139</v>
      </c>
      <c r="AJ62" s="206" t="s">
        <v>139</v>
      </c>
      <c r="AK62" s="353" t="s">
        <v>210</v>
      </c>
      <c r="AL62" s="206" t="s">
        <v>139</v>
      </c>
      <c r="AM62" s="349">
        <v>103.50907305315549</v>
      </c>
      <c r="AN62" s="354" t="s">
        <v>139</v>
      </c>
      <c r="AO62" s="355" t="s">
        <v>140</v>
      </c>
      <c r="AP62" s="206" t="s">
        <v>139</v>
      </c>
      <c r="AQ62" s="207">
        <v>0</v>
      </c>
      <c r="AR62" s="211"/>
      <c r="AS62" s="297">
        <f>+IF(Table1[[#This Row],[Column40]]="ok",Table1[[#This Row],[Column7]],0)</f>
        <v>1228.6600000000001</v>
      </c>
      <c r="AT62" s="295">
        <f>+IF(Table1[[#This Row],[Column40]]="No",Table1[[#This Row],[Column7]],0)</f>
        <v>0</v>
      </c>
      <c r="AU62" s="4" t="str">
        <f>+IF(LEFT(Table1[[#This Row],[Column42]],2)="DN",IF(Table1[[#This Row],[Column40]]="ok","(CA)",_xlfn.CONCAT("(CA)",CHAR(10),"FAIL")),"")</f>
        <v/>
      </c>
      <c r="AV62" s="154" t="str">
        <f>+IF(Table1[[#This Row],[Column6]]=0,"",_xlfn.CONCAT("Sem ",WEEKNUM(Table1[[#This Row],[Column6]],2)))</f>
        <v>Sem 10</v>
      </c>
      <c r="AW62" s="211"/>
    </row>
    <row r="63" spans="2:49" ht="19.5" customHeight="1" x14ac:dyDescent="0.3">
      <c r="B63" s="356" t="s">
        <v>262</v>
      </c>
      <c r="C63" s="331"/>
      <c r="D63" s="332" t="s">
        <v>207</v>
      </c>
      <c r="E63" s="332" t="s">
        <v>133</v>
      </c>
      <c r="F63" s="333"/>
      <c r="G63" s="334">
        <v>46085</v>
      </c>
      <c r="H63" s="335">
        <v>1303.57</v>
      </c>
      <c r="I63" s="336">
        <v>19.5</v>
      </c>
      <c r="J63" s="337">
        <v>2635.9</v>
      </c>
      <c r="K63" s="338" t="s">
        <v>221</v>
      </c>
      <c r="L63" s="339" t="s">
        <v>263</v>
      </c>
      <c r="M63" s="340">
        <v>30</v>
      </c>
      <c r="N63" s="341">
        <v>85462</v>
      </c>
      <c r="O63" s="332">
        <v>67.5</v>
      </c>
      <c r="P63" s="342">
        <v>11.5</v>
      </c>
      <c r="Q63" s="343">
        <v>12.200557103064069</v>
      </c>
      <c r="R63" s="344">
        <v>1.8062780269058294</v>
      </c>
      <c r="S63" s="344">
        <v>1.7949999999999999</v>
      </c>
      <c r="T63" s="344">
        <v>2.0139999999999998</v>
      </c>
      <c r="U63" s="344" t="s">
        <v>136</v>
      </c>
      <c r="V63" s="332" t="s">
        <v>187</v>
      </c>
      <c r="W63" s="345">
        <v>12</v>
      </c>
      <c r="X63" s="346">
        <v>6</v>
      </c>
      <c r="Y63" s="208">
        <v>2.8069999999999999</v>
      </c>
      <c r="Z63" s="332"/>
      <c r="AA63" s="342"/>
      <c r="AB63" s="342"/>
      <c r="AC63" s="342"/>
      <c r="AD63" s="347"/>
      <c r="AE63" s="348">
        <v>1.7210000000000001</v>
      </c>
      <c r="AF63" s="349">
        <v>0</v>
      </c>
      <c r="AG63" s="350"/>
      <c r="AH63" s="351" t="s">
        <v>139</v>
      </c>
      <c r="AI63" s="352" t="s">
        <v>139</v>
      </c>
      <c r="AJ63" s="206" t="s">
        <v>139</v>
      </c>
      <c r="AK63" s="353" t="s">
        <v>210</v>
      </c>
      <c r="AL63" s="206" t="s">
        <v>139</v>
      </c>
      <c r="AM63" s="349">
        <v>104.95514392247701</v>
      </c>
      <c r="AN63" s="354" t="s">
        <v>139</v>
      </c>
      <c r="AO63" s="355" t="s">
        <v>140</v>
      </c>
      <c r="AP63" s="206" t="s">
        <v>139</v>
      </c>
      <c r="AQ63" s="207">
        <v>0</v>
      </c>
      <c r="AR63" s="211"/>
      <c r="AS63" s="297">
        <f>+IF(Table1[[#This Row],[Column40]]="ok",Table1[[#This Row],[Column7]],0)</f>
        <v>1303.57</v>
      </c>
      <c r="AT63" s="295">
        <f>+IF(Table1[[#This Row],[Column40]]="No",Table1[[#This Row],[Column7]],0)</f>
        <v>0</v>
      </c>
      <c r="AU63" s="4" t="str">
        <f>+IF(LEFT(Table1[[#This Row],[Column42]],2)="DN",IF(Table1[[#This Row],[Column40]]="ok","(CA)",_xlfn.CONCAT("(CA)",CHAR(10),"FAIL")),"")</f>
        <v/>
      </c>
      <c r="AV63" s="154" t="str">
        <f>+IF(Table1[[#This Row],[Column6]]=0,"",_xlfn.CONCAT("Sem ",WEEKNUM(Table1[[#This Row],[Column6]],2)))</f>
        <v>Sem 10</v>
      </c>
      <c r="AW63" s="211"/>
    </row>
    <row r="64" spans="2:49" ht="19.5" customHeight="1" x14ac:dyDescent="0.3">
      <c r="B64" s="356" t="s">
        <v>264</v>
      </c>
      <c r="C64" s="331"/>
      <c r="D64" s="332" t="s">
        <v>207</v>
      </c>
      <c r="E64" s="332" t="s">
        <v>133</v>
      </c>
      <c r="F64" s="333"/>
      <c r="G64" s="334">
        <v>46085</v>
      </c>
      <c r="H64" s="335">
        <v>1330.53</v>
      </c>
      <c r="I64" s="336">
        <v>-3.27</v>
      </c>
      <c r="J64" s="337">
        <v>2635.9</v>
      </c>
      <c r="K64" s="338" t="s">
        <v>221</v>
      </c>
      <c r="L64" s="339" t="s">
        <v>168</v>
      </c>
      <c r="M64" s="340">
        <v>30</v>
      </c>
      <c r="N64" s="341">
        <v>85462</v>
      </c>
      <c r="O64" s="332">
        <v>67.5</v>
      </c>
      <c r="P64" s="342">
        <v>10.6</v>
      </c>
      <c r="Q64" s="343">
        <v>10.176236498010226</v>
      </c>
      <c r="R64" s="344">
        <v>1.752260397830018</v>
      </c>
      <c r="S64" s="344">
        <v>1.7589999999999999</v>
      </c>
      <c r="T64" s="344">
        <v>1.9379999999999999</v>
      </c>
      <c r="U64" s="344" t="s">
        <v>136</v>
      </c>
      <c r="V64" s="332" t="s">
        <v>169</v>
      </c>
      <c r="W64" s="345">
        <v>4</v>
      </c>
      <c r="X64" s="346">
        <v>2</v>
      </c>
      <c r="Y64" s="208">
        <v>2.8069999999999999</v>
      </c>
      <c r="Z64" s="332"/>
      <c r="AA64" s="342"/>
      <c r="AB64" s="342"/>
      <c r="AC64" s="342"/>
      <c r="AD64" s="347"/>
      <c r="AE64" s="348">
        <v>1.7210000000000001</v>
      </c>
      <c r="AF64" s="349">
        <v>0</v>
      </c>
      <c r="AG64" s="350"/>
      <c r="AH64" s="351" t="s">
        <v>139</v>
      </c>
      <c r="AI64" s="352" t="s">
        <v>139</v>
      </c>
      <c r="AJ64" s="206" t="s">
        <v>139</v>
      </c>
      <c r="AK64" s="353" t="s">
        <v>210</v>
      </c>
      <c r="AL64" s="206" t="s">
        <v>139</v>
      </c>
      <c r="AM64" s="349">
        <v>101.81640893840893</v>
      </c>
      <c r="AN64" s="354" t="s">
        <v>139</v>
      </c>
      <c r="AO64" s="355" t="s">
        <v>140</v>
      </c>
      <c r="AP64" s="206" t="s">
        <v>139</v>
      </c>
      <c r="AQ64" s="207">
        <v>0</v>
      </c>
      <c r="AR64" s="211"/>
      <c r="AS64" s="297">
        <f>+IF(Table1[[#This Row],[Column40]]="ok",Table1[[#This Row],[Column7]],0)</f>
        <v>1330.53</v>
      </c>
      <c r="AT64" s="295">
        <f>+IF(Table1[[#This Row],[Column40]]="No",Table1[[#This Row],[Column7]],0)</f>
        <v>0</v>
      </c>
      <c r="AU64" s="4" t="str">
        <f>+IF(LEFT(Table1[[#This Row],[Column42]],2)="DN",IF(Table1[[#This Row],[Column40]]="ok","(CA)",_xlfn.CONCAT("(CA)",CHAR(10),"FAIL")),"")</f>
        <v/>
      </c>
      <c r="AV64" s="154" t="str">
        <f>+IF(Table1[[#This Row],[Column6]]=0,"",_xlfn.CONCAT("Sem ",WEEKNUM(Table1[[#This Row],[Column6]],2)))</f>
        <v>Sem 10</v>
      </c>
      <c r="AW64" s="211"/>
    </row>
    <row r="65" spans="2:49" ht="19.5" customHeight="1" x14ac:dyDescent="0.3">
      <c r="B65" s="356" t="s">
        <v>265</v>
      </c>
      <c r="C65" s="331"/>
      <c r="D65" s="332" t="s">
        <v>207</v>
      </c>
      <c r="E65" s="332" t="s">
        <v>133</v>
      </c>
      <c r="F65" s="333"/>
      <c r="G65" s="334">
        <v>46085</v>
      </c>
      <c r="H65" s="335">
        <v>1171</v>
      </c>
      <c r="I65" s="336">
        <v>-2.73</v>
      </c>
      <c r="J65" s="337">
        <v>2635.9</v>
      </c>
      <c r="K65" s="338" t="s">
        <v>208</v>
      </c>
      <c r="L65" s="339" t="s">
        <v>168</v>
      </c>
      <c r="M65" s="340">
        <v>30</v>
      </c>
      <c r="N65" s="341">
        <v>85462</v>
      </c>
      <c r="O65" s="332">
        <v>67.5</v>
      </c>
      <c r="P65" s="342">
        <v>14.899999999999999</v>
      </c>
      <c r="Q65" s="343">
        <v>12.569832402234638</v>
      </c>
      <c r="R65" s="344">
        <v>1.7536988685813752</v>
      </c>
      <c r="S65" s="344">
        <v>1.79</v>
      </c>
      <c r="T65" s="344">
        <v>2.0150000000000001</v>
      </c>
      <c r="U65" s="344" t="s">
        <v>136</v>
      </c>
      <c r="V65" s="332" t="s">
        <v>169</v>
      </c>
      <c r="W65" s="345">
        <v>4</v>
      </c>
      <c r="X65" s="346">
        <v>2</v>
      </c>
      <c r="Y65" s="208">
        <v>2.8069999999999999</v>
      </c>
      <c r="Z65" s="332"/>
      <c r="AA65" s="342"/>
      <c r="AB65" s="342"/>
      <c r="AC65" s="342"/>
      <c r="AD65" s="347"/>
      <c r="AE65" s="348">
        <v>1.7210000000000001</v>
      </c>
      <c r="AF65" s="349">
        <v>0</v>
      </c>
      <c r="AG65" s="350"/>
      <c r="AH65" s="351" t="s">
        <v>139</v>
      </c>
      <c r="AI65" s="352" t="s">
        <v>139</v>
      </c>
      <c r="AJ65" s="206" t="s">
        <v>139</v>
      </c>
      <c r="AK65" s="353" t="s">
        <v>210</v>
      </c>
      <c r="AL65" s="206" t="s">
        <v>139</v>
      </c>
      <c r="AM65" s="349">
        <v>101.89999236382192</v>
      </c>
      <c r="AN65" s="354" t="s">
        <v>139</v>
      </c>
      <c r="AO65" s="355" t="s">
        <v>140</v>
      </c>
      <c r="AP65" s="206" t="s">
        <v>139</v>
      </c>
      <c r="AQ65" s="207">
        <v>0</v>
      </c>
      <c r="AR65" s="211"/>
      <c r="AS65" s="297">
        <f>+IF(Table1[[#This Row],[Column40]]="ok",Table1[[#This Row],[Column7]],0)</f>
        <v>1171</v>
      </c>
      <c r="AT65" s="295">
        <f>+IF(Table1[[#This Row],[Column40]]="No",Table1[[#This Row],[Column7]],0)</f>
        <v>0</v>
      </c>
      <c r="AU65" s="4" t="str">
        <f>+IF(LEFT(Table1[[#This Row],[Column42]],2)="DN",IF(Table1[[#This Row],[Column40]]="ok","(CA)",_xlfn.CONCAT("(CA)",CHAR(10),"FAIL")),"")</f>
        <v/>
      </c>
      <c r="AV65" s="154" t="str">
        <f>+IF(Table1[[#This Row],[Column6]]=0,"",_xlfn.CONCAT("Sem ",WEEKNUM(Table1[[#This Row],[Column6]],2)))</f>
        <v>Sem 10</v>
      </c>
      <c r="AW65" s="211"/>
    </row>
    <row r="66" spans="2:49" ht="19.5" customHeight="1" x14ac:dyDescent="0.3">
      <c r="B66" s="356" t="s">
        <v>266</v>
      </c>
      <c r="C66" s="331"/>
      <c r="D66" s="332" t="s">
        <v>207</v>
      </c>
      <c r="E66" s="332" t="s">
        <v>133</v>
      </c>
      <c r="F66" s="333"/>
      <c r="G66" s="334">
        <v>46085</v>
      </c>
      <c r="H66" s="335">
        <v>1249.73</v>
      </c>
      <c r="I66" s="336">
        <v>24.13</v>
      </c>
      <c r="J66" s="337">
        <v>2635.8</v>
      </c>
      <c r="K66" s="338" t="s">
        <v>208</v>
      </c>
      <c r="L66" s="339" t="s">
        <v>198</v>
      </c>
      <c r="M66" s="340">
        <v>30</v>
      </c>
      <c r="N66" s="341">
        <v>85462</v>
      </c>
      <c r="O66" s="332">
        <v>67.5</v>
      </c>
      <c r="P66" s="342">
        <v>10.8</v>
      </c>
      <c r="Q66" s="343">
        <v>13.759909399773495</v>
      </c>
      <c r="R66" s="344">
        <v>1.813176895306859</v>
      </c>
      <c r="S66" s="344">
        <v>1.766</v>
      </c>
      <c r="T66" s="344">
        <v>2.0089999999999999</v>
      </c>
      <c r="U66" s="344" t="s">
        <v>136</v>
      </c>
      <c r="V66" s="332" t="s">
        <v>169</v>
      </c>
      <c r="W66" s="345">
        <v>4</v>
      </c>
      <c r="X66" s="346">
        <v>2</v>
      </c>
      <c r="Y66" s="208">
        <v>2.8069999999999999</v>
      </c>
      <c r="Z66" s="332"/>
      <c r="AA66" s="342"/>
      <c r="AB66" s="342"/>
      <c r="AC66" s="342"/>
      <c r="AD66" s="347"/>
      <c r="AE66" s="348">
        <v>1.752</v>
      </c>
      <c r="AF66" s="349">
        <v>15.9</v>
      </c>
      <c r="AG66" s="350"/>
      <c r="AH66" s="351">
        <v>1.7523727351164797</v>
      </c>
      <c r="AI66" s="352">
        <v>2.0310000000000001</v>
      </c>
      <c r="AJ66" s="206">
        <v>15.9</v>
      </c>
      <c r="AK66" s="353" t="s">
        <v>267</v>
      </c>
      <c r="AL66" s="206">
        <v>0</v>
      </c>
      <c r="AM66" s="349">
        <v>103.49183192390747</v>
      </c>
      <c r="AN66" s="354" t="s">
        <v>139</v>
      </c>
      <c r="AO66" s="355" t="s">
        <v>140</v>
      </c>
      <c r="AP66" s="206" t="s">
        <v>139</v>
      </c>
      <c r="AQ66" s="207" t="s">
        <v>268</v>
      </c>
      <c r="AR66" s="211"/>
      <c r="AS66" s="297">
        <f>+IF(Table1[[#This Row],[Column40]]="ok",Table1[[#This Row],[Column7]],0)</f>
        <v>1249.73</v>
      </c>
      <c r="AT66" s="295">
        <f>+IF(Table1[[#This Row],[Column40]]="No",Table1[[#This Row],[Column7]],0)</f>
        <v>0</v>
      </c>
      <c r="AU66" s="4" t="str">
        <f>+IF(LEFT(Table1[[#This Row],[Column42]],2)="DN",IF(Table1[[#This Row],[Column40]]="ok","(CA)",_xlfn.CONCAT("(CA)",CHAR(10),"FAIL")),"")</f>
        <v/>
      </c>
      <c r="AV66" s="154" t="str">
        <f>+IF(Table1[[#This Row],[Column6]]=0,"",_xlfn.CONCAT("Sem ",WEEKNUM(Table1[[#This Row],[Column6]],2)))</f>
        <v>Sem 10</v>
      </c>
      <c r="AW66" s="211"/>
    </row>
    <row r="67" spans="2:49" ht="19.5" customHeight="1" x14ac:dyDescent="0.3">
      <c r="B67" s="356" t="s">
        <v>268</v>
      </c>
      <c r="C67" s="331"/>
      <c r="D67" s="332" t="s">
        <v>207</v>
      </c>
      <c r="E67" s="332" t="s">
        <v>133</v>
      </c>
      <c r="F67" s="333"/>
      <c r="G67" s="334">
        <v>46085</v>
      </c>
      <c r="H67" s="335">
        <v>1249.73</v>
      </c>
      <c r="I67" s="336">
        <v>24.13</v>
      </c>
      <c r="J67" s="337">
        <v>2635.8</v>
      </c>
      <c r="K67" s="338" t="s">
        <v>208</v>
      </c>
      <c r="L67" s="339" t="s">
        <v>198</v>
      </c>
      <c r="M67" s="340">
        <v>15</v>
      </c>
      <c r="N67" s="341"/>
      <c r="O67" s="332"/>
      <c r="P67" s="342">
        <v>10.80760095011876</v>
      </c>
      <c r="Q67" s="343"/>
      <c r="R67" s="344">
        <v>1.7814483293491727</v>
      </c>
      <c r="S67" s="344"/>
      <c r="T67" s="344">
        <v>1.9739801559177887</v>
      </c>
      <c r="U67" s="344" t="s">
        <v>142</v>
      </c>
      <c r="V67" s="332" t="s">
        <v>169</v>
      </c>
      <c r="W67" s="345" t="s">
        <v>173</v>
      </c>
      <c r="X67" s="346">
        <v>4</v>
      </c>
      <c r="Y67" s="208"/>
      <c r="Z67" s="332" t="s">
        <v>143</v>
      </c>
      <c r="AA67" s="342">
        <v>98.337292161520196</v>
      </c>
      <c r="AB67" s="342">
        <v>75.445368171021371</v>
      </c>
      <c r="AC67" s="342">
        <v>35.480997624703065</v>
      </c>
      <c r="AD67" s="347">
        <v>13.687648456056976</v>
      </c>
      <c r="AE67" s="348">
        <v>1.752</v>
      </c>
      <c r="AF67" s="349">
        <v>15.9</v>
      </c>
      <c r="AG67" s="350" t="s">
        <v>267</v>
      </c>
      <c r="AH67" s="351">
        <v>1.7522204471637137</v>
      </c>
      <c r="AI67" s="352">
        <v>2.0307250691048271</v>
      </c>
      <c r="AJ67" s="206">
        <v>15.894382604193657</v>
      </c>
      <c r="AK67" s="353" t="s">
        <v>267</v>
      </c>
      <c r="AL67" s="206">
        <v>5.6173958063432394E-3</v>
      </c>
      <c r="AM67" s="349">
        <v>101.68084071627699</v>
      </c>
      <c r="AN67" s="354" t="s">
        <v>139</v>
      </c>
      <c r="AO67" s="355" t="s">
        <v>144</v>
      </c>
      <c r="AP67" s="206">
        <v>0</v>
      </c>
      <c r="AQ67" s="207" t="s">
        <v>266</v>
      </c>
      <c r="AR67" s="211"/>
      <c r="AS67" s="297">
        <f>+IF(Table1[[#This Row],[Column40]]="ok",Table1[[#This Row],[Column7]],0)</f>
        <v>1249.73</v>
      </c>
      <c r="AT67" s="295">
        <f>+IF(Table1[[#This Row],[Column40]]="No",Table1[[#This Row],[Column7]],0)</f>
        <v>0</v>
      </c>
      <c r="AU67" s="4" t="str">
        <f>+IF(LEFT(Table1[[#This Row],[Column42]],2)="DN",IF(Table1[[#This Row],[Column40]]="ok","(CA)",_xlfn.CONCAT("(CA)",CHAR(10),"FAIL")),"")</f>
        <v>(CA)</v>
      </c>
      <c r="AV67" s="154" t="str">
        <f>+IF(Table1[[#This Row],[Column6]]=0,"",_xlfn.CONCAT("Sem ",WEEKNUM(Table1[[#This Row],[Column6]],2)))</f>
        <v>Sem 10</v>
      </c>
      <c r="AW67" s="211"/>
    </row>
    <row r="68" spans="2:49" ht="19.5" customHeight="1" x14ac:dyDescent="0.3">
      <c r="B68" s="356" t="s">
        <v>269</v>
      </c>
      <c r="C68" s="331"/>
      <c r="D68" s="332" t="s">
        <v>207</v>
      </c>
      <c r="E68" s="332" t="s">
        <v>133</v>
      </c>
      <c r="F68" s="333"/>
      <c r="G68" s="334">
        <v>46085</v>
      </c>
      <c r="H68" s="335">
        <v>1256.3499999999999</v>
      </c>
      <c r="I68" s="336">
        <v>203.83</v>
      </c>
      <c r="J68" s="337">
        <v>2584.9299999999998</v>
      </c>
      <c r="K68" s="338" t="s">
        <v>208</v>
      </c>
      <c r="L68" s="339" t="s">
        <v>212</v>
      </c>
      <c r="M68" s="340">
        <v>30</v>
      </c>
      <c r="N68" s="341">
        <v>85462</v>
      </c>
      <c r="O68" s="332">
        <v>67.5</v>
      </c>
      <c r="P68" s="342">
        <v>10.299999999999999</v>
      </c>
      <c r="Q68" s="343">
        <v>10.112994350282477</v>
      </c>
      <c r="R68" s="344">
        <v>1.7669990933816864</v>
      </c>
      <c r="S68" s="344">
        <v>1.77</v>
      </c>
      <c r="T68" s="344">
        <v>1.9490000000000001</v>
      </c>
      <c r="U68" s="344" t="s">
        <v>136</v>
      </c>
      <c r="V68" s="332" t="s">
        <v>137</v>
      </c>
      <c r="W68" s="345">
        <v>8</v>
      </c>
      <c r="X68" s="346">
        <v>4</v>
      </c>
      <c r="Y68" s="208">
        <v>2.8069999999999999</v>
      </c>
      <c r="Z68" s="332"/>
      <c r="AA68" s="342"/>
      <c r="AB68" s="342"/>
      <c r="AC68" s="342"/>
      <c r="AD68" s="347"/>
      <c r="AE68" s="348">
        <v>1.69</v>
      </c>
      <c r="AF68" s="349">
        <v>0</v>
      </c>
      <c r="AG68" s="350"/>
      <c r="AH68" s="351" t="s">
        <v>139</v>
      </c>
      <c r="AI68" s="352" t="s">
        <v>139</v>
      </c>
      <c r="AJ68" s="206" t="s">
        <v>139</v>
      </c>
      <c r="AK68" s="353" t="s">
        <v>238</v>
      </c>
      <c r="AL68" s="206" t="s">
        <v>139</v>
      </c>
      <c r="AM68" s="349">
        <v>104.55615937169742</v>
      </c>
      <c r="AN68" s="354" t="s">
        <v>139</v>
      </c>
      <c r="AO68" s="355" t="s">
        <v>140</v>
      </c>
      <c r="AP68" s="206" t="s">
        <v>139</v>
      </c>
      <c r="AQ68" s="207">
        <v>0</v>
      </c>
      <c r="AR68" s="211"/>
      <c r="AS68" s="297">
        <f>+IF(Table1[[#This Row],[Column40]]="ok",Table1[[#This Row],[Column7]],0)</f>
        <v>1256.3499999999999</v>
      </c>
      <c r="AT68" s="295">
        <f>+IF(Table1[[#This Row],[Column40]]="No",Table1[[#This Row],[Column7]],0)</f>
        <v>0</v>
      </c>
      <c r="AU68" s="4" t="str">
        <f>+IF(LEFT(Table1[[#This Row],[Column42]],2)="DN",IF(Table1[[#This Row],[Column40]]="ok","(CA)",_xlfn.CONCAT("(CA)",CHAR(10),"FAIL")),"")</f>
        <v/>
      </c>
      <c r="AV68" s="154" t="str">
        <f>+IF(Table1[[#This Row],[Column6]]=0,"",_xlfn.CONCAT("Sem ",WEEKNUM(Table1[[#This Row],[Column6]],2)))</f>
        <v>Sem 10</v>
      </c>
      <c r="AW68" s="211"/>
    </row>
    <row r="69" spans="2:49" ht="19.5" customHeight="1" x14ac:dyDescent="0.3">
      <c r="B69" s="356" t="s">
        <v>270</v>
      </c>
      <c r="C69" s="331"/>
      <c r="D69" s="332" t="s">
        <v>207</v>
      </c>
      <c r="E69" s="332" t="s">
        <v>133</v>
      </c>
      <c r="F69" s="333"/>
      <c r="G69" s="334">
        <v>46085</v>
      </c>
      <c r="H69" s="335">
        <v>1183.5</v>
      </c>
      <c r="I69" s="336">
        <v>231.38</v>
      </c>
      <c r="J69" s="337">
        <v>2577.64</v>
      </c>
      <c r="K69" s="338" t="s">
        <v>208</v>
      </c>
      <c r="L69" s="339" t="s">
        <v>254</v>
      </c>
      <c r="M69" s="340">
        <v>30</v>
      </c>
      <c r="N69" s="341">
        <v>85462</v>
      </c>
      <c r="O69" s="332">
        <v>67.5</v>
      </c>
      <c r="P69" s="342">
        <v>12</v>
      </c>
      <c r="Q69" s="343">
        <v>11.060433295324978</v>
      </c>
      <c r="R69" s="344">
        <v>1.7392857142857141</v>
      </c>
      <c r="S69" s="344">
        <v>1.754</v>
      </c>
      <c r="T69" s="344">
        <v>1.948</v>
      </c>
      <c r="U69" s="344" t="s">
        <v>136</v>
      </c>
      <c r="V69" s="332" t="s">
        <v>137</v>
      </c>
      <c r="W69" s="345">
        <v>8</v>
      </c>
      <c r="X69" s="346">
        <v>4</v>
      </c>
      <c r="Y69" s="208">
        <v>2.8069999999999999</v>
      </c>
      <c r="Z69" s="332"/>
      <c r="AA69" s="342"/>
      <c r="AB69" s="342"/>
      <c r="AC69" s="342"/>
      <c r="AD69" s="347"/>
      <c r="AE69" s="348">
        <v>1.69</v>
      </c>
      <c r="AF69" s="349">
        <v>0</v>
      </c>
      <c r="AG69" s="350"/>
      <c r="AH69" s="351" t="s">
        <v>139</v>
      </c>
      <c r="AI69" s="352" t="s">
        <v>139</v>
      </c>
      <c r="AJ69" s="206" t="s">
        <v>139</v>
      </c>
      <c r="AK69" s="353" t="s">
        <v>238</v>
      </c>
      <c r="AL69" s="206" t="s">
        <v>139</v>
      </c>
      <c r="AM69" s="349">
        <v>102.91631445477599</v>
      </c>
      <c r="AN69" s="354" t="s">
        <v>139</v>
      </c>
      <c r="AO69" s="355" t="s">
        <v>140</v>
      </c>
      <c r="AP69" s="206" t="s">
        <v>139</v>
      </c>
      <c r="AQ69" s="207">
        <v>0</v>
      </c>
      <c r="AR69" s="211"/>
      <c r="AS69" s="297">
        <f>+IF(Table1[[#This Row],[Column40]]="ok",Table1[[#This Row],[Column7]],0)</f>
        <v>1183.5</v>
      </c>
      <c r="AT69" s="295">
        <f>+IF(Table1[[#This Row],[Column40]]="No",Table1[[#This Row],[Column7]],0)</f>
        <v>0</v>
      </c>
      <c r="AU69" s="4" t="str">
        <f>+IF(LEFT(Table1[[#This Row],[Column42]],2)="DN",IF(Table1[[#This Row],[Column40]]="ok","(CA)",_xlfn.CONCAT("(CA)",CHAR(10),"FAIL")),"")</f>
        <v/>
      </c>
      <c r="AV69" s="154" t="str">
        <f>+IF(Table1[[#This Row],[Column6]]=0,"",_xlfn.CONCAT("Sem ",WEEKNUM(Table1[[#This Row],[Column6]],2)))</f>
        <v>Sem 10</v>
      </c>
      <c r="AW69" s="211"/>
    </row>
    <row r="70" spans="2:49" ht="19.5" customHeight="1" x14ac:dyDescent="0.3">
      <c r="B70" s="356" t="s">
        <v>271</v>
      </c>
      <c r="C70" s="331"/>
      <c r="D70" s="332" t="s">
        <v>207</v>
      </c>
      <c r="E70" s="332" t="s">
        <v>133</v>
      </c>
      <c r="F70" s="333"/>
      <c r="G70" s="334">
        <v>46085</v>
      </c>
      <c r="H70" s="335">
        <v>1114.8</v>
      </c>
      <c r="I70" s="336">
        <v>256.33</v>
      </c>
      <c r="J70" s="337">
        <v>2569.5100000000002</v>
      </c>
      <c r="K70" s="338" t="s">
        <v>236</v>
      </c>
      <c r="L70" s="339" t="s">
        <v>247</v>
      </c>
      <c r="M70" s="340">
        <v>30</v>
      </c>
      <c r="N70" s="341">
        <v>85462</v>
      </c>
      <c r="O70" s="332">
        <v>67.5</v>
      </c>
      <c r="P70" s="342">
        <v>11.899999999999999</v>
      </c>
      <c r="Q70" s="343">
        <v>11.212814645308921</v>
      </c>
      <c r="R70" s="344">
        <v>1.7372654155495979</v>
      </c>
      <c r="S70" s="344">
        <v>1.748</v>
      </c>
      <c r="T70" s="344">
        <v>1.944</v>
      </c>
      <c r="U70" s="344" t="s">
        <v>136</v>
      </c>
      <c r="V70" s="332" t="s">
        <v>137</v>
      </c>
      <c r="W70" s="345">
        <v>8</v>
      </c>
      <c r="X70" s="346">
        <v>4</v>
      </c>
      <c r="Y70" s="208">
        <v>2.8069999999999999</v>
      </c>
      <c r="Z70" s="332"/>
      <c r="AA70" s="342"/>
      <c r="AB70" s="342"/>
      <c r="AC70" s="342"/>
      <c r="AD70" s="347"/>
      <c r="AE70" s="348">
        <v>1.69</v>
      </c>
      <c r="AF70" s="349">
        <v>0</v>
      </c>
      <c r="AG70" s="350"/>
      <c r="AH70" s="351" t="s">
        <v>139</v>
      </c>
      <c r="AI70" s="352" t="s">
        <v>139</v>
      </c>
      <c r="AJ70" s="206" t="s">
        <v>139</v>
      </c>
      <c r="AK70" s="353" t="s">
        <v>238</v>
      </c>
      <c r="AL70" s="206" t="s">
        <v>139</v>
      </c>
      <c r="AM70" s="349">
        <v>102.79677015086379</v>
      </c>
      <c r="AN70" s="354" t="s">
        <v>139</v>
      </c>
      <c r="AO70" s="355" t="s">
        <v>140</v>
      </c>
      <c r="AP70" s="206" t="s">
        <v>139</v>
      </c>
      <c r="AQ70" s="207">
        <v>0</v>
      </c>
      <c r="AR70" s="211"/>
      <c r="AS70" s="297">
        <f>+IF(Table1[[#This Row],[Column40]]="ok",Table1[[#This Row],[Column7]],0)</f>
        <v>1114.8</v>
      </c>
      <c r="AT70" s="295">
        <f>+IF(Table1[[#This Row],[Column40]]="No",Table1[[#This Row],[Column7]],0)</f>
        <v>0</v>
      </c>
      <c r="AU70" s="4" t="str">
        <f>+IF(LEFT(Table1[[#This Row],[Column42]],2)="DN",IF(Table1[[#This Row],[Column40]]="ok","(CA)",_xlfn.CONCAT("(CA)",CHAR(10),"FAIL")),"")</f>
        <v/>
      </c>
      <c r="AV70" s="154" t="str">
        <f>+IF(Table1[[#This Row],[Column6]]=0,"",_xlfn.CONCAT("Sem ",WEEKNUM(Table1[[#This Row],[Column6]],2)))</f>
        <v>Sem 10</v>
      </c>
      <c r="AW70" s="211"/>
    </row>
    <row r="71" spans="2:49" ht="19.5" customHeight="1" x14ac:dyDescent="0.3">
      <c r="B71" s="356" t="s">
        <v>272</v>
      </c>
      <c r="C71" s="331"/>
      <c r="D71" s="332" t="s">
        <v>207</v>
      </c>
      <c r="E71" s="332" t="s">
        <v>133</v>
      </c>
      <c r="F71" s="333"/>
      <c r="G71" s="334">
        <v>46085</v>
      </c>
      <c r="H71" s="335">
        <v>1113.07</v>
      </c>
      <c r="I71" s="336">
        <v>340.75</v>
      </c>
      <c r="J71" s="337">
        <v>2547.5100000000002</v>
      </c>
      <c r="K71" s="338" t="s">
        <v>236</v>
      </c>
      <c r="L71" s="339" t="s">
        <v>247</v>
      </c>
      <c r="M71" s="340">
        <v>30</v>
      </c>
      <c r="N71" s="341">
        <v>85462</v>
      </c>
      <c r="O71" s="332">
        <v>67.5</v>
      </c>
      <c r="P71" s="342">
        <v>11.799999999999999</v>
      </c>
      <c r="Q71" s="343">
        <v>13.205351948807431</v>
      </c>
      <c r="R71" s="344">
        <v>1.7406082289803222</v>
      </c>
      <c r="S71" s="344">
        <v>1.7190000000000001</v>
      </c>
      <c r="T71" s="344">
        <v>1.946</v>
      </c>
      <c r="U71" s="344" t="s">
        <v>136</v>
      </c>
      <c r="V71" s="332" t="s">
        <v>137</v>
      </c>
      <c r="W71" s="345">
        <v>8</v>
      </c>
      <c r="X71" s="346">
        <v>4</v>
      </c>
      <c r="Y71" s="208">
        <v>2.8069999999999999</v>
      </c>
      <c r="Z71" s="332"/>
      <c r="AA71" s="342"/>
      <c r="AB71" s="342"/>
      <c r="AC71" s="342"/>
      <c r="AD71" s="347"/>
      <c r="AE71" s="348">
        <v>1.69</v>
      </c>
      <c r="AF71" s="349">
        <v>0</v>
      </c>
      <c r="AG71" s="350"/>
      <c r="AH71" s="351" t="s">
        <v>139</v>
      </c>
      <c r="AI71" s="352" t="s">
        <v>139</v>
      </c>
      <c r="AJ71" s="206" t="s">
        <v>139</v>
      </c>
      <c r="AK71" s="353" t="s">
        <v>238</v>
      </c>
      <c r="AL71" s="206" t="s">
        <v>139</v>
      </c>
      <c r="AM71" s="349">
        <v>102.99456976214924</v>
      </c>
      <c r="AN71" s="354" t="s">
        <v>139</v>
      </c>
      <c r="AO71" s="355" t="s">
        <v>140</v>
      </c>
      <c r="AP71" s="206" t="s">
        <v>139</v>
      </c>
      <c r="AQ71" s="207">
        <v>0</v>
      </c>
      <c r="AR71" s="211"/>
      <c r="AS71" s="297">
        <f>+IF(Table1[[#This Row],[Column40]]="ok",Table1[[#This Row],[Column7]],0)</f>
        <v>1113.07</v>
      </c>
      <c r="AT71" s="295">
        <f>+IF(Table1[[#This Row],[Column40]]="No",Table1[[#This Row],[Column7]],0)</f>
        <v>0</v>
      </c>
      <c r="AU71" s="4" t="str">
        <f>+IF(LEFT(Table1[[#This Row],[Column42]],2)="DN",IF(Table1[[#This Row],[Column40]]="ok","(CA)",_xlfn.CONCAT("(CA)",CHAR(10),"FAIL")),"")</f>
        <v/>
      </c>
      <c r="AV71" s="154" t="str">
        <f>+IF(Table1[[#This Row],[Column6]]=0,"",_xlfn.CONCAT("Sem ",WEEKNUM(Table1[[#This Row],[Column6]],2)))</f>
        <v>Sem 10</v>
      </c>
      <c r="AW71" s="211"/>
    </row>
    <row r="72" spans="2:49" ht="19.5" customHeight="1" x14ac:dyDescent="0.3">
      <c r="B72" s="356" t="s">
        <v>273</v>
      </c>
      <c r="C72" s="331"/>
      <c r="D72" s="332" t="s">
        <v>207</v>
      </c>
      <c r="E72" s="332" t="s">
        <v>133</v>
      </c>
      <c r="F72" s="333"/>
      <c r="G72" s="334">
        <v>46085</v>
      </c>
      <c r="H72" s="335">
        <v>1172.48</v>
      </c>
      <c r="I72" s="336">
        <v>329.98</v>
      </c>
      <c r="J72" s="337">
        <v>2550.9699999999998</v>
      </c>
      <c r="K72" s="338" t="s">
        <v>253</v>
      </c>
      <c r="L72" s="339" t="s">
        <v>254</v>
      </c>
      <c r="M72" s="340">
        <v>30</v>
      </c>
      <c r="N72" s="341">
        <v>85462</v>
      </c>
      <c r="O72" s="332">
        <v>67.5</v>
      </c>
      <c r="P72" s="342">
        <v>12.4</v>
      </c>
      <c r="Q72" s="343">
        <v>13.649343232438603</v>
      </c>
      <c r="R72" s="344">
        <v>1.7704626334519571</v>
      </c>
      <c r="S72" s="344">
        <v>1.7509999999999999</v>
      </c>
      <c r="T72" s="344">
        <v>1.99</v>
      </c>
      <c r="U72" s="344" t="s">
        <v>136</v>
      </c>
      <c r="V72" s="332" t="s">
        <v>137</v>
      </c>
      <c r="W72" s="345">
        <v>8</v>
      </c>
      <c r="X72" s="346">
        <v>4</v>
      </c>
      <c r="Y72" s="208">
        <v>2.8069999999999999</v>
      </c>
      <c r="Z72" s="332"/>
      <c r="AA72" s="342"/>
      <c r="AB72" s="342"/>
      <c r="AC72" s="342"/>
      <c r="AD72" s="347"/>
      <c r="AE72" s="348">
        <v>1.69</v>
      </c>
      <c r="AF72" s="349">
        <v>0</v>
      </c>
      <c r="AG72" s="350"/>
      <c r="AH72" s="351" t="s">
        <v>139</v>
      </c>
      <c r="AI72" s="352" t="s">
        <v>139</v>
      </c>
      <c r="AJ72" s="206" t="s">
        <v>139</v>
      </c>
      <c r="AK72" s="353" t="s">
        <v>238</v>
      </c>
      <c r="AL72" s="206" t="s">
        <v>139</v>
      </c>
      <c r="AM72" s="349">
        <v>104.76110257112173</v>
      </c>
      <c r="AN72" s="354" t="s">
        <v>139</v>
      </c>
      <c r="AO72" s="355" t="s">
        <v>140</v>
      </c>
      <c r="AP72" s="206" t="s">
        <v>139</v>
      </c>
      <c r="AQ72" s="207">
        <v>0</v>
      </c>
      <c r="AR72" s="211"/>
      <c r="AS72" s="297">
        <f>+IF(Table1[[#This Row],[Column40]]="ok",Table1[[#This Row],[Column7]],0)</f>
        <v>1172.48</v>
      </c>
      <c r="AT72" s="295">
        <f>+IF(Table1[[#This Row],[Column40]]="No",Table1[[#This Row],[Column7]],0)</f>
        <v>0</v>
      </c>
      <c r="AU72" s="4" t="str">
        <f>+IF(LEFT(Table1[[#This Row],[Column42]],2)="DN",IF(Table1[[#This Row],[Column40]]="ok","(CA)",_xlfn.CONCAT("(CA)",CHAR(10),"FAIL")),"")</f>
        <v/>
      </c>
      <c r="AV72" s="154" t="str">
        <f>+IF(Table1[[#This Row],[Column6]]=0,"",_xlfn.CONCAT("Sem ",WEEKNUM(Table1[[#This Row],[Column6]],2)))</f>
        <v>Sem 10</v>
      </c>
      <c r="AW72" s="211"/>
    </row>
    <row r="73" spans="2:49" ht="19.5" customHeight="1" x14ac:dyDescent="0.3">
      <c r="B73" s="356" t="s">
        <v>274</v>
      </c>
      <c r="C73" s="331"/>
      <c r="D73" s="332" t="s">
        <v>207</v>
      </c>
      <c r="E73" s="332" t="s">
        <v>133</v>
      </c>
      <c r="F73" s="333"/>
      <c r="G73" s="334">
        <v>46085</v>
      </c>
      <c r="H73" s="335">
        <v>1237.1300000000001</v>
      </c>
      <c r="I73" s="336">
        <v>346</v>
      </c>
      <c r="J73" s="337">
        <v>2544.44</v>
      </c>
      <c r="K73" s="338" t="s">
        <v>253</v>
      </c>
      <c r="L73" s="339" t="s">
        <v>212</v>
      </c>
      <c r="M73" s="340">
        <v>30</v>
      </c>
      <c r="N73" s="341">
        <v>85462</v>
      </c>
      <c r="O73" s="332">
        <v>67.5</v>
      </c>
      <c r="P73" s="342">
        <v>12.3</v>
      </c>
      <c r="Q73" s="343">
        <v>12.098188194038562</v>
      </c>
      <c r="R73" s="344">
        <v>1.7079252003561887</v>
      </c>
      <c r="S73" s="344">
        <v>1.7110000000000001</v>
      </c>
      <c r="T73" s="344">
        <v>1.9179999999999999</v>
      </c>
      <c r="U73" s="344" t="s">
        <v>136</v>
      </c>
      <c r="V73" s="332" t="s">
        <v>137</v>
      </c>
      <c r="W73" s="345">
        <v>8</v>
      </c>
      <c r="X73" s="346">
        <v>4</v>
      </c>
      <c r="Y73" s="208">
        <v>2.8069999999999999</v>
      </c>
      <c r="Z73" s="332"/>
      <c r="AA73" s="342"/>
      <c r="AB73" s="342"/>
      <c r="AC73" s="342"/>
      <c r="AD73" s="347"/>
      <c r="AE73" s="348">
        <v>1.69</v>
      </c>
      <c r="AF73" s="349">
        <v>0</v>
      </c>
      <c r="AG73" s="350"/>
      <c r="AH73" s="351" t="s">
        <v>139</v>
      </c>
      <c r="AI73" s="352" t="s">
        <v>139</v>
      </c>
      <c r="AJ73" s="206" t="s">
        <v>139</v>
      </c>
      <c r="AK73" s="353" t="s">
        <v>238</v>
      </c>
      <c r="AL73" s="206" t="s">
        <v>139</v>
      </c>
      <c r="AM73" s="349">
        <v>101.06066274296974</v>
      </c>
      <c r="AN73" s="354" t="s">
        <v>139</v>
      </c>
      <c r="AO73" s="355" t="s">
        <v>140</v>
      </c>
      <c r="AP73" s="206" t="s">
        <v>139</v>
      </c>
      <c r="AQ73" s="207">
        <v>0</v>
      </c>
      <c r="AR73" s="211"/>
      <c r="AS73" s="297">
        <f>+IF(Table1[[#This Row],[Column40]]="ok",Table1[[#This Row],[Column7]],0)</f>
        <v>1237.1300000000001</v>
      </c>
      <c r="AT73" s="295">
        <f>+IF(Table1[[#This Row],[Column40]]="No",Table1[[#This Row],[Column7]],0)</f>
        <v>0</v>
      </c>
      <c r="AU73" s="4" t="str">
        <f>+IF(LEFT(Table1[[#This Row],[Column42]],2)="DN",IF(Table1[[#This Row],[Column40]]="ok","(CA)",_xlfn.CONCAT("(CA)",CHAR(10),"FAIL")),"")</f>
        <v/>
      </c>
      <c r="AV73" s="154" t="str">
        <f>+IF(Table1[[#This Row],[Column6]]=0,"",_xlfn.CONCAT("Sem ",WEEKNUM(Table1[[#This Row],[Column6]],2)))</f>
        <v>Sem 10</v>
      </c>
      <c r="AW73" s="211"/>
    </row>
    <row r="74" spans="2:49" ht="19.5" customHeight="1" x14ac:dyDescent="0.3">
      <c r="B74" s="356" t="s">
        <v>275</v>
      </c>
      <c r="C74" s="331"/>
      <c r="D74" s="332" t="s">
        <v>207</v>
      </c>
      <c r="E74" s="332" t="s">
        <v>176</v>
      </c>
      <c r="F74" s="333"/>
      <c r="G74" s="334">
        <v>46085</v>
      </c>
      <c r="H74" s="335">
        <v>649.46</v>
      </c>
      <c r="I74" s="336">
        <v>61.67</v>
      </c>
      <c r="J74" s="337">
        <v>2636.33</v>
      </c>
      <c r="K74" s="338" t="s">
        <v>167</v>
      </c>
      <c r="L74" s="339" t="s">
        <v>233</v>
      </c>
      <c r="M74" s="340">
        <v>30</v>
      </c>
      <c r="N74" s="341">
        <v>88653</v>
      </c>
      <c r="O74" s="332">
        <v>67.5</v>
      </c>
      <c r="P74" s="342">
        <v>10.100000000000001</v>
      </c>
      <c r="Q74" s="343">
        <v>11.049723756906072</v>
      </c>
      <c r="R74" s="344">
        <v>1.8256130790190734</v>
      </c>
      <c r="S74" s="344">
        <v>1.81</v>
      </c>
      <c r="T74" s="344">
        <v>2.0099999999999998</v>
      </c>
      <c r="U74" s="344" t="s">
        <v>136</v>
      </c>
      <c r="V74" s="332" t="s">
        <v>234</v>
      </c>
      <c r="W74" s="345">
        <v>16</v>
      </c>
      <c r="X74" s="346">
        <v>8</v>
      </c>
      <c r="Y74" s="208">
        <v>2.8069999999999999</v>
      </c>
      <c r="Z74" s="332"/>
      <c r="AA74" s="342"/>
      <c r="AB74" s="342"/>
      <c r="AC74" s="342"/>
      <c r="AD74" s="347"/>
      <c r="AE74" s="348">
        <v>1.74</v>
      </c>
      <c r="AF74" s="349">
        <v>0</v>
      </c>
      <c r="AG74" s="350"/>
      <c r="AH74" s="351" t="s">
        <v>139</v>
      </c>
      <c r="AI74" s="352" t="s">
        <v>139</v>
      </c>
      <c r="AJ74" s="206" t="s">
        <v>139</v>
      </c>
      <c r="AK74" s="353" t="s">
        <v>196</v>
      </c>
      <c r="AL74" s="206" t="s">
        <v>139</v>
      </c>
      <c r="AM74" s="349">
        <v>104.92029189764789</v>
      </c>
      <c r="AN74" s="354" t="s">
        <v>139</v>
      </c>
      <c r="AO74" s="355" t="s">
        <v>140</v>
      </c>
      <c r="AP74" s="206" t="s">
        <v>139</v>
      </c>
      <c r="AQ74" s="207">
        <v>0</v>
      </c>
      <c r="AR74" s="211"/>
      <c r="AS74" s="297">
        <f>+IF(Table1[[#This Row],[Column40]]="ok",Table1[[#This Row],[Column7]],0)</f>
        <v>649.46</v>
      </c>
      <c r="AT74" s="295">
        <f>+IF(Table1[[#This Row],[Column40]]="No",Table1[[#This Row],[Column7]],0)</f>
        <v>0</v>
      </c>
      <c r="AU74" s="4" t="str">
        <f>+IF(LEFT(Table1[[#This Row],[Column42]],2)="DN",IF(Table1[[#This Row],[Column40]]="ok","(CA)",_xlfn.CONCAT("(CA)",CHAR(10),"FAIL")),"")</f>
        <v/>
      </c>
      <c r="AV74" s="154" t="str">
        <f>+IF(Table1[[#This Row],[Column6]]=0,"",_xlfn.CONCAT("Sem ",WEEKNUM(Table1[[#This Row],[Column6]],2)))</f>
        <v>Sem 10</v>
      </c>
      <c r="AW74" s="211"/>
    </row>
    <row r="75" spans="2:49" ht="19.5" customHeight="1" x14ac:dyDescent="0.3">
      <c r="B75" s="356" t="s">
        <v>276</v>
      </c>
      <c r="C75" s="331"/>
      <c r="D75" s="332" t="s">
        <v>207</v>
      </c>
      <c r="E75" s="332" t="s">
        <v>176</v>
      </c>
      <c r="F75" s="333"/>
      <c r="G75" s="334">
        <v>46085</v>
      </c>
      <c r="H75" s="335">
        <v>1089.42</v>
      </c>
      <c r="I75" s="336">
        <v>270.45999999999998</v>
      </c>
      <c r="J75" s="337">
        <v>2565.8200000000002</v>
      </c>
      <c r="K75" s="338" t="s">
        <v>236</v>
      </c>
      <c r="L75" s="339" t="s">
        <v>249</v>
      </c>
      <c r="M75" s="340">
        <v>30</v>
      </c>
      <c r="N75" s="341">
        <v>88653</v>
      </c>
      <c r="O75" s="332">
        <v>67.5</v>
      </c>
      <c r="P75" s="342">
        <v>10.8</v>
      </c>
      <c r="Q75" s="343">
        <v>10.318331503841915</v>
      </c>
      <c r="R75" s="344">
        <v>1.8140794223826711</v>
      </c>
      <c r="S75" s="344">
        <v>1.8220000000000001</v>
      </c>
      <c r="T75" s="344">
        <v>2.0099999999999998</v>
      </c>
      <c r="U75" s="344" t="s">
        <v>136</v>
      </c>
      <c r="V75" s="332" t="s">
        <v>137</v>
      </c>
      <c r="W75" s="345">
        <v>8</v>
      </c>
      <c r="X75" s="346">
        <v>4</v>
      </c>
      <c r="Y75" s="208">
        <v>2.8069999999999999</v>
      </c>
      <c r="Z75" s="332"/>
      <c r="AA75" s="342"/>
      <c r="AB75" s="342"/>
      <c r="AC75" s="342"/>
      <c r="AD75" s="347"/>
      <c r="AE75" s="348">
        <v>1.7689999999999999</v>
      </c>
      <c r="AF75" s="349">
        <v>0</v>
      </c>
      <c r="AG75" s="350"/>
      <c r="AH75" s="351" t="s">
        <v>139</v>
      </c>
      <c r="AI75" s="352" t="s">
        <v>139</v>
      </c>
      <c r="AJ75" s="206" t="s">
        <v>139</v>
      </c>
      <c r="AK75" s="353" t="s">
        <v>277</v>
      </c>
      <c r="AL75" s="206" t="s">
        <v>139</v>
      </c>
      <c r="AM75" s="349">
        <v>102.54829973898649</v>
      </c>
      <c r="AN75" s="354" t="s">
        <v>139</v>
      </c>
      <c r="AO75" s="355" t="s">
        <v>140</v>
      </c>
      <c r="AP75" s="206" t="s">
        <v>139</v>
      </c>
      <c r="AQ75" s="207">
        <v>0</v>
      </c>
      <c r="AR75" s="211"/>
      <c r="AS75" s="297">
        <f>+IF(Table1[[#This Row],[Column40]]="ok",Table1[[#This Row],[Column7]],0)</f>
        <v>1089.42</v>
      </c>
      <c r="AT75" s="295">
        <f>+IF(Table1[[#This Row],[Column40]]="No",Table1[[#This Row],[Column7]],0)</f>
        <v>0</v>
      </c>
      <c r="AU75" s="4" t="str">
        <f>+IF(LEFT(Table1[[#This Row],[Column42]],2)="DN",IF(Table1[[#This Row],[Column40]]="ok","(CA)",_xlfn.CONCAT("(CA)",CHAR(10),"FAIL")),"")</f>
        <v/>
      </c>
      <c r="AV75" s="154" t="str">
        <f>+IF(Table1[[#This Row],[Column6]]=0,"",_xlfn.CONCAT("Sem ",WEEKNUM(Table1[[#This Row],[Column6]],2)))</f>
        <v>Sem 10</v>
      </c>
      <c r="AW75" s="211"/>
    </row>
    <row r="76" spans="2:49" ht="19.5" customHeight="1" x14ac:dyDescent="0.3">
      <c r="B76" s="356" t="s">
        <v>278</v>
      </c>
      <c r="C76" s="331"/>
      <c r="D76" s="332" t="s">
        <v>207</v>
      </c>
      <c r="E76" s="332" t="s">
        <v>176</v>
      </c>
      <c r="F76" s="333"/>
      <c r="G76" s="334">
        <v>46085</v>
      </c>
      <c r="H76" s="335">
        <v>1023.47</v>
      </c>
      <c r="I76" s="336">
        <v>257.88</v>
      </c>
      <c r="J76" s="337">
        <v>2569.7600000000002</v>
      </c>
      <c r="K76" s="338" t="s">
        <v>236</v>
      </c>
      <c r="L76" s="339" t="s">
        <v>242</v>
      </c>
      <c r="M76" s="340">
        <v>30</v>
      </c>
      <c r="N76" s="341">
        <v>88653</v>
      </c>
      <c r="O76" s="332">
        <v>67.5</v>
      </c>
      <c r="P76" s="342">
        <v>12.8</v>
      </c>
      <c r="Q76" s="343">
        <v>8.4412221646815055</v>
      </c>
      <c r="R76" s="344">
        <v>1.8563829787234039</v>
      </c>
      <c r="S76" s="344">
        <v>1.931</v>
      </c>
      <c r="T76" s="344">
        <v>2.0939999999999999</v>
      </c>
      <c r="U76" s="344" t="s">
        <v>136</v>
      </c>
      <c r="V76" s="332" t="s">
        <v>137</v>
      </c>
      <c r="W76" s="345">
        <v>8</v>
      </c>
      <c r="X76" s="346">
        <v>4</v>
      </c>
      <c r="Y76" s="208">
        <v>2.8069999999999999</v>
      </c>
      <c r="Z76" s="332"/>
      <c r="AA76" s="342"/>
      <c r="AB76" s="342"/>
      <c r="AC76" s="342"/>
      <c r="AD76" s="347"/>
      <c r="AE76" s="348">
        <v>1.7692807707944755</v>
      </c>
      <c r="AF76" s="349">
        <v>16.242786318319752</v>
      </c>
      <c r="AG76" s="350"/>
      <c r="AH76" s="351">
        <v>1.764402407566638</v>
      </c>
      <c r="AI76" s="352">
        <v>2.052</v>
      </c>
      <c r="AJ76" s="206">
        <v>16.3</v>
      </c>
      <c r="AK76" s="353" t="s">
        <v>277</v>
      </c>
      <c r="AL76" s="206">
        <v>-5.7213681680249096E-2</v>
      </c>
      <c r="AM76" s="349">
        <v>104.92302914080823</v>
      </c>
      <c r="AN76" s="354" t="s">
        <v>139</v>
      </c>
      <c r="AO76" s="355" t="s">
        <v>140</v>
      </c>
      <c r="AP76" s="206" t="s">
        <v>139</v>
      </c>
      <c r="AQ76" s="207">
        <v>0</v>
      </c>
      <c r="AR76" s="211"/>
      <c r="AS76" s="297">
        <f>+IF(Table1[[#This Row],[Column40]]="ok",Table1[[#This Row],[Column7]],0)</f>
        <v>1023.47</v>
      </c>
      <c r="AT76" s="295">
        <f>+IF(Table1[[#This Row],[Column40]]="No",Table1[[#This Row],[Column7]],0)</f>
        <v>0</v>
      </c>
      <c r="AU76" s="4" t="str">
        <f>+IF(LEFT(Table1[[#This Row],[Column42]],2)="DN",IF(Table1[[#This Row],[Column40]]="ok","(CA)",_xlfn.CONCAT("(CA)",CHAR(10),"FAIL")),"")</f>
        <v/>
      </c>
      <c r="AV76" s="154" t="str">
        <f>+IF(Table1[[#This Row],[Column6]]=0,"",_xlfn.CONCAT("Sem ",WEEKNUM(Table1[[#This Row],[Column6]],2)))</f>
        <v>Sem 10</v>
      </c>
      <c r="AW76" s="211"/>
    </row>
    <row r="77" spans="2:49" ht="19.5" customHeight="1" x14ac:dyDescent="0.3">
      <c r="B77" s="356" t="s">
        <v>279</v>
      </c>
      <c r="C77" s="331"/>
      <c r="D77" s="332" t="s">
        <v>207</v>
      </c>
      <c r="E77" s="332" t="s">
        <v>176</v>
      </c>
      <c r="F77" s="333"/>
      <c r="G77" s="334">
        <v>46085</v>
      </c>
      <c r="H77" s="335">
        <v>972.92</v>
      </c>
      <c r="I77" s="336">
        <v>228.97</v>
      </c>
      <c r="J77" s="337">
        <v>2577.48</v>
      </c>
      <c r="K77" s="338" t="s">
        <v>205</v>
      </c>
      <c r="L77" s="339" t="s">
        <v>280</v>
      </c>
      <c r="M77" s="340">
        <v>30</v>
      </c>
      <c r="N77" s="341">
        <v>88653</v>
      </c>
      <c r="O77" s="332">
        <v>67.5</v>
      </c>
      <c r="P77" s="342">
        <v>10.7</v>
      </c>
      <c r="Q77" s="343">
        <v>9.5551894563426831</v>
      </c>
      <c r="R77" s="344">
        <v>1.8021680216802169</v>
      </c>
      <c r="S77" s="344">
        <v>1.821</v>
      </c>
      <c r="T77" s="344">
        <v>1.9950000000000001</v>
      </c>
      <c r="U77" s="344" t="s">
        <v>136</v>
      </c>
      <c r="V77" s="332" t="s">
        <v>137</v>
      </c>
      <c r="W77" s="345">
        <v>8</v>
      </c>
      <c r="X77" s="346">
        <v>4</v>
      </c>
      <c r="Y77" s="208">
        <v>2.8069999999999999</v>
      </c>
      <c r="Z77" s="332"/>
      <c r="AA77" s="342"/>
      <c r="AB77" s="342"/>
      <c r="AC77" s="342"/>
      <c r="AD77" s="347"/>
      <c r="AE77" s="358">
        <v>1.7689999999999999</v>
      </c>
      <c r="AF77" s="349">
        <v>16.2</v>
      </c>
      <c r="AG77" s="350"/>
      <c r="AH77" s="351">
        <v>1.756872852233677</v>
      </c>
      <c r="AI77" s="352">
        <v>2.0449999999999999</v>
      </c>
      <c r="AJ77" s="206">
        <v>16.400000000000002</v>
      </c>
      <c r="AK77" s="353" t="s">
        <v>277</v>
      </c>
      <c r="AL77" s="206">
        <v>-0.20000000000000284</v>
      </c>
      <c r="AM77" s="349">
        <v>101.87495882872906</v>
      </c>
      <c r="AN77" s="354" t="s">
        <v>139</v>
      </c>
      <c r="AO77" s="355" t="s">
        <v>140</v>
      </c>
      <c r="AP77" s="206" t="s">
        <v>139</v>
      </c>
      <c r="AQ77" s="246" t="s">
        <v>281</v>
      </c>
      <c r="AR77" s="211"/>
      <c r="AS77" s="297">
        <f>+IF(Table1[[#This Row],[Column40]]="ok",Table1[[#This Row],[Column7]],0)</f>
        <v>972.92</v>
      </c>
      <c r="AT77" s="295">
        <f>+IF(Table1[[#This Row],[Column40]]="No",Table1[[#This Row],[Column7]],0)</f>
        <v>0</v>
      </c>
      <c r="AU77" s="4" t="str">
        <f>+IF(LEFT(Table1[[#This Row],[Column42]],2)="DN",IF(Table1[[#This Row],[Column40]]="ok","(CA)",_xlfn.CONCAT("(CA)",CHAR(10),"FAIL")),"")</f>
        <v/>
      </c>
      <c r="AV77" s="154" t="str">
        <f>+IF(Table1[[#This Row],[Column6]]=0,"",_xlfn.CONCAT("Sem ",WEEKNUM(Table1[[#This Row],[Column6]],2)))</f>
        <v>Sem 10</v>
      </c>
      <c r="AW77" s="211"/>
    </row>
    <row r="78" spans="2:49" ht="19.5" customHeight="1" x14ac:dyDescent="0.3">
      <c r="B78" s="356" t="s">
        <v>281</v>
      </c>
      <c r="C78" s="331"/>
      <c r="D78" s="332" t="s">
        <v>207</v>
      </c>
      <c r="E78" s="332" t="s">
        <v>176</v>
      </c>
      <c r="F78" s="333"/>
      <c r="G78" s="334">
        <v>46085</v>
      </c>
      <c r="H78" s="335">
        <v>972.92</v>
      </c>
      <c r="I78" s="336">
        <v>228.97</v>
      </c>
      <c r="J78" s="337">
        <v>2577.48</v>
      </c>
      <c r="K78" s="338" t="s">
        <v>205</v>
      </c>
      <c r="L78" s="339" t="s">
        <v>280</v>
      </c>
      <c r="M78" s="340">
        <v>15</v>
      </c>
      <c r="N78" s="341"/>
      <c r="O78" s="332"/>
      <c r="P78" s="342">
        <v>10.700561631687798</v>
      </c>
      <c r="Q78" s="343"/>
      <c r="R78" s="344">
        <v>1.8112695168319566</v>
      </c>
      <c r="S78" s="344"/>
      <c r="T78" s="344">
        <v>2.0050855277965338</v>
      </c>
      <c r="U78" s="344" t="s">
        <v>142</v>
      </c>
      <c r="V78" s="332" t="s">
        <v>137</v>
      </c>
      <c r="W78" s="345">
        <v>6</v>
      </c>
      <c r="X78" s="346">
        <v>8</v>
      </c>
      <c r="Y78" s="208"/>
      <c r="Z78" s="332" t="s">
        <v>227</v>
      </c>
      <c r="AA78" s="342">
        <v>98.997657580509042</v>
      </c>
      <c r="AB78" s="342">
        <v>80.489288253164318</v>
      </c>
      <c r="AC78" s="342">
        <v>40.022626852319931</v>
      </c>
      <c r="AD78" s="347">
        <v>14.614412032665342</v>
      </c>
      <c r="AE78" s="358">
        <v>1.7689999999999999</v>
      </c>
      <c r="AF78" s="349">
        <v>16.2</v>
      </c>
      <c r="AG78" s="350" t="s">
        <v>277</v>
      </c>
      <c r="AH78" s="351">
        <v>1.7570428677505798</v>
      </c>
      <c r="AI78" s="352">
        <v>2.0445460344460984</v>
      </c>
      <c r="AJ78" s="206">
        <v>16.362899959497813</v>
      </c>
      <c r="AK78" s="353" t="s">
        <v>277</v>
      </c>
      <c r="AL78" s="206">
        <v>-0.162899959497814</v>
      </c>
      <c r="AM78" s="349">
        <v>102.38945827201564</v>
      </c>
      <c r="AN78" s="354" t="s">
        <v>139</v>
      </c>
      <c r="AO78" s="355" t="s">
        <v>144</v>
      </c>
      <c r="AP78" s="206">
        <v>0</v>
      </c>
      <c r="AQ78" s="246" t="s">
        <v>279</v>
      </c>
      <c r="AR78" s="211"/>
      <c r="AS78" s="297">
        <f>+IF(Table1[[#This Row],[Column40]]="ok",Table1[[#This Row],[Column7]],0)</f>
        <v>972.92</v>
      </c>
      <c r="AT78" s="295">
        <f>+IF(Table1[[#This Row],[Column40]]="No",Table1[[#This Row],[Column7]],0)</f>
        <v>0</v>
      </c>
      <c r="AU78" s="4" t="str">
        <f>+IF(LEFT(Table1[[#This Row],[Column42]],2)="DN",IF(Table1[[#This Row],[Column40]]="ok","(CA)",_xlfn.CONCAT("(CA)",CHAR(10),"FAIL")),"")</f>
        <v>(CA)</v>
      </c>
      <c r="AV78" s="154" t="str">
        <f>+IF(Table1[[#This Row],[Column6]]=0,"",_xlfn.CONCAT("Sem ",WEEKNUM(Table1[[#This Row],[Column6]],2)))</f>
        <v>Sem 10</v>
      </c>
      <c r="AW78" s="211"/>
    </row>
    <row r="79" spans="2:49" ht="19.5" customHeight="1" x14ac:dyDescent="0.3">
      <c r="B79" s="356" t="s">
        <v>282</v>
      </c>
      <c r="C79" s="331"/>
      <c r="D79" s="332" t="s">
        <v>207</v>
      </c>
      <c r="E79" s="332" t="s">
        <v>176</v>
      </c>
      <c r="F79" s="333"/>
      <c r="G79" s="334">
        <v>46085</v>
      </c>
      <c r="H79" s="335">
        <v>983.55</v>
      </c>
      <c r="I79" s="336">
        <v>390.05</v>
      </c>
      <c r="J79" s="337">
        <v>2533.0300000000002</v>
      </c>
      <c r="K79" s="338" t="s">
        <v>236</v>
      </c>
      <c r="L79" s="339" t="s">
        <v>280</v>
      </c>
      <c r="M79" s="340">
        <v>30</v>
      </c>
      <c r="N79" s="341">
        <v>88653</v>
      </c>
      <c r="O79" s="332">
        <v>67.5</v>
      </c>
      <c r="P79" s="342">
        <v>10.7</v>
      </c>
      <c r="Q79" s="343">
        <v>9.5936794582392793</v>
      </c>
      <c r="R79" s="344">
        <v>1.7542908762420957</v>
      </c>
      <c r="S79" s="344">
        <v>1.772</v>
      </c>
      <c r="T79" s="344">
        <v>1.9419999999999999</v>
      </c>
      <c r="U79" s="344" t="s">
        <v>136</v>
      </c>
      <c r="V79" s="332" t="s">
        <v>137</v>
      </c>
      <c r="W79" s="345">
        <v>8</v>
      </c>
      <c r="X79" s="346">
        <v>4</v>
      </c>
      <c r="Y79" s="208">
        <v>2.8069999999999999</v>
      </c>
      <c r="Z79" s="332"/>
      <c r="AA79" s="342"/>
      <c r="AB79" s="342"/>
      <c r="AC79" s="342"/>
      <c r="AD79" s="347"/>
      <c r="AE79" s="358">
        <v>1.7689999999999999</v>
      </c>
      <c r="AF79" s="349" t="s">
        <v>139</v>
      </c>
      <c r="AG79" s="350"/>
      <c r="AH79" s="351" t="s">
        <v>139</v>
      </c>
      <c r="AI79" s="351" t="s">
        <v>139</v>
      </c>
      <c r="AJ79" s="206" t="s">
        <v>139</v>
      </c>
      <c r="AK79" s="353" t="s">
        <v>277</v>
      </c>
      <c r="AL79" s="206" t="s">
        <v>139</v>
      </c>
      <c r="AM79" s="349">
        <v>99.16850628841695</v>
      </c>
      <c r="AN79" s="354" t="s">
        <v>139</v>
      </c>
      <c r="AO79" s="355" t="s">
        <v>140</v>
      </c>
      <c r="AP79" s="206" t="s">
        <v>139</v>
      </c>
      <c r="AQ79" s="207">
        <v>0</v>
      </c>
      <c r="AR79" s="211"/>
      <c r="AS79" s="297">
        <f>+IF(Table1[[#This Row],[Column40]]="ok",Table1[[#This Row],[Column7]],0)</f>
        <v>983.55</v>
      </c>
      <c r="AT79" s="295">
        <f>+IF(Table1[[#This Row],[Column40]]="No",Table1[[#This Row],[Column7]],0)</f>
        <v>0</v>
      </c>
      <c r="AU79" s="4" t="str">
        <f>+IF(LEFT(Table1[[#This Row],[Column42]],2)="DN",IF(Table1[[#This Row],[Column40]]="ok","(CA)",_xlfn.CONCAT("(CA)",CHAR(10),"FAIL")),"")</f>
        <v/>
      </c>
      <c r="AV79" s="154" t="str">
        <f>+IF(Table1[[#This Row],[Column6]]=0,"",_xlfn.CONCAT("Sem ",WEEKNUM(Table1[[#This Row],[Column6]],2)))</f>
        <v>Sem 10</v>
      </c>
      <c r="AW79" s="211"/>
    </row>
    <row r="80" spans="2:49" ht="19.5" customHeight="1" x14ac:dyDescent="0.3">
      <c r="B80" s="356" t="s">
        <v>283</v>
      </c>
      <c r="C80" s="331"/>
      <c r="D80" s="332" t="s">
        <v>207</v>
      </c>
      <c r="E80" s="332" t="s">
        <v>176</v>
      </c>
      <c r="F80" s="333"/>
      <c r="G80" s="334">
        <v>46085</v>
      </c>
      <c r="H80" s="335">
        <v>1001.28</v>
      </c>
      <c r="I80" s="336">
        <v>339.79</v>
      </c>
      <c r="J80" s="337">
        <v>2548.54</v>
      </c>
      <c r="K80" s="338" t="s">
        <v>236</v>
      </c>
      <c r="L80" s="339" t="s">
        <v>242</v>
      </c>
      <c r="M80" s="340">
        <v>30</v>
      </c>
      <c r="N80" s="341">
        <v>88653</v>
      </c>
      <c r="O80" s="332">
        <v>67.5</v>
      </c>
      <c r="P80" s="342">
        <v>9.6</v>
      </c>
      <c r="Q80" s="343">
        <v>9.1216216216216228</v>
      </c>
      <c r="R80" s="344">
        <v>1.7682481751824817</v>
      </c>
      <c r="S80" s="344">
        <v>1.776</v>
      </c>
      <c r="T80" s="344">
        <v>1.9379999999999999</v>
      </c>
      <c r="U80" s="344" t="s">
        <v>136</v>
      </c>
      <c r="V80" s="332" t="s">
        <v>137</v>
      </c>
      <c r="W80" s="345">
        <v>8</v>
      </c>
      <c r="X80" s="346">
        <v>4</v>
      </c>
      <c r="Y80" s="208">
        <v>2.8069999999999999</v>
      </c>
      <c r="Z80" s="332"/>
      <c r="AA80" s="342"/>
      <c r="AB80" s="342"/>
      <c r="AC80" s="342"/>
      <c r="AD80" s="123"/>
      <c r="AE80" s="358">
        <v>1.7689999999999999</v>
      </c>
      <c r="AF80" s="349">
        <v>0</v>
      </c>
      <c r="AG80" s="350"/>
      <c r="AH80" s="351" t="s">
        <v>139</v>
      </c>
      <c r="AI80" s="351" t="s">
        <v>139</v>
      </c>
      <c r="AJ80" s="206" t="s">
        <v>139</v>
      </c>
      <c r="AK80" s="353" t="s">
        <v>277</v>
      </c>
      <c r="AL80" s="206" t="s">
        <v>139</v>
      </c>
      <c r="AM80" s="349">
        <v>99.957500010315542</v>
      </c>
      <c r="AN80" s="354" t="s">
        <v>139</v>
      </c>
      <c r="AO80" s="355" t="s">
        <v>140</v>
      </c>
      <c r="AP80" s="206" t="s">
        <v>139</v>
      </c>
      <c r="AQ80" s="207">
        <v>0</v>
      </c>
      <c r="AR80" s="211"/>
      <c r="AS80" s="297">
        <f>+IF(Table1[[#This Row],[Column40]]="ok",Table1[[#This Row],[Column7]],0)</f>
        <v>1001.28</v>
      </c>
      <c r="AT80" s="295">
        <f>+IF(Table1[[#This Row],[Column40]]="No",Table1[[#This Row],[Column7]],0)</f>
        <v>0</v>
      </c>
      <c r="AU80" s="4" t="str">
        <f>+IF(LEFT(Table1[[#This Row],[Column42]],2)="DN",IF(Table1[[#This Row],[Column40]]="ok","(CA)",_xlfn.CONCAT("(CA)",CHAR(10),"FAIL")),"")</f>
        <v/>
      </c>
      <c r="AV80" s="154" t="str">
        <f>+IF(Table1[[#This Row],[Column6]]=0,"",_xlfn.CONCAT("Sem ",WEEKNUM(Table1[[#This Row],[Column6]],2)))</f>
        <v>Sem 10</v>
      </c>
      <c r="AW80" s="211"/>
    </row>
    <row r="81" spans="2:49" ht="19.5" customHeight="1" x14ac:dyDescent="0.3">
      <c r="B81" s="356" t="s">
        <v>284</v>
      </c>
      <c r="C81" s="331"/>
      <c r="D81" s="332" t="s">
        <v>207</v>
      </c>
      <c r="E81" s="332" t="s">
        <v>176</v>
      </c>
      <c r="F81" s="333"/>
      <c r="G81" s="334">
        <v>46085</v>
      </c>
      <c r="H81" s="335">
        <v>1073.3800000000001</v>
      </c>
      <c r="I81" s="336">
        <v>329.1</v>
      </c>
      <c r="J81" s="337">
        <v>2551.08</v>
      </c>
      <c r="K81" s="338" t="s">
        <v>236</v>
      </c>
      <c r="L81" s="339" t="s">
        <v>249</v>
      </c>
      <c r="M81" s="340">
        <v>30</v>
      </c>
      <c r="N81" s="341">
        <v>88653</v>
      </c>
      <c r="O81" s="332">
        <v>67.5</v>
      </c>
      <c r="P81" s="342">
        <v>10.6</v>
      </c>
      <c r="Q81" s="343">
        <v>10.220214568040653</v>
      </c>
      <c r="R81" s="344">
        <v>1.7649186256781191</v>
      </c>
      <c r="S81" s="344">
        <v>1.7709999999999999</v>
      </c>
      <c r="T81" s="344">
        <v>1.952</v>
      </c>
      <c r="U81" s="344" t="s">
        <v>136</v>
      </c>
      <c r="V81" s="332" t="s">
        <v>137</v>
      </c>
      <c r="W81" s="345">
        <v>8</v>
      </c>
      <c r="X81" s="346">
        <v>4</v>
      </c>
      <c r="Y81" s="208">
        <v>2.8069999999999999</v>
      </c>
      <c r="Z81" s="332"/>
      <c r="AA81" s="342"/>
      <c r="AB81" s="342"/>
      <c r="AC81" s="342"/>
      <c r="AD81" s="347"/>
      <c r="AE81" s="358">
        <v>1.7689999999999999</v>
      </c>
      <c r="AF81" s="349">
        <v>0</v>
      </c>
      <c r="AG81" s="350"/>
      <c r="AH81" s="351" t="s">
        <v>139</v>
      </c>
      <c r="AI81" s="352" t="s">
        <v>139</v>
      </c>
      <c r="AJ81" s="206" t="s">
        <v>139</v>
      </c>
      <c r="AK81" s="353" t="s">
        <v>277</v>
      </c>
      <c r="AL81" s="206" t="s">
        <v>139</v>
      </c>
      <c r="AM81" s="349">
        <v>99.769283531832627</v>
      </c>
      <c r="AN81" s="354" t="s">
        <v>139</v>
      </c>
      <c r="AO81" s="355" t="s">
        <v>140</v>
      </c>
      <c r="AP81" s="206" t="s">
        <v>139</v>
      </c>
      <c r="AQ81" s="246">
        <v>0</v>
      </c>
      <c r="AR81" s="211"/>
      <c r="AS81" s="297">
        <f>+IF(Table1[[#This Row],[Column40]]="ok",Table1[[#This Row],[Column7]],0)</f>
        <v>1073.3800000000001</v>
      </c>
      <c r="AT81" s="295">
        <f>+IF(Table1[[#This Row],[Column40]]="No",Table1[[#This Row],[Column7]],0)</f>
        <v>0</v>
      </c>
      <c r="AU81" s="4" t="str">
        <f>+IF(LEFT(Table1[[#This Row],[Column42]],2)="DN",IF(Table1[[#This Row],[Column40]]="ok","(CA)",_xlfn.CONCAT("(CA)",CHAR(10),"FAIL")),"")</f>
        <v/>
      </c>
      <c r="AV81" s="154" t="str">
        <f>+IF(Table1[[#This Row],[Column6]]=0,"",_xlfn.CONCAT("Sem ",WEEKNUM(Table1[[#This Row],[Column6]],2)))</f>
        <v>Sem 10</v>
      </c>
      <c r="AW81" s="211"/>
    </row>
    <row r="82" spans="2:49" ht="19.5" customHeight="1" x14ac:dyDescent="0.3">
      <c r="B82" s="356" t="s">
        <v>285</v>
      </c>
      <c r="C82" s="331"/>
      <c r="D82" s="332" t="s">
        <v>207</v>
      </c>
      <c r="E82" s="332" t="s">
        <v>176</v>
      </c>
      <c r="F82" s="333"/>
      <c r="G82" s="334">
        <v>46085</v>
      </c>
      <c r="H82" s="335">
        <v>1088.78</v>
      </c>
      <c r="I82" s="336">
        <v>425.41</v>
      </c>
      <c r="J82" s="337">
        <v>2521.38</v>
      </c>
      <c r="K82" s="338" t="s">
        <v>236</v>
      </c>
      <c r="L82" s="339" t="s">
        <v>249</v>
      </c>
      <c r="M82" s="340">
        <v>30</v>
      </c>
      <c r="N82" s="341">
        <v>88653</v>
      </c>
      <c r="O82" s="332">
        <v>67.5</v>
      </c>
      <c r="P82" s="342">
        <v>11</v>
      </c>
      <c r="Q82" s="343">
        <v>10.02816901408452</v>
      </c>
      <c r="R82" s="344">
        <v>1.7594594594594595</v>
      </c>
      <c r="S82" s="344">
        <v>1.7749999999999999</v>
      </c>
      <c r="T82" s="344">
        <v>1.9530000000000001</v>
      </c>
      <c r="U82" s="344" t="s">
        <v>136</v>
      </c>
      <c r="V82" s="332" t="s">
        <v>137</v>
      </c>
      <c r="W82" s="345">
        <v>8</v>
      </c>
      <c r="X82" s="346">
        <v>4</v>
      </c>
      <c r="Y82" s="208">
        <v>2.8069999999999999</v>
      </c>
      <c r="Z82" s="332"/>
      <c r="AA82" s="342"/>
      <c r="AB82" s="342"/>
      <c r="AC82" s="342"/>
      <c r="AD82" s="347"/>
      <c r="AE82" s="358">
        <v>1.7689999999999999</v>
      </c>
      <c r="AF82" s="349">
        <v>0</v>
      </c>
      <c r="AG82" s="350"/>
      <c r="AH82" s="351" t="s">
        <v>139</v>
      </c>
      <c r="AI82" s="351" t="s">
        <v>139</v>
      </c>
      <c r="AJ82" s="206" t="s">
        <v>139</v>
      </c>
      <c r="AK82" s="353" t="s">
        <v>277</v>
      </c>
      <c r="AL82" s="206" t="s">
        <v>139</v>
      </c>
      <c r="AM82" s="349">
        <v>99.460681710540385</v>
      </c>
      <c r="AN82" s="354" t="s">
        <v>139</v>
      </c>
      <c r="AO82" s="355" t="s">
        <v>140</v>
      </c>
      <c r="AP82" s="206" t="s">
        <v>139</v>
      </c>
      <c r="AQ82" s="246">
        <v>0</v>
      </c>
      <c r="AR82" s="211"/>
      <c r="AS82" s="297">
        <f>+IF(Table1[[#This Row],[Column40]]="ok",Table1[[#This Row],[Column7]],0)</f>
        <v>1088.78</v>
      </c>
      <c r="AT82" s="295">
        <f>+IF(Table1[[#This Row],[Column40]]="No",Table1[[#This Row],[Column7]],0)</f>
        <v>0</v>
      </c>
      <c r="AU82" s="4" t="str">
        <f>+IF(LEFT(Table1[[#This Row],[Column42]],2)="DN",IF(Table1[[#This Row],[Column40]]="ok","(CA)",_xlfn.CONCAT("(CA)",CHAR(10),"FAIL")),"")</f>
        <v/>
      </c>
      <c r="AV82" s="154" t="str">
        <f>+IF(Table1[[#This Row],[Column6]]=0,"",_xlfn.CONCAT("Sem ",WEEKNUM(Table1[[#This Row],[Column6]],2)))</f>
        <v>Sem 10</v>
      </c>
      <c r="AW82" s="211"/>
    </row>
    <row r="83" spans="2:49" ht="19.5" customHeight="1" x14ac:dyDescent="0.3">
      <c r="B83" s="356" t="s">
        <v>286</v>
      </c>
      <c r="C83" s="331"/>
      <c r="D83" s="332" t="s">
        <v>207</v>
      </c>
      <c r="E83" s="332" t="s">
        <v>176</v>
      </c>
      <c r="F83" s="333"/>
      <c r="G83" s="334">
        <v>46085</v>
      </c>
      <c r="H83" s="335">
        <v>1072.94</v>
      </c>
      <c r="I83" s="336">
        <v>488.03</v>
      </c>
      <c r="J83" s="337">
        <v>2502.38</v>
      </c>
      <c r="K83" s="338" t="s">
        <v>236</v>
      </c>
      <c r="L83" s="339" t="s">
        <v>249</v>
      </c>
      <c r="M83" s="340">
        <v>30</v>
      </c>
      <c r="N83" s="341">
        <v>88653</v>
      </c>
      <c r="O83" s="332">
        <v>67.5</v>
      </c>
      <c r="P83" s="342">
        <v>10.9</v>
      </c>
      <c r="Q83" s="343">
        <v>9.1707852828116323</v>
      </c>
      <c r="R83" s="344">
        <v>1.7926059513074841</v>
      </c>
      <c r="S83" s="344">
        <v>1.821</v>
      </c>
      <c r="T83" s="344">
        <v>1.988</v>
      </c>
      <c r="U83" s="344" t="s">
        <v>136</v>
      </c>
      <c r="V83" s="332" t="s">
        <v>137</v>
      </c>
      <c r="W83" s="345">
        <v>8</v>
      </c>
      <c r="X83" s="346">
        <v>4</v>
      </c>
      <c r="Y83" s="208">
        <v>2.8069999999999999</v>
      </c>
      <c r="Z83" s="332"/>
      <c r="AA83" s="342"/>
      <c r="AB83" s="342"/>
      <c r="AC83" s="342"/>
      <c r="AD83" s="347"/>
      <c r="AE83" s="358">
        <v>1.7689999999999999</v>
      </c>
      <c r="AF83" s="349">
        <v>0</v>
      </c>
      <c r="AG83" s="350"/>
      <c r="AH83" s="351" t="s">
        <v>139</v>
      </c>
      <c r="AI83" s="351" t="s">
        <v>139</v>
      </c>
      <c r="AJ83" s="206" t="s">
        <v>139</v>
      </c>
      <c r="AK83" s="353" t="s">
        <v>277</v>
      </c>
      <c r="AL83" s="206" t="s">
        <v>139</v>
      </c>
      <c r="AM83" s="349">
        <v>101.33442347696348</v>
      </c>
      <c r="AN83" s="354" t="s">
        <v>139</v>
      </c>
      <c r="AO83" s="355" t="s">
        <v>140</v>
      </c>
      <c r="AP83" s="206" t="s">
        <v>139</v>
      </c>
      <c r="AQ83" s="246">
        <v>0</v>
      </c>
      <c r="AR83" s="211"/>
      <c r="AS83" s="297">
        <f>+IF(Table1[[#This Row],[Column40]]="ok",Table1[[#This Row],[Column7]],0)</f>
        <v>1072.94</v>
      </c>
      <c r="AT83" s="295">
        <f>+IF(Table1[[#This Row],[Column40]]="No",Table1[[#This Row],[Column7]],0)</f>
        <v>0</v>
      </c>
      <c r="AU83" s="4" t="str">
        <f>+IF(LEFT(Table1[[#This Row],[Column42]],2)="DN",IF(Table1[[#This Row],[Column40]]="ok","(CA)",_xlfn.CONCAT("(CA)",CHAR(10),"FAIL")),"")</f>
        <v/>
      </c>
      <c r="AV83" s="154" t="str">
        <f>+IF(Table1[[#This Row],[Column6]]=0,"",_xlfn.CONCAT("Sem ",WEEKNUM(Table1[[#This Row],[Column6]],2)))</f>
        <v>Sem 10</v>
      </c>
      <c r="AW83" s="211"/>
    </row>
    <row r="84" spans="2:49" ht="19.5" customHeight="1" x14ac:dyDescent="0.3">
      <c r="B84" s="356" t="s">
        <v>287</v>
      </c>
      <c r="C84" s="331"/>
      <c r="D84" s="332" t="s">
        <v>207</v>
      </c>
      <c r="E84" s="332" t="s">
        <v>176</v>
      </c>
      <c r="F84" s="333"/>
      <c r="G84" s="334">
        <v>46085</v>
      </c>
      <c r="H84" s="335">
        <v>945.07</v>
      </c>
      <c r="I84" s="336">
        <v>233.58</v>
      </c>
      <c r="J84" s="337">
        <v>2575.19</v>
      </c>
      <c r="K84" s="338" t="s">
        <v>205</v>
      </c>
      <c r="L84" s="339" t="s">
        <v>237</v>
      </c>
      <c r="M84" s="340">
        <v>30</v>
      </c>
      <c r="N84" s="341">
        <v>88653</v>
      </c>
      <c r="O84" s="332">
        <v>67.5</v>
      </c>
      <c r="P84" s="342">
        <v>9.1</v>
      </c>
      <c r="Q84" s="343">
        <v>10.480093676814995</v>
      </c>
      <c r="R84" s="344">
        <v>1.7296058661778186</v>
      </c>
      <c r="S84" s="344">
        <v>1.708</v>
      </c>
      <c r="T84" s="344">
        <v>1.887</v>
      </c>
      <c r="U84" s="344" t="s">
        <v>136</v>
      </c>
      <c r="V84" s="332" t="s">
        <v>137</v>
      </c>
      <c r="W84" s="345">
        <v>8</v>
      </c>
      <c r="X84" s="346">
        <v>4</v>
      </c>
      <c r="Y84" s="208">
        <v>2.8069999999999999</v>
      </c>
      <c r="Z84" s="332"/>
      <c r="AA84" s="342"/>
      <c r="AB84" s="342"/>
      <c r="AC84" s="342"/>
      <c r="AD84" s="347"/>
      <c r="AE84" s="358">
        <v>1.7010000000000001</v>
      </c>
      <c r="AF84" s="349">
        <v>0</v>
      </c>
      <c r="AG84" s="350"/>
      <c r="AH84" s="351" t="s">
        <v>139</v>
      </c>
      <c r="AI84" s="352" t="s">
        <v>139</v>
      </c>
      <c r="AJ84" s="206" t="s">
        <v>139</v>
      </c>
      <c r="AK84" s="353" t="s">
        <v>288</v>
      </c>
      <c r="AL84" s="206" t="s">
        <v>139</v>
      </c>
      <c r="AM84" s="349">
        <v>101.68170877000698</v>
      </c>
      <c r="AN84" s="354" t="s">
        <v>139</v>
      </c>
      <c r="AO84" s="355" t="s">
        <v>140</v>
      </c>
      <c r="AP84" s="206" t="s">
        <v>139</v>
      </c>
      <c r="AQ84" s="246">
        <v>0</v>
      </c>
      <c r="AR84" s="211"/>
      <c r="AS84" s="297">
        <f>+IF(Table1[[#This Row],[Column40]]="ok",Table1[[#This Row],[Column7]],0)</f>
        <v>945.07</v>
      </c>
      <c r="AT84" s="295">
        <f>+IF(Table1[[#This Row],[Column40]]="No",Table1[[#This Row],[Column7]],0)</f>
        <v>0</v>
      </c>
      <c r="AU84" s="4" t="str">
        <f>+IF(LEFT(Table1[[#This Row],[Column42]],2)="DN",IF(Table1[[#This Row],[Column40]]="ok","(CA)",_xlfn.CONCAT("(CA)",CHAR(10),"FAIL")),"")</f>
        <v/>
      </c>
      <c r="AV84" s="154" t="str">
        <f>+IF(Table1[[#This Row],[Column6]]=0,"",_xlfn.CONCAT("Sem ",WEEKNUM(Table1[[#This Row],[Column6]],2)))</f>
        <v>Sem 10</v>
      </c>
      <c r="AW84" s="211"/>
    </row>
    <row r="85" spans="2:49" ht="19.5" customHeight="1" x14ac:dyDescent="0.3">
      <c r="B85" s="356" t="s">
        <v>289</v>
      </c>
      <c r="C85" s="331"/>
      <c r="D85" s="332" t="s">
        <v>207</v>
      </c>
      <c r="E85" s="332" t="s">
        <v>176</v>
      </c>
      <c r="F85" s="333"/>
      <c r="G85" s="334">
        <v>46085</v>
      </c>
      <c r="H85" s="335">
        <v>935.02</v>
      </c>
      <c r="I85" s="336">
        <v>293.83999999999997</v>
      </c>
      <c r="J85" s="337">
        <v>2558.79</v>
      </c>
      <c r="K85" s="338" t="s">
        <v>290</v>
      </c>
      <c r="L85" s="339" t="s">
        <v>237</v>
      </c>
      <c r="M85" s="340">
        <v>30</v>
      </c>
      <c r="N85" s="341">
        <v>88653</v>
      </c>
      <c r="O85" s="332">
        <v>67.5</v>
      </c>
      <c r="P85" s="342">
        <v>7.7</v>
      </c>
      <c r="Q85" s="343">
        <v>8.8798607080673229</v>
      </c>
      <c r="R85" s="344">
        <v>1.7418755803156918</v>
      </c>
      <c r="S85" s="344">
        <v>1.7230000000000001</v>
      </c>
      <c r="T85" s="344">
        <v>1.8759999999999999</v>
      </c>
      <c r="U85" s="344" t="s">
        <v>136</v>
      </c>
      <c r="V85" s="332" t="s">
        <v>137</v>
      </c>
      <c r="W85" s="345">
        <v>8</v>
      </c>
      <c r="X85" s="346">
        <v>4</v>
      </c>
      <c r="Y85" s="208">
        <v>2.8069999999999999</v>
      </c>
      <c r="Z85" s="332"/>
      <c r="AA85" s="342"/>
      <c r="AB85" s="342"/>
      <c r="AC85" s="342"/>
      <c r="AD85" s="347"/>
      <c r="AE85" s="358">
        <v>1.7010000000000001</v>
      </c>
      <c r="AF85" s="349">
        <v>0</v>
      </c>
      <c r="AG85" s="350"/>
      <c r="AH85" s="351" t="s">
        <v>139</v>
      </c>
      <c r="AI85" s="351" t="s">
        <v>139</v>
      </c>
      <c r="AJ85" s="206" t="s">
        <v>139</v>
      </c>
      <c r="AK85" s="353" t="s">
        <v>288</v>
      </c>
      <c r="AL85" s="206" t="s">
        <v>139</v>
      </c>
      <c r="AM85" s="349">
        <v>102.40303235248041</v>
      </c>
      <c r="AN85" s="354" t="s">
        <v>139</v>
      </c>
      <c r="AO85" s="355" t="s">
        <v>140</v>
      </c>
      <c r="AP85" s="206" t="s">
        <v>139</v>
      </c>
      <c r="AQ85" s="246">
        <v>0</v>
      </c>
      <c r="AR85" s="211"/>
      <c r="AS85" s="297">
        <f>+IF(Table1[[#This Row],[Column40]]="ok",Table1[[#This Row],[Column7]],0)</f>
        <v>935.02</v>
      </c>
      <c r="AT85" s="295">
        <f>+IF(Table1[[#This Row],[Column40]]="No",Table1[[#This Row],[Column7]],0)</f>
        <v>0</v>
      </c>
      <c r="AU85" s="4" t="str">
        <f>+IF(LEFT(Table1[[#This Row],[Column42]],2)="DN",IF(Table1[[#This Row],[Column40]]="ok","(CA)",_xlfn.CONCAT("(CA)",CHAR(10),"FAIL")),"")</f>
        <v/>
      </c>
      <c r="AV85" s="154" t="str">
        <f>+IF(Table1[[#This Row],[Column6]]=0,"",_xlfn.CONCAT("Sem ",WEEKNUM(Table1[[#This Row],[Column6]],2)))</f>
        <v>Sem 10</v>
      </c>
      <c r="AW85" s="211"/>
    </row>
    <row r="86" spans="2:49" ht="19.5" customHeight="1" x14ac:dyDescent="0.3">
      <c r="B86" s="356" t="s">
        <v>291</v>
      </c>
      <c r="C86" s="331"/>
      <c r="D86" s="332" t="s">
        <v>207</v>
      </c>
      <c r="E86" s="332" t="s">
        <v>176</v>
      </c>
      <c r="F86" s="333"/>
      <c r="G86" s="334">
        <v>46085</v>
      </c>
      <c r="H86" s="335">
        <v>935.19</v>
      </c>
      <c r="I86" s="336">
        <v>382.2</v>
      </c>
      <c r="J86" s="337">
        <v>2533.6999999999998</v>
      </c>
      <c r="K86" s="338" t="s">
        <v>290</v>
      </c>
      <c r="L86" s="339" t="s">
        <v>237</v>
      </c>
      <c r="M86" s="340">
        <v>30</v>
      </c>
      <c r="N86" s="341">
        <v>88653</v>
      </c>
      <c r="O86" s="332">
        <v>67.5</v>
      </c>
      <c r="P86" s="342">
        <v>9.6</v>
      </c>
      <c r="Q86" s="343">
        <v>10.434782608695659</v>
      </c>
      <c r="R86" s="344">
        <v>1.7381386861313868</v>
      </c>
      <c r="S86" s="344">
        <v>1.7250000000000001</v>
      </c>
      <c r="T86" s="344">
        <v>1.905</v>
      </c>
      <c r="U86" s="344" t="s">
        <v>136</v>
      </c>
      <c r="V86" s="332" t="s">
        <v>137</v>
      </c>
      <c r="W86" s="345">
        <v>8</v>
      </c>
      <c r="X86" s="346">
        <v>4</v>
      </c>
      <c r="Y86" s="208">
        <v>2.8069999999999999</v>
      </c>
      <c r="Z86" s="332"/>
      <c r="AA86" s="342"/>
      <c r="AB86" s="342"/>
      <c r="AC86" s="342"/>
      <c r="AD86" s="347"/>
      <c r="AE86" s="358">
        <v>1.7010000000000001</v>
      </c>
      <c r="AF86" s="349">
        <v>0</v>
      </c>
      <c r="AG86" s="350"/>
      <c r="AH86" s="351" t="s">
        <v>139</v>
      </c>
      <c r="AI86" s="352" t="s">
        <v>139</v>
      </c>
      <c r="AJ86" s="206" t="s">
        <v>139</v>
      </c>
      <c r="AK86" s="353" t="s">
        <v>288</v>
      </c>
      <c r="AL86" s="206" t="s">
        <v>139</v>
      </c>
      <c r="AM86" s="349">
        <v>102.18334427580169</v>
      </c>
      <c r="AN86" s="354" t="s">
        <v>139</v>
      </c>
      <c r="AO86" s="355" t="s">
        <v>140</v>
      </c>
      <c r="AP86" s="206" t="s">
        <v>139</v>
      </c>
      <c r="AQ86" s="246">
        <v>0</v>
      </c>
      <c r="AR86" s="211"/>
      <c r="AS86" s="297">
        <f>+IF(Table1[[#This Row],[Column40]]="ok",Table1[[#This Row],[Column7]],0)</f>
        <v>935.19</v>
      </c>
      <c r="AT86" s="295">
        <f>+IF(Table1[[#This Row],[Column40]]="No",Table1[[#This Row],[Column7]],0)</f>
        <v>0</v>
      </c>
      <c r="AU86" s="4" t="str">
        <f>+IF(LEFT(Table1[[#This Row],[Column42]],2)="DN",IF(Table1[[#This Row],[Column40]]="ok","(CA)",_xlfn.CONCAT("(CA)",CHAR(10),"FAIL")),"")</f>
        <v/>
      </c>
      <c r="AV86" s="154" t="str">
        <f>+IF(Table1[[#This Row],[Column6]]=0,"",_xlfn.CONCAT("Sem ",WEEKNUM(Table1[[#This Row],[Column6]],2)))</f>
        <v>Sem 10</v>
      </c>
      <c r="AW86" s="211"/>
    </row>
    <row r="87" spans="2:49" ht="19.5" customHeight="1" x14ac:dyDescent="0.3">
      <c r="B87" s="356" t="s">
        <v>292</v>
      </c>
      <c r="C87" s="331"/>
      <c r="D87" s="332" t="s">
        <v>207</v>
      </c>
      <c r="E87" s="332" t="s">
        <v>176</v>
      </c>
      <c r="F87" s="333"/>
      <c r="G87" s="334">
        <v>46085</v>
      </c>
      <c r="H87" s="335">
        <v>1575.23</v>
      </c>
      <c r="I87" s="336">
        <v>-2.89</v>
      </c>
      <c r="J87" s="337">
        <v>2635.9</v>
      </c>
      <c r="K87" s="338" t="s">
        <v>162</v>
      </c>
      <c r="L87" s="339" t="s">
        <v>168</v>
      </c>
      <c r="M87" s="340">
        <v>30</v>
      </c>
      <c r="N87" s="341">
        <v>88653</v>
      </c>
      <c r="O87" s="332">
        <v>67.5</v>
      </c>
      <c r="P87" s="342">
        <v>10.8</v>
      </c>
      <c r="Q87" s="343">
        <v>10.1343784994401</v>
      </c>
      <c r="R87" s="344">
        <v>1.7752707581227436</v>
      </c>
      <c r="S87" s="344">
        <v>1.786</v>
      </c>
      <c r="T87" s="344">
        <v>1.9670000000000001</v>
      </c>
      <c r="U87" s="344" t="s">
        <v>136</v>
      </c>
      <c r="V87" s="332" t="s">
        <v>169</v>
      </c>
      <c r="W87" s="345">
        <v>4</v>
      </c>
      <c r="X87" s="346">
        <v>2</v>
      </c>
      <c r="Y87" s="208">
        <v>2.8069999999999999</v>
      </c>
      <c r="Z87" s="332"/>
      <c r="AA87" s="342"/>
      <c r="AB87" s="342"/>
      <c r="AC87" s="342"/>
      <c r="AD87" s="347"/>
      <c r="AE87" s="358">
        <v>1.7210000000000001</v>
      </c>
      <c r="AF87" s="349">
        <v>0</v>
      </c>
      <c r="AG87" s="350"/>
      <c r="AH87" s="351" t="s">
        <v>139</v>
      </c>
      <c r="AI87" s="351" t="s">
        <v>139</v>
      </c>
      <c r="AJ87" s="206" t="s">
        <v>139</v>
      </c>
      <c r="AK87" s="353" t="s">
        <v>210</v>
      </c>
      <c r="AL87" s="206" t="s">
        <v>139</v>
      </c>
      <c r="AM87" s="349">
        <v>103.15344323781194</v>
      </c>
      <c r="AN87" s="354" t="s">
        <v>139</v>
      </c>
      <c r="AO87" s="355" t="s">
        <v>140</v>
      </c>
      <c r="AP87" s="206" t="s">
        <v>139</v>
      </c>
      <c r="AQ87" s="246">
        <v>0</v>
      </c>
      <c r="AR87" s="211"/>
      <c r="AS87" s="297">
        <f>+IF(Table1[[#This Row],[Column40]]="ok",Table1[[#This Row],[Column7]],0)</f>
        <v>1575.23</v>
      </c>
      <c r="AT87" s="295">
        <f>+IF(Table1[[#This Row],[Column40]]="No",Table1[[#This Row],[Column7]],0)</f>
        <v>0</v>
      </c>
      <c r="AU87" s="4" t="str">
        <f>+IF(LEFT(Table1[[#This Row],[Column42]],2)="DN",IF(Table1[[#This Row],[Column40]]="ok","(CA)",_xlfn.CONCAT("(CA)",CHAR(10),"FAIL")),"")</f>
        <v/>
      </c>
      <c r="AV87" s="154" t="str">
        <f>+IF(Table1[[#This Row],[Column6]]=0,"",_xlfn.CONCAT("Sem ",WEEKNUM(Table1[[#This Row],[Column6]],2)))</f>
        <v>Sem 10</v>
      </c>
      <c r="AW87" s="211"/>
    </row>
    <row r="88" spans="2:49" ht="19.5" customHeight="1" x14ac:dyDescent="0.3">
      <c r="B88" s="356" t="s">
        <v>277</v>
      </c>
      <c r="C88" s="331"/>
      <c r="D88" s="332" t="s">
        <v>207</v>
      </c>
      <c r="E88" s="332" t="s">
        <v>176</v>
      </c>
      <c r="F88" s="333"/>
      <c r="G88" s="334">
        <v>46085</v>
      </c>
      <c r="H88" s="335">
        <v>1056.4450000000002</v>
      </c>
      <c r="I88" s="336">
        <v>264.16999999999996</v>
      </c>
      <c r="J88" s="337">
        <v>2567.79</v>
      </c>
      <c r="K88" s="338" t="s">
        <v>236</v>
      </c>
      <c r="L88" s="339" t="s">
        <v>245</v>
      </c>
      <c r="M88" s="340" t="s">
        <v>293</v>
      </c>
      <c r="N88" s="341" t="s">
        <v>293</v>
      </c>
      <c r="O88" s="332" t="s">
        <v>293</v>
      </c>
      <c r="P88" s="342" t="s">
        <v>293</v>
      </c>
      <c r="Q88" s="343" t="s">
        <v>293</v>
      </c>
      <c r="R88" s="344" t="s">
        <v>293</v>
      </c>
      <c r="S88" s="344" t="s">
        <v>293</v>
      </c>
      <c r="T88" s="344" t="s">
        <v>293</v>
      </c>
      <c r="U88" s="344" t="s">
        <v>294</v>
      </c>
      <c r="V88" s="332" t="s">
        <v>293</v>
      </c>
      <c r="W88" s="345" t="s">
        <v>293</v>
      </c>
      <c r="X88" s="346" t="s">
        <v>293</v>
      </c>
      <c r="Y88" s="208">
        <v>2.8156494423090552</v>
      </c>
      <c r="Z88" s="332" t="s">
        <v>143</v>
      </c>
      <c r="AA88" s="342">
        <v>98.065194532071501</v>
      </c>
      <c r="AB88" s="342">
        <v>78.338590956887487</v>
      </c>
      <c r="AC88" s="342">
        <v>38.75920084121978</v>
      </c>
      <c r="AD88" s="347">
        <v>14.4479495268139</v>
      </c>
      <c r="AE88" s="358">
        <v>1.7692807707944755</v>
      </c>
      <c r="AF88" s="349">
        <v>16.242786318319752</v>
      </c>
      <c r="AG88" s="350" t="s">
        <v>277</v>
      </c>
      <c r="AH88" s="351" t="s">
        <v>293</v>
      </c>
      <c r="AI88" s="352" t="s">
        <v>293</v>
      </c>
      <c r="AJ88" s="206" t="s">
        <v>293</v>
      </c>
      <c r="AK88" s="353" t="s">
        <v>293</v>
      </c>
      <c r="AL88" s="206" t="s">
        <v>293</v>
      </c>
      <c r="AM88" s="349" t="s">
        <v>293</v>
      </c>
      <c r="AN88" s="354" t="s">
        <v>293</v>
      </c>
      <c r="AO88" s="355" t="s">
        <v>293</v>
      </c>
      <c r="AP88" s="206" t="s">
        <v>293</v>
      </c>
      <c r="AQ88" s="246" t="s">
        <v>295</v>
      </c>
      <c r="AR88" s="211"/>
      <c r="AS88" s="297">
        <f>+IF(Table1[[#This Row],[Column40]]="ok",Table1[[#This Row],[Column7]],0)</f>
        <v>0</v>
      </c>
      <c r="AT88" s="295">
        <f>+IF(Table1[[#This Row],[Column40]]="No",Table1[[#This Row],[Column7]],0)</f>
        <v>0</v>
      </c>
      <c r="AU88" s="4" t="str">
        <f>+IF(LEFT(Table1[[#This Row],[Column42]],2)="DN",IF(Table1[[#This Row],[Column40]]="ok","(CA)",_xlfn.CONCAT("(CA)",CHAR(10),"FAIL")),"")</f>
        <v/>
      </c>
      <c r="AV88" s="154" t="str">
        <f>+IF(Table1[[#This Row],[Column6]]=0,"",_xlfn.CONCAT("Sem ",WEEKNUM(Table1[[#This Row],[Column6]],2)))</f>
        <v>Sem 10</v>
      </c>
      <c r="AW88" s="211"/>
    </row>
    <row r="89" spans="2:49" ht="19.5" customHeight="1" x14ac:dyDescent="0.3">
      <c r="B89" s="356" t="s">
        <v>296</v>
      </c>
      <c r="C89" s="331"/>
      <c r="D89" s="332" t="s">
        <v>207</v>
      </c>
      <c r="E89" s="332" t="s">
        <v>133</v>
      </c>
      <c r="F89" s="333"/>
      <c r="G89" s="334">
        <v>46086</v>
      </c>
      <c r="H89" s="335">
        <v>1543.86</v>
      </c>
      <c r="I89" s="336">
        <v>-25.24</v>
      </c>
      <c r="J89" s="337">
        <v>2635.9</v>
      </c>
      <c r="K89" s="338" t="s">
        <v>162</v>
      </c>
      <c r="L89" s="339" t="s">
        <v>297</v>
      </c>
      <c r="M89" s="340">
        <v>30</v>
      </c>
      <c r="N89" s="341">
        <v>85462</v>
      </c>
      <c r="O89" s="332">
        <v>59.78</v>
      </c>
      <c r="P89" s="342">
        <v>16.600000000000001</v>
      </c>
      <c r="Q89" s="343">
        <v>15.410958904109574</v>
      </c>
      <c r="R89" s="344">
        <v>1.7341337907375642</v>
      </c>
      <c r="S89" s="344">
        <v>1.752</v>
      </c>
      <c r="T89" s="344">
        <v>2.0219999999999998</v>
      </c>
      <c r="U89" s="344" t="s">
        <v>136</v>
      </c>
      <c r="V89" s="332" t="s">
        <v>187</v>
      </c>
      <c r="W89" s="345">
        <v>12</v>
      </c>
      <c r="X89" s="346">
        <v>6</v>
      </c>
      <c r="Y89" s="208">
        <v>2.8069999999999999</v>
      </c>
      <c r="Z89" s="332"/>
      <c r="AA89" s="342"/>
      <c r="AB89" s="342"/>
      <c r="AC89" s="342"/>
      <c r="AD89" s="347"/>
      <c r="AE89" s="358">
        <v>1.7318323651699545</v>
      </c>
      <c r="AF89" s="349">
        <v>16.288403519930068</v>
      </c>
      <c r="AG89" s="350"/>
      <c r="AH89" s="351">
        <v>1.7233676975945016</v>
      </c>
      <c r="AI89" s="352">
        <v>2.0059999999999998</v>
      </c>
      <c r="AJ89" s="206">
        <v>16.400000000000002</v>
      </c>
      <c r="AK89" s="353" t="s">
        <v>298</v>
      </c>
      <c r="AL89" s="206">
        <v>-0.1115964800699345</v>
      </c>
      <c r="AM89" s="349">
        <v>100.13288962684237</v>
      </c>
      <c r="AN89" s="354" t="s">
        <v>139</v>
      </c>
      <c r="AO89" s="355" t="s">
        <v>140</v>
      </c>
      <c r="AP89" s="206" t="s">
        <v>139</v>
      </c>
      <c r="AQ89" s="246" t="s">
        <v>299</v>
      </c>
      <c r="AR89" s="211"/>
      <c r="AS89" s="297">
        <f>+IF(Table1[[#This Row],[Column40]]="ok",Table1[[#This Row],[Column7]],0)</f>
        <v>1543.86</v>
      </c>
      <c r="AT89" s="295">
        <f>+IF(Table1[[#This Row],[Column40]]="No",Table1[[#This Row],[Column7]],0)</f>
        <v>0</v>
      </c>
      <c r="AU89" s="4" t="str">
        <f>+IF(LEFT(Table1[[#This Row],[Column42]],2)="DN",IF(Table1[[#This Row],[Column40]]="ok","(CA)",_xlfn.CONCAT("(CA)",CHAR(10),"FAIL")),"")</f>
        <v/>
      </c>
      <c r="AV89" s="154" t="str">
        <f>+IF(Table1[[#This Row],[Column6]]=0,"",_xlfn.CONCAT("Sem ",WEEKNUM(Table1[[#This Row],[Column6]],2)))</f>
        <v>Sem 10</v>
      </c>
      <c r="AW89" s="211"/>
    </row>
    <row r="90" spans="2:49" ht="19.5" customHeight="1" x14ac:dyDescent="0.3">
      <c r="B90" s="356" t="s">
        <v>299</v>
      </c>
      <c r="C90" s="331"/>
      <c r="D90" s="332" t="s">
        <v>207</v>
      </c>
      <c r="E90" s="332" t="s">
        <v>133</v>
      </c>
      <c r="F90" s="333"/>
      <c r="G90" s="334">
        <v>46086</v>
      </c>
      <c r="H90" s="335">
        <v>1543.86</v>
      </c>
      <c r="I90" s="336">
        <v>-25.24</v>
      </c>
      <c r="J90" s="337">
        <v>2635.9</v>
      </c>
      <c r="K90" s="338" t="s">
        <v>244</v>
      </c>
      <c r="L90" s="339" t="s">
        <v>249</v>
      </c>
      <c r="M90" s="340">
        <v>15</v>
      </c>
      <c r="N90" s="341"/>
      <c r="O90" s="332"/>
      <c r="P90" s="342">
        <v>16.612021857923484</v>
      </c>
      <c r="Q90" s="343"/>
      <c r="R90" s="344">
        <v>1.7191058440501015</v>
      </c>
      <c r="S90" s="344"/>
      <c r="T90" s="344">
        <v>2.0046840826245442</v>
      </c>
      <c r="U90" s="344" t="s">
        <v>142</v>
      </c>
      <c r="V90" s="332" t="s">
        <v>187</v>
      </c>
      <c r="W90" s="345" t="s">
        <v>173</v>
      </c>
      <c r="X90" s="346">
        <v>12</v>
      </c>
      <c r="Y90" s="208"/>
      <c r="Z90" s="332" t="s">
        <v>143</v>
      </c>
      <c r="AA90" s="342">
        <v>98.443663392406592</v>
      </c>
      <c r="AB90" s="342">
        <v>74.237070799301947</v>
      </c>
      <c r="AC90" s="342">
        <v>32.54948309590705</v>
      </c>
      <c r="AD90" s="347">
        <v>11.066479566090877</v>
      </c>
      <c r="AE90" s="358">
        <v>1.7318323651699545</v>
      </c>
      <c r="AF90" s="349">
        <v>16.288403519930068</v>
      </c>
      <c r="AG90" s="350" t="s">
        <v>298</v>
      </c>
      <c r="AH90" s="351">
        <v>1.7233949728240261</v>
      </c>
      <c r="AI90" s="351">
        <v>2.0062725919625772</v>
      </c>
      <c r="AJ90" s="206">
        <v>16.413974950560302</v>
      </c>
      <c r="AK90" s="353" t="s">
        <v>298</v>
      </c>
      <c r="AL90" s="206">
        <v>-0.12557143063023446</v>
      </c>
      <c r="AM90" s="349">
        <v>99.265141281811992</v>
      </c>
      <c r="AN90" s="354" t="s">
        <v>139</v>
      </c>
      <c r="AO90" s="355" t="s">
        <v>144</v>
      </c>
      <c r="AP90" s="206">
        <v>0</v>
      </c>
      <c r="AQ90" s="207" t="s">
        <v>296</v>
      </c>
      <c r="AR90" s="211"/>
      <c r="AS90" s="297">
        <f>+IF(Table1[[#This Row],[Column40]]="ok",Table1[[#This Row],[Column7]],0)</f>
        <v>1543.86</v>
      </c>
      <c r="AT90" s="295">
        <f>+IF(Table1[[#This Row],[Column40]]="No",Table1[[#This Row],[Column7]],0)</f>
        <v>0</v>
      </c>
      <c r="AU90" s="4" t="str">
        <f>+IF(LEFT(Table1[[#This Row],[Column42]],2)="DN",IF(Table1[[#This Row],[Column40]]="ok","(CA)",_xlfn.CONCAT("(CA)",CHAR(10),"FAIL")),"")</f>
        <v>(CA)</v>
      </c>
      <c r="AV90" s="154" t="str">
        <f>+IF(Table1[[#This Row],[Column6]]=0,"",_xlfn.CONCAT("Sem ",WEEKNUM(Table1[[#This Row],[Column6]],2)))</f>
        <v>Sem 10</v>
      </c>
      <c r="AW90" s="211"/>
    </row>
    <row r="91" spans="2:49" ht="19.5" customHeight="1" x14ac:dyDescent="0.3">
      <c r="B91" s="356" t="s">
        <v>300</v>
      </c>
      <c r="C91" s="331"/>
      <c r="D91" s="332" t="s">
        <v>207</v>
      </c>
      <c r="E91" s="332" t="s">
        <v>133</v>
      </c>
      <c r="F91" s="333"/>
      <c r="G91" s="334">
        <v>46086</v>
      </c>
      <c r="H91" s="335">
        <v>1544.2</v>
      </c>
      <c r="I91" s="336">
        <v>-29.59</v>
      </c>
      <c r="J91" s="337">
        <v>2635.9</v>
      </c>
      <c r="K91" s="338" t="s">
        <v>162</v>
      </c>
      <c r="L91" s="339" t="s">
        <v>193</v>
      </c>
      <c r="M91" s="340">
        <v>30</v>
      </c>
      <c r="N91" s="341">
        <v>85462</v>
      </c>
      <c r="O91" s="332">
        <v>59.78</v>
      </c>
      <c r="P91" s="342">
        <v>10.6</v>
      </c>
      <c r="Q91" s="343">
        <v>11.117381489841982</v>
      </c>
      <c r="R91" s="344">
        <v>1.7802893309222423</v>
      </c>
      <c r="S91" s="344">
        <v>1.772</v>
      </c>
      <c r="T91" s="344">
        <v>1.9690000000000001</v>
      </c>
      <c r="U91" s="344" t="s">
        <v>136</v>
      </c>
      <c r="V91" s="332" t="s">
        <v>169</v>
      </c>
      <c r="W91" s="345">
        <v>4</v>
      </c>
      <c r="X91" s="346">
        <v>2</v>
      </c>
      <c r="Y91" s="208">
        <v>2.8069999999999999</v>
      </c>
      <c r="Z91" s="332"/>
      <c r="AA91" s="342"/>
      <c r="AB91" s="342"/>
      <c r="AC91" s="342"/>
      <c r="AD91" s="123"/>
      <c r="AE91" s="358">
        <v>1.7210000000000001</v>
      </c>
      <c r="AF91" s="349">
        <v>0</v>
      </c>
      <c r="AG91" s="350"/>
      <c r="AH91" s="351" t="s">
        <v>139</v>
      </c>
      <c r="AI91" s="351" t="s">
        <v>139</v>
      </c>
      <c r="AJ91" s="206" t="s">
        <v>139</v>
      </c>
      <c r="AK91" s="353" t="s">
        <v>210</v>
      </c>
      <c r="AL91" s="206" t="s">
        <v>139</v>
      </c>
      <c r="AM91" s="349">
        <v>103.44505118664975</v>
      </c>
      <c r="AN91" s="354" t="s">
        <v>139</v>
      </c>
      <c r="AO91" s="355" t="s">
        <v>140</v>
      </c>
      <c r="AP91" s="206" t="s">
        <v>139</v>
      </c>
      <c r="AQ91" s="207">
        <v>0</v>
      </c>
      <c r="AR91" s="211"/>
      <c r="AS91" s="297">
        <f>+IF(Table1[[#This Row],[Column40]]="ok",Table1[[#This Row],[Column7]],0)</f>
        <v>1544.2</v>
      </c>
      <c r="AT91" s="295">
        <f>+IF(Table1[[#This Row],[Column40]]="No",Table1[[#This Row],[Column7]],0)</f>
        <v>0</v>
      </c>
      <c r="AU91" s="4" t="str">
        <f>+IF(LEFT(Table1[[#This Row],[Column42]],2)="DN",IF(Table1[[#This Row],[Column40]]="ok","(CA)",_xlfn.CONCAT("(CA)",CHAR(10),"FAIL")),"")</f>
        <v/>
      </c>
      <c r="AV91" s="154" t="str">
        <f>+IF(Table1[[#This Row],[Column6]]=0,"",_xlfn.CONCAT("Sem ",WEEKNUM(Table1[[#This Row],[Column6]],2)))</f>
        <v>Sem 10</v>
      </c>
      <c r="AW91" s="211"/>
    </row>
    <row r="92" spans="2:49" ht="19.5" customHeight="1" x14ac:dyDescent="0.3">
      <c r="B92" s="356" t="s">
        <v>301</v>
      </c>
      <c r="C92" s="331"/>
      <c r="D92" s="332" t="s">
        <v>207</v>
      </c>
      <c r="E92" s="332" t="s">
        <v>133</v>
      </c>
      <c r="F92" s="333"/>
      <c r="G92" s="334">
        <v>46086</v>
      </c>
      <c r="H92" s="335">
        <v>884.28</v>
      </c>
      <c r="I92" s="336">
        <v>236.13</v>
      </c>
      <c r="J92" s="337">
        <v>2574.0500000000002</v>
      </c>
      <c r="K92" s="338" t="s">
        <v>200</v>
      </c>
      <c r="L92" s="339" t="s">
        <v>302</v>
      </c>
      <c r="M92" s="340">
        <v>30</v>
      </c>
      <c r="N92" s="341">
        <v>85462</v>
      </c>
      <c r="O92" s="332">
        <v>59.78</v>
      </c>
      <c r="P92" s="342">
        <v>14.399999999999999</v>
      </c>
      <c r="Q92" s="343">
        <v>12.06896551724137</v>
      </c>
      <c r="R92" s="344">
        <v>1.7045454545454546</v>
      </c>
      <c r="S92" s="344">
        <v>1.74</v>
      </c>
      <c r="T92" s="344">
        <v>1.95</v>
      </c>
      <c r="U92" s="344" t="s">
        <v>136</v>
      </c>
      <c r="V92" s="332" t="s">
        <v>137</v>
      </c>
      <c r="W92" s="345">
        <v>8</v>
      </c>
      <c r="X92" s="346">
        <v>4</v>
      </c>
      <c r="Y92" s="208">
        <v>2.8069999999999999</v>
      </c>
      <c r="Z92" s="332"/>
      <c r="AA92" s="342"/>
      <c r="AB92" s="342"/>
      <c r="AC92" s="342"/>
      <c r="AD92" s="347"/>
      <c r="AE92" s="358">
        <v>1.7010000000000001</v>
      </c>
      <c r="AF92" s="349">
        <v>0</v>
      </c>
      <c r="AG92" s="350"/>
      <c r="AH92" s="351" t="s">
        <v>139</v>
      </c>
      <c r="AI92" s="352" t="s">
        <v>139</v>
      </c>
      <c r="AJ92" s="206" t="s">
        <v>139</v>
      </c>
      <c r="AK92" s="353" t="s">
        <v>288</v>
      </c>
      <c r="AL92" s="206" t="s">
        <v>139</v>
      </c>
      <c r="AM92" s="349">
        <v>100.20843354176688</v>
      </c>
      <c r="AN92" s="354" t="s">
        <v>139</v>
      </c>
      <c r="AO92" s="355" t="s">
        <v>140</v>
      </c>
      <c r="AP92" s="206" t="s">
        <v>139</v>
      </c>
      <c r="AQ92" s="246">
        <v>0</v>
      </c>
      <c r="AR92" s="211"/>
      <c r="AS92" s="297">
        <f>+IF(Table1[[#This Row],[Column40]]="ok",Table1[[#This Row],[Column7]],0)</f>
        <v>884.28</v>
      </c>
      <c r="AT92" s="295">
        <f>+IF(Table1[[#This Row],[Column40]]="No",Table1[[#This Row],[Column7]],0)</f>
        <v>0</v>
      </c>
      <c r="AU92" s="4" t="str">
        <f>+IF(LEFT(Table1[[#This Row],[Column42]],2)="DN",IF(Table1[[#This Row],[Column40]]="ok","(CA)",_xlfn.CONCAT("(CA)",CHAR(10),"FAIL")),"")</f>
        <v/>
      </c>
      <c r="AV92" s="154" t="str">
        <f>+IF(Table1[[#This Row],[Column6]]=0,"",_xlfn.CONCAT("Sem ",WEEKNUM(Table1[[#This Row],[Column6]],2)))</f>
        <v>Sem 10</v>
      </c>
      <c r="AW92" s="211"/>
    </row>
    <row r="93" spans="2:49" ht="19.5" customHeight="1" x14ac:dyDescent="0.3">
      <c r="B93" s="356" t="s">
        <v>303</v>
      </c>
      <c r="C93" s="331"/>
      <c r="D93" s="332" t="s">
        <v>207</v>
      </c>
      <c r="E93" s="332" t="s">
        <v>133</v>
      </c>
      <c r="F93" s="333"/>
      <c r="G93" s="334">
        <v>46086</v>
      </c>
      <c r="H93" s="335">
        <v>793.6</v>
      </c>
      <c r="I93" s="336">
        <v>215.5</v>
      </c>
      <c r="J93" s="337">
        <v>2585.84</v>
      </c>
      <c r="K93" s="338" t="s">
        <v>200</v>
      </c>
      <c r="L93" s="339" t="s">
        <v>304</v>
      </c>
      <c r="M93" s="340">
        <v>30</v>
      </c>
      <c r="N93" s="341">
        <v>85462</v>
      </c>
      <c r="O93" s="332">
        <v>59.78</v>
      </c>
      <c r="P93" s="342">
        <v>12.7</v>
      </c>
      <c r="Q93" s="343">
        <v>10.86834733893558</v>
      </c>
      <c r="R93" s="344">
        <v>1.7559893522626442</v>
      </c>
      <c r="S93" s="344">
        <v>1.7849999999999999</v>
      </c>
      <c r="T93" s="344">
        <v>1.9790000000000001</v>
      </c>
      <c r="U93" s="344" t="s">
        <v>136</v>
      </c>
      <c r="V93" s="332" t="s">
        <v>137</v>
      </c>
      <c r="W93" s="345">
        <v>8</v>
      </c>
      <c r="X93" s="346">
        <v>4</v>
      </c>
      <c r="Y93" s="208">
        <v>2.8069999999999999</v>
      </c>
      <c r="Z93" s="332"/>
      <c r="AA93" s="342"/>
      <c r="AB93" s="342"/>
      <c r="AC93" s="342"/>
      <c r="AD93" s="347"/>
      <c r="AE93" s="358">
        <v>1.7010000000000001</v>
      </c>
      <c r="AF93" s="349">
        <v>0</v>
      </c>
      <c r="AG93" s="350"/>
      <c r="AH93" s="351" t="s">
        <v>139</v>
      </c>
      <c r="AI93" s="351" t="s">
        <v>139</v>
      </c>
      <c r="AJ93" s="206" t="s">
        <v>139</v>
      </c>
      <c r="AK93" s="353" t="s">
        <v>288</v>
      </c>
      <c r="AL93" s="206" t="s">
        <v>139</v>
      </c>
      <c r="AM93" s="349">
        <v>103.23276615300672</v>
      </c>
      <c r="AN93" s="354" t="s">
        <v>139</v>
      </c>
      <c r="AO93" s="355" t="s">
        <v>140</v>
      </c>
      <c r="AP93" s="206" t="s">
        <v>139</v>
      </c>
      <c r="AQ93" s="246">
        <v>0</v>
      </c>
      <c r="AR93" s="211"/>
      <c r="AS93" s="297">
        <f>+IF(Table1[[#This Row],[Column40]]="ok",Table1[[#This Row],[Column7]],0)</f>
        <v>793.6</v>
      </c>
      <c r="AT93" s="295">
        <f>+IF(Table1[[#This Row],[Column40]]="No",Table1[[#This Row],[Column7]],0)</f>
        <v>0</v>
      </c>
      <c r="AU93" s="4" t="str">
        <f>+IF(LEFT(Table1[[#This Row],[Column42]],2)="DN",IF(Table1[[#This Row],[Column40]]="ok","(CA)",_xlfn.CONCAT("(CA)",CHAR(10),"FAIL")),"")</f>
        <v/>
      </c>
      <c r="AV93" s="154" t="str">
        <f>+IF(Table1[[#This Row],[Column6]]=0,"",_xlfn.CONCAT("Sem ",WEEKNUM(Table1[[#This Row],[Column6]],2)))</f>
        <v>Sem 10</v>
      </c>
      <c r="AW93" s="211"/>
    </row>
    <row r="94" spans="2:49" ht="19.5" customHeight="1" x14ac:dyDescent="0.3">
      <c r="B94" s="356" t="s">
        <v>305</v>
      </c>
      <c r="C94" s="331"/>
      <c r="D94" s="332" t="s">
        <v>207</v>
      </c>
      <c r="E94" s="332" t="s">
        <v>133</v>
      </c>
      <c r="F94" s="333"/>
      <c r="G94" s="334">
        <v>46086</v>
      </c>
      <c r="H94" s="335">
        <v>739.73</v>
      </c>
      <c r="I94" s="336">
        <v>306.61</v>
      </c>
      <c r="J94" s="337">
        <v>2561.65</v>
      </c>
      <c r="K94" s="338" t="s">
        <v>306</v>
      </c>
      <c r="L94" s="339" t="s">
        <v>307</v>
      </c>
      <c r="M94" s="340">
        <v>30</v>
      </c>
      <c r="N94" s="341">
        <v>85462</v>
      </c>
      <c r="O94" s="332">
        <v>59.78</v>
      </c>
      <c r="P94" s="342">
        <v>14.099999999999998</v>
      </c>
      <c r="Q94" s="343">
        <v>13.093196112064032</v>
      </c>
      <c r="R94" s="344">
        <v>1.733567046450482</v>
      </c>
      <c r="S94" s="344">
        <v>1.7490000000000001</v>
      </c>
      <c r="T94" s="344">
        <v>1.978</v>
      </c>
      <c r="U94" s="344" t="s">
        <v>136</v>
      </c>
      <c r="V94" s="332" t="s">
        <v>137</v>
      </c>
      <c r="W94" s="345">
        <v>8</v>
      </c>
      <c r="X94" s="346">
        <v>4</v>
      </c>
      <c r="Y94" s="208">
        <v>2.8069999999999999</v>
      </c>
      <c r="Z94" s="332"/>
      <c r="AA94" s="342"/>
      <c r="AB94" s="342"/>
      <c r="AC94" s="342"/>
      <c r="AD94" s="347"/>
      <c r="AE94" s="358">
        <v>1.7010000000000001</v>
      </c>
      <c r="AF94" s="349">
        <v>0</v>
      </c>
      <c r="AG94" s="350"/>
      <c r="AH94" s="351" t="s">
        <v>139</v>
      </c>
      <c r="AI94" s="352" t="s">
        <v>139</v>
      </c>
      <c r="AJ94" s="206" t="s">
        <v>139</v>
      </c>
      <c r="AK94" s="353" t="s">
        <v>288</v>
      </c>
      <c r="AL94" s="206" t="s">
        <v>139</v>
      </c>
      <c r="AM94" s="349">
        <v>101.91458238979905</v>
      </c>
      <c r="AN94" s="354" t="s">
        <v>139</v>
      </c>
      <c r="AO94" s="355" t="s">
        <v>140</v>
      </c>
      <c r="AP94" s="206" t="s">
        <v>139</v>
      </c>
      <c r="AQ94" s="246">
        <v>0</v>
      </c>
      <c r="AR94" s="211"/>
      <c r="AS94" s="297">
        <f>+IF(Table1[[#This Row],[Column40]]="ok",Table1[[#This Row],[Column7]],0)</f>
        <v>739.73</v>
      </c>
      <c r="AT94" s="295">
        <f>+IF(Table1[[#This Row],[Column40]]="No",Table1[[#This Row],[Column7]],0)</f>
        <v>0</v>
      </c>
      <c r="AU94" s="4" t="str">
        <f>+IF(LEFT(Table1[[#This Row],[Column42]],2)="DN",IF(Table1[[#This Row],[Column40]]="ok","(CA)",_xlfn.CONCAT("(CA)",CHAR(10),"FAIL")),"")</f>
        <v/>
      </c>
      <c r="AV94" s="154" t="str">
        <f>+IF(Table1[[#This Row],[Column6]]=0,"",_xlfn.CONCAT("Sem ",WEEKNUM(Table1[[#This Row],[Column6]],2)))</f>
        <v>Sem 10</v>
      </c>
      <c r="AW94" s="211"/>
    </row>
    <row r="95" spans="2:49" ht="19.5" customHeight="1" x14ac:dyDescent="0.3">
      <c r="B95" s="356" t="s">
        <v>308</v>
      </c>
      <c r="C95" s="331"/>
      <c r="D95" s="332" t="s">
        <v>207</v>
      </c>
      <c r="E95" s="332" t="s">
        <v>133</v>
      </c>
      <c r="F95" s="333"/>
      <c r="G95" s="334">
        <v>46086</v>
      </c>
      <c r="H95" s="335">
        <v>872.28</v>
      </c>
      <c r="I95" s="336">
        <v>316.54000000000002</v>
      </c>
      <c r="J95" s="337">
        <v>2553.85</v>
      </c>
      <c r="K95" s="338" t="s">
        <v>290</v>
      </c>
      <c r="L95" s="339" t="s">
        <v>302</v>
      </c>
      <c r="M95" s="340">
        <v>30</v>
      </c>
      <c r="N95" s="341">
        <v>85462</v>
      </c>
      <c r="O95" s="332">
        <v>59.78</v>
      </c>
      <c r="P95" s="342">
        <v>13.8</v>
      </c>
      <c r="Q95" s="343">
        <v>12.81477336317851</v>
      </c>
      <c r="R95" s="344">
        <v>1.7715289982425309</v>
      </c>
      <c r="S95" s="344">
        <v>1.7869999999999999</v>
      </c>
      <c r="T95" s="344">
        <v>2.016</v>
      </c>
      <c r="U95" s="344" t="s">
        <v>136</v>
      </c>
      <c r="V95" s="332" t="s">
        <v>137</v>
      </c>
      <c r="W95" s="345">
        <v>8</v>
      </c>
      <c r="X95" s="346">
        <v>4</v>
      </c>
      <c r="Y95" s="208">
        <v>2.8069999999999999</v>
      </c>
      <c r="Z95" s="332"/>
      <c r="AA95" s="342"/>
      <c r="AB95" s="342"/>
      <c r="AC95" s="342"/>
      <c r="AD95" s="347"/>
      <c r="AE95" s="358">
        <v>1.7381042350718401</v>
      </c>
      <c r="AF95" s="349">
        <v>16.100414824484368</v>
      </c>
      <c r="AG95" s="350"/>
      <c r="AH95" s="351">
        <v>1.7381567614125752</v>
      </c>
      <c r="AI95" s="352">
        <v>2.0179999999999998</v>
      </c>
      <c r="AJ95" s="206">
        <v>16.100000000000001</v>
      </c>
      <c r="AK95" s="353" t="s">
        <v>309</v>
      </c>
      <c r="AL95" s="206">
        <v>4.1482448436624964E-4</v>
      </c>
      <c r="AM95" s="349">
        <v>101.92305861157453</v>
      </c>
      <c r="AN95" s="354" t="s">
        <v>139</v>
      </c>
      <c r="AO95" s="355" t="s">
        <v>140</v>
      </c>
      <c r="AP95" s="206" t="s">
        <v>139</v>
      </c>
      <c r="AQ95" s="246">
        <v>0</v>
      </c>
      <c r="AR95" s="211"/>
      <c r="AS95" s="297">
        <f>+IF(Table1[[#This Row],[Column40]]="ok",Table1[[#This Row],[Column7]],0)</f>
        <v>872.28</v>
      </c>
      <c r="AT95" s="295">
        <f>+IF(Table1[[#This Row],[Column40]]="No",Table1[[#This Row],[Column7]],0)</f>
        <v>0</v>
      </c>
      <c r="AU95" s="4" t="str">
        <f>+IF(LEFT(Table1[[#This Row],[Column42]],2)="DN",IF(Table1[[#This Row],[Column40]]="ok","(CA)",_xlfn.CONCAT("(CA)",CHAR(10),"FAIL")),"")</f>
        <v/>
      </c>
      <c r="AV95" s="154" t="str">
        <f>+IF(Table1[[#This Row],[Column6]]=0,"",_xlfn.CONCAT("Sem ",WEEKNUM(Table1[[#This Row],[Column6]],2)))</f>
        <v>Sem 10</v>
      </c>
      <c r="AW95" s="211"/>
    </row>
    <row r="96" spans="2:49" ht="19.5" customHeight="1" x14ac:dyDescent="0.3">
      <c r="B96" s="356" t="s">
        <v>310</v>
      </c>
      <c r="C96" s="331"/>
      <c r="D96" s="332" t="s">
        <v>207</v>
      </c>
      <c r="E96" s="332" t="s">
        <v>133</v>
      </c>
      <c r="F96" s="333"/>
      <c r="G96" s="334">
        <v>46086</v>
      </c>
      <c r="H96" s="335">
        <v>912.23</v>
      </c>
      <c r="I96" s="336">
        <v>429.7</v>
      </c>
      <c r="J96" s="337">
        <v>2520.41</v>
      </c>
      <c r="K96" s="338" t="s">
        <v>290</v>
      </c>
      <c r="L96" s="339" t="s">
        <v>311</v>
      </c>
      <c r="M96" s="340">
        <v>30</v>
      </c>
      <c r="N96" s="341">
        <v>85462</v>
      </c>
      <c r="O96" s="332">
        <v>59.78</v>
      </c>
      <c r="P96" s="342">
        <v>10.8</v>
      </c>
      <c r="Q96" s="343">
        <v>10.698689956331876</v>
      </c>
      <c r="R96" s="344">
        <v>1.8303249097472922</v>
      </c>
      <c r="S96" s="344">
        <v>1.8320000000000001</v>
      </c>
      <c r="T96" s="344">
        <v>2.028</v>
      </c>
      <c r="U96" s="344" t="s">
        <v>136</v>
      </c>
      <c r="V96" s="332" t="s">
        <v>137</v>
      </c>
      <c r="W96" s="345">
        <v>8</v>
      </c>
      <c r="X96" s="346">
        <v>4</v>
      </c>
      <c r="Y96" s="208">
        <v>2.8069999999999999</v>
      </c>
      <c r="Z96" s="332"/>
      <c r="AA96" s="342"/>
      <c r="AB96" s="342"/>
      <c r="AC96" s="342"/>
      <c r="AD96" s="347"/>
      <c r="AE96" s="358">
        <v>1.7692807707944755</v>
      </c>
      <c r="AF96" s="349">
        <v>16.242786318319752</v>
      </c>
      <c r="AG96" s="350"/>
      <c r="AH96" s="351">
        <v>1.7439655172413795</v>
      </c>
      <c r="AI96" s="352">
        <v>2.0230000000000001</v>
      </c>
      <c r="AJ96" s="206">
        <v>16</v>
      </c>
      <c r="AK96" s="353" t="s">
        <v>277</v>
      </c>
      <c r="AL96" s="206">
        <v>0.24278631831975162</v>
      </c>
      <c r="AM96" s="349">
        <v>103.45022338797057</v>
      </c>
      <c r="AN96" s="354" t="s">
        <v>139</v>
      </c>
      <c r="AO96" s="355" t="s">
        <v>140</v>
      </c>
      <c r="AP96" s="206" t="s">
        <v>139</v>
      </c>
      <c r="AQ96" s="246">
        <v>0</v>
      </c>
      <c r="AR96" s="211"/>
      <c r="AS96" s="297">
        <f>+IF(Table1[[#This Row],[Column40]]="ok",Table1[[#This Row],[Column7]],0)</f>
        <v>912.23</v>
      </c>
      <c r="AT96" s="295">
        <f>+IF(Table1[[#This Row],[Column40]]="No",Table1[[#This Row],[Column7]],0)</f>
        <v>0</v>
      </c>
      <c r="AU96" s="4" t="str">
        <f>+IF(LEFT(Table1[[#This Row],[Column42]],2)="DN",IF(Table1[[#This Row],[Column40]]="ok","(CA)",_xlfn.CONCAT("(CA)",CHAR(10),"FAIL")),"")</f>
        <v/>
      </c>
      <c r="AV96" s="154" t="str">
        <f>+IF(Table1[[#This Row],[Column6]]=0,"",_xlfn.CONCAT("Sem ",WEEKNUM(Table1[[#This Row],[Column6]],2)))</f>
        <v>Sem 10</v>
      </c>
      <c r="AW96" s="211"/>
    </row>
    <row r="97" spans="2:49" ht="19.5" customHeight="1" x14ac:dyDescent="0.3">
      <c r="B97" s="356" t="s">
        <v>312</v>
      </c>
      <c r="C97" s="331"/>
      <c r="D97" s="332" t="s">
        <v>207</v>
      </c>
      <c r="E97" s="332" t="s">
        <v>133</v>
      </c>
      <c r="F97" s="333"/>
      <c r="G97" s="334">
        <v>46086</v>
      </c>
      <c r="H97" s="335">
        <v>848.96</v>
      </c>
      <c r="I97" s="336">
        <v>410.1</v>
      </c>
      <c r="J97" s="337">
        <v>2529.5500000000002</v>
      </c>
      <c r="K97" s="338" t="s">
        <v>290</v>
      </c>
      <c r="L97" s="339" t="s">
        <v>313</v>
      </c>
      <c r="M97" s="340">
        <v>30</v>
      </c>
      <c r="N97" s="341">
        <v>85462</v>
      </c>
      <c r="O97" s="332">
        <v>59.78</v>
      </c>
      <c r="P97" s="342">
        <v>12.2</v>
      </c>
      <c r="Q97" s="343">
        <v>11.570247933884303</v>
      </c>
      <c r="R97" s="344">
        <v>1.804812834224599</v>
      </c>
      <c r="S97" s="344">
        <v>1.8149999999999999</v>
      </c>
      <c r="T97" s="344">
        <v>2.0249999999999999</v>
      </c>
      <c r="U97" s="344" t="s">
        <v>136</v>
      </c>
      <c r="V97" s="332" t="s">
        <v>137</v>
      </c>
      <c r="W97" s="345">
        <v>8</v>
      </c>
      <c r="X97" s="346">
        <v>4</v>
      </c>
      <c r="Y97" s="208">
        <v>2.8069999999999999</v>
      </c>
      <c r="Z97" s="332"/>
      <c r="AA97" s="342"/>
      <c r="AB97" s="342"/>
      <c r="AC97" s="342"/>
      <c r="AD97" s="347"/>
      <c r="AE97" s="348">
        <v>1.7692807707944755</v>
      </c>
      <c r="AF97" s="349">
        <v>16.242786318319752</v>
      </c>
      <c r="AG97" s="350"/>
      <c r="AH97" s="351">
        <v>1.7405172413793106</v>
      </c>
      <c r="AI97" s="352">
        <v>2.0190000000000001</v>
      </c>
      <c r="AJ97" s="206">
        <v>16</v>
      </c>
      <c r="AK97" s="353" t="s">
        <v>277</v>
      </c>
      <c r="AL97" s="206">
        <v>0.24278631831975162</v>
      </c>
      <c r="AM97" s="349">
        <v>102.00827726252675</v>
      </c>
      <c r="AN97" s="354" t="s">
        <v>139</v>
      </c>
      <c r="AO97" s="355" t="s">
        <v>140</v>
      </c>
      <c r="AP97" s="206" t="s">
        <v>139</v>
      </c>
      <c r="AQ97" s="207">
        <v>0</v>
      </c>
      <c r="AR97" s="211"/>
      <c r="AS97" s="297">
        <f>+IF(Table1[[#This Row],[Column40]]="ok",Table1[[#This Row],[Column7]],0)</f>
        <v>848.96</v>
      </c>
      <c r="AT97" s="295">
        <f>+IF(Table1[[#This Row],[Column40]]="No",Table1[[#This Row],[Column7]],0)</f>
        <v>0</v>
      </c>
      <c r="AU97" s="4" t="str">
        <f>+IF(LEFT(Table1[[#This Row],[Column42]],2)="DN",IF(Table1[[#This Row],[Column40]]="ok","(CA)",_xlfn.CONCAT("(CA)",CHAR(10),"FAIL")),"")</f>
        <v/>
      </c>
      <c r="AV97" s="154" t="str">
        <f>+IF(Table1[[#This Row],[Column6]]=0,"",_xlfn.CONCAT("Sem ",WEEKNUM(Table1[[#This Row],[Column6]],2)))</f>
        <v>Sem 10</v>
      </c>
      <c r="AW97" s="211"/>
    </row>
    <row r="98" spans="2:49" ht="19.5" customHeight="1" x14ac:dyDescent="0.3">
      <c r="B98" s="356" t="s">
        <v>314</v>
      </c>
      <c r="C98" s="331"/>
      <c r="D98" s="332" t="s">
        <v>207</v>
      </c>
      <c r="E98" s="332" t="s">
        <v>133</v>
      </c>
      <c r="F98" s="333"/>
      <c r="G98" s="334">
        <v>46086</v>
      </c>
      <c r="H98" s="335">
        <v>846.95</v>
      </c>
      <c r="I98" s="336">
        <v>516.82000000000005</v>
      </c>
      <c r="J98" s="337">
        <v>2500.17</v>
      </c>
      <c r="K98" s="338" t="s">
        <v>240</v>
      </c>
      <c r="L98" s="339" t="s">
        <v>313</v>
      </c>
      <c r="M98" s="340">
        <v>30</v>
      </c>
      <c r="N98" s="341">
        <v>85462</v>
      </c>
      <c r="O98" s="332">
        <v>59.78</v>
      </c>
      <c r="P98" s="342">
        <v>12.4</v>
      </c>
      <c r="Q98" s="343">
        <v>12.918379330593076</v>
      </c>
      <c r="R98" s="344">
        <v>1.7108540925266902</v>
      </c>
      <c r="S98" s="344">
        <v>1.7030000000000001</v>
      </c>
      <c r="T98" s="344">
        <v>1.923</v>
      </c>
      <c r="U98" s="344" t="s">
        <v>136</v>
      </c>
      <c r="V98" s="332" t="s">
        <v>137</v>
      </c>
      <c r="W98" s="345">
        <v>8</v>
      </c>
      <c r="X98" s="346">
        <v>4</v>
      </c>
      <c r="Y98" s="208">
        <v>2.8069999999999999</v>
      </c>
      <c r="Z98" s="332"/>
      <c r="AA98" s="342"/>
      <c r="AB98" s="342"/>
      <c r="AC98" s="342"/>
      <c r="AD98" s="347"/>
      <c r="AE98" s="348">
        <v>1.7010000000000001</v>
      </c>
      <c r="AF98" s="349">
        <v>0</v>
      </c>
      <c r="AG98" s="350"/>
      <c r="AH98" s="351" t="s">
        <v>139</v>
      </c>
      <c r="AI98" s="352" t="s">
        <v>139</v>
      </c>
      <c r="AJ98" s="206" t="s">
        <v>139</v>
      </c>
      <c r="AK98" s="353" t="s">
        <v>288</v>
      </c>
      <c r="AL98" s="206" t="s">
        <v>139</v>
      </c>
      <c r="AM98" s="349">
        <v>100.57931172996415</v>
      </c>
      <c r="AN98" s="354" t="s">
        <v>139</v>
      </c>
      <c r="AO98" s="355" t="s">
        <v>140</v>
      </c>
      <c r="AP98" s="206" t="s">
        <v>139</v>
      </c>
      <c r="AQ98" s="207">
        <v>0</v>
      </c>
      <c r="AR98" s="211"/>
      <c r="AS98" s="297">
        <f>+IF(Table1[[#This Row],[Column40]]="ok",Table1[[#This Row],[Column7]],0)</f>
        <v>846.95</v>
      </c>
      <c r="AT98" s="295">
        <f>+IF(Table1[[#This Row],[Column40]]="No",Table1[[#This Row],[Column7]],0)</f>
        <v>0</v>
      </c>
      <c r="AU98" s="4" t="str">
        <f>+IF(LEFT(Table1[[#This Row],[Column42]],2)="DN",IF(Table1[[#This Row],[Column40]]="ok","(CA)",_xlfn.CONCAT("(CA)",CHAR(10),"FAIL")),"")</f>
        <v/>
      </c>
      <c r="AV98" s="154" t="str">
        <f>+IF(Table1[[#This Row],[Column6]]=0,"",_xlfn.CONCAT("Sem ",WEEKNUM(Table1[[#This Row],[Column6]],2)))</f>
        <v>Sem 10</v>
      </c>
      <c r="AW98" s="211"/>
    </row>
    <row r="99" spans="2:49" ht="19.5" customHeight="1" x14ac:dyDescent="0.3">
      <c r="B99" s="356" t="s">
        <v>315</v>
      </c>
      <c r="C99" s="331"/>
      <c r="D99" s="332" t="s">
        <v>207</v>
      </c>
      <c r="E99" s="332" t="s">
        <v>133</v>
      </c>
      <c r="F99" s="333"/>
      <c r="G99" s="334">
        <v>46086</v>
      </c>
      <c r="H99" s="335">
        <v>915.6</v>
      </c>
      <c r="I99" s="336">
        <v>536.03</v>
      </c>
      <c r="J99" s="337">
        <v>2490.42</v>
      </c>
      <c r="K99" s="338" t="s">
        <v>240</v>
      </c>
      <c r="L99" s="339" t="s">
        <v>311</v>
      </c>
      <c r="M99" s="340">
        <v>30</v>
      </c>
      <c r="N99" s="341">
        <v>85462</v>
      </c>
      <c r="O99" s="332">
        <v>59.78</v>
      </c>
      <c r="P99" s="342">
        <v>11.4</v>
      </c>
      <c r="Q99" s="343">
        <v>11.060433295324978</v>
      </c>
      <c r="R99" s="344">
        <v>1.7486535008976658</v>
      </c>
      <c r="S99" s="344">
        <v>1.754</v>
      </c>
      <c r="T99" s="344">
        <v>1.948</v>
      </c>
      <c r="U99" s="344" t="s">
        <v>136</v>
      </c>
      <c r="V99" s="332" t="s">
        <v>137</v>
      </c>
      <c r="W99" s="345">
        <v>8</v>
      </c>
      <c r="X99" s="346">
        <v>4</v>
      </c>
      <c r="Y99" s="208">
        <v>2.8069999999999999</v>
      </c>
      <c r="Z99" s="332"/>
      <c r="AA99" s="342"/>
      <c r="AB99" s="342"/>
      <c r="AC99" s="342"/>
      <c r="AD99" s="347"/>
      <c r="AE99" s="348">
        <v>1.7010000000000001</v>
      </c>
      <c r="AF99" s="349">
        <v>0</v>
      </c>
      <c r="AG99" s="350"/>
      <c r="AH99" s="351" t="s">
        <v>139</v>
      </c>
      <c r="AI99" s="352" t="s">
        <v>139</v>
      </c>
      <c r="AJ99" s="206" t="s">
        <v>139</v>
      </c>
      <c r="AK99" s="353" t="s">
        <v>288</v>
      </c>
      <c r="AL99" s="206" t="s">
        <v>139</v>
      </c>
      <c r="AM99" s="349">
        <v>102.80149917093861</v>
      </c>
      <c r="AN99" s="354" t="s">
        <v>139</v>
      </c>
      <c r="AO99" s="355" t="s">
        <v>140</v>
      </c>
      <c r="AP99" s="206" t="s">
        <v>139</v>
      </c>
      <c r="AQ99" s="207">
        <v>0</v>
      </c>
      <c r="AR99" s="211"/>
      <c r="AS99" s="297">
        <f>+IF(Table1[[#This Row],[Column40]]="ok",Table1[[#This Row],[Column7]],0)</f>
        <v>915.6</v>
      </c>
      <c r="AT99" s="295">
        <f>+IF(Table1[[#This Row],[Column40]]="No",Table1[[#This Row],[Column7]],0)</f>
        <v>0</v>
      </c>
      <c r="AU99" s="4" t="str">
        <f>+IF(LEFT(Table1[[#This Row],[Column42]],2)="DN",IF(Table1[[#This Row],[Column40]]="ok","(CA)",_xlfn.CONCAT("(CA)",CHAR(10),"FAIL")),"")</f>
        <v/>
      </c>
      <c r="AV99" s="154" t="str">
        <f>+IF(Table1[[#This Row],[Column6]]=0,"",_xlfn.CONCAT("Sem ",WEEKNUM(Table1[[#This Row],[Column6]],2)))</f>
        <v>Sem 10</v>
      </c>
      <c r="AW99" s="211"/>
    </row>
    <row r="100" spans="2:49" ht="19.5" customHeight="1" x14ac:dyDescent="0.3">
      <c r="B100" s="356" t="s">
        <v>316</v>
      </c>
      <c r="C100" s="331"/>
      <c r="D100" s="332" t="s">
        <v>207</v>
      </c>
      <c r="E100" s="332" t="s">
        <v>133</v>
      </c>
      <c r="F100" s="333"/>
      <c r="G100" s="334">
        <v>46086</v>
      </c>
      <c r="H100" s="335">
        <v>883.1</v>
      </c>
      <c r="I100" s="336">
        <v>612.91999999999996</v>
      </c>
      <c r="J100" s="337">
        <v>2469.85</v>
      </c>
      <c r="K100" s="338" t="s">
        <v>240</v>
      </c>
      <c r="L100" s="339" t="s">
        <v>302</v>
      </c>
      <c r="M100" s="340">
        <v>30</v>
      </c>
      <c r="N100" s="341">
        <v>85462</v>
      </c>
      <c r="O100" s="332">
        <v>59.78</v>
      </c>
      <c r="P100" s="342">
        <v>15</v>
      </c>
      <c r="Q100" s="343">
        <v>13.884204609331086</v>
      </c>
      <c r="R100" s="344">
        <v>1.7617391304347825</v>
      </c>
      <c r="S100" s="344">
        <v>1.7789999999999999</v>
      </c>
      <c r="T100" s="344">
        <v>2.0259999999999998</v>
      </c>
      <c r="U100" s="344" t="s">
        <v>136</v>
      </c>
      <c r="V100" s="332" t="s">
        <v>137</v>
      </c>
      <c r="W100" s="345">
        <v>8</v>
      </c>
      <c r="X100" s="346">
        <v>4</v>
      </c>
      <c r="Y100" s="208">
        <v>2.8069999999999999</v>
      </c>
      <c r="Z100" s="332"/>
      <c r="AA100" s="342"/>
      <c r="AB100" s="342"/>
      <c r="AC100" s="342"/>
      <c r="AD100" s="347"/>
      <c r="AE100" s="348">
        <v>1.7692807707944755</v>
      </c>
      <c r="AF100" s="349">
        <v>16.242786318319752</v>
      </c>
      <c r="AG100" s="350"/>
      <c r="AH100" s="351">
        <v>1.752799310938846</v>
      </c>
      <c r="AI100" s="352">
        <v>2.0350000000000001</v>
      </c>
      <c r="AJ100" s="206">
        <v>16.100000000000001</v>
      </c>
      <c r="AK100" s="353" t="s">
        <v>277</v>
      </c>
      <c r="AL100" s="206">
        <v>0.14278631831975019</v>
      </c>
      <c r="AM100" s="349">
        <v>99.573745417675767</v>
      </c>
      <c r="AN100" s="354" t="s">
        <v>139</v>
      </c>
      <c r="AO100" s="355" t="s">
        <v>140</v>
      </c>
      <c r="AP100" s="206" t="s">
        <v>139</v>
      </c>
      <c r="AQ100" s="207" t="s">
        <v>317</v>
      </c>
      <c r="AR100" s="211"/>
      <c r="AS100" s="297">
        <f>+IF(Table1[[#This Row],[Column40]]="ok",Table1[[#This Row],[Column7]],0)</f>
        <v>883.1</v>
      </c>
      <c r="AT100" s="295">
        <f>+IF(Table1[[#This Row],[Column40]]="No",Table1[[#This Row],[Column7]],0)</f>
        <v>0</v>
      </c>
      <c r="AU100" s="4" t="str">
        <f>+IF(LEFT(Table1[[#This Row],[Column42]],2)="DN",IF(Table1[[#This Row],[Column40]]="ok","(CA)",_xlfn.CONCAT("(CA)",CHAR(10),"FAIL")),"")</f>
        <v/>
      </c>
      <c r="AV100" s="154" t="str">
        <f>+IF(Table1[[#This Row],[Column6]]=0,"",_xlfn.CONCAT("Sem ",WEEKNUM(Table1[[#This Row],[Column6]],2)))</f>
        <v>Sem 10</v>
      </c>
      <c r="AW100" s="211"/>
    </row>
    <row r="101" spans="2:49" ht="19.5" customHeight="1" x14ac:dyDescent="0.3">
      <c r="B101" s="356" t="s">
        <v>317</v>
      </c>
      <c r="C101" s="331"/>
      <c r="D101" s="332" t="s">
        <v>207</v>
      </c>
      <c r="E101" s="332" t="s">
        <v>172</v>
      </c>
      <c r="F101" s="333"/>
      <c r="G101" s="334">
        <v>46086</v>
      </c>
      <c r="H101" s="335">
        <v>883.1</v>
      </c>
      <c r="I101" s="336">
        <v>612.91999999999996</v>
      </c>
      <c r="J101" s="337">
        <v>2469.85</v>
      </c>
      <c r="K101" s="338" t="s">
        <v>244</v>
      </c>
      <c r="L101" s="339" t="s">
        <v>249</v>
      </c>
      <c r="M101" s="340">
        <v>15</v>
      </c>
      <c r="N101" s="341"/>
      <c r="O101" s="332"/>
      <c r="P101" s="342">
        <v>14.989307380089926</v>
      </c>
      <c r="Q101" s="343"/>
      <c r="R101" s="344">
        <v>1.7404620743337087</v>
      </c>
      <c r="S101" s="344"/>
      <c r="T101" s="344">
        <v>2.0013452844894775</v>
      </c>
      <c r="U101" s="344" t="s">
        <v>142</v>
      </c>
      <c r="V101" s="332" t="s">
        <v>137</v>
      </c>
      <c r="W101" s="345">
        <v>6</v>
      </c>
      <c r="X101" s="346">
        <v>8</v>
      </c>
      <c r="Y101" s="208"/>
      <c r="Z101" s="332" t="s">
        <v>143</v>
      </c>
      <c r="AA101" s="342">
        <v>98.443663392406592</v>
      </c>
      <c r="AB101" s="342">
        <v>74.237070799301947</v>
      </c>
      <c r="AC101" s="342">
        <v>32.54948309590705</v>
      </c>
      <c r="AD101" s="347">
        <v>11.066479566090877</v>
      </c>
      <c r="AE101" s="348">
        <v>1.7692807707944755</v>
      </c>
      <c r="AF101" s="349">
        <v>16.242786318319752</v>
      </c>
      <c r="AG101" s="350" t="s">
        <v>277</v>
      </c>
      <c r="AH101" s="351">
        <v>1.7533347916513462</v>
      </c>
      <c r="AI101" s="352">
        <v>2.0349776738252183</v>
      </c>
      <c r="AJ101" s="206">
        <v>16.06326889279439</v>
      </c>
      <c r="AK101" s="353" t="s">
        <v>277</v>
      </c>
      <c r="AL101" s="206">
        <v>0.17951742552536132</v>
      </c>
      <c r="AM101" s="349">
        <v>98.371163190349591</v>
      </c>
      <c r="AN101" s="354" t="s">
        <v>139</v>
      </c>
      <c r="AO101" s="355" t="s">
        <v>144</v>
      </c>
      <c r="AP101" s="206">
        <v>0</v>
      </c>
      <c r="AQ101" s="207" t="s">
        <v>316</v>
      </c>
      <c r="AR101" s="211"/>
      <c r="AS101" s="297">
        <f>+IF(Table1[[#This Row],[Column40]]="ok",Table1[[#This Row],[Column7]],0)</f>
        <v>883.1</v>
      </c>
      <c r="AT101" s="295">
        <f>+IF(Table1[[#This Row],[Column40]]="No",Table1[[#This Row],[Column7]],0)</f>
        <v>0</v>
      </c>
      <c r="AU101" s="4" t="str">
        <f>+IF(LEFT(Table1[[#This Row],[Column42]],2)="DN",IF(Table1[[#This Row],[Column40]]="ok","(CA)",_xlfn.CONCAT("(CA)",CHAR(10),"FAIL")),"")</f>
        <v>(CA)</v>
      </c>
      <c r="AV101" s="154" t="str">
        <f>+IF(Table1[[#This Row],[Column6]]=0,"",_xlfn.CONCAT("Sem ",WEEKNUM(Table1[[#This Row],[Column6]],2)))</f>
        <v>Sem 10</v>
      </c>
      <c r="AW101" s="211"/>
    </row>
    <row r="102" spans="2:49" ht="19.5" customHeight="1" x14ac:dyDescent="0.3">
      <c r="B102" s="356" t="s">
        <v>318</v>
      </c>
      <c r="C102" s="331"/>
      <c r="D102" s="332" t="s">
        <v>207</v>
      </c>
      <c r="E102" s="332" t="s">
        <v>176</v>
      </c>
      <c r="F102" s="333"/>
      <c r="G102" s="334">
        <v>46086</v>
      </c>
      <c r="H102" s="335">
        <v>648.70000000000005</v>
      </c>
      <c r="I102" s="336">
        <v>60.65</v>
      </c>
      <c r="J102" s="337">
        <v>2636.71</v>
      </c>
      <c r="K102" s="338" t="s">
        <v>167</v>
      </c>
      <c r="L102" s="339" t="s">
        <v>233</v>
      </c>
      <c r="M102" s="340">
        <v>30</v>
      </c>
      <c r="N102" s="341">
        <v>75239</v>
      </c>
      <c r="O102" s="332">
        <v>45.26</v>
      </c>
      <c r="P102" s="342">
        <v>11.899999999999999</v>
      </c>
      <c r="Q102" s="343">
        <v>14.81690140845069</v>
      </c>
      <c r="R102" s="344">
        <v>1.8212689901697943</v>
      </c>
      <c r="S102" s="344">
        <v>1.7749999999999999</v>
      </c>
      <c r="T102" s="344">
        <v>2.0379999999999998</v>
      </c>
      <c r="U102" s="344" t="s">
        <v>136</v>
      </c>
      <c r="V102" s="332" t="s">
        <v>234</v>
      </c>
      <c r="W102" s="345">
        <v>16</v>
      </c>
      <c r="X102" s="346">
        <v>8</v>
      </c>
      <c r="Y102" s="208">
        <v>2.8069999999999999</v>
      </c>
      <c r="Z102" s="332"/>
      <c r="AA102" s="342"/>
      <c r="AB102" s="342"/>
      <c r="AC102" s="342"/>
      <c r="AD102" s="347"/>
      <c r="AE102" s="348">
        <v>1.74</v>
      </c>
      <c r="AF102" s="349">
        <v>0</v>
      </c>
      <c r="AG102" s="350"/>
      <c r="AH102" s="351" t="s">
        <v>139</v>
      </c>
      <c r="AI102" s="352" t="s">
        <v>139</v>
      </c>
      <c r="AJ102" s="206" t="s">
        <v>139</v>
      </c>
      <c r="AK102" s="353" t="s">
        <v>196</v>
      </c>
      <c r="AL102" s="206" t="s">
        <v>139</v>
      </c>
      <c r="AM102" s="349">
        <v>104.67063161895369</v>
      </c>
      <c r="AN102" s="354" t="s">
        <v>139</v>
      </c>
      <c r="AO102" s="355" t="s">
        <v>140</v>
      </c>
      <c r="AP102" s="206" t="s">
        <v>139</v>
      </c>
      <c r="AQ102" s="207">
        <v>0</v>
      </c>
      <c r="AR102" s="211"/>
      <c r="AS102" s="297">
        <f>+IF(Table1[[#This Row],[Column40]]="ok",Table1[[#This Row],[Column7]],0)</f>
        <v>648.70000000000005</v>
      </c>
      <c r="AT102" s="295">
        <f>+IF(Table1[[#This Row],[Column40]]="No",Table1[[#This Row],[Column7]],0)</f>
        <v>0</v>
      </c>
      <c r="AU102" s="4" t="str">
        <f>+IF(LEFT(Table1[[#This Row],[Column42]],2)="DN",IF(Table1[[#This Row],[Column40]]="ok","(CA)",_xlfn.CONCAT("(CA)",CHAR(10),"FAIL")),"")</f>
        <v/>
      </c>
      <c r="AV102" s="154" t="str">
        <f>+IF(Table1[[#This Row],[Column6]]=0,"",_xlfn.CONCAT("Sem ",WEEKNUM(Table1[[#This Row],[Column6]],2)))</f>
        <v>Sem 10</v>
      </c>
      <c r="AW102" s="211"/>
    </row>
    <row r="103" spans="2:49" ht="19.5" customHeight="1" x14ac:dyDescent="0.3">
      <c r="B103" s="356" t="s">
        <v>319</v>
      </c>
      <c r="C103" s="331"/>
      <c r="D103" s="332" t="s">
        <v>207</v>
      </c>
      <c r="E103" s="332" t="s">
        <v>176</v>
      </c>
      <c r="F103" s="333"/>
      <c r="G103" s="334">
        <v>46086</v>
      </c>
      <c r="H103" s="335">
        <v>792.57</v>
      </c>
      <c r="I103" s="336">
        <v>431.62</v>
      </c>
      <c r="J103" s="337">
        <v>2528.2199999999998</v>
      </c>
      <c r="K103" s="338" t="s">
        <v>290</v>
      </c>
      <c r="L103" s="339" t="s">
        <v>304</v>
      </c>
      <c r="M103" s="340">
        <v>30</v>
      </c>
      <c r="N103" s="341">
        <v>75239</v>
      </c>
      <c r="O103" s="332">
        <v>45.26</v>
      </c>
      <c r="P103" s="342">
        <v>6.8000000000000007</v>
      </c>
      <c r="Q103" s="343">
        <v>8.0681818181818077</v>
      </c>
      <c r="R103" s="344">
        <v>1.7808988764044942</v>
      </c>
      <c r="S103" s="344">
        <v>1.76</v>
      </c>
      <c r="T103" s="344">
        <v>1.9019999999999999</v>
      </c>
      <c r="U103" s="344" t="s">
        <v>136</v>
      </c>
      <c r="V103" s="332" t="s">
        <v>137</v>
      </c>
      <c r="W103" s="345">
        <v>8</v>
      </c>
      <c r="X103" s="346">
        <v>4</v>
      </c>
      <c r="Y103" s="208">
        <v>2.8069999999999999</v>
      </c>
      <c r="Z103" s="332"/>
      <c r="AA103" s="342"/>
      <c r="AB103" s="342"/>
      <c r="AC103" s="342"/>
      <c r="AD103" s="347"/>
      <c r="AE103" s="348">
        <v>1.7010000000000001</v>
      </c>
      <c r="AF103" s="349">
        <v>0</v>
      </c>
      <c r="AG103" s="350"/>
      <c r="AH103" s="351" t="s">
        <v>139</v>
      </c>
      <c r="AI103" s="352" t="s">
        <v>139</v>
      </c>
      <c r="AJ103" s="206" t="s">
        <v>139</v>
      </c>
      <c r="AK103" s="353" t="s">
        <v>288</v>
      </c>
      <c r="AL103" s="206" t="s">
        <v>139</v>
      </c>
      <c r="AM103" s="349">
        <v>104.69717086446173</v>
      </c>
      <c r="AN103" s="354" t="s">
        <v>139</v>
      </c>
      <c r="AO103" s="355" t="s">
        <v>140</v>
      </c>
      <c r="AP103" s="206" t="s">
        <v>139</v>
      </c>
      <c r="AQ103" s="207">
        <v>0</v>
      </c>
      <c r="AR103" s="211"/>
      <c r="AS103" s="297">
        <f>+IF(Table1[[#This Row],[Column40]]="ok",Table1[[#This Row],[Column7]],0)</f>
        <v>792.57</v>
      </c>
      <c r="AT103" s="295">
        <f>+IF(Table1[[#This Row],[Column40]]="No",Table1[[#This Row],[Column7]],0)</f>
        <v>0</v>
      </c>
      <c r="AU103" s="4" t="str">
        <f>+IF(LEFT(Table1[[#This Row],[Column42]],2)="DN",IF(Table1[[#This Row],[Column40]]="ok","(CA)",_xlfn.CONCAT("(CA)",CHAR(10),"FAIL")),"")</f>
        <v/>
      </c>
      <c r="AV103" s="154" t="str">
        <f>+IF(Table1[[#This Row],[Column6]]=0,"",_xlfn.CONCAT("Sem ",WEEKNUM(Table1[[#This Row],[Column6]],2)))</f>
        <v>Sem 10</v>
      </c>
      <c r="AW103" s="211"/>
    </row>
    <row r="104" spans="2:49" ht="19.5" customHeight="1" x14ac:dyDescent="0.3">
      <c r="B104" s="356" t="s">
        <v>320</v>
      </c>
      <c r="C104" s="331"/>
      <c r="D104" s="332" t="s">
        <v>207</v>
      </c>
      <c r="E104" s="332" t="s">
        <v>176</v>
      </c>
      <c r="F104" s="333"/>
      <c r="G104" s="334">
        <v>46086</v>
      </c>
      <c r="H104" s="335">
        <v>728.72</v>
      </c>
      <c r="I104" s="336">
        <v>436.65</v>
      </c>
      <c r="J104" s="337">
        <v>2532.08</v>
      </c>
      <c r="K104" s="338" t="s">
        <v>306</v>
      </c>
      <c r="L104" s="339" t="s">
        <v>307</v>
      </c>
      <c r="M104" s="340">
        <v>30</v>
      </c>
      <c r="N104" s="341">
        <v>75239</v>
      </c>
      <c r="O104" s="332">
        <v>45.26</v>
      </c>
      <c r="P104" s="342">
        <v>11.799999999999999</v>
      </c>
      <c r="Q104" s="343">
        <v>8.8912694161756853</v>
      </c>
      <c r="R104" s="344">
        <v>1.8184257602862255</v>
      </c>
      <c r="S104" s="344">
        <v>1.867</v>
      </c>
      <c r="T104" s="344">
        <v>2.0329999999999999</v>
      </c>
      <c r="U104" s="344" t="s">
        <v>136</v>
      </c>
      <c r="V104" s="332" t="s">
        <v>137</v>
      </c>
      <c r="W104" s="345">
        <v>8</v>
      </c>
      <c r="X104" s="346">
        <v>4</v>
      </c>
      <c r="Y104" s="208">
        <v>2.8069999999999999</v>
      </c>
      <c r="Z104" s="332"/>
      <c r="AA104" s="342"/>
      <c r="AB104" s="342"/>
      <c r="AC104" s="342"/>
      <c r="AD104" s="347"/>
      <c r="AE104" s="348">
        <v>1.7381042350718401</v>
      </c>
      <c r="AF104" s="349">
        <v>16.100414824484368</v>
      </c>
      <c r="AG104" s="350"/>
      <c r="AH104" s="351">
        <v>1.734711455641688</v>
      </c>
      <c r="AI104" s="352">
        <v>2.0139999999999998</v>
      </c>
      <c r="AJ104" s="206">
        <v>16.100000000000001</v>
      </c>
      <c r="AK104" s="353" t="s">
        <v>309</v>
      </c>
      <c r="AL104" s="206">
        <v>4.1482448436624964E-4</v>
      </c>
      <c r="AM104" s="349">
        <v>104.621214516002</v>
      </c>
      <c r="AN104" s="354" t="s">
        <v>139</v>
      </c>
      <c r="AO104" s="355" t="s">
        <v>140</v>
      </c>
      <c r="AP104" s="206" t="s">
        <v>139</v>
      </c>
      <c r="AQ104" s="207">
        <v>0</v>
      </c>
      <c r="AR104" s="211"/>
      <c r="AS104" s="297">
        <f>+IF(Table1[[#This Row],[Column40]]="ok",Table1[[#This Row],[Column7]],0)</f>
        <v>728.72</v>
      </c>
      <c r="AT104" s="295">
        <f>+IF(Table1[[#This Row],[Column40]]="No",Table1[[#This Row],[Column7]],0)</f>
        <v>0</v>
      </c>
      <c r="AU104" s="4" t="str">
        <f>+IF(LEFT(Table1[[#This Row],[Column42]],2)="DN",IF(Table1[[#This Row],[Column40]]="ok","(CA)",_xlfn.CONCAT("(CA)",CHAR(10),"FAIL")),"")</f>
        <v/>
      </c>
      <c r="AV104" s="154" t="str">
        <f>+IF(Table1[[#This Row],[Column6]]=0,"",_xlfn.CONCAT("Sem ",WEEKNUM(Table1[[#This Row],[Column6]],2)))</f>
        <v>Sem 10</v>
      </c>
      <c r="AW104" s="211"/>
    </row>
    <row r="105" spans="2:49" ht="19.5" customHeight="1" x14ac:dyDescent="0.3">
      <c r="B105" s="356" t="s">
        <v>321</v>
      </c>
      <c r="C105" s="331"/>
      <c r="D105" s="332" t="s">
        <v>207</v>
      </c>
      <c r="E105" s="332" t="s">
        <v>176</v>
      </c>
      <c r="F105" s="333"/>
      <c r="G105" s="334">
        <v>46086</v>
      </c>
      <c r="H105" s="335">
        <v>667.51</v>
      </c>
      <c r="I105" s="336">
        <v>413.32</v>
      </c>
      <c r="J105" s="337">
        <v>2543.08</v>
      </c>
      <c r="K105" s="338" t="s">
        <v>306</v>
      </c>
      <c r="L105" s="339" t="s">
        <v>322</v>
      </c>
      <c r="M105" s="340">
        <v>30</v>
      </c>
      <c r="N105" s="341">
        <v>75239</v>
      </c>
      <c r="O105" s="332">
        <v>45.26</v>
      </c>
      <c r="P105" s="342">
        <v>9.4</v>
      </c>
      <c r="Q105" s="343">
        <v>8.1838565022421363</v>
      </c>
      <c r="R105" s="344">
        <v>1.7641681901279707</v>
      </c>
      <c r="S105" s="344">
        <v>1.784</v>
      </c>
      <c r="T105" s="344">
        <v>1.93</v>
      </c>
      <c r="U105" s="344" t="s">
        <v>136</v>
      </c>
      <c r="V105" s="332" t="s">
        <v>137</v>
      </c>
      <c r="W105" s="345">
        <v>8</v>
      </c>
      <c r="X105" s="346">
        <v>4</v>
      </c>
      <c r="Y105" s="208">
        <v>2.8069999999999999</v>
      </c>
      <c r="Z105" s="332"/>
      <c r="AA105" s="342"/>
      <c r="AB105" s="342"/>
      <c r="AC105" s="342"/>
      <c r="AD105" s="347"/>
      <c r="AE105" s="348">
        <v>1.7010000000000001</v>
      </c>
      <c r="AF105" s="349">
        <v>0</v>
      </c>
      <c r="AG105" s="350"/>
      <c r="AH105" s="351" t="s">
        <v>139</v>
      </c>
      <c r="AI105" s="352" t="s">
        <v>139</v>
      </c>
      <c r="AJ105" s="206" t="s">
        <v>139</v>
      </c>
      <c r="AK105" s="353" t="s">
        <v>288</v>
      </c>
      <c r="AL105" s="206" t="s">
        <v>139</v>
      </c>
      <c r="AM105" s="349">
        <v>103.7135914243369</v>
      </c>
      <c r="AN105" s="354" t="s">
        <v>139</v>
      </c>
      <c r="AO105" s="355" t="s">
        <v>140</v>
      </c>
      <c r="AP105" s="206" t="s">
        <v>139</v>
      </c>
      <c r="AQ105" s="207">
        <v>0</v>
      </c>
      <c r="AR105" s="211"/>
      <c r="AS105" s="297">
        <f>+IF(Table1[[#This Row],[Column40]]="ok",Table1[[#This Row],[Column7]],0)</f>
        <v>667.51</v>
      </c>
      <c r="AT105" s="295">
        <f>+IF(Table1[[#This Row],[Column40]]="No",Table1[[#This Row],[Column7]],0)</f>
        <v>0</v>
      </c>
      <c r="AU105" s="4" t="str">
        <f>+IF(LEFT(Table1[[#This Row],[Column42]],2)="DN",IF(Table1[[#This Row],[Column40]]="ok","(CA)",_xlfn.CONCAT("(CA)",CHAR(10),"FAIL")),"")</f>
        <v/>
      </c>
      <c r="AV105" s="154" t="str">
        <f>+IF(Table1[[#This Row],[Column6]]=0,"",_xlfn.CONCAT("Sem ",WEEKNUM(Table1[[#This Row],[Column6]],2)))</f>
        <v>Sem 10</v>
      </c>
      <c r="AW105" s="211"/>
    </row>
    <row r="106" spans="2:49" ht="19.5" customHeight="1" x14ac:dyDescent="0.3">
      <c r="B106" s="356" t="s">
        <v>323</v>
      </c>
      <c r="C106" s="331"/>
      <c r="D106" s="332" t="s">
        <v>207</v>
      </c>
      <c r="E106" s="332" t="s">
        <v>176</v>
      </c>
      <c r="F106" s="333"/>
      <c r="G106" s="334">
        <v>46086</v>
      </c>
      <c r="H106" s="335">
        <v>607.28</v>
      </c>
      <c r="I106" s="336">
        <v>396.62</v>
      </c>
      <c r="J106" s="337">
        <v>2549.4899999999998</v>
      </c>
      <c r="K106" s="338" t="s">
        <v>306</v>
      </c>
      <c r="L106" s="339" t="s">
        <v>324</v>
      </c>
      <c r="M106" s="340">
        <v>30</v>
      </c>
      <c r="N106" s="341">
        <v>75239</v>
      </c>
      <c r="O106" s="332">
        <v>45.26</v>
      </c>
      <c r="P106" s="342">
        <v>9.4</v>
      </c>
      <c r="Q106" s="343">
        <v>8.7542087542087579</v>
      </c>
      <c r="R106" s="344">
        <v>1.7714808043875683</v>
      </c>
      <c r="S106" s="344">
        <v>1.782</v>
      </c>
      <c r="T106" s="344">
        <v>1.9379999999999999</v>
      </c>
      <c r="U106" s="344" t="s">
        <v>136</v>
      </c>
      <c r="V106" s="332" t="s">
        <v>137</v>
      </c>
      <c r="W106" s="345">
        <v>8</v>
      </c>
      <c r="X106" s="346">
        <v>4</v>
      </c>
      <c r="Y106" s="208">
        <v>2.8069999999999999</v>
      </c>
      <c r="Z106" s="332"/>
      <c r="AA106" s="342"/>
      <c r="AB106" s="342"/>
      <c r="AC106" s="342"/>
      <c r="AD106" s="347"/>
      <c r="AE106" s="348">
        <v>1.7010000000000001</v>
      </c>
      <c r="AF106" s="349">
        <v>0</v>
      </c>
      <c r="AG106" s="350"/>
      <c r="AH106" s="351" t="s">
        <v>139</v>
      </c>
      <c r="AI106" s="352" t="s">
        <v>139</v>
      </c>
      <c r="AJ106" s="206" t="s">
        <v>139</v>
      </c>
      <c r="AK106" s="353" t="s">
        <v>288</v>
      </c>
      <c r="AL106" s="206" t="s">
        <v>139</v>
      </c>
      <c r="AM106" s="349">
        <v>104.14349232143259</v>
      </c>
      <c r="AN106" s="354" t="s">
        <v>139</v>
      </c>
      <c r="AO106" s="355" t="s">
        <v>140</v>
      </c>
      <c r="AP106" s="206" t="s">
        <v>139</v>
      </c>
      <c r="AQ106" s="207">
        <v>0</v>
      </c>
      <c r="AR106" s="211"/>
      <c r="AS106" s="297">
        <f>+IF(Table1[[#This Row],[Column40]]="ok",Table1[[#This Row],[Column7]],0)</f>
        <v>607.28</v>
      </c>
      <c r="AT106" s="295">
        <f>+IF(Table1[[#This Row],[Column40]]="No",Table1[[#This Row],[Column7]],0)</f>
        <v>0</v>
      </c>
      <c r="AU106" s="4" t="str">
        <f>+IF(LEFT(Table1[[#This Row],[Column42]],2)="DN",IF(Table1[[#This Row],[Column40]]="ok","(CA)",_xlfn.CONCAT("(CA)",CHAR(10),"FAIL")),"")</f>
        <v/>
      </c>
      <c r="AV106" s="154" t="str">
        <f>+IF(Table1[[#This Row],[Column6]]=0,"",_xlfn.CONCAT("Sem ",WEEKNUM(Table1[[#This Row],[Column6]],2)))</f>
        <v>Sem 10</v>
      </c>
      <c r="AW106" s="211"/>
    </row>
    <row r="107" spans="2:49" ht="19.5" customHeight="1" x14ac:dyDescent="0.3">
      <c r="B107" s="356" t="s">
        <v>325</v>
      </c>
      <c r="C107" s="331"/>
      <c r="D107" s="332" t="s">
        <v>207</v>
      </c>
      <c r="E107" s="332" t="s">
        <v>176</v>
      </c>
      <c r="F107" s="333"/>
      <c r="G107" s="334">
        <v>46086</v>
      </c>
      <c r="H107" s="335">
        <v>617.69000000000005</v>
      </c>
      <c r="I107" s="336">
        <v>504.71</v>
      </c>
      <c r="J107" s="337">
        <v>2520.8000000000002</v>
      </c>
      <c r="K107" s="338" t="s">
        <v>326</v>
      </c>
      <c r="L107" s="339" t="s">
        <v>324</v>
      </c>
      <c r="M107" s="340">
        <v>30</v>
      </c>
      <c r="N107" s="341">
        <v>75239</v>
      </c>
      <c r="O107" s="332">
        <v>45.26</v>
      </c>
      <c r="P107" s="342">
        <v>13.600000000000001</v>
      </c>
      <c r="Q107" s="343">
        <v>9.7120271033314545</v>
      </c>
      <c r="R107" s="344">
        <v>1.7103873239436618</v>
      </c>
      <c r="S107" s="344">
        <v>1.7709999999999999</v>
      </c>
      <c r="T107" s="344">
        <v>1.9430000000000001</v>
      </c>
      <c r="U107" s="344" t="s">
        <v>136</v>
      </c>
      <c r="V107" s="332" t="s">
        <v>137</v>
      </c>
      <c r="W107" s="345">
        <v>8</v>
      </c>
      <c r="X107" s="346">
        <v>4</v>
      </c>
      <c r="Y107" s="208">
        <v>2.8069999999999999</v>
      </c>
      <c r="Z107" s="332"/>
      <c r="AA107" s="342"/>
      <c r="AB107" s="342"/>
      <c r="AC107" s="342"/>
      <c r="AD107" s="347"/>
      <c r="AE107" s="348">
        <v>1.7010000000000001</v>
      </c>
      <c r="AF107" s="349">
        <v>0</v>
      </c>
      <c r="AG107" s="350"/>
      <c r="AH107" s="351" t="s">
        <v>139</v>
      </c>
      <c r="AI107" s="352" t="s">
        <v>139</v>
      </c>
      <c r="AJ107" s="206" t="s">
        <v>139</v>
      </c>
      <c r="AK107" s="353" t="s">
        <v>288</v>
      </c>
      <c r="AL107" s="206" t="s">
        <v>139</v>
      </c>
      <c r="AM107" s="349">
        <v>100.55187089615882</v>
      </c>
      <c r="AN107" s="354" t="s">
        <v>139</v>
      </c>
      <c r="AO107" s="355" t="s">
        <v>140</v>
      </c>
      <c r="AP107" s="206" t="s">
        <v>139</v>
      </c>
      <c r="AQ107" s="207">
        <v>0</v>
      </c>
      <c r="AR107" s="211"/>
      <c r="AS107" s="297">
        <f>+IF(Table1[[#This Row],[Column40]]="ok",Table1[[#This Row],[Column7]],0)</f>
        <v>617.69000000000005</v>
      </c>
      <c r="AT107" s="295">
        <f>+IF(Table1[[#This Row],[Column40]]="No",Table1[[#This Row],[Column7]],0)</f>
        <v>0</v>
      </c>
      <c r="AU107" s="4" t="str">
        <f>+IF(LEFT(Table1[[#This Row],[Column42]],2)="DN",IF(Table1[[#This Row],[Column40]]="ok","(CA)",_xlfn.CONCAT("(CA)",CHAR(10),"FAIL")),"")</f>
        <v/>
      </c>
      <c r="AV107" s="154" t="str">
        <f>+IF(Table1[[#This Row],[Column6]]=0,"",_xlfn.CONCAT("Sem ",WEEKNUM(Table1[[#This Row],[Column6]],2)))</f>
        <v>Sem 10</v>
      </c>
      <c r="AW107" s="211"/>
    </row>
    <row r="108" spans="2:49" ht="19.5" customHeight="1" x14ac:dyDescent="0.3">
      <c r="B108" s="356" t="s">
        <v>327</v>
      </c>
      <c r="C108" s="331"/>
      <c r="D108" s="332" t="s">
        <v>207</v>
      </c>
      <c r="E108" s="332" t="s">
        <v>176</v>
      </c>
      <c r="F108" s="333"/>
      <c r="G108" s="334">
        <v>46086</v>
      </c>
      <c r="H108" s="335">
        <v>666.5</v>
      </c>
      <c r="I108" s="336">
        <v>532.79</v>
      </c>
      <c r="J108" s="337">
        <v>2511.21</v>
      </c>
      <c r="K108" s="338" t="s">
        <v>326</v>
      </c>
      <c r="L108" s="339" t="s">
        <v>322</v>
      </c>
      <c r="M108" s="340">
        <v>30</v>
      </c>
      <c r="N108" s="341">
        <v>75239</v>
      </c>
      <c r="O108" s="332">
        <v>45.26</v>
      </c>
      <c r="P108" s="342">
        <v>10.6</v>
      </c>
      <c r="Q108" s="343">
        <v>10.135135135135132</v>
      </c>
      <c r="R108" s="344">
        <v>1.7685352622061481</v>
      </c>
      <c r="S108" s="344">
        <v>1.776</v>
      </c>
      <c r="T108" s="344">
        <v>1.956</v>
      </c>
      <c r="U108" s="344" t="s">
        <v>136</v>
      </c>
      <c r="V108" s="332" t="s">
        <v>137</v>
      </c>
      <c r="W108" s="345">
        <v>8</v>
      </c>
      <c r="X108" s="346">
        <v>4</v>
      </c>
      <c r="Y108" s="208">
        <v>2.8069999999999999</v>
      </c>
      <c r="Z108" s="332"/>
      <c r="AA108" s="342"/>
      <c r="AB108" s="342"/>
      <c r="AC108" s="342"/>
      <c r="AD108" s="347"/>
      <c r="AE108" s="348">
        <v>1.7010000000000001</v>
      </c>
      <c r="AF108" s="349">
        <v>0</v>
      </c>
      <c r="AG108" s="350"/>
      <c r="AH108" s="351" t="s">
        <v>139</v>
      </c>
      <c r="AI108" s="352" t="s">
        <v>139</v>
      </c>
      <c r="AJ108" s="206" t="s">
        <v>139</v>
      </c>
      <c r="AK108" s="353" t="s">
        <v>288</v>
      </c>
      <c r="AL108" s="206" t="s">
        <v>139</v>
      </c>
      <c r="AM108" s="349">
        <v>103.97032699624621</v>
      </c>
      <c r="AN108" s="354" t="s">
        <v>139</v>
      </c>
      <c r="AO108" s="355" t="s">
        <v>140</v>
      </c>
      <c r="AP108" s="206" t="s">
        <v>139</v>
      </c>
      <c r="AQ108" s="207">
        <v>0</v>
      </c>
      <c r="AR108" s="211"/>
      <c r="AS108" s="297">
        <f>+IF(Table1[[#This Row],[Column40]]="ok",Table1[[#This Row],[Column7]],0)</f>
        <v>666.5</v>
      </c>
      <c r="AT108" s="295">
        <f>+IF(Table1[[#This Row],[Column40]]="No",Table1[[#This Row],[Column7]],0)</f>
        <v>0</v>
      </c>
      <c r="AU108" s="4" t="str">
        <f>+IF(LEFT(Table1[[#This Row],[Column42]],2)="DN",IF(Table1[[#This Row],[Column40]]="ok","(CA)",_xlfn.CONCAT("(CA)",CHAR(10),"FAIL")),"")</f>
        <v/>
      </c>
      <c r="AV108" s="154" t="str">
        <f>+IF(Table1[[#This Row],[Column6]]=0,"",_xlfn.CONCAT("Sem ",WEEKNUM(Table1[[#This Row],[Column6]],2)))</f>
        <v>Sem 10</v>
      </c>
      <c r="AW108" s="211"/>
    </row>
    <row r="109" spans="2:49" ht="19.5" customHeight="1" x14ac:dyDescent="0.3">
      <c r="B109" s="356" t="s">
        <v>328</v>
      </c>
      <c r="C109" s="331"/>
      <c r="D109" s="332" t="s">
        <v>207</v>
      </c>
      <c r="E109" s="332" t="s">
        <v>176</v>
      </c>
      <c r="F109" s="333"/>
      <c r="G109" s="334">
        <v>46086</v>
      </c>
      <c r="H109" s="335">
        <v>727.19</v>
      </c>
      <c r="I109" s="336">
        <v>528.34</v>
      </c>
      <c r="J109" s="337">
        <v>2508.5300000000002</v>
      </c>
      <c r="K109" s="338" t="s">
        <v>326</v>
      </c>
      <c r="L109" s="339" t="s">
        <v>307</v>
      </c>
      <c r="M109" s="340">
        <v>30</v>
      </c>
      <c r="N109" s="341">
        <v>75239</v>
      </c>
      <c r="O109" s="332">
        <v>45.26</v>
      </c>
      <c r="P109" s="342">
        <v>14.299999999999999</v>
      </c>
      <c r="Q109" s="343">
        <v>8.5552407932011363</v>
      </c>
      <c r="R109" s="344">
        <v>1.6762904636920384</v>
      </c>
      <c r="S109" s="344">
        <v>1.7649999999999999</v>
      </c>
      <c r="T109" s="344">
        <v>1.9159999999999999</v>
      </c>
      <c r="U109" s="344" t="s">
        <v>136</v>
      </c>
      <c r="V109" s="332" t="s">
        <v>137</v>
      </c>
      <c r="W109" s="345">
        <v>8</v>
      </c>
      <c r="X109" s="346">
        <v>4</v>
      </c>
      <c r="Y109" s="208">
        <v>2.8069999999999999</v>
      </c>
      <c r="Z109" s="332"/>
      <c r="AA109" s="342"/>
      <c r="AB109" s="342"/>
      <c r="AC109" s="342"/>
      <c r="AD109" s="347"/>
      <c r="AE109" s="348">
        <v>1.7010000000000001</v>
      </c>
      <c r="AF109" s="349">
        <v>0</v>
      </c>
      <c r="AG109" s="350"/>
      <c r="AH109" s="351" t="s">
        <v>139</v>
      </c>
      <c r="AI109" s="352" t="s">
        <v>139</v>
      </c>
      <c r="AJ109" s="206" t="s">
        <v>139</v>
      </c>
      <c r="AK109" s="353" t="s">
        <v>288</v>
      </c>
      <c r="AL109" s="206" t="s">
        <v>139</v>
      </c>
      <c r="AM109" s="349">
        <v>98.547352362847647</v>
      </c>
      <c r="AN109" s="354" t="s">
        <v>139</v>
      </c>
      <c r="AO109" s="355" t="s">
        <v>140</v>
      </c>
      <c r="AP109" s="206" t="s">
        <v>139</v>
      </c>
      <c r="AQ109" s="207">
        <v>0</v>
      </c>
      <c r="AR109" s="211"/>
      <c r="AS109" s="297">
        <f>+IF(Table1[[#This Row],[Column40]]="ok",Table1[[#This Row],[Column7]],0)</f>
        <v>727.19</v>
      </c>
      <c r="AT109" s="295">
        <f>+IF(Table1[[#This Row],[Column40]]="No",Table1[[#This Row],[Column7]],0)</f>
        <v>0</v>
      </c>
      <c r="AU109" s="4" t="str">
        <f>+IF(LEFT(Table1[[#This Row],[Column42]],2)="DN",IF(Table1[[#This Row],[Column40]]="ok","(CA)",_xlfn.CONCAT("(CA)",CHAR(10),"FAIL")),"")</f>
        <v/>
      </c>
      <c r="AV109" s="154" t="str">
        <f>+IF(Table1[[#This Row],[Column6]]=0,"",_xlfn.CONCAT("Sem ",WEEKNUM(Table1[[#This Row],[Column6]],2)))</f>
        <v>Sem 10</v>
      </c>
      <c r="AW109" s="211"/>
    </row>
    <row r="110" spans="2:49" ht="19.5" customHeight="1" x14ac:dyDescent="0.3">
      <c r="B110" s="356" t="s">
        <v>329</v>
      </c>
      <c r="C110" s="331"/>
      <c r="D110" s="332" t="s">
        <v>207</v>
      </c>
      <c r="E110" s="332" t="s">
        <v>176</v>
      </c>
      <c r="F110" s="333"/>
      <c r="G110" s="334">
        <v>46086</v>
      </c>
      <c r="H110" s="335">
        <v>789.84</v>
      </c>
      <c r="I110" s="336">
        <v>497.08</v>
      </c>
      <c r="J110" s="337">
        <v>2510.46</v>
      </c>
      <c r="K110" s="338" t="s">
        <v>290</v>
      </c>
      <c r="L110" s="339" t="s">
        <v>304</v>
      </c>
      <c r="M110" s="340">
        <v>30</v>
      </c>
      <c r="N110" s="341">
        <v>75239</v>
      </c>
      <c r="O110" s="332">
        <v>45.26</v>
      </c>
      <c r="P110" s="342">
        <v>10</v>
      </c>
      <c r="Q110" s="343">
        <v>12.108922363847041</v>
      </c>
      <c r="R110" s="344">
        <v>1.759090909090909</v>
      </c>
      <c r="S110" s="344">
        <v>1.726</v>
      </c>
      <c r="T110" s="344">
        <v>1.9350000000000001</v>
      </c>
      <c r="U110" s="344" t="s">
        <v>136</v>
      </c>
      <c r="V110" s="332" t="s">
        <v>137</v>
      </c>
      <c r="W110" s="345">
        <v>8</v>
      </c>
      <c r="X110" s="346">
        <v>4</v>
      </c>
      <c r="Y110" s="208">
        <v>2.8069999999999999</v>
      </c>
      <c r="Z110" s="332"/>
      <c r="AA110" s="342"/>
      <c r="AB110" s="342"/>
      <c r="AC110" s="342"/>
      <c r="AD110" s="347"/>
      <c r="AE110" s="348">
        <v>1.7010000000000001</v>
      </c>
      <c r="AF110" s="349">
        <v>0</v>
      </c>
      <c r="AG110" s="350"/>
      <c r="AH110" s="351" t="s">
        <v>139</v>
      </c>
      <c r="AI110" s="352" t="s">
        <v>139</v>
      </c>
      <c r="AJ110" s="206" t="s">
        <v>139</v>
      </c>
      <c r="AK110" s="353" t="s">
        <v>288</v>
      </c>
      <c r="AL110" s="206" t="s">
        <v>139</v>
      </c>
      <c r="AM110" s="349">
        <v>103.4151034151034</v>
      </c>
      <c r="AN110" s="354" t="s">
        <v>139</v>
      </c>
      <c r="AO110" s="355" t="s">
        <v>140</v>
      </c>
      <c r="AP110" s="206" t="s">
        <v>139</v>
      </c>
      <c r="AQ110" s="207">
        <v>0</v>
      </c>
      <c r="AR110" s="211"/>
      <c r="AS110" s="297">
        <f>+IF(Table1[[#This Row],[Column40]]="ok",Table1[[#This Row],[Column7]],0)</f>
        <v>789.84</v>
      </c>
      <c r="AT110" s="295">
        <f>+IF(Table1[[#This Row],[Column40]]="No",Table1[[#This Row],[Column7]],0)</f>
        <v>0</v>
      </c>
      <c r="AU110" s="4" t="str">
        <f>+IF(LEFT(Table1[[#This Row],[Column42]],2)="DN",IF(Table1[[#This Row],[Column40]]="ok","(CA)",_xlfn.CONCAT("(CA)",CHAR(10),"FAIL")),"")</f>
        <v/>
      </c>
      <c r="AV110" s="154" t="str">
        <f>+IF(Table1[[#This Row],[Column6]]=0,"",_xlfn.CONCAT("Sem ",WEEKNUM(Table1[[#This Row],[Column6]],2)))</f>
        <v>Sem 10</v>
      </c>
      <c r="AW110" s="211"/>
    </row>
    <row r="111" spans="2:49" ht="19.5" customHeight="1" x14ac:dyDescent="0.3">
      <c r="B111" s="356" t="s">
        <v>330</v>
      </c>
      <c r="C111" s="331"/>
      <c r="D111" s="332" t="s">
        <v>207</v>
      </c>
      <c r="E111" s="332" t="s">
        <v>176</v>
      </c>
      <c r="F111" s="333"/>
      <c r="G111" s="334">
        <v>46086</v>
      </c>
      <c r="H111" s="335">
        <v>565.53</v>
      </c>
      <c r="I111" s="336">
        <v>298.68</v>
      </c>
      <c r="J111" s="337">
        <v>2578.52</v>
      </c>
      <c r="K111" s="338" t="s">
        <v>331</v>
      </c>
      <c r="L111" s="339" t="s">
        <v>332</v>
      </c>
      <c r="M111" s="340">
        <v>30</v>
      </c>
      <c r="N111" s="341">
        <v>75239</v>
      </c>
      <c r="O111" s="332">
        <v>45.26</v>
      </c>
      <c r="P111" s="342">
        <v>11.600000000000001</v>
      </c>
      <c r="Q111" s="343">
        <v>13.071512309495903</v>
      </c>
      <c r="R111" s="344">
        <v>1.7284946236559138</v>
      </c>
      <c r="S111" s="344">
        <v>1.706</v>
      </c>
      <c r="T111" s="344">
        <v>1.929</v>
      </c>
      <c r="U111" s="344" t="s">
        <v>136</v>
      </c>
      <c r="V111" s="332" t="s">
        <v>137</v>
      </c>
      <c r="W111" s="345">
        <v>8</v>
      </c>
      <c r="X111" s="346">
        <v>4</v>
      </c>
      <c r="Y111" s="208">
        <v>2.8069999999999999</v>
      </c>
      <c r="Z111" s="332"/>
      <c r="AA111" s="342"/>
      <c r="AB111" s="342"/>
      <c r="AC111" s="342"/>
      <c r="AD111" s="347"/>
      <c r="AE111" s="348">
        <v>1.7307890926303404</v>
      </c>
      <c r="AF111" s="349">
        <v>16.256701093687461</v>
      </c>
      <c r="AG111" s="350"/>
      <c r="AH111" s="351">
        <v>1.7246127366609296</v>
      </c>
      <c r="AI111" s="352">
        <v>2.004</v>
      </c>
      <c r="AJ111" s="206">
        <v>16.2</v>
      </c>
      <c r="AK111" s="353" t="s">
        <v>181</v>
      </c>
      <c r="AL111" s="206">
        <v>5.6701093687461679E-2</v>
      </c>
      <c r="AM111" s="349">
        <v>99.867432202791406</v>
      </c>
      <c r="AN111" s="354" t="s">
        <v>139</v>
      </c>
      <c r="AO111" s="355" t="s">
        <v>140</v>
      </c>
      <c r="AP111" s="206" t="s">
        <v>139</v>
      </c>
      <c r="AQ111" s="207" t="s">
        <v>333</v>
      </c>
      <c r="AR111" s="211"/>
      <c r="AS111" s="297">
        <f>+IF(Table1[[#This Row],[Column40]]="ok",Table1[[#This Row],[Column7]],0)</f>
        <v>565.53</v>
      </c>
      <c r="AT111" s="295">
        <f>+IF(Table1[[#This Row],[Column40]]="No",Table1[[#This Row],[Column7]],0)</f>
        <v>0</v>
      </c>
      <c r="AU111" s="4" t="str">
        <f>+IF(LEFT(Table1[[#This Row],[Column42]],2)="DN",IF(Table1[[#This Row],[Column40]]="ok","(CA)",_xlfn.CONCAT("(CA)",CHAR(10),"FAIL")),"")</f>
        <v/>
      </c>
      <c r="AV111" s="154" t="str">
        <f>+IF(Table1[[#This Row],[Column6]]=0,"",_xlfn.CONCAT("Sem ",WEEKNUM(Table1[[#This Row],[Column6]],2)))</f>
        <v>Sem 10</v>
      </c>
      <c r="AW111" s="211"/>
    </row>
    <row r="112" spans="2:49" ht="19.5" customHeight="1" x14ac:dyDescent="0.3">
      <c r="B112" s="356" t="s">
        <v>333</v>
      </c>
      <c r="C112" s="331"/>
      <c r="D112" s="332" t="s">
        <v>207</v>
      </c>
      <c r="E112" s="332" t="s">
        <v>176</v>
      </c>
      <c r="F112" s="333"/>
      <c r="G112" s="334">
        <v>46086</v>
      </c>
      <c r="H112" s="335">
        <v>565.53</v>
      </c>
      <c r="I112" s="336">
        <v>298.68</v>
      </c>
      <c r="J112" s="337">
        <v>2578.52</v>
      </c>
      <c r="K112" s="338" t="s">
        <v>331</v>
      </c>
      <c r="L112" s="339" t="s">
        <v>332</v>
      </c>
      <c r="M112" s="340">
        <v>15</v>
      </c>
      <c r="N112" s="341"/>
      <c r="O112" s="332"/>
      <c r="P112" s="342">
        <v>11.630625365283437</v>
      </c>
      <c r="Q112" s="343"/>
      <c r="R112" s="344">
        <v>1.7318457295230161</v>
      </c>
      <c r="S112" s="344"/>
      <c r="T112" s="344">
        <v>1.933270218228498</v>
      </c>
      <c r="U112" s="344" t="s">
        <v>142</v>
      </c>
      <c r="V112" s="332" t="s">
        <v>137</v>
      </c>
      <c r="W112" s="345">
        <v>6</v>
      </c>
      <c r="X112" s="346">
        <v>8</v>
      </c>
      <c r="Y112" s="208"/>
      <c r="Z112" s="332" t="s">
        <v>227</v>
      </c>
      <c r="AA112" s="342">
        <v>98.887486406325607</v>
      </c>
      <c r="AB112" s="342">
        <v>79.696626915442209</v>
      </c>
      <c r="AC112" s="342">
        <v>41.23905473410673</v>
      </c>
      <c r="AD112" s="347">
        <v>13.198655293540611</v>
      </c>
      <c r="AE112" s="348">
        <v>1.7307890926303404</v>
      </c>
      <c r="AF112" s="349">
        <v>16.256701093687461</v>
      </c>
      <c r="AG112" s="350" t="s">
        <v>181</v>
      </c>
      <c r="AH112" s="351">
        <v>1.7252521457418557</v>
      </c>
      <c r="AI112" s="352">
        <v>2.0041462896023816</v>
      </c>
      <c r="AJ112" s="206">
        <v>16.165413533834609</v>
      </c>
      <c r="AK112" s="353" t="s">
        <v>181</v>
      </c>
      <c r="AL112" s="206">
        <v>9.128755985285153E-2</v>
      </c>
      <c r="AM112" s="349">
        <v>100.0610494309893</v>
      </c>
      <c r="AN112" s="354" t="s">
        <v>139</v>
      </c>
      <c r="AO112" s="355" t="s">
        <v>144</v>
      </c>
      <c r="AP112" s="206">
        <v>0</v>
      </c>
      <c r="AQ112" s="207" t="s">
        <v>330</v>
      </c>
      <c r="AR112" s="211"/>
      <c r="AS112" s="297">
        <f>+IF(Table1[[#This Row],[Column40]]="ok",Table1[[#This Row],[Column7]],0)</f>
        <v>565.53</v>
      </c>
      <c r="AT112" s="295">
        <f>+IF(Table1[[#This Row],[Column40]]="No",Table1[[#This Row],[Column7]],0)</f>
        <v>0</v>
      </c>
      <c r="AU112" s="4" t="str">
        <f>+IF(LEFT(Table1[[#This Row],[Column42]],2)="DN",IF(Table1[[#This Row],[Column40]]="ok","(CA)",_xlfn.CONCAT("(CA)",CHAR(10),"FAIL")),"")</f>
        <v>(CA)</v>
      </c>
      <c r="AV112" s="154" t="str">
        <f>+IF(Table1[[#This Row],[Column6]]=0,"",_xlfn.CONCAT("Sem ",WEEKNUM(Table1[[#This Row],[Column6]],2)))</f>
        <v>Sem 10</v>
      </c>
      <c r="AW112" s="211"/>
    </row>
    <row r="113" spans="2:49" ht="19.5" customHeight="1" x14ac:dyDescent="0.3">
      <c r="B113" s="356" t="s">
        <v>334</v>
      </c>
      <c r="C113" s="331"/>
      <c r="D113" s="332" t="s">
        <v>207</v>
      </c>
      <c r="E113" s="332" t="s">
        <v>176</v>
      </c>
      <c r="F113" s="333"/>
      <c r="G113" s="334">
        <v>46086</v>
      </c>
      <c r="H113" s="335">
        <v>424.12</v>
      </c>
      <c r="I113" s="336">
        <v>235.82</v>
      </c>
      <c r="J113" s="337">
        <v>2597.4</v>
      </c>
      <c r="K113" s="338" t="s">
        <v>335</v>
      </c>
      <c r="L113" s="339" t="s">
        <v>336</v>
      </c>
      <c r="M113" s="340">
        <v>30</v>
      </c>
      <c r="N113" s="341">
        <v>75239</v>
      </c>
      <c r="O113" s="332">
        <v>45.26</v>
      </c>
      <c r="P113" s="342">
        <v>11</v>
      </c>
      <c r="Q113" s="343">
        <v>11.866359447004605</v>
      </c>
      <c r="R113" s="344">
        <v>1.7495495495495494</v>
      </c>
      <c r="S113" s="344">
        <v>1.736</v>
      </c>
      <c r="T113" s="344">
        <v>1.9419999999999999</v>
      </c>
      <c r="U113" s="344" t="s">
        <v>136</v>
      </c>
      <c r="V113" s="332" t="s">
        <v>137</v>
      </c>
      <c r="W113" s="345">
        <v>8</v>
      </c>
      <c r="X113" s="346">
        <v>4</v>
      </c>
      <c r="Y113" s="208">
        <v>2.8069999999999999</v>
      </c>
      <c r="Z113" s="332"/>
      <c r="AA113" s="342"/>
      <c r="AB113" s="342"/>
      <c r="AC113" s="342"/>
      <c r="AD113" s="347"/>
      <c r="AE113" s="348">
        <v>1.7010000000000001</v>
      </c>
      <c r="AF113" s="349">
        <v>0</v>
      </c>
      <c r="AG113" s="350"/>
      <c r="AH113" s="351" t="s">
        <v>139</v>
      </c>
      <c r="AI113" s="352" t="s">
        <v>139</v>
      </c>
      <c r="AJ113" s="206" t="s">
        <v>139</v>
      </c>
      <c r="AK113" s="353" t="s">
        <v>288</v>
      </c>
      <c r="AL113" s="206" t="s">
        <v>139</v>
      </c>
      <c r="AM113" s="349">
        <v>102.85417692825098</v>
      </c>
      <c r="AN113" s="354" t="s">
        <v>139</v>
      </c>
      <c r="AO113" s="355" t="s">
        <v>140</v>
      </c>
      <c r="AP113" s="206" t="s">
        <v>139</v>
      </c>
      <c r="AQ113" s="207">
        <v>0</v>
      </c>
      <c r="AR113" s="211"/>
      <c r="AS113" s="297">
        <f>+IF(Table1[[#This Row],[Column40]]="ok",Table1[[#This Row],[Column7]],0)</f>
        <v>424.12</v>
      </c>
      <c r="AT113" s="295">
        <f>+IF(Table1[[#This Row],[Column40]]="No",Table1[[#This Row],[Column7]],0)</f>
        <v>0</v>
      </c>
      <c r="AU113" s="4" t="str">
        <f>+IF(LEFT(Table1[[#This Row],[Column42]],2)="DN",IF(Table1[[#This Row],[Column40]]="ok","(CA)",_xlfn.CONCAT("(CA)",CHAR(10),"FAIL")),"")</f>
        <v/>
      </c>
      <c r="AV113" s="154" t="str">
        <f>+IF(Table1[[#This Row],[Column6]]=0,"",_xlfn.CONCAT("Sem ",WEEKNUM(Table1[[#This Row],[Column6]],2)))</f>
        <v>Sem 10</v>
      </c>
      <c r="AW113" s="211"/>
    </row>
    <row r="114" spans="2:49" ht="19.5" customHeight="1" x14ac:dyDescent="0.3">
      <c r="B114" s="356" t="s">
        <v>337</v>
      </c>
      <c r="C114" s="331"/>
      <c r="D114" s="332" t="s">
        <v>207</v>
      </c>
      <c r="E114" s="332" t="s">
        <v>176</v>
      </c>
      <c r="F114" s="333"/>
      <c r="G114" s="334">
        <v>46086</v>
      </c>
      <c r="H114" s="335">
        <v>483.66</v>
      </c>
      <c r="I114" s="336">
        <v>304.12</v>
      </c>
      <c r="J114" s="337">
        <v>2576.56</v>
      </c>
      <c r="K114" s="338" t="s">
        <v>331</v>
      </c>
      <c r="L114" s="339" t="s">
        <v>338</v>
      </c>
      <c r="M114" s="340">
        <v>30</v>
      </c>
      <c r="N114" s="341">
        <v>75239</v>
      </c>
      <c r="O114" s="332">
        <v>45.26</v>
      </c>
      <c r="P114" s="342">
        <v>11.1</v>
      </c>
      <c r="Q114" s="343">
        <v>10.284718187100506</v>
      </c>
      <c r="R114" s="344">
        <v>1.7083708370837083</v>
      </c>
      <c r="S114" s="344">
        <v>1.7210000000000001</v>
      </c>
      <c r="T114" s="344">
        <v>1.8979999999999999</v>
      </c>
      <c r="U114" s="344" t="s">
        <v>136</v>
      </c>
      <c r="V114" s="332" t="s">
        <v>137</v>
      </c>
      <c r="W114" s="345">
        <v>8</v>
      </c>
      <c r="X114" s="346">
        <v>4</v>
      </c>
      <c r="Y114" s="208">
        <v>2.8069999999999999</v>
      </c>
      <c r="Z114" s="332"/>
      <c r="AA114" s="342"/>
      <c r="AB114" s="342"/>
      <c r="AC114" s="342"/>
      <c r="AD114" s="347"/>
      <c r="AE114" s="348">
        <v>1.7010000000000001</v>
      </c>
      <c r="AF114" s="349">
        <v>0</v>
      </c>
      <c r="AG114" s="350"/>
      <c r="AH114" s="351" t="s">
        <v>139</v>
      </c>
      <c r="AI114" s="352" t="s">
        <v>139</v>
      </c>
      <c r="AJ114" s="206" t="s">
        <v>139</v>
      </c>
      <c r="AK114" s="353" t="s">
        <v>288</v>
      </c>
      <c r="AL114" s="206" t="s">
        <v>139</v>
      </c>
      <c r="AM114" s="349">
        <v>100.43332375565599</v>
      </c>
      <c r="AN114" s="354" t="s">
        <v>139</v>
      </c>
      <c r="AO114" s="355" t="s">
        <v>140</v>
      </c>
      <c r="AP114" s="206" t="s">
        <v>139</v>
      </c>
      <c r="AQ114" s="207">
        <v>0</v>
      </c>
      <c r="AR114" s="211"/>
      <c r="AS114" s="297">
        <f>+IF(Table1[[#This Row],[Column40]]="ok",Table1[[#This Row],[Column7]],0)</f>
        <v>483.66</v>
      </c>
      <c r="AT114" s="295">
        <f>+IF(Table1[[#This Row],[Column40]]="No",Table1[[#This Row],[Column7]],0)</f>
        <v>0</v>
      </c>
      <c r="AU114" s="4" t="str">
        <f>+IF(LEFT(Table1[[#This Row],[Column42]],2)="DN",IF(Table1[[#This Row],[Column40]]="ok","(CA)",_xlfn.CONCAT("(CA)",CHAR(10),"FAIL")),"")</f>
        <v/>
      </c>
      <c r="AV114" s="154" t="str">
        <f>+IF(Table1[[#This Row],[Column6]]=0,"",_xlfn.CONCAT("Sem ",WEEKNUM(Table1[[#This Row],[Column6]],2)))</f>
        <v>Sem 10</v>
      </c>
      <c r="AW114" s="211"/>
    </row>
    <row r="115" spans="2:49" ht="19.5" customHeight="1" x14ac:dyDescent="0.3">
      <c r="B115" s="356" t="s">
        <v>339</v>
      </c>
      <c r="C115" s="331"/>
      <c r="D115" s="332" t="s">
        <v>207</v>
      </c>
      <c r="E115" s="332" t="s">
        <v>176</v>
      </c>
      <c r="F115" s="333"/>
      <c r="G115" s="334">
        <v>46086</v>
      </c>
      <c r="H115" s="335">
        <v>582.34</v>
      </c>
      <c r="I115" s="336">
        <v>425.64</v>
      </c>
      <c r="J115" s="337">
        <v>2542.21</v>
      </c>
      <c r="K115" s="338" t="s">
        <v>331</v>
      </c>
      <c r="L115" s="339" t="s">
        <v>340</v>
      </c>
      <c r="M115" s="340">
        <v>30</v>
      </c>
      <c r="N115" s="341">
        <v>75239</v>
      </c>
      <c r="O115" s="332">
        <v>45.26</v>
      </c>
      <c r="P115" s="342">
        <v>10.7</v>
      </c>
      <c r="Q115" s="343">
        <v>9.3240093240093191</v>
      </c>
      <c r="R115" s="344">
        <v>1.6946702800361335</v>
      </c>
      <c r="S115" s="344">
        <v>1.716</v>
      </c>
      <c r="T115" s="344">
        <v>1.8759999999999999</v>
      </c>
      <c r="U115" s="344" t="s">
        <v>136</v>
      </c>
      <c r="V115" s="332" t="s">
        <v>137</v>
      </c>
      <c r="W115" s="345">
        <v>8</v>
      </c>
      <c r="X115" s="346">
        <v>4</v>
      </c>
      <c r="Y115" s="208">
        <v>2.8069999999999999</v>
      </c>
      <c r="Z115" s="332"/>
      <c r="AA115" s="342"/>
      <c r="AB115" s="342"/>
      <c r="AC115" s="342"/>
      <c r="AD115" s="347"/>
      <c r="AE115" s="348">
        <v>1.7010000000000001</v>
      </c>
      <c r="AF115" s="349">
        <v>0</v>
      </c>
      <c r="AG115" s="350"/>
      <c r="AH115" s="351" t="s">
        <v>139</v>
      </c>
      <c r="AI115" s="352" t="s">
        <v>139</v>
      </c>
      <c r="AJ115" s="206" t="s">
        <v>139</v>
      </c>
      <c r="AK115" s="353" t="s">
        <v>288</v>
      </c>
      <c r="AL115" s="206" t="s">
        <v>139</v>
      </c>
      <c r="AM115" s="349">
        <v>99.627882424228886</v>
      </c>
      <c r="AN115" s="354" t="s">
        <v>139</v>
      </c>
      <c r="AO115" s="355" t="s">
        <v>140</v>
      </c>
      <c r="AP115" s="206" t="s">
        <v>139</v>
      </c>
      <c r="AQ115" s="207">
        <v>0</v>
      </c>
      <c r="AR115" s="211"/>
      <c r="AS115" s="297">
        <f>+IF(Table1[[#This Row],[Column40]]="ok",Table1[[#This Row],[Column7]],0)</f>
        <v>582.34</v>
      </c>
      <c r="AT115" s="295">
        <f>+IF(Table1[[#This Row],[Column40]]="No",Table1[[#This Row],[Column7]],0)</f>
        <v>0</v>
      </c>
      <c r="AU115" s="4" t="str">
        <f>+IF(LEFT(Table1[[#This Row],[Column42]],2)="DN",IF(Table1[[#This Row],[Column40]]="ok","(CA)",_xlfn.CONCAT("(CA)",CHAR(10),"FAIL")),"")</f>
        <v/>
      </c>
      <c r="AV115" s="154" t="str">
        <f>+IF(Table1[[#This Row],[Column6]]=0,"",_xlfn.CONCAT("Sem ",WEEKNUM(Table1[[#This Row],[Column6]],2)))</f>
        <v>Sem 10</v>
      </c>
      <c r="AW115" s="211"/>
    </row>
    <row r="116" spans="2:49" ht="19.5" customHeight="1" x14ac:dyDescent="0.3">
      <c r="B116" s="356" t="s">
        <v>341</v>
      </c>
      <c r="C116" s="331"/>
      <c r="D116" s="332" t="s">
        <v>207</v>
      </c>
      <c r="E116" s="332" t="s">
        <v>176</v>
      </c>
      <c r="F116" s="333"/>
      <c r="G116" s="334">
        <v>46086</v>
      </c>
      <c r="H116" s="335">
        <v>514.17999999999995</v>
      </c>
      <c r="I116" s="336">
        <v>374.13</v>
      </c>
      <c r="J116" s="337">
        <v>2558.3200000000002</v>
      </c>
      <c r="K116" s="338" t="s">
        <v>331</v>
      </c>
      <c r="L116" s="339" t="s">
        <v>342</v>
      </c>
      <c r="M116" s="340">
        <v>30</v>
      </c>
      <c r="N116" s="341">
        <v>75239</v>
      </c>
      <c r="O116" s="332">
        <v>45.26</v>
      </c>
      <c r="P116" s="342">
        <v>11.4</v>
      </c>
      <c r="Q116" s="343">
        <v>9.6009253903990732</v>
      </c>
      <c r="R116" s="344">
        <v>1.701077199281867</v>
      </c>
      <c r="S116" s="344">
        <v>1.7290000000000001</v>
      </c>
      <c r="T116" s="344">
        <v>1.895</v>
      </c>
      <c r="U116" s="344" t="s">
        <v>136</v>
      </c>
      <c r="V116" s="332" t="s">
        <v>137</v>
      </c>
      <c r="W116" s="345">
        <v>8</v>
      </c>
      <c r="X116" s="346">
        <v>4</v>
      </c>
      <c r="Y116" s="208">
        <v>2.8069999999999999</v>
      </c>
      <c r="Z116" s="332"/>
      <c r="AA116" s="342"/>
      <c r="AB116" s="342"/>
      <c r="AC116" s="342"/>
      <c r="AD116" s="347"/>
      <c r="AE116" s="348">
        <v>1.7010000000000001</v>
      </c>
      <c r="AF116" s="349">
        <v>0</v>
      </c>
      <c r="AG116" s="350"/>
      <c r="AH116" s="351" t="s">
        <v>139</v>
      </c>
      <c r="AI116" s="352" t="s">
        <v>139</v>
      </c>
      <c r="AJ116" s="206" t="s">
        <v>139</v>
      </c>
      <c r="AK116" s="353" t="s">
        <v>288</v>
      </c>
      <c r="AL116" s="206" t="s">
        <v>139</v>
      </c>
      <c r="AM116" s="349">
        <v>100.00453846454245</v>
      </c>
      <c r="AN116" s="354" t="s">
        <v>139</v>
      </c>
      <c r="AO116" s="355" t="s">
        <v>140</v>
      </c>
      <c r="AP116" s="206" t="s">
        <v>139</v>
      </c>
      <c r="AQ116" s="207">
        <v>0</v>
      </c>
      <c r="AR116" s="211"/>
      <c r="AS116" s="297">
        <f>+IF(Table1[[#This Row],[Column40]]="ok",Table1[[#This Row],[Column7]],0)</f>
        <v>514.17999999999995</v>
      </c>
      <c r="AT116" s="295">
        <f>+IF(Table1[[#This Row],[Column40]]="No",Table1[[#This Row],[Column7]],0)</f>
        <v>0</v>
      </c>
      <c r="AU116" s="4" t="str">
        <f>+IF(LEFT(Table1[[#This Row],[Column42]],2)="DN",IF(Table1[[#This Row],[Column40]]="ok","(CA)",_xlfn.CONCAT("(CA)",CHAR(10),"FAIL")),"")</f>
        <v/>
      </c>
      <c r="AV116" s="154" t="str">
        <f>+IF(Table1[[#This Row],[Column6]]=0,"",_xlfn.CONCAT("Sem ",WEEKNUM(Table1[[#This Row],[Column6]],2)))</f>
        <v>Sem 10</v>
      </c>
      <c r="AW116" s="211"/>
    </row>
    <row r="117" spans="2:49" ht="19.5" customHeight="1" x14ac:dyDescent="0.3">
      <c r="B117" s="356" t="s">
        <v>343</v>
      </c>
      <c r="C117" s="331"/>
      <c r="D117" s="332" t="s">
        <v>207</v>
      </c>
      <c r="E117" s="332" t="s">
        <v>176</v>
      </c>
      <c r="F117" s="333"/>
      <c r="G117" s="334">
        <v>46086</v>
      </c>
      <c r="H117" s="335">
        <v>420.79</v>
      </c>
      <c r="I117" s="336">
        <v>373.19</v>
      </c>
      <c r="J117" s="337">
        <v>2555.2199999999998</v>
      </c>
      <c r="K117" s="338" t="s">
        <v>344</v>
      </c>
      <c r="L117" s="339" t="s">
        <v>336</v>
      </c>
      <c r="M117" s="340">
        <v>30</v>
      </c>
      <c r="N117" s="341">
        <v>75239</v>
      </c>
      <c r="O117" s="332">
        <v>45.26</v>
      </c>
      <c r="P117" s="342">
        <v>8.1</v>
      </c>
      <c r="Q117" s="343">
        <v>9.4792276184903379</v>
      </c>
      <c r="R117" s="344">
        <v>1.7308048103607772</v>
      </c>
      <c r="S117" s="344">
        <v>1.7090000000000001</v>
      </c>
      <c r="T117" s="344">
        <v>1.871</v>
      </c>
      <c r="U117" s="344" t="s">
        <v>136</v>
      </c>
      <c r="V117" s="332" t="s">
        <v>137</v>
      </c>
      <c r="W117" s="345">
        <v>8</v>
      </c>
      <c r="X117" s="346">
        <v>4</v>
      </c>
      <c r="Y117" s="208">
        <v>2.8069999999999999</v>
      </c>
      <c r="Z117" s="332"/>
      <c r="AA117" s="342"/>
      <c r="AB117" s="342"/>
      <c r="AC117" s="342"/>
      <c r="AD117" s="347"/>
      <c r="AE117" s="348">
        <v>1.7010000000000001</v>
      </c>
      <c r="AF117" s="349">
        <v>0</v>
      </c>
      <c r="AG117" s="350"/>
      <c r="AH117" s="351" t="s">
        <v>139</v>
      </c>
      <c r="AI117" s="352" t="s">
        <v>139</v>
      </c>
      <c r="AJ117" s="206" t="s">
        <v>139</v>
      </c>
      <c r="AK117" s="353" t="s">
        <v>288</v>
      </c>
      <c r="AL117" s="206" t="s">
        <v>139</v>
      </c>
      <c r="AM117" s="349">
        <v>101.75219343684756</v>
      </c>
      <c r="AN117" s="354" t="s">
        <v>139</v>
      </c>
      <c r="AO117" s="355" t="s">
        <v>140</v>
      </c>
      <c r="AP117" s="206" t="s">
        <v>139</v>
      </c>
      <c r="AQ117" s="207">
        <v>0</v>
      </c>
      <c r="AR117" s="211"/>
      <c r="AS117" s="297">
        <f>+IF(Table1[[#This Row],[Column40]]="ok",Table1[[#This Row],[Column7]],0)</f>
        <v>420.79</v>
      </c>
      <c r="AT117" s="295">
        <f>+IF(Table1[[#This Row],[Column40]]="No",Table1[[#This Row],[Column7]],0)</f>
        <v>0</v>
      </c>
      <c r="AU117" s="4" t="str">
        <f>+IF(LEFT(Table1[[#This Row],[Column42]],2)="DN",IF(Table1[[#This Row],[Column40]]="ok","(CA)",_xlfn.CONCAT("(CA)",CHAR(10),"FAIL")),"")</f>
        <v/>
      </c>
      <c r="AV117" s="154" t="str">
        <f>+IF(Table1[[#This Row],[Column6]]=0,"",_xlfn.CONCAT("Sem ",WEEKNUM(Table1[[#This Row],[Column6]],2)))</f>
        <v>Sem 10</v>
      </c>
      <c r="AW117" s="211"/>
    </row>
    <row r="118" spans="2:49" ht="19.5" customHeight="1" x14ac:dyDescent="0.3">
      <c r="B118" s="356" t="s">
        <v>345</v>
      </c>
      <c r="C118" s="331"/>
      <c r="D118" s="332" t="s">
        <v>207</v>
      </c>
      <c r="E118" s="332" t="s">
        <v>133</v>
      </c>
      <c r="F118" s="333"/>
      <c r="G118" s="334">
        <v>46086</v>
      </c>
      <c r="H118" s="335">
        <v>768.88</v>
      </c>
      <c r="I118" s="336">
        <v>227.58</v>
      </c>
      <c r="J118" s="337">
        <v>2584.52</v>
      </c>
      <c r="K118" s="338" t="s">
        <v>167</v>
      </c>
      <c r="L118" s="339" t="s">
        <v>233</v>
      </c>
      <c r="M118" s="340">
        <v>30</v>
      </c>
      <c r="N118" s="341">
        <v>85462</v>
      </c>
      <c r="O118" s="332">
        <v>59.78</v>
      </c>
      <c r="P118" s="342">
        <v>9.5</v>
      </c>
      <c r="Q118" s="343">
        <v>11.47446930579461</v>
      </c>
      <c r="R118" s="344">
        <v>1.7744292237442922</v>
      </c>
      <c r="S118" s="344">
        <v>1.7430000000000001</v>
      </c>
      <c r="T118" s="344">
        <v>1.9430000000000001</v>
      </c>
      <c r="U118" s="344" t="s">
        <v>136</v>
      </c>
      <c r="V118" s="332" t="s">
        <v>234</v>
      </c>
      <c r="W118" s="345">
        <v>16</v>
      </c>
      <c r="X118" s="346">
        <v>8</v>
      </c>
      <c r="Y118" s="208">
        <v>2.8069999999999999</v>
      </c>
      <c r="Z118" s="332"/>
      <c r="AA118" s="342"/>
      <c r="AB118" s="342"/>
      <c r="AC118" s="342"/>
      <c r="AD118" s="347"/>
      <c r="AE118" s="348">
        <v>1.74</v>
      </c>
      <c r="AF118" s="349">
        <v>0</v>
      </c>
      <c r="AG118" s="350"/>
      <c r="AH118" s="351" t="s">
        <v>139</v>
      </c>
      <c r="AI118" s="352" t="s">
        <v>139</v>
      </c>
      <c r="AJ118" s="206" t="s">
        <v>139</v>
      </c>
      <c r="AK118" s="353" t="s">
        <v>196</v>
      </c>
      <c r="AL118" s="206" t="s">
        <v>139</v>
      </c>
      <c r="AM118" s="349">
        <v>101.97869101978692</v>
      </c>
      <c r="AN118" s="354" t="s">
        <v>139</v>
      </c>
      <c r="AO118" s="355" t="s">
        <v>140</v>
      </c>
      <c r="AP118" s="206" t="s">
        <v>139</v>
      </c>
      <c r="AQ118" s="207">
        <v>0</v>
      </c>
      <c r="AR118" s="211"/>
      <c r="AS118" s="297">
        <f>+IF(Table1[[#This Row],[Column40]]="ok",Table1[[#This Row],[Column7]],0)</f>
        <v>768.88</v>
      </c>
      <c r="AT118" s="295">
        <f>+IF(Table1[[#This Row],[Column40]]="No",Table1[[#This Row],[Column7]],0)</f>
        <v>0</v>
      </c>
      <c r="AU118" s="4" t="str">
        <f>+IF(LEFT(Table1[[#This Row],[Column42]],2)="DN",IF(Table1[[#This Row],[Column40]]="ok","(CA)",_xlfn.CONCAT("(CA)",CHAR(10),"FAIL")),"")</f>
        <v/>
      </c>
      <c r="AV118" s="154" t="str">
        <f>+IF(Table1[[#This Row],[Column6]]=0,"",_xlfn.CONCAT("Sem ",WEEKNUM(Table1[[#This Row],[Column6]],2)))</f>
        <v>Sem 10</v>
      </c>
      <c r="AW118" s="211"/>
    </row>
    <row r="119" spans="2:49" ht="19.5" customHeight="1" x14ac:dyDescent="0.3">
      <c r="B119" s="356" t="s">
        <v>346</v>
      </c>
      <c r="C119" s="331"/>
      <c r="D119" s="332" t="s">
        <v>207</v>
      </c>
      <c r="E119" s="332" t="s">
        <v>133</v>
      </c>
      <c r="F119" s="333"/>
      <c r="G119" s="334">
        <v>46086</v>
      </c>
      <c r="H119" s="335">
        <v>672.16</v>
      </c>
      <c r="I119" s="336">
        <v>240.06</v>
      </c>
      <c r="J119" s="337">
        <v>2591.73</v>
      </c>
      <c r="K119" s="338" t="s">
        <v>167</v>
      </c>
      <c r="L119" s="339" t="s">
        <v>347</v>
      </c>
      <c r="M119" s="340">
        <v>30</v>
      </c>
      <c r="N119" s="341">
        <v>85462</v>
      </c>
      <c r="O119" s="332">
        <v>59.78</v>
      </c>
      <c r="P119" s="342">
        <v>13.700000000000001</v>
      </c>
      <c r="Q119" s="343">
        <v>11.714285714285722</v>
      </c>
      <c r="R119" s="344">
        <v>1.7194371152154795</v>
      </c>
      <c r="S119" s="344">
        <v>1.75</v>
      </c>
      <c r="T119" s="344">
        <v>1.9550000000000001</v>
      </c>
      <c r="U119" s="344" t="s">
        <v>136</v>
      </c>
      <c r="V119" s="332" t="s">
        <v>137</v>
      </c>
      <c r="W119" s="345">
        <v>8</v>
      </c>
      <c r="X119" s="346">
        <v>4</v>
      </c>
      <c r="Y119" s="208">
        <v>2.8069999999999999</v>
      </c>
      <c r="Z119" s="332"/>
      <c r="AA119" s="342"/>
      <c r="AB119" s="342"/>
      <c r="AC119" s="342"/>
      <c r="AD119" s="347"/>
      <c r="AE119" s="348">
        <v>1.7010000000000001</v>
      </c>
      <c r="AF119" s="349">
        <v>0</v>
      </c>
      <c r="AG119" s="350"/>
      <c r="AH119" s="351" t="s">
        <v>139</v>
      </c>
      <c r="AI119" s="352" t="s">
        <v>139</v>
      </c>
      <c r="AJ119" s="206" t="s">
        <v>139</v>
      </c>
      <c r="AK119" s="353" t="s">
        <v>288</v>
      </c>
      <c r="AL119" s="206" t="s">
        <v>139</v>
      </c>
      <c r="AM119" s="349">
        <v>101.08389860173305</v>
      </c>
      <c r="AN119" s="354" t="s">
        <v>139</v>
      </c>
      <c r="AO119" s="355" t="s">
        <v>140</v>
      </c>
      <c r="AP119" s="206" t="s">
        <v>139</v>
      </c>
      <c r="AQ119" s="207">
        <v>0</v>
      </c>
      <c r="AR119" s="211"/>
      <c r="AS119" s="297">
        <f>+IF(Table1[[#This Row],[Column40]]="ok",Table1[[#This Row],[Column7]],0)</f>
        <v>672.16</v>
      </c>
      <c r="AT119" s="295">
        <f>+IF(Table1[[#This Row],[Column40]]="No",Table1[[#This Row],[Column7]],0)</f>
        <v>0</v>
      </c>
      <c r="AU119" s="4" t="str">
        <f>+IF(LEFT(Table1[[#This Row],[Column42]],2)="DN",IF(Table1[[#This Row],[Column40]]="ok","(CA)",_xlfn.CONCAT("(CA)",CHAR(10),"FAIL")),"")</f>
        <v/>
      </c>
      <c r="AV119" s="154" t="str">
        <f>+IF(Table1[[#This Row],[Column6]]=0,"",_xlfn.CONCAT("Sem ",WEEKNUM(Table1[[#This Row],[Column6]],2)))</f>
        <v>Sem 10</v>
      </c>
      <c r="AW119" s="211"/>
    </row>
    <row r="120" spans="2:49" ht="19.5" customHeight="1" x14ac:dyDescent="0.3">
      <c r="B120" s="356" t="s">
        <v>348</v>
      </c>
      <c r="C120" s="331"/>
      <c r="D120" s="332" t="s">
        <v>207</v>
      </c>
      <c r="E120" s="332" t="s">
        <v>133</v>
      </c>
      <c r="F120" s="333"/>
      <c r="G120" s="334">
        <v>46086</v>
      </c>
      <c r="H120" s="335">
        <v>598.14</v>
      </c>
      <c r="I120" s="336">
        <v>234.34</v>
      </c>
      <c r="J120" s="337">
        <v>2596.4899999999998</v>
      </c>
      <c r="K120" s="338" t="s">
        <v>349</v>
      </c>
      <c r="L120" s="339" t="s">
        <v>340</v>
      </c>
      <c r="M120" s="340">
        <v>30</v>
      </c>
      <c r="N120" s="341">
        <v>85462</v>
      </c>
      <c r="O120" s="332">
        <v>59.78</v>
      </c>
      <c r="P120" s="342">
        <v>10.9</v>
      </c>
      <c r="Q120" s="343">
        <v>11.239193083573484</v>
      </c>
      <c r="R120" s="344">
        <v>1.7403065825067627</v>
      </c>
      <c r="S120" s="344">
        <v>1.7350000000000001</v>
      </c>
      <c r="T120" s="344">
        <v>1.93</v>
      </c>
      <c r="U120" s="344" t="s">
        <v>136</v>
      </c>
      <c r="V120" s="332" t="s">
        <v>137</v>
      </c>
      <c r="W120" s="345">
        <v>8</v>
      </c>
      <c r="X120" s="346">
        <v>4</v>
      </c>
      <c r="Y120" s="208">
        <v>2.8069999999999999</v>
      </c>
      <c r="Z120" s="332"/>
      <c r="AA120" s="342"/>
      <c r="AB120" s="342"/>
      <c r="AC120" s="342"/>
      <c r="AD120" s="347"/>
      <c r="AE120" s="348">
        <v>1.7010000000000001</v>
      </c>
      <c r="AF120" s="349">
        <v>0</v>
      </c>
      <c r="AG120" s="350"/>
      <c r="AH120" s="351" t="s">
        <v>139</v>
      </c>
      <c r="AI120" s="352" t="s">
        <v>139</v>
      </c>
      <c r="AJ120" s="206" t="s">
        <v>139</v>
      </c>
      <c r="AK120" s="353" t="s">
        <v>288</v>
      </c>
      <c r="AL120" s="206" t="s">
        <v>139</v>
      </c>
      <c r="AM120" s="349">
        <v>102.31079262238462</v>
      </c>
      <c r="AN120" s="354" t="s">
        <v>139</v>
      </c>
      <c r="AO120" s="355" t="s">
        <v>140</v>
      </c>
      <c r="AP120" s="206" t="s">
        <v>139</v>
      </c>
      <c r="AQ120" s="207">
        <v>0</v>
      </c>
      <c r="AR120" s="211"/>
      <c r="AS120" s="297">
        <f>+IF(Table1[[#This Row],[Column40]]="ok",Table1[[#This Row],[Column7]],0)</f>
        <v>598.14</v>
      </c>
      <c r="AT120" s="295">
        <f>+IF(Table1[[#This Row],[Column40]]="No",Table1[[#This Row],[Column7]],0)</f>
        <v>0</v>
      </c>
      <c r="AU120" s="4" t="str">
        <f>+IF(LEFT(Table1[[#This Row],[Column42]],2)="DN",IF(Table1[[#This Row],[Column40]]="ok","(CA)",_xlfn.CONCAT("(CA)",CHAR(10),"FAIL")),"")</f>
        <v/>
      </c>
      <c r="AV120" s="154" t="str">
        <f>+IF(Table1[[#This Row],[Column6]]=0,"",_xlfn.CONCAT("Sem ",WEEKNUM(Table1[[#This Row],[Column6]],2)))</f>
        <v>Sem 10</v>
      </c>
      <c r="AW120" s="211"/>
    </row>
    <row r="121" spans="2:49" ht="19.5" customHeight="1" x14ac:dyDescent="0.3">
      <c r="B121" s="356" t="s">
        <v>350</v>
      </c>
      <c r="C121" s="331"/>
      <c r="D121" s="332" t="s">
        <v>207</v>
      </c>
      <c r="E121" s="332" t="s">
        <v>133</v>
      </c>
      <c r="F121" s="333"/>
      <c r="G121" s="334">
        <v>46086</v>
      </c>
      <c r="H121" s="335">
        <v>598.17999999999995</v>
      </c>
      <c r="I121" s="336">
        <v>307.2</v>
      </c>
      <c r="J121" s="337">
        <v>2574.8000000000002</v>
      </c>
      <c r="K121" s="338" t="s">
        <v>331</v>
      </c>
      <c r="L121" s="339" t="s">
        <v>340</v>
      </c>
      <c r="M121" s="340">
        <v>30</v>
      </c>
      <c r="N121" s="341">
        <v>85462</v>
      </c>
      <c r="O121" s="332">
        <v>59.78</v>
      </c>
      <c r="P121" s="342">
        <v>12.3</v>
      </c>
      <c r="Q121" s="343">
        <v>11.277330264672036</v>
      </c>
      <c r="R121" s="344">
        <v>1.7221727515583258</v>
      </c>
      <c r="S121" s="344">
        <v>1.738</v>
      </c>
      <c r="T121" s="344">
        <v>1.9339999999999999</v>
      </c>
      <c r="U121" s="344" t="s">
        <v>136</v>
      </c>
      <c r="V121" s="332" t="s">
        <v>137</v>
      </c>
      <c r="W121" s="345">
        <v>8</v>
      </c>
      <c r="X121" s="346">
        <v>4</v>
      </c>
      <c r="Y121" s="208">
        <v>2.8069999999999999</v>
      </c>
      <c r="Z121" s="332"/>
      <c r="AA121" s="342"/>
      <c r="AB121" s="342"/>
      <c r="AC121" s="342"/>
      <c r="AD121" s="347"/>
      <c r="AE121" s="348">
        <v>1.7010000000000001</v>
      </c>
      <c r="AF121" s="349">
        <v>0</v>
      </c>
      <c r="AG121" s="350"/>
      <c r="AH121" s="351" t="s">
        <v>139</v>
      </c>
      <c r="AI121" s="352" t="s">
        <v>139</v>
      </c>
      <c r="AJ121" s="206" t="s">
        <v>139</v>
      </c>
      <c r="AK121" s="353" t="s">
        <v>288</v>
      </c>
      <c r="AL121" s="206" t="s">
        <v>139</v>
      </c>
      <c r="AM121" s="349">
        <v>101.24472378355824</v>
      </c>
      <c r="AN121" s="354" t="s">
        <v>139</v>
      </c>
      <c r="AO121" s="355" t="s">
        <v>140</v>
      </c>
      <c r="AP121" s="206" t="s">
        <v>139</v>
      </c>
      <c r="AQ121" s="207">
        <v>0</v>
      </c>
      <c r="AR121" s="211"/>
      <c r="AS121" s="297">
        <f>+IF(Table1[[#This Row],[Column40]]="ok",Table1[[#This Row],[Column7]],0)</f>
        <v>598.17999999999995</v>
      </c>
      <c r="AT121" s="295">
        <f>+IF(Table1[[#This Row],[Column40]]="No",Table1[[#This Row],[Column7]],0)</f>
        <v>0</v>
      </c>
      <c r="AU121" s="4" t="str">
        <f>+IF(LEFT(Table1[[#This Row],[Column42]],2)="DN",IF(Table1[[#This Row],[Column40]]="ok","(CA)",_xlfn.CONCAT("(CA)",CHAR(10),"FAIL")),"")</f>
        <v/>
      </c>
      <c r="AV121" s="154" t="str">
        <f>+IF(Table1[[#This Row],[Column6]]=0,"",_xlfn.CONCAT("Sem ",WEEKNUM(Table1[[#This Row],[Column6]],2)))</f>
        <v>Sem 10</v>
      </c>
      <c r="AW121" s="211"/>
    </row>
    <row r="122" spans="2:49" ht="19.5" customHeight="1" x14ac:dyDescent="0.3">
      <c r="B122" s="356" t="s">
        <v>351</v>
      </c>
      <c r="C122" s="331"/>
      <c r="D122" s="332" t="s">
        <v>207</v>
      </c>
      <c r="E122" s="332" t="s">
        <v>133</v>
      </c>
      <c r="F122" s="333"/>
      <c r="G122" s="334">
        <v>46086</v>
      </c>
      <c r="H122" s="335">
        <v>676.36</v>
      </c>
      <c r="I122" s="336">
        <v>321.32</v>
      </c>
      <c r="J122" s="337">
        <v>2570.06</v>
      </c>
      <c r="K122" s="338" t="s">
        <v>306</v>
      </c>
      <c r="L122" s="339" t="s">
        <v>347</v>
      </c>
      <c r="M122" s="340">
        <v>30</v>
      </c>
      <c r="N122" s="341">
        <v>85462</v>
      </c>
      <c r="O122" s="332">
        <v>59.78</v>
      </c>
      <c r="P122" s="342">
        <v>11.700000000000001</v>
      </c>
      <c r="Q122" s="343">
        <v>11.633237822349551</v>
      </c>
      <c r="R122" s="344">
        <v>1.7439570277529095</v>
      </c>
      <c r="S122" s="344">
        <v>1.7450000000000001</v>
      </c>
      <c r="T122" s="344">
        <v>1.948</v>
      </c>
      <c r="U122" s="344" t="s">
        <v>136</v>
      </c>
      <c r="V122" s="332" t="s">
        <v>137</v>
      </c>
      <c r="W122" s="345">
        <v>8</v>
      </c>
      <c r="X122" s="346">
        <v>4</v>
      </c>
      <c r="Y122" s="208">
        <v>2.8069999999999999</v>
      </c>
      <c r="Z122" s="332"/>
      <c r="AA122" s="342"/>
      <c r="AB122" s="342"/>
      <c r="AC122" s="342"/>
      <c r="AD122" s="347"/>
      <c r="AE122" s="348">
        <v>1.7307890926303404</v>
      </c>
      <c r="AF122" s="349">
        <v>16.256701093687461</v>
      </c>
      <c r="AG122" s="350"/>
      <c r="AH122" s="351">
        <v>1.723752151462995</v>
      </c>
      <c r="AI122" s="352">
        <v>2.0030000000000001</v>
      </c>
      <c r="AJ122" s="206">
        <v>16.2</v>
      </c>
      <c r="AK122" s="353" t="s">
        <v>181</v>
      </c>
      <c r="AL122" s="206">
        <v>5.6701093687461679E-2</v>
      </c>
      <c r="AM122" s="349">
        <v>100.7608052984987</v>
      </c>
      <c r="AN122" s="354" t="s">
        <v>139</v>
      </c>
      <c r="AO122" s="355" t="s">
        <v>140</v>
      </c>
      <c r="AP122" s="206" t="s">
        <v>139</v>
      </c>
      <c r="AQ122" s="207" t="s">
        <v>352</v>
      </c>
      <c r="AR122" s="211"/>
      <c r="AS122" s="297">
        <f>+IF(Table1[[#This Row],[Column40]]="ok",Table1[[#This Row],[Column7]],0)</f>
        <v>676.36</v>
      </c>
      <c r="AT122" s="295">
        <f>+IF(Table1[[#This Row],[Column40]]="No",Table1[[#This Row],[Column7]],0)</f>
        <v>0</v>
      </c>
      <c r="AU122" s="4" t="str">
        <f>+IF(LEFT(Table1[[#This Row],[Column42]],2)="DN",IF(Table1[[#This Row],[Column40]]="ok","(CA)",_xlfn.CONCAT("(CA)",CHAR(10),"FAIL")),"")</f>
        <v/>
      </c>
      <c r="AV122" s="154" t="str">
        <f>+IF(Table1[[#This Row],[Column6]]=0,"",_xlfn.CONCAT("Sem ",WEEKNUM(Table1[[#This Row],[Column6]],2)))</f>
        <v>Sem 10</v>
      </c>
      <c r="AW122" s="211"/>
    </row>
    <row r="123" spans="2:49" ht="19.5" customHeight="1" x14ac:dyDescent="0.3">
      <c r="B123" s="356" t="s">
        <v>352</v>
      </c>
      <c r="C123" s="331"/>
      <c r="D123" s="332" t="s">
        <v>207</v>
      </c>
      <c r="E123" s="332" t="s">
        <v>133</v>
      </c>
      <c r="F123" s="333"/>
      <c r="G123" s="334">
        <v>46087</v>
      </c>
      <c r="H123" s="335">
        <v>676.36</v>
      </c>
      <c r="I123" s="336">
        <v>321.32</v>
      </c>
      <c r="J123" s="337">
        <v>2570.06</v>
      </c>
      <c r="K123" s="338" t="s">
        <v>306</v>
      </c>
      <c r="L123" s="339" t="s">
        <v>347</v>
      </c>
      <c r="M123" s="340">
        <v>15</v>
      </c>
      <c r="N123" s="341"/>
      <c r="O123" s="332"/>
      <c r="P123" s="342">
        <v>11.718569780853509</v>
      </c>
      <c r="Q123" s="343"/>
      <c r="R123" s="344">
        <v>1.7407916354267166</v>
      </c>
      <c r="S123" s="344"/>
      <c r="T123" s="344">
        <v>1.9447875179634573</v>
      </c>
      <c r="U123" s="344" t="s">
        <v>142</v>
      </c>
      <c r="V123" s="332" t="s">
        <v>137</v>
      </c>
      <c r="W123" s="345">
        <v>6</v>
      </c>
      <c r="X123" s="346">
        <v>8</v>
      </c>
      <c r="Y123" s="208"/>
      <c r="Z123" s="332" t="s">
        <v>143</v>
      </c>
      <c r="AA123" s="342">
        <v>98.800461361014996</v>
      </c>
      <c r="AB123" s="342">
        <v>78.938869665513266</v>
      </c>
      <c r="AC123" s="342">
        <v>39.331026528258363</v>
      </c>
      <c r="AD123" s="347">
        <v>13.610149942329883</v>
      </c>
      <c r="AE123" s="358">
        <v>1.7307890926303404</v>
      </c>
      <c r="AF123" s="349">
        <v>16.256701093687461</v>
      </c>
      <c r="AG123" s="350" t="s">
        <v>181</v>
      </c>
      <c r="AH123" s="351">
        <v>1.7234987142660063</v>
      </c>
      <c r="AI123" s="351">
        <v>2.0032017075773747</v>
      </c>
      <c r="AJ123" s="206">
        <v>16.228790366721384</v>
      </c>
      <c r="AK123" s="353" t="s">
        <v>181</v>
      </c>
      <c r="AL123" s="206">
        <v>2.7910726966076993E-2</v>
      </c>
      <c r="AM123" s="349">
        <v>100.57791806286316</v>
      </c>
      <c r="AN123" s="354" t="s">
        <v>139</v>
      </c>
      <c r="AO123" s="355" t="s">
        <v>144</v>
      </c>
      <c r="AP123" s="206">
        <v>0</v>
      </c>
      <c r="AQ123" s="246" t="s">
        <v>351</v>
      </c>
      <c r="AR123" s="211"/>
      <c r="AS123" s="297">
        <f>+IF(Table1[[#This Row],[Column40]]="ok",Table1[[#This Row],[Column7]],0)</f>
        <v>676.36</v>
      </c>
      <c r="AT123" s="295">
        <f>+IF(Table1[[#This Row],[Column40]]="No",Table1[[#This Row],[Column7]],0)</f>
        <v>0</v>
      </c>
      <c r="AU123" s="4" t="str">
        <f>+IF(LEFT(Table1[[#This Row],[Column42]],2)="DN",IF(Table1[[#This Row],[Column40]]="ok","(CA)",_xlfn.CONCAT("(CA)",CHAR(10),"FAIL")),"")</f>
        <v>(CA)</v>
      </c>
      <c r="AV123" s="154" t="str">
        <f>+IF(Table1[[#This Row],[Column6]]=0,"",_xlfn.CONCAT("Sem ",WEEKNUM(Table1[[#This Row],[Column6]],2)))</f>
        <v>Sem 10</v>
      </c>
      <c r="AW123" s="211"/>
    </row>
    <row r="124" spans="2:49" ht="19.5" customHeight="1" x14ac:dyDescent="0.3">
      <c r="B124" s="356" t="s">
        <v>353</v>
      </c>
      <c r="C124" s="331"/>
      <c r="D124" s="332" t="s">
        <v>207</v>
      </c>
      <c r="E124" s="332" t="s">
        <v>133</v>
      </c>
      <c r="F124" s="333"/>
      <c r="G124" s="334">
        <v>46086</v>
      </c>
      <c r="H124" s="335">
        <v>778.7</v>
      </c>
      <c r="I124" s="336">
        <v>349.88</v>
      </c>
      <c r="J124" s="337">
        <v>2552.0300000000002</v>
      </c>
      <c r="K124" s="338" t="s">
        <v>306</v>
      </c>
      <c r="L124" s="339" t="s">
        <v>354</v>
      </c>
      <c r="M124" s="340">
        <v>30</v>
      </c>
      <c r="N124" s="341">
        <v>85462</v>
      </c>
      <c r="O124" s="332">
        <v>59.78</v>
      </c>
      <c r="P124" s="342">
        <v>12.8</v>
      </c>
      <c r="Q124" s="343">
        <v>12.357630979498868</v>
      </c>
      <c r="R124" s="344">
        <v>1.7491134751773048</v>
      </c>
      <c r="S124" s="344">
        <v>1.756</v>
      </c>
      <c r="T124" s="344">
        <v>1.9730000000000001</v>
      </c>
      <c r="U124" s="344" t="s">
        <v>136</v>
      </c>
      <c r="V124" s="332" t="s">
        <v>137</v>
      </c>
      <c r="W124" s="345">
        <v>8</v>
      </c>
      <c r="X124" s="346">
        <v>4</v>
      </c>
      <c r="Y124" s="208">
        <v>2.8069999999999999</v>
      </c>
      <c r="Z124" s="332"/>
      <c r="AA124" s="342"/>
      <c r="AB124" s="342"/>
      <c r="AC124" s="342"/>
      <c r="AD124" s="347"/>
      <c r="AE124" s="358">
        <v>1.7010000000000001</v>
      </c>
      <c r="AF124" s="349">
        <v>0</v>
      </c>
      <c r="AG124" s="350"/>
      <c r="AH124" s="351" t="s">
        <v>139</v>
      </c>
      <c r="AI124" s="352" t="s">
        <v>139</v>
      </c>
      <c r="AJ124" s="206" t="s">
        <v>139</v>
      </c>
      <c r="AK124" s="353" t="s">
        <v>288</v>
      </c>
      <c r="AL124" s="206" t="s">
        <v>139</v>
      </c>
      <c r="AM124" s="349">
        <v>102.82854057479744</v>
      </c>
      <c r="AN124" s="354" t="s">
        <v>139</v>
      </c>
      <c r="AO124" s="355" t="s">
        <v>140</v>
      </c>
      <c r="AP124" s="206" t="s">
        <v>139</v>
      </c>
      <c r="AQ124" s="246">
        <v>0</v>
      </c>
      <c r="AR124" s="211"/>
      <c r="AS124" s="297">
        <f>+IF(Table1[[#This Row],[Column40]]="ok",Table1[[#This Row],[Column7]],0)</f>
        <v>778.7</v>
      </c>
      <c r="AT124" s="295">
        <f>+IF(Table1[[#This Row],[Column40]]="No",Table1[[#This Row],[Column7]],0)</f>
        <v>0</v>
      </c>
      <c r="AU124" s="4" t="str">
        <f>+IF(LEFT(Table1[[#This Row],[Column42]],2)="DN",IF(Table1[[#This Row],[Column40]]="ok","(CA)",_xlfn.CONCAT("(CA)",CHAR(10),"FAIL")),"")</f>
        <v/>
      </c>
      <c r="AV124" s="154" t="str">
        <f>+IF(Table1[[#This Row],[Column6]]=0,"",_xlfn.CONCAT("Sem ",WEEKNUM(Table1[[#This Row],[Column6]],2)))</f>
        <v>Sem 10</v>
      </c>
      <c r="AW124" s="211"/>
    </row>
    <row r="125" spans="2:49" ht="19.5" customHeight="1" x14ac:dyDescent="0.3">
      <c r="B125" s="356" t="s">
        <v>355</v>
      </c>
      <c r="C125" s="331"/>
      <c r="D125" s="332" t="s">
        <v>207</v>
      </c>
      <c r="E125" s="332" t="s">
        <v>176</v>
      </c>
      <c r="F125" s="333"/>
      <c r="G125" s="334">
        <v>46087</v>
      </c>
      <c r="H125" s="335">
        <v>31.46</v>
      </c>
      <c r="I125" s="336">
        <v>-26.63</v>
      </c>
      <c r="J125" s="337">
        <v>2632.85</v>
      </c>
      <c r="K125" s="338" t="s">
        <v>356</v>
      </c>
      <c r="L125" s="339" t="s">
        <v>357</v>
      </c>
      <c r="M125" s="340">
        <v>30</v>
      </c>
      <c r="N125" s="341">
        <v>85462</v>
      </c>
      <c r="O125" s="332">
        <v>59.78</v>
      </c>
      <c r="P125" s="342">
        <v>9.1999999999999993</v>
      </c>
      <c r="Q125" s="343">
        <v>10.243350311262024</v>
      </c>
      <c r="R125" s="344">
        <v>1.7838827838827838</v>
      </c>
      <c r="S125" s="344">
        <v>1.7669999999999999</v>
      </c>
      <c r="T125" s="344">
        <v>1.948</v>
      </c>
      <c r="U125" s="344" t="s">
        <v>136</v>
      </c>
      <c r="V125" s="332" t="s">
        <v>191</v>
      </c>
      <c r="W125" s="345">
        <v>6</v>
      </c>
      <c r="X125" s="346">
        <v>3</v>
      </c>
      <c r="Y125" s="208">
        <v>2.8069999999999999</v>
      </c>
      <c r="Z125" s="332"/>
      <c r="AA125" s="342"/>
      <c r="AB125" s="342"/>
      <c r="AC125" s="342"/>
      <c r="AD125" s="347"/>
      <c r="AE125" s="358">
        <v>1.7010000000000001</v>
      </c>
      <c r="AF125" s="349">
        <v>0</v>
      </c>
      <c r="AG125" s="350"/>
      <c r="AH125" s="351" t="s">
        <v>139</v>
      </c>
      <c r="AI125" s="352" t="s">
        <v>139</v>
      </c>
      <c r="AJ125" s="206" t="s">
        <v>139</v>
      </c>
      <c r="AK125" s="353" t="s">
        <v>288</v>
      </c>
      <c r="AL125" s="206" t="s">
        <v>139</v>
      </c>
      <c r="AM125" s="349">
        <v>104.8725916450784</v>
      </c>
      <c r="AN125" s="354" t="s">
        <v>139</v>
      </c>
      <c r="AO125" s="355" t="s">
        <v>140</v>
      </c>
      <c r="AP125" s="206" t="s">
        <v>139</v>
      </c>
      <c r="AQ125" s="246">
        <v>0</v>
      </c>
      <c r="AR125" s="211"/>
      <c r="AS125" s="297">
        <f>+IF(Table1[[#This Row],[Column40]]="ok",Table1[[#This Row],[Column7]],0)</f>
        <v>31.46</v>
      </c>
      <c r="AT125" s="295">
        <f>+IF(Table1[[#This Row],[Column40]]="No",Table1[[#This Row],[Column7]],0)</f>
        <v>0</v>
      </c>
      <c r="AU125" s="4" t="str">
        <f>+IF(LEFT(Table1[[#This Row],[Column42]],2)="DN",IF(Table1[[#This Row],[Column40]]="ok","(CA)",_xlfn.CONCAT("(CA)",CHAR(10),"FAIL")),"")</f>
        <v/>
      </c>
      <c r="AV125" s="154" t="str">
        <f>+IF(Table1[[#This Row],[Column6]]=0,"",_xlfn.CONCAT("Sem ",WEEKNUM(Table1[[#This Row],[Column6]],2)))</f>
        <v>Sem 10</v>
      </c>
      <c r="AW125" s="211"/>
    </row>
    <row r="126" spans="2:49" ht="19.5" customHeight="1" x14ac:dyDescent="0.3">
      <c r="B126" s="356" t="s">
        <v>358</v>
      </c>
      <c r="C126" s="331"/>
      <c r="D126" s="332" t="s">
        <v>207</v>
      </c>
      <c r="E126" s="332" t="s">
        <v>176</v>
      </c>
      <c r="F126" s="333"/>
      <c r="G126" s="334">
        <v>46087</v>
      </c>
      <c r="H126" s="335">
        <v>33.46</v>
      </c>
      <c r="I126" s="336">
        <v>-25.17</v>
      </c>
      <c r="J126" s="337">
        <v>2633.5</v>
      </c>
      <c r="K126" s="338" t="s">
        <v>356</v>
      </c>
      <c r="L126" s="339" t="s">
        <v>359</v>
      </c>
      <c r="M126" s="340">
        <v>30</v>
      </c>
      <c r="N126" s="341">
        <v>85462</v>
      </c>
      <c r="O126" s="332">
        <v>59.78</v>
      </c>
      <c r="P126" s="342">
        <v>12.8</v>
      </c>
      <c r="Q126" s="343">
        <v>13.695529145444251</v>
      </c>
      <c r="R126" s="344">
        <v>1.781028368794326</v>
      </c>
      <c r="S126" s="344">
        <v>1.7669999999999999</v>
      </c>
      <c r="T126" s="344">
        <v>2.0089999999999999</v>
      </c>
      <c r="U126" s="344" t="s">
        <v>136</v>
      </c>
      <c r="V126" s="332" t="s">
        <v>191</v>
      </c>
      <c r="W126" s="345">
        <v>6</v>
      </c>
      <c r="X126" s="346">
        <v>3</v>
      </c>
      <c r="Y126" s="208">
        <v>2.8069999999999999</v>
      </c>
      <c r="Z126" s="332"/>
      <c r="AA126" s="342"/>
      <c r="AB126" s="342"/>
      <c r="AC126" s="342"/>
      <c r="AD126" s="347"/>
      <c r="AE126" s="358">
        <v>1.7010000000000001</v>
      </c>
      <c r="AF126" s="349">
        <v>0</v>
      </c>
      <c r="AG126" s="350"/>
      <c r="AH126" s="351" t="s">
        <v>139</v>
      </c>
      <c r="AI126" s="352" t="s">
        <v>139</v>
      </c>
      <c r="AJ126" s="206" t="s">
        <v>139</v>
      </c>
      <c r="AK126" s="353" t="s">
        <v>288</v>
      </c>
      <c r="AL126" s="206" t="s">
        <v>139</v>
      </c>
      <c r="AM126" s="349">
        <v>104.70478358579223</v>
      </c>
      <c r="AN126" s="354" t="s">
        <v>139</v>
      </c>
      <c r="AO126" s="355" t="s">
        <v>140</v>
      </c>
      <c r="AP126" s="206" t="s">
        <v>139</v>
      </c>
      <c r="AQ126" s="246">
        <v>0</v>
      </c>
      <c r="AR126" s="211"/>
      <c r="AS126" s="297">
        <f>+IF(Table1[[#This Row],[Column40]]="ok",Table1[[#This Row],[Column7]],0)</f>
        <v>33.46</v>
      </c>
      <c r="AT126" s="295">
        <f>+IF(Table1[[#This Row],[Column40]]="No",Table1[[#This Row],[Column7]],0)</f>
        <v>0</v>
      </c>
      <c r="AU126" s="4" t="str">
        <f>+IF(LEFT(Table1[[#This Row],[Column42]],2)="DN",IF(Table1[[#This Row],[Column40]]="ok","(CA)",_xlfn.CONCAT("(CA)",CHAR(10),"FAIL")),"")</f>
        <v/>
      </c>
      <c r="AV126" s="154" t="str">
        <f>+IF(Table1[[#This Row],[Column6]]=0,"",_xlfn.CONCAT("Sem ",WEEKNUM(Table1[[#This Row],[Column6]],2)))</f>
        <v>Sem 10</v>
      </c>
      <c r="AW126" s="211"/>
    </row>
    <row r="127" spans="2:49" ht="19.5" customHeight="1" x14ac:dyDescent="0.3">
      <c r="B127" s="356" t="s">
        <v>360</v>
      </c>
      <c r="C127" s="331"/>
      <c r="D127" s="332" t="s">
        <v>207</v>
      </c>
      <c r="E127" s="332" t="s">
        <v>176</v>
      </c>
      <c r="F127" s="333"/>
      <c r="G127" s="334">
        <v>46087</v>
      </c>
      <c r="H127" s="335">
        <v>320.14999999999998</v>
      </c>
      <c r="I127" s="336">
        <v>64.7</v>
      </c>
      <c r="J127" s="337">
        <v>2635.95</v>
      </c>
      <c r="K127" s="338" t="s">
        <v>335</v>
      </c>
      <c r="L127" s="339" t="s">
        <v>168</v>
      </c>
      <c r="M127" s="340" t="s">
        <v>293</v>
      </c>
      <c r="N127" s="341" t="s">
        <v>293</v>
      </c>
      <c r="O127" s="332" t="s">
        <v>293</v>
      </c>
      <c r="P127" s="342" t="s">
        <v>293</v>
      </c>
      <c r="Q127" s="343" t="s">
        <v>293</v>
      </c>
      <c r="R127" s="344" t="s">
        <v>293</v>
      </c>
      <c r="S127" s="344" t="s">
        <v>293</v>
      </c>
      <c r="T127" s="344" t="s">
        <v>293</v>
      </c>
      <c r="U127" s="344" t="s">
        <v>294</v>
      </c>
      <c r="V127" s="332" t="s">
        <v>293</v>
      </c>
      <c r="W127" s="345" t="s">
        <v>293</v>
      </c>
      <c r="X127" s="346" t="s">
        <v>293</v>
      </c>
      <c r="Y127" s="208">
        <v>2.7902146302865121</v>
      </c>
      <c r="Z127" s="332" t="s">
        <v>143</v>
      </c>
      <c r="AA127" s="342">
        <v>99.313824419778001</v>
      </c>
      <c r="AB127" s="342">
        <v>86.579212916246206</v>
      </c>
      <c r="AC127" s="342">
        <v>41.735620585267391</v>
      </c>
      <c r="AD127" s="347">
        <v>13.158425832492412</v>
      </c>
      <c r="AE127" s="358">
        <v>1.7061752176491876</v>
      </c>
      <c r="AF127" s="349">
        <v>16.333661276669208</v>
      </c>
      <c r="AG127" s="350" t="s">
        <v>360</v>
      </c>
      <c r="AH127" s="351" t="s">
        <v>293</v>
      </c>
      <c r="AI127" s="351" t="s">
        <v>293</v>
      </c>
      <c r="AJ127" s="206" t="s">
        <v>293</v>
      </c>
      <c r="AK127" s="353" t="s">
        <v>293</v>
      </c>
      <c r="AL127" s="206" t="s">
        <v>293</v>
      </c>
      <c r="AM127" s="349" t="s">
        <v>293</v>
      </c>
      <c r="AN127" s="354" t="s">
        <v>293</v>
      </c>
      <c r="AO127" s="355" t="s">
        <v>293</v>
      </c>
      <c r="AP127" s="206" t="s">
        <v>293</v>
      </c>
      <c r="AQ127" s="207" t="s">
        <v>295</v>
      </c>
      <c r="AR127" s="211"/>
      <c r="AS127" s="297">
        <f>+IF(Table1[[#This Row],[Column40]]="ok",Table1[[#This Row],[Column7]],0)</f>
        <v>0</v>
      </c>
      <c r="AT127" s="295">
        <f>+IF(Table1[[#This Row],[Column40]]="No",Table1[[#This Row],[Column7]],0)</f>
        <v>0</v>
      </c>
      <c r="AU127" s="4" t="str">
        <f>+IF(LEFT(Table1[[#This Row],[Column42]],2)="DN",IF(Table1[[#This Row],[Column40]]="ok","(CA)",_xlfn.CONCAT("(CA)",CHAR(10),"FAIL")),"")</f>
        <v/>
      </c>
      <c r="AV127" s="154" t="str">
        <f>+IF(Table1[[#This Row],[Column6]]=0,"",_xlfn.CONCAT("Sem ",WEEKNUM(Table1[[#This Row],[Column6]],2)))</f>
        <v>Sem 10</v>
      </c>
      <c r="AW127" s="211"/>
    </row>
    <row r="128" spans="2:49" ht="19.5" customHeight="1" x14ac:dyDescent="0.3">
      <c r="B128" s="356" t="s">
        <v>361</v>
      </c>
      <c r="C128" s="331"/>
      <c r="D128" s="332" t="s">
        <v>132</v>
      </c>
      <c r="E128" s="332" t="s">
        <v>176</v>
      </c>
      <c r="F128" s="333"/>
      <c r="G128" s="334">
        <v>46088</v>
      </c>
      <c r="H128" s="335">
        <v>33.28</v>
      </c>
      <c r="I128" s="336">
        <v>-25.31</v>
      </c>
      <c r="J128" s="337">
        <v>2633.8</v>
      </c>
      <c r="K128" s="338" t="s">
        <v>356</v>
      </c>
      <c r="L128" s="339" t="s">
        <v>362</v>
      </c>
      <c r="M128" s="340">
        <v>30</v>
      </c>
      <c r="N128" s="341">
        <v>85462</v>
      </c>
      <c r="O128" s="332">
        <v>59.78</v>
      </c>
      <c r="P128" s="342">
        <v>10</v>
      </c>
      <c r="Q128" s="343">
        <v>11.358313817330213</v>
      </c>
      <c r="R128" s="344">
        <v>1.7290909090909088</v>
      </c>
      <c r="S128" s="344">
        <v>1.708</v>
      </c>
      <c r="T128" s="344">
        <v>1.9019999999999999</v>
      </c>
      <c r="U128" s="344" t="s">
        <v>136</v>
      </c>
      <c r="V128" s="332" t="s">
        <v>191</v>
      </c>
      <c r="W128" s="345">
        <v>6</v>
      </c>
      <c r="X128" s="346">
        <v>3</v>
      </c>
      <c r="Y128" s="208">
        <v>2.8069999999999999</v>
      </c>
      <c r="Z128" s="332"/>
      <c r="AA128" s="342"/>
      <c r="AB128" s="342"/>
      <c r="AC128" s="342"/>
      <c r="AD128" s="123"/>
      <c r="AE128" s="358">
        <v>1.706</v>
      </c>
      <c r="AF128" s="349">
        <v>0</v>
      </c>
      <c r="AG128" s="350"/>
      <c r="AH128" s="351" t="s">
        <v>139</v>
      </c>
      <c r="AI128" s="351" t="s">
        <v>139</v>
      </c>
      <c r="AJ128" s="206" t="s">
        <v>139</v>
      </c>
      <c r="AK128" s="353" t="s">
        <v>360</v>
      </c>
      <c r="AL128" s="206" t="s">
        <v>139</v>
      </c>
      <c r="AM128" s="349">
        <v>101.35351167004154</v>
      </c>
      <c r="AN128" s="354" t="s">
        <v>139</v>
      </c>
      <c r="AO128" s="355" t="s">
        <v>140</v>
      </c>
      <c r="AP128" s="206" t="s">
        <v>139</v>
      </c>
      <c r="AQ128" s="207">
        <v>0</v>
      </c>
      <c r="AR128" s="211"/>
      <c r="AS128" s="297">
        <f>+IF(Table1[[#This Row],[Column40]]="ok",Table1[[#This Row],[Column7]],0)</f>
        <v>33.28</v>
      </c>
      <c r="AT128" s="295">
        <f>+IF(Table1[[#This Row],[Column40]]="No",Table1[[#This Row],[Column7]],0)</f>
        <v>0</v>
      </c>
      <c r="AU128" s="4" t="str">
        <f>+IF(LEFT(Table1[[#This Row],[Column42]],2)="DN",IF(Table1[[#This Row],[Column40]]="ok","(CA)",_xlfn.CONCAT("(CA)",CHAR(10),"FAIL")),"")</f>
        <v/>
      </c>
      <c r="AV128" s="154" t="str">
        <f>+IF(Table1[[#This Row],[Column6]]=0,"",_xlfn.CONCAT("Sem ",WEEKNUM(Table1[[#This Row],[Column6]],2)))</f>
        <v>Sem 10</v>
      </c>
      <c r="AW128" s="211"/>
    </row>
    <row r="129" spans="2:49" ht="19.5" customHeight="1" x14ac:dyDescent="0.3">
      <c r="B129" s="356" t="s">
        <v>363</v>
      </c>
      <c r="C129" s="331"/>
      <c r="D129" s="332" t="s">
        <v>132</v>
      </c>
      <c r="E129" s="332" t="s">
        <v>176</v>
      </c>
      <c r="F129" s="333"/>
      <c r="G129" s="334">
        <v>46088</v>
      </c>
      <c r="H129" s="335">
        <v>80.94</v>
      </c>
      <c r="I129" s="336">
        <v>54.08</v>
      </c>
      <c r="J129" s="337">
        <v>2634.03</v>
      </c>
      <c r="K129" s="338" t="s">
        <v>356</v>
      </c>
      <c r="L129" s="339" t="s">
        <v>364</v>
      </c>
      <c r="M129" s="340">
        <v>30</v>
      </c>
      <c r="N129" s="341">
        <v>85462</v>
      </c>
      <c r="O129" s="332">
        <v>59.78</v>
      </c>
      <c r="P129" s="342">
        <v>13.3</v>
      </c>
      <c r="Q129" s="343">
        <v>9.172763083849178</v>
      </c>
      <c r="R129" s="344">
        <v>1.7122683142100616</v>
      </c>
      <c r="S129" s="344">
        <v>1.7769999999999999</v>
      </c>
      <c r="T129" s="344">
        <v>1.94</v>
      </c>
      <c r="U129" s="344" t="s">
        <v>136</v>
      </c>
      <c r="V129" s="332" t="s">
        <v>137</v>
      </c>
      <c r="W129" s="345">
        <v>8</v>
      </c>
      <c r="X129" s="346">
        <v>4</v>
      </c>
      <c r="Y129" s="208">
        <v>2.8069999999999999</v>
      </c>
      <c r="Z129" s="332"/>
      <c r="AA129" s="342"/>
      <c r="AB129" s="342"/>
      <c r="AC129" s="342"/>
      <c r="AD129" s="347"/>
      <c r="AE129" s="358">
        <v>1.706</v>
      </c>
      <c r="AF129" s="349">
        <v>0</v>
      </c>
      <c r="AG129" s="350"/>
      <c r="AH129" s="351" t="s">
        <v>139</v>
      </c>
      <c r="AI129" s="352" t="s">
        <v>139</v>
      </c>
      <c r="AJ129" s="206" t="s">
        <v>139</v>
      </c>
      <c r="AK129" s="353" t="s">
        <v>360</v>
      </c>
      <c r="AL129" s="206" t="s">
        <v>139</v>
      </c>
      <c r="AM129" s="349">
        <v>100.36742756213725</v>
      </c>
      <c r="AN129" s="354" t="s">
        <v>139</v>
      </c>
      <c r="AO129" s="355" t="s">
        <v>140</v>
      </c>
      <c r="AP129" s="206" t="s">
        <v>139</v>
      </c>
      <c r="AQ129" s="246">
        <v>0</v>
      </c>
      <c r="AR129" s="211"/>
      <c r="AS129" s="297">
        <f>+IF(Table1[[#This Row],[Column40]]="ok",Table1[[#This Row],[Column7]],0)</f>
        <v>80.94</v>
      </c>
      <c r="AT129" s="295">
        <f>+IF(Table1[[#This Row],[Column40]]="No",Table1[[#This Row],[Column7]],0)</f>
        <v>0</v>
      </c>
      <c r="AU129" s="4" t="str">
        <f>+IF(LEFT(Table1[[#This Row],[Column42]],2)="DN",IF(Table1[[#This Row],[Column40]]="ok","(CA)",_xlfn.CONCAT("(CA)",CHAR(10),"FAIL")),"")</f>
        <v/>
      </c>
      <c r="AV129" s="154" t="str">
        <f>+IF(Table1[[#This Row],[Column6]]=0,"",_xlfn.CONCAT("Sem ",WEEKNUM(Table1[[#This Row],[Column6]],2)))</f>
        <v>Sem 10</v>
      </c>
      <c r="AW129" s="211"/>
    </row>
    <row r="130" spans="2:49" ht="19.5" customHeight="1" x14ac:dyDescent="0.3">
      <c r="B130" s="356" t="s">
        <v>365</v>
      </c>
      <c r="C130" s="331"/>
      <c r="D130" s="332" t="s">
        <v>132</v>
      </c>
      <c r="E130" s="332" t="s">
        <v>176</v>
      </c>
      <c r="F130" s="333"/>
      <c r="G130" s="334">
        <v>46088</v>
      </c>
      <c r="H130" s="335">
        <v>173.47</v>
      </c>
      <c r="I130" s="336">
        <v>96.44</v>
      </c>
      <c r="J130" s="337">
        <v>2632.54</v>
      </c>
      <c r="K130" s="338" t="s">
        <v>356</v>
      </c>
      <c r="L130" s="339" t="s">
        <v>366</v>
      </c>
      <c r="M130" s="340">
        <v>30</v>
      </c>
      <c r="N130" s="341">
        <v>85462</v>
      </c>
      <c r="O130" s="332">
        <v>59.78</v>
      </c>
      <c r="P130" s="342">
        <v>9.7000000000000011</v>
      </c>
      <c r="Q130" s="343">
        <v>8.9686098654708566</v>
      </c>
      <c r="R130" s="344">
        <v>1.772105742935278</v>
      </c>
      <c r="S130" s="344">
        <v>1.784</v>
      </c>
      <c r="T130" s="344">
        <v>1.944</v>
      </c>
      <c r="U130" s="344" t="s">
        <v>136</v>
      </c>
      <c r="V130" s="332" t="s">
        <v>137</v>
      </c>
      <c r="W130" s="345">
        <v>8</v>
      </c>
      <c r="X130" s="346">
        <v>4</v>
      </c>
      <c r="Y130" s="208">
        <v>2.8069999999999999</v>
      </c>
      <c r="Z130" s="332"/>
      <c r="AA130" s="342"/>
      <c r="AB130" s="342"/>
      <c r="AC130" s="342"/>
      <c r="AD130" s="347"/>
      <c r="AE130" s="358">
        <v>1.706</v>
      </c>
      <c r="AF130" s="349">
        <v>0</v>
      </c>
      <c r="AG130" s="350"/>
      <c r="AH130" s="351" t="s">
        <v>139</v>
      </c>
      <c r="AI130" s="352" t="s">
        <v>139</v>
      </c>
      <c r="AJ130" s="206" t="s">
        <v>139</v>
      </c>
      <c r="AK130" s="353" t="s">
        <v>360</v>
      </c>
      <c r="AL130" s="206" t="s">
        <v>139</v>
      </c>
      <c r="AM130" s="349">
        <v>103.87489700675721</v>
      </c>
      <c r="AN130" s="354" t="s">
        <v>139</v>
      </c>
      <c r="AO130" s="355" t="s">
        <v>140</v>
      </c>
      <c r="AP130" s="206" t="s">
        <v>139</v>
      </c>
      <c r="AQ130" s="246">
        <v>0</v>
      </c>
      <c r="AR130" s="211"/>
      <c r="AS130" s="297">
        <f>+IF(Table1[[#This Row],[Column40]]="ok",Table1[[#This Row],[Column7]],0)</f>
        <v>173.47</v>
      </c>
      <c r="AT130" s="295">
        <f>+IF(Table1[[#This Row],[Column40]]="No",Table1[[#This Row],[Column7]],0)</f>
        <v>0</v>
      </c>
      <c r="AU130" s="4" t="str">
        <f>+IF(LEFT(Table1[[#This Row],[Column42]],2)="DN",IF(Table1[[#This Row],[Column40]]="ok","(CA)",_xlfn.CONCAT("(CA)",CHAR(10),"FAIL")),"")</f>
        <v/>
      </c>
      <c r="AV130" s="154" t="str">
        <f>+IF(Table1[[#This Row],[Column6]]=0,"",_xlfn.CONCAT("Sem ",WEEKNUM(Table1[[#This Row],[Column6]],2)))</f>
        <v>Sem 10</v>
      </c>
      <c r="AW130" s="211"/>
    </row>
    <row r="131" spans="2:49" ht="19.5" customHeight="1" x14ac:dyDescent="0.3">
      <c r="B131" s="356" t="s">
        <v>367</v>
      </c>
      <c r="C131" s="331"/>
      <c r="D131" s="332" t="s">
        <v>132</v>
      </c>
      <c r="E131" s="332" t="s">
        <v>176</v>
      </c>
      <c r="F131" s="333"/>
      <c r="G131" s="334">
        <v>46088</v>
      </c>
      <c r="H131" s="335">
        <v>295.41000000000003</v>
      </c>
      <c r="I131" s="336">
        <v>106.96</v>
      </c>
      <c r="J131" s="337">
        <v>2633.09</v>
      </c>
      <c r="K131" s="338" t="s">
        <v>335</v>
      </c>
      <c r="L131" s="339" t="s">
        <v>368</v>
      </c>
      <c r="M131" s="340">
        <v>30</v>
      </c>
      <c r="N131" s="341">
        <v>85462</v>
      </c>
      <c r="O131" s="332">
        <v>59.78</v>
      </c>
      <c r="P131" s="342">
        <v>12.2</v>
      </c>
      <c r="Q131" s="343">
        <v>7.7484559236384198</v>
      </c>
      <c r="R131" s="344">
        <v>1.7103386809269163</v>
      </c>
      <c r="S131" s="344">
        <v>1.7809999999999999</v>
      </c>
      <c r="T131" s="344">
        <v>1.919</v>
      </c>
      <c r="U131" s="344" t="s">
        <v>136</v>
      </c>
      <c r="V131" s="332" t="s">
        <v>137</v>
      </c>
      <c r="W131" s="345">
        <v>8</v>
      </c>
      <c r="X131" s="346">
        <v>4</v>
      </c>
      <c r="Y131" s="208">
        <v>2.8069999999999999</v>
      </c>
      <c r="Z131" s="332"/>
      <c r="AA131" s="342"/>
      <c r="AB131" s="342"/>
      <c r="AC131" s="342"/>
      <c r="AD131" s="347"/>
      <c r="AE131" s="358">
        <v>1.706</v>
      </c>
      <c r="AF131" s="349">
        <v>0</v>
      </c>
      <c r="AG131" s="350"/>
      <c r="AH131" s="351" t="s">
        <v>139</v>
      </c>
      <c r="AI131" s="352" t="s">
        <v>139</v>
      </c>
      <c r="AJ131" s="206" t="s">
        <v>139</v>
      </c>
      <c r="AK131" s="353" t="s">
        <v>360</v>
      </c>
      <c r="AL131" s="206" t="s">
        <v>139</v>
      </c>
      <c r="AM131" s="349">
        <v>100.2543189288931</v>
      </c>
      <c r="AN131" s="354" t="s">
        <v>139</v>
      </c>
      <c r="AO131" s="355" t="s">
        <v>140</v>
      </c>
      <c r="AP131" s="206" t="s">
        <v>139</v>
      </c>
      <c r="AQ131" s="246">
        <v>0</v>
      </c>
      <c r="AR131" s="211"/>
      <c r="AS131" s="297">
        <f>+IF(Table1[[#This Row],[Column40]]="ok",Table1[[#This Row],[Column7]],0)</f>
        <v>295.41000000000003</v>
      </c>
      <c r="AT131" s="295">
        <f>+IF(Table1[[#This Row],[Column40]]="No",Table1[[#This Row],[Column7]],0)</f>
        <v>0</v>
      </c>
      <c r="AU131" s="4" t="str">
        <f>+IF(LEFT(Table1[[#This Row],[Column42]],2)="DN",IF(Table1[[#This Row],[Column40]]="ok","(CA)",_xlfn.CONCAT("(CA)",CHAR(10),"FAIL")),"")</f>
        <v/>
      </c>
      <c r="AV131" s="154" t="str">
        <f>+IF(Table1[[#This Row],[Column6]]=0,"",_xlfn.CONCAT("Sem ",WEEKNUM(Table1[[#This Row],[Column6]],2)))</f>
        <v>Sem 10</v>
      </c>
      <c r="AW131" s="211"/>
    </row>
    <row r="132" spans="2:49" ht="19.5" customHeight="1" x14ac:dyDescent="0.3">
      <c r="B132" s="356" t="s">
        <v>369</v>
      </c>
      <c r="C132" s="331"/>
      <c r="D132" s="332" t="s">
        <v>132</v>
      </c>
      <c r="E132" s="332" t="s">
        <v>176</v>
      </c>
      <c r="F132" s="333"/>
      <c r="G132" s="334">
        <v>46088</v>
      </c>
      <c r="H132" s="335">
        <v>357.12</v>
      </c>
      <c r="I132" s="336">
        <v>125.01</v>
      </c>
      <c r="J132" s="337">
        <v>2628.86</v>
      </c>
      <c r="K132" s="338" t="s">
        <v>335</v>
      </c>
      <c r="L132" s="339" t="s">
        <v>370</v>
      </c>
      <c r="M132" s="340">
        <v>30</v>
      </c>
      <c r="N132" s="341">
        <v>85462</v>
      </c>
      <c r="O132" s="332">
        <v>59.78</v>
      </c>
      <c r="P132" s="342">
        <v>11.899999999999999</v>
      </c>
      <c r="Q132" s="343">
        <v>7.8151739874500858</v>
      </c>
      <c r="R132" s="344">
        <v>1.6890080428954424</v>
      </c>
      <c r="S132" s="344">
        <v>1.7529999999999999</v>
      </c>
      <c r="T132" s="344">
        <v>1.89</v>
      </c>
      <c r="U132" s="344" t="s">
        <v>136</v>
      </c>
      <c r="V132" s="332" t="s">
        <v>137</v>
      </c>
      <c r="W132" s="345">
        <v>8</v>
      </c>
      <c r="X132" s="346">
        <v>4</v>
      </c>
      <c r="Y132" s="208">
        <v>2.8069999999999999</v>
      </c>
      <c r="Z132" s="332"/>
      <c r="AA132" s="342"/>
      <c r="AB132" s="342"/>
      <c r="AC132" s="342"/>
      <c r="AD132" s="347"/>
      <c r="AE132" s="358">
        <v>1.706</v>
      </c>
      <c r="AF132" s="349">
        <v>0</v>
      </c>
      <c r="AG132" s="350"/>
      <c r="AH132" s="351" t="s">
        <v>139</v>
      </c>
      <c r="AI132" s="352" t="s">
        <v>139</v>
      </c>
      <c r="AJ132" s="206" t="s">
        <v>139</v>
      </c>
      <c r="AK132" s="353" t="s">
        <v>360</v>
      </c>
      <c r="AL132" s="206" t="s">
        <v>139</v>
      </c>
      <c r="AM132" s="349">
        <v>99.003988446391702</v>
      </c>
      <c r="AN132" s="354" t="s">
        <v>139</v>
      </c>
      <c r="AO132" s="355" t="s">
        <v>140</v>
      </c>
      <c r="AP132" s="206" t="s">
        <v>139</v>
      </c>
      <c r="AQ132" s="246">
        <v>0</v>
      </c>
      <c r="AR132" s="211"/>
      <c r="AS132" s="297">
        <f>+IF(Table1[[#This Row],[Column40]]="ok",Table1[[#This Row],[Column7]],0)</f>
        <v>357.12</v>
      </c>
      <c r="AT132" s="295">
        <f>+IF(Table1[[#This Row],[Column40]]="No",Table1[[#This Row],[Column7]],0)</f>
        <v>0</v>
      </c>
      <c r="AU132" s="4" t="str">
        <f>+IF(LEFT(Table1[[#This Row],[Column42]],2)="DN",IF(Table1[[#This Row],[Column40]]="ok","(CA)",_xlfn.CONCAT("(CA)",CHAR(10),"FAIL")),"")</f>
        <v/>
      </c>
      <c r="AV132" s="154" t="str">
        <f>+IF(Table1[[#This Row],[Column6]]=0,"",_xlfn.CONCAT("Sem ",WEEKNUM(Table1[[#This Row],[Column6]],2)))</f>
        <v>Sem 10</v>
      </c>
      <c r="AW132" s="211"/>
    </row>
    <row r="133" spans="2:49" ht="19.5" customHeight="1" x14ac:dyDescent="0.3">
      <c r="B133" s="356" t="s">
        <v>371</v>
      </c>
      <c r="C133" s="331"/>
      <c r="D133" s="332" t="s">
        <v>132</v>
      </c>
      <c r="E133" s="332" t="s">
        <v>176</v>
      </c>
      <c r="F133" s="333"/>
      <c r="G133" s="334">
        <v>46088</v>
      </c>
      <c r="H133" s="335">
        <v>432.55</v>
      </c>
      <c r="I133" s="336">
        <v>106.87</v>
      </c>
      <c r="J133" s="337">
        <v>2634.21</v>
      </c>
      <c r="K133" s="338" t="s">
        <v>335</v>
      </c>
      <c r="L133" s="339" t="s">
        <v>336</v>
      </c>
      <c r="M133" s="340">
        <v>30</v>
      </c>
      <c r="N133" s="341">
        <v>85462</v>
      </c>
      <c r="O133" s="332">
        <v>59.78</v>
      </c>
      <c r="P133" s="342">
        <v>9.5</v>
      </c>
      <c r="Q133" s="343">
        <v>8.5393258426966323</v>
      </c>
      <c r="R133" s="344">
        <v>1.7643835616438357</v>
      </c>
      <c r="S133" s="344">
        <v>1.78</v>
      </c>
      <c r="T133" s="344">
        <v>1.9319999999999999</v>
      </c>
      <c r="U133" s="344" t="s">
        <v>136</v>
      </c>
      <c r="V133" s="332" t="s">
        <v>137</v>
      </c>
      <c r="W133" s="345">
        <v>8</v>
      </c>
      <c r="X133" s="346">
        <v>4</v>
      </c>
      <c r="Y133" s="208">
        <v>2.8069999999999999</v>
      </c>
      <c r="Z133" s="332"/>
      <c r="AA133" s="342"/>
      <c r="AB133" s="342"/>
      <c r="AC133" s="342"/>
      <c r="AD133" s="347"/>
      <c r="AE133" s="358">
        <v>1.706</v>
      </c>
      <c r="AF133" s="349">
        <v>0</v>
      </c>
      <c r="AG133" s="350"/>
      <c r="AH133" s="351" t="s">
        <v>139</v>
      </c>
      <c r="AI133" s="352" t="s">
        <v>139</v>
      </c>
      <c r="AJ133" s="206" t="s">
        <v>139</v>
      </c>
      <c r="AK133" s="353" t="s">
        <v>360</v>
      </c>
      <c r="AL133" s="206" t="s">
        <v>139</v>
      </c>
      <c r="AM133" s="349">
        <v>103.42224863093996</v>
      </c>
      <c r="AN133" s="354" t="s">
        <v>139</v>
      </c>
      <c r="AO133" s="355" t="s">
        <v>140</v>
      </c>
      <c r="AP133" s="206" t="s">
        <v>139</v>
      </c>
      <c r="AQ133" s="246">
        <v>0</v>
      </c>
      <c r="AR133" s="211"/>
      <c r="AS133" s="297">
        <f>+IF(Table1[[#This Row],[Column40]]="ok",Table1[[#This Row],[Column7]],0)</f>
        <v>432.55</v>
      </c>
      <c r="AT133" s="295">
        <f>+IF(Table1[[#This Row],[Column40]]="No",Table1[[#This Row],[Column7]],0)</f>
        <v>0</v>
      </c>
      <c r="AU133" s="4" t="str">
        <f>+IF(LEFT(Table1[[#This Row],[Column42]],2)="DN",IF(Table1[[#This Row],[Column40]]="ok","(CA)",_xlfn.CONCAT("(CA)",CHAR(10),"FAIL")),"")</f>
        <v/>
      </c>
      <c r="AV133" s="154" t="str">
        <f>+IF(Table1[[#This Row],[Column6]]=0,"",_xlfn.CONCAT("Sem ",WEEKNUM(Table1[[#This Row],[Column6]],2)))</f>
        <v>Sem 10</v>
      </c>
      <c r="AW133" s="211"/>
    </row>
    <row r="134" spans="2:49" ht="19.5" customHeight="1" x14ac:dyDescent="0.3">
      <c r="B134" s="356" t="s">
        <v>372</v>
      </c>
      <c r="C134" s="331"/>
      <c r="D134" s="332" t="s">
        <v>132</v>
      </c>
      <c r="E134" s="332" t="s">
        <v>176</v>
      </c>
      <c r="F134" s="333"/>
      <c r="G134" s="334">
        <v>46088</v>
      </c>
      <c r="H134" s="335">
        <v>242.4</v>
      </c>
      <c r="I134" s="336">
        <v>59.97</v>
      </c>
      <c r="J134" s="337">
        <v>2635.9</v>
      </c>
      <c r="K134" s="338" t="s">
        <v>356</v>
      </c>
      <c r="L134" s="339" t="s">
        <v>168</v>
      </c>
      <c r="M134" s="340">
        <v>30</v>
      </c>
      <c r="N134" s="341">
        <v>85462</v>
      </c>
      <c r="O134" s="332">
        <v>59.78</v>
      </c>
      <c r="P134" s="342">
        <v>15.2</v>
      </c>
      <c r="Q134" s="343">
        <v>11.004273504273488</v>
      </c>
      <c r="R134" s="344">
        <v>1.8038194444444444</v>
      </c>
      <c r="S134" s="344">
        <v>1.8720000000000001</v>
      </c>
      <c r="T134" s="344">
        <v>2.0779999999999998</v>
      </c>
      <c r="U134" s="344" t="s">
        <v>136</v>
      </c>
      <c r="V134" s="332" t="s">
        <v>169</v>
      </c>
      <c r="W134" s="345">
        <v>4</v>
      </c>
      <c r="X134" s="346">
        <v>2</v>
      </c>
      <c r="Y134" s="208">
        <v>2.8069999999999999</v>
      </c>
      <c r="Z134" s="332"/>
      <c r="AA134" s="342"/>
      <c r="AB134" s="342"/>
      <c r="AC134" s="342"/>
      <c r="AD134" s="347"/>
      <c r="AE134" s="348">
        <v>1.7318323651699545</v>
      </c>
      <c r="AF134" s="349">
        <v>16.288403519930068</v>
      </c>
      <c r="AG134" s="350"/>
      <c r="AH134" s="351">
        <v>1.7314974182444063</v>
      </c>
      <c r="AI134" s="352">
        <v>2.012</v>
      </c>
      <c r="AJ134" s="206">
        <v>16.2</v>
      </c>
      <c r="AK134" s="353" t="s">
        <v>298</v>
      </c>
      <c r="AL134" s="206">
        <v>8.8403519930068342E-2</v>
      </c>
      <c r="AM134" s="349">
        <v>104.15670019352163</v>
      </c>
      <c r="AN134" s="354" t="s">
        <v>139</v>
      </c>
      <c r="AO134" s="355" t="s">
        <v>140</v>
      </c>
      <c r="AP134" s="206" t="s">
        <v>139</v>
      </c>
      <c r="AQ134" s="207" t="s">
        <v>373</v>
      </c>
      <c r="AR134" s="211"/>
      <c r="AS134" s="297">
        <f>+IF(Table1[[#This Row],[Column40]]="ok",Table1[[#This Row],[Column7]],0)</f>
        <v>242.4</v>
      </c>
      <c r="AT134" s="295">
        <f>+IF(Table1[[#This Row],[Column40]]="No",Table1[[#This Row],[Column7]],0)</f>
        <v>0</v>
      </c>
      <c r="AU134" s="4" t="str">
        <f>+IF(LEFT(Table1[[#This Row],[Column42]],2)="DN",IF(Table1[[#This Row],[Column40]]="ok","(CA)",_xlfn.CONCAT("(CA)",CHAR(10),"FAIL")),"")</f>
        <v/>
      </c>
      <c r="AV134" s="154" t="str">
        <f>+IF(Table1[[#This Row],[Column6]]=0,"",_xlfn.CONCAT("Sem ",WEEKNUM(Table1[[#This Row],[Column6]],2)))</f>
        <v>Sem 10</v>
      </c>
      <c r="AW134" s="211"/>
    </row>
    <row r="135" spans="2:49" ht="19.5" customHeight="1" x14ac:dyDescent="0.3">
      <c r="B135" s="356" t="s">
        <v>373</v>
      </c>
      <c r="C135" s="331"/>
      <c r="D135" s="332" t="s">
        <v>132</v>
      </c>
      <c r="E135" s="332" t="s">
        <v>176</v>
      </c>
      <c r="F135" s="333"/>
      <c r="G135" s="334">
        <v>46088</v>
      </c>
      <c r="H135" s="335">
        <v>242.4</v>
      </c>
      <c r="I135" s="336">
        <v>59.97</v>
      </c>
      <c r="J135" s="337">
        <v>2635.9</v>
      </c>
      <c r="K135" s="338" t="s">
        <v>356</v>
      </c>
      <c r="L135" s="339" t="s">
        <v>168</v>
      </c>
      <c r="M135" s="340">
        <v>15</v>
      </c>
      <c r="N135" s="341"/>
      <c r="O135" s="332"/>
      <c r="P135" s="342">
        <v>15.231788079470181</v>
      </c>
      <c r="Q135" s="343"/>
      <c r="R135" s="344">
        <v>1.8149004144986332</v>
      </c>
      <c r="S135" s="344"/>
      <c r="T135" s="344">
        <v>2.0913421994884911</v>
      </c>
      <c r="U135" s="344" t="s">
        <v>142</v>
      </c>
      <c r="V135" s="332" t="s">
        <v>137</v>
      </c>
      <c r="W135" s="345">
        <v>6</v>
      </c>
      <c r="X135" s="346">
        <v>8</v>
      </c>
      <c r="Y135" s="208"/>
      <c r="Z135" s="332" t="s">
        <v>227</v>
      </c>
      <c r="AA135" s="342">
        <v>99.474765928294133</v>
      </c>
      <c r="AB135" s="342">
        <v>81.662480018269008</v>
      </c>
      <c r="AC135" s="342">
        <v>39.392555377940184</v>
      </c>
      <c r="AD135" s="347">
        <v>15.277460607444638</v>
      </c>
      <c r="AE135" s="348">
        <v>1.7318323651699545</v>
      </c>
      <c r="AF135" s="349">
        <v>16.288403519930068</v>
      </c>
      <c r="AG135" s="350" t="s">
        <v>298</v>
      </c>
      <c r="AH135" s="351">
        <v>1.7317518702505186</v>
      </c>
      <c r="AI135" s="352">
        <v>2.0115883478630665</v>
      </c>
      <c r="AJ135" s="206">
        <v>16.159155501421012</v>
      </c>
      <c r="AK135" s="353" t="s">
        <v>298</v>
      </c>
      <c r="AL135" s="206">
        <v>0.1292480185090561</v>
      </c>
      <c r="AM135" s="349">
        <v>104.79654099318824</v>
      </c>
      <c r="AN135" s="354" t="s">
        <v>139</v>
      </c>
      <c r="AO135" s="355" t="s">
        <v>144</v>
      </c>
      <c r="AP135" s="206">
        <v>0</v>
      </c>
      <c r="AQ135" s="207" t="s">
        <v>372</v>
      </c>
      <c r="AR135" s="211"/>
      <c r="AS135" s="297">
        <f>+IF(Table1[[#This Row],[Column40]]="ok",Table1[[#This Row],[Column7]],0)</f>
        <v>242.4</v>
      </c>
      <c r="AT135" s="295">
        <f>+IF(Table1[[#This Row],[Column40]]="No",Table1[[#This Row],[Column7]],0)</f>
        <v>0</v>
      </c>
      <c r="AU135" s="4" t="str">
        <f>+IF(LEFT(Table1[[#This Row],[Column42]],2)="DN",IF(Table1[[#This Row],[Column40]]="ok","(CA)",_xlfn.CONCAT("(CA)",CHAR(10),"FAIL")),"")</f>
        <v>(CA)</v>
      </c>
      <c r="AV135" s="154" t="str">
        <f>+IF(Table1[[#This Row],[Column6]]=0,"",_xlfn.CONCAT("Sem ",WEEKNUM(Table1[[#This Row],[Column6]],2)))</f>
        <v>Sem 10</v>
      </c>
      <c r="AW135" s="211"/>
    </row>
    <row r="136" spans="2:49" ht="19.5" customHeight="1" x14ac:dyDescent="0.3">
      <c r="B136" s="356" t="s">
        <v>374</v>
      </c>
      <c r="C136" s="331"/>
      <c r="D136" s="332" t="s">
        <v>132</v>
      </c>
      <c r="E136" s="332" t="s">
        <v>176</v>
      </c>
      <c r="F136" s="333"/>
      <c r="G136" s="334">
        <v>46088</v>
      </c>
      <c r="H136" s="335">
        <v>65.36</v>
      </c>
      <c r="I136" s="336">
        <v>8.83</v>
      </c>
      <c r="J136" s="337">
        <v>2635.9</v>
      </c>
      <c r="K136" s="338" t="s">
        <v>356</v>
      </c>
      <c r="L136" s="339" t="s">
        <v>168</v>
      </c>
      <c r="M136" s="340">
        <v>30</v>
      </c>
      <c r="N136" s="341">
        <v>85462</v>
      </c>
      <c r="O136" s="332">
        <v>59.78</v>
      </c>
      <c r="P136" s="342">
        <v>18.5</v>
      </c>
      <c r="Q136" s="343">
        <v>19.284064665127019</v>
      </c>
      <c r="R136" s="344">
        <v>1.7434599156118142</v>
      </c>
      <c r="S136" s="344">
        <v>1.732</v>
      </c>
      <c r="T136" s="344">
        <v>2.0659999999999998</v>
      </c>
      <c r="U136" s="344" t="s">
        <v>136</v>
      </c>
      <c r="V136" s="332" t="s">
        <v>169</v>
      </c>
      <c r="W136" s="345">
        <v>4</v>
      </c>
      <c r="X136" s="346">
        <v>2</v>
      </c>
      <c r="Y136" s="208">
        <v>2.8069999999999999</v>
      </c>
      <c r="Z136" s="332"/>
      <c r="AA136" s="342"/>
      <c r="AB136" s="342"/>
      <c r="AC136" s="342"/>
      <c r="AD136" s="347"/>
      <c r="AE136" s="348">
        <v>1.706</v>
      </c>
      <c r="AF136" s="349">
        <v>0</v>
      </c>
      <c r="AG136" s="350"/>
      <c r="AH136" s="351" t="s">
        <v>139</v>
      </c>
      <c r="AI136" s="352" t="s">
        <v>139</v>
      </c>
      <c r="AJ136" s="206" t="s">
        <v>139</v>
      </c>
      <c r="AK136" s="353" t="s">
        <v>360</v>
      </c>
      <c r="AL136" s="206" t="s">
        <v>139</v>
      </c>
      <c r="AM136" s="349">
        <v>102.1957746548543</v>
      </c>
      <c r="AN136" s="354" t="s">
        <v>139</v>
      </c>
      <c r="AO136" s="355" t="s">
        <v>140</v>
      </c>
      <c r="AP136" s="206" t="s">
        <v>139</v>
      </c>
      <c r="AQ136" s="207">
        <v>0</v>
      </c>
      <c r="AR136" s="211"/>
      <c r="AS136" s="297">
        <f>+IF(Table1[[#This Row],[Column40]]="ok",Table1[[#This Row],[Column7]],0)</f>
        <v>65.36</v>
      </c>
      <c r="AT136" s="295">
        <f>+IF(Table1[[#This Row],[Column40]]="No",Table1[[#This Row],[Column7]],0)</f>
        <v>0</v>
      </c>
      <c r="AU136" s="4" t="str">
        <f>+IF(LEFT(Table1[[#This Row],[Column42]],2)="DN",IF(Table1[[#This Row],[Column40]]="ok","(CA)",_xlfn.CONCAT("(CA)",CHAR(10),"FAIL")),"")</f>
        <v/>
      </c>
      <c r="AV136" s="154" t="str">
        <f>+IF(Table1[[#This Row],[Column6]]=0,"",_xlfn.CONCAT("Sem ",WEEKNUM(Table1[[#This Row],[Column6]],2)))</f>
        <v>Sem 10</v>
      </c>
      <c r="AW136" s="211"/>
    </row>
    <row r="137" spans="2:49" ht="19.5" customHeight="1" x14ac:dyDescent="0.3">
      <c r="B137" s="356" t="s">
        <v>375</v>
      </c>
      <c r="C137" s="331"/>
      <c r="D137" s="332" t="s">
        <v>132</v>
      </c>
      <c r="E137" s="332" t="s">
        <v>176</v>
      </c>
      <c r="F137" s="333"/>
      <c r="G137" s="334">
        <v>46088</v>
      </c>
      <c r="H137" s="335">
        <v>343.08</v>
      </c>
      <c r="I137" s="336">
        <v>62.01</v>
      </c>
      <c r="J137" s="337">
        <v>2635.9</v>
      </c>
      <c r="K137" s="338" t="s">
        <v>335</v>
      </c>
      <c r="L137" s="339" t="s">
        <v>168</v>
      </c>
      <c r="M137" s="340">
        <v>30</v>
      </c>
      <c r="N137" s="341">
        <v>85462</v>
      </c>
      <c r="O137" s="332">
        <v>59.78</v>
      </c>
      <c r="P137" s="342">
        <v>16.900000000000002</v>
      </c>
      <c r="Q137" s="343">
        <v>12.184166198764746</v>
      </c>
      <c r="R137" s="344">
        <v>1.7091531223267749</v>
      </c>
      <c r="S137" s="344">
        <v>1.7809999999999999</v>
      </c>
      <c r="T137" s="344">
        <v>1.998</v>
      </c>
      <c r="U137" s="344" t="s">
        <v>136</v>
      </c>
      <c r="V137" s="332" t="s">
        <v>169</v>
      </c>
      <c r="W137" s="345">
        <v>4</v>
      </c>
      <c r="X137" s="346">
        <v>2</v>
      </c>
      <c r="Y137" s="208">
        <v>2.8069999999999999</v>
      </c>
      <c r="Z137" s="332"/>
      <c r="AA137" s="342"/>
      <c r="AB137" s="342"/>
      <c r="AC137" s="342"/>
      <c r="AD137" s="347"/>
      <c r="AE137" s="348">
        <v>1.706</v>
      </c>
      <c r="AF137" s="349">
        <v>0</v>
      </c>
      <c r="AG137" s="350"/>
      <c r="AH137" s="351" t="s">
        <v>139</v>
      </c>
      <c r="AI137" s="352" t="s">
        <v>139</v>
      </c>
      <c r="AJ137" s="206" t="s">
        <v>139</v>
      </c>
      <c r="AK137" s="353" t="s">
        <v>360</v>
      </c>
      <c r="AL137" s="206" t="s">
        <v>139</v>
      </c>
      <c r="AM137" s="349">
        <v>100.18482545877929</v>
      </c>
      <c r="AN137" s="354" t="s">
        <v>139</v>
      </c>
      <c r="AO137" s="355" t="s">
        <v>140</v>
      </c>
      <c r="AP137" s="206" t="s">
        <v>139</v>
      </c>
      <c r="AQ137" s="207">
        <v>0</v>
      </c>
      <c r="AR137" s="211"/>
      <c r="AS137" s="297">
        <f>+IF(Table1[[#This Row],[Column40]]="ok",Table1[[#This Row],[Column7]],0)</f>
        <v>343.08</v>
      </c>
      <c r="AT137" s="295">
        <f>+IF(Table1[[#This Row],[Column40]]="No",Table1[[#This Row],[Column7]],0)</f>
        <v>0</v>
      </c>
      <c r="AU137" s="4" t="str">
        <f>+IF(LEFT(Table1[[#This Row],[Column42]],2)="DN",IF(Table1[[#This Row],[Column40]]="ok","(CA)",_xlfn.CONCAT("(CA)",CHAR(10),"FAIL")),"")</f>
        <v/>
      </c>
      <c r="AV137" s="154" t="str">
        <f>+IF(Table1[[#This Row],[Column6]]=0,"",_xlfn.CONCAT("Sem ",WEEKNUM(Table1[[#This Row],[Column6]],2)))</f>
        <v>Sem 10</v>
      </c>
      <c r="AW137" s="211"/>
    </row>
    <row r="138" spans="2:49" ht="19.5" customHeight="1" x14ac:dyDescent="0.3">
      <c r="B138" s="356" t="s">
        <v>376</v>
      </c>
      <c r="C138" s="331"/>
      <c r="D138" s="332" t="s">
        <v>132</v>
      </c>
      <c r="E138" s="332" t="s">
        <v>176</v>
      </c>
      <c r="F138" s="333"/>
      <c r="G138" s="334">
        <v>46088</v>
      </c>
      <c r="H138" s="335">
        <v>1821.24</v>
      </c>
      <c r="I138" s="336">
        <v>199.45</v>
      </c>
      <c r="J138" s="337">
        <v>2569.89</v>
      </c>
      <c r="K138" s="338" t="s">
        <v>134</v>
      </c>
      <c r="L138" s="339" t="s">
        <v>159</v>
      </c>
      <c r="M138" s="340" t="s">
        <v>293</v>
      </c>
      <c r="N138" s="341" t="s">
        <v>293</v>
      </c>
      <c r="O138" s="332" t="s">
        <v>293</v>
      </c>
      <c r="P138" s="342" t="s">
        <v>293</v>
      </c>
      <c r="Q138" s="343" t="s">
        <v>293</v>
      </c>
      <c r="R138" s="344" t="s">
        <v>293</v>
      </c>
      <c r="S138" s="344" t="s">
        <v>293</v>
      </c>
      <c r="T138" s="344" t="s">
        <v>293</v>
      </c>
      <c r="U138" s="344" t="s">
        <v>294</v>
      </c>
      <c r="V138" s="332" t="s">
        <v>293</v>
      </c>
      <c r="W138" s="345" t="s">
        <v>293</v>
      </c>
      <c r="X138" s="346" t="s">
        <v>293</v>
      </c>
      <c r="Y138" s="208">
        <v>2.8026091959059807</v>
      </c>
      <c r="Z138" s="332" t="s">
        <v>143</v>
      </c>
      <c r="AA138" s="342">
        <v>98.538263112639726</v>
      </c>
      <c r="AB138" s="342">
        <v>77.214101461736888</v>
      </c>
      <c r="AC138" s="342">
        <v>34.565778159931227</v>
      </c>
      <c r="AD138" s="347">
        <v>12.725709372313005</v>
      </c>
      <c r="AE138" s="348">
        <v>1.7122495381851834</v>
      </c>
      <c r="AF138" s="349">
        <v>16.174628841893551</v>
      </c>
      <c r="AG138" s="350" t="s">
        <v>376</v>
      </c>
      <c r="AH138" s="351" t="s">
        <v>293</v>
      </c>
      <c r="AI138" s="352" t="s">
        <v>293</v>
      </c>
      <c r="AJ138" s="206" t="s">
        <v>293</v>
      </c>
      <c r="AK138" s="353" t="s">
        <v>293</v>
      </c>
      <c r="AL138" s="206" t="s">
        <v>293</v>
      </c>
      <c r="AM138" s="349" t="s">
        <v>293</v>
      </c>
      <c r="AN138" s="354" t="s">
        <v>293</v>
      </c>
      <c r="AO138" s="355" t="s">
        <v>293</v>
      </c>
      <c r="AP138" s="206" t="s">
        <v>293</v>
      </c>
      <c r="AQ138" s="207" t="s">
        <v>295</v>
      </c>
      <c r="AR138" s="211"/>
      <c r="AS138" s="297">
        <f>+IF(Table1[[#This Row],[Column40]]="ok",Table1[[#This Row],[Column7]],0)</f>
        <v>0</v>
      </c>
      <c r="AT138" s="295">
        <f>+IF(Table1[[#This Row],[Column40]]="No",Table1[[#This Row],[Column7]],0)</f>
        <v>0</v>
      </c>
      <c r="AU138" s="4" t="str">
        <f>+IF(LEFT(Table1[[#This Row],[Column42]],2)="DN",IF(Table1[[#This Row],[Column40]]="ok","(CA)",_xlfn.CONCAT("(CA)",CHAR(10),"FAIL")),"")</f>
        <v/>
      </c>
      <c r="AV138" s="154" t="str">
        <f>+IF(Table1[[#This Row],[Column6]]=0,"",_xlfn.CONCAT("Sem ",WEEKNUM(Table1[[#This Row],[Column6]],2)))</f>
        <v>Sem 10</v>
      </c>
      <c r="AW138" s="211"/>
    </row>
    <row r="139" spans="2:49" ht="19.5" customHeight="1" x14ac:dyDescent="0.3">
      <c r="B139" s="356" t="s">
        <v>377</v>
      </c>
      <c r="C139" s="331"/>
      <c r="D139" s="332" t="s">
        <v>132</v>
      </c>
      <c r="E139" s="332" t="s">
        <v>133</v>
      </c>
      <c r="F139" s="333"/>
      <c r="G139" s="334">
        <v>46089</v>
      </c>
      <c r="H139" s="335">
        <v>28.28</v>
      </c>
      <c r="I139" s="336">
        <v>-26.06</v>
      </c>
      <c r="J139" s="337">
        <v>2634.701</v>
      </c>
      <c r="K139" s="338" t="s">
        <v>356</v>
      </c>
      <c r="L139" s="339" t="s">
        <v>378</v>
      </c>
      <c r="M139" s="340">
        <v>30</v>
      </c>
      <c r="N139" s="341">
        <v>85462</v>
      </c>
      <c r="O139" s="332">
        <v>59.78</v>
      </c>
      <c r="P139" s="342">
        <v>9.8000000000000007</v>
      </c>
      <c r="Q139" s="343">
        <v>9.6846846846846866</v>
      </c>
      <c r="R139" s="344">
        <v>1.774134790528233</v>
      </c>
      <c r="S139" s="344">
        <v>1.776</v>
      </c>
      <c r="T139" s="344">
        <v>1.948</v>
      </c>
      <c r="U139" s="344" t="s">
        <v>136</v>
      </c>
      <c r="V139" s="332" t="s">
        <v>191</v>
      </c>
      <c r="W139" s="345">
        <v>6</v>
      </c>
      <c r="X139" s="346">
        <v>3</v>
      </c>
      <c r="Y139" s="208">
        <v>2.8069999999999999</v>
      </c>
      <c r="Z139" s="332"/>
      <c r="AA139" s="342"/>
      <c r="AB139" s="342"/>
      <c r="AC139" s="342"/>
      <c r="AD139" s="347"/>
      <c r="AE139" s="348">
        <v>1.706</v>
      </c>
      <c r="AF139" s="349">
        <v>0</v>
      </c>
      <c r="AG139" s="350"/>
      <c r="AH139" s="351" t="s">
        <v>139</v>
      </c>
      <c r="AI139" s="352" t="s">
        <v>139</v>
      </c>
      <c r="AJ139" s="206" t="s">
        <v>139</v>
      </c>
      <c r="AK139" s="353" t="s">
        <v>360</v>
      </c>
      <c r="AL139" s="206" t="s">
        <v>139</v>
      </c>
      <c r="AM139" s="349">
        <v>103.99383297351893</v>
      </c>
      <c r="AN139" s="354" t="s">
        <v>139</v>
      </c>
      <c r="AO139" s="355" t="s">
        <v>140</v>
      </c>
      <c r="AP139" s="206" t="s">
        <v>139</v>
      </c>
      <c r="AQ139" s="207">
        <v>0</v>
      </c>
      <c r="AR139" s="211"/>
      <c r="AS139" s="297">
        <f>+IF(Table1[[#This Row],[Column40]]="ok",Table1[[#This Row],[Column7]],0)</f>
        <v>28.28</v>
      </c>
      <c r="AT139" s="295">
        <f>+IF(Table1[[#This Row],[Column40]]="No",Table1[[#This Row],[Column7]],0)</f>
        <v>0</v>
      </c>
      <c r="AU139" s="4" t="str">
        <f>+IF(LEFT(Table1[[#This Row],[Column42]],2)="DN",IF(Table1[[#This Row],[Column40]]="ok","(CA)",_xlfn.CONCAT("(CA)",CHAR(10),"FAIL")),"")</f>
        <v/>
      </c>
      <c r="AV139" s="154" t="str">
        <f>+IF(Table1[[#This Row],[Column6]]=0,"",_xlfn.CONCAT("Sem ",WEEKNUM(Table1[[#This Row],[Column6]],2)))</f>
        <v>Sem 10</v>
      </c>
      <c r="AW139" s="211"/>
    </row>
    <row r="140" spans="2:49" ht="19.5" customHeight="1" x14ac:dyDescent="0.3">
      <c r="B140" s="356" t="s">
        <v>379</v>
      </c>
      <c r="C140" s="331"/>
      <c r="D140" s="332" t="s">
        <v>132</v>
      </c>
      <c r="E140" s="332" t="s">
        <v>133</v>
      </c>
      <c r="F140" s="333"/>
      <c r="G140" s="334">
        <v>46089</v>
      </c>
      <c r="H140" s="335">
        <v>219.98</v>
      </c>
      <c r="I140" s="336">
        <v>39.15</v>
      </c>
      <c r="J140" s="337">
        <v>2635.902</v>
      </c>
      <c r="K140" s="338" t="s">
        <v>356</v>
      </c>
      <c r="L140" s="339" t="s">
        <v>193</v>
      </c>
      <c r="M140" s="340">
        <v>30</v>
      </c>
      <c r="N140" s="341">
        <v>85462</v>
      </c>
      <c r="O140" s="332">
        <v>59.78</v>
      </c>
      <c r="P140" s="342">
        <v>9.8000000000000007</v>
      </c>
      <c r="Q140" s="343">
        <v>9.9496925656791682</v>
      </c>
      <c r="R140" s="344">
        <v>1.7914389799635702</v>
      </c>
      <c r="S140" s="344">
        <v>1.7889999999999999</v>
      </c>
      <c r="T140" s="344">
        <v>1.9670000000000001</v>
      </c>
      <c r="U140" s="344" t="s">
        <v>136</v>
      </c>
      <c r="V140" s="332" t="s">
        <v>194</v>
      </c>
      <c r="W140" s="345" t="s">
        <v>195</v>
      </c>
      <c r="X140" s="346">
        <v>3</v>
      </c>
      <c r="Y140" s="208">
        <v>2.8069999999999999</v>
      </c>
      <c r="Z140" s="332"/>
      <c r="AA140" s="342"/>
      <c r="AB140" s="342"/>
      <c r="AC140" s="342"/>
      <c r="AD140" s="347"/>
      <c r="AE140" s="348">
        <v>1.706</v>
      </c>
      <c r="AF140" s="349">
        <v>0</v>
      </c>
      <c r="AG140" s="350"/>
      <c r="AH140" s="351" t="s">
        <v>139</v>
      </c>
      <c r="AI140" s="352" t="s">
        <v>139</v>
      </c>
      <c r="AJ140" s="206" t="s">
        <v>139</v>
      </c>
      <c r="AK140" s="353" t="s">
        <v>360</v>
      </c>
      <c r="AL140" s="206" t="s">
        <v>139</v>
      </c>
      <c r="AM140" s="349">
        <v>105.00814653948242</v>
      </c>
      <c r="AN140" s="354" t="s">
        <v>139</v>
      </c>
      <c r="AO140" s="355" t="s">
        <v>140</v>
      </c>
      <c r="AP140" s="206" t="s">
        <v>139</v>
      </c>
      <c r="AQ140" s="207">
        <v>0</v>
      </c>
      <c r="AR140" s="211"/>
      <c r="AS140" s="297">
        <f>+IF(Table1[[#This Row],[Column40]]="ok",Table1[[#This Row],[Column7]],0)</f>
        <v>219.98</v>
      </c>
      <c r="AT140" s="295">
        <f>+IF(Table1[[#This Row],[Column40]]="No",Table1[[#This Row],[Column7]],0)</f>
        <v>0</v>
      </c>
      <c r="AU140" s="4" t="str">
        <f>+IF(LEFT(Table1[[#This Row],[Column42]],2)="DN",IF(Table1[[#This Row],[Column40]]="ok","(CA)",_xlfn.CONCAT("(CA)",CHAR(10),"FAIL")),"")</f>
        <v/>
      </c>
      <c r="AV140" s="154" t="str">
        <f>+IF(Table1[[#This Row],[Column6]]=0,"",_xlfn.CONCAT("Sem ",WEEKNUM(Table1[[#This Row],[Column6]],2)))</f>
        <v>Sem 10</v>
      </c>
      <c r="AW140" s="211"/>
    </row>
    <row r="141" spans="2:49" ht="19.5" customHeight="1" x14ac:dyDescent="0.3">
      <c r="B141" s="356" t="s">
        <v>380</v>
      </c>
      <c r="C141" s="331"/>
      <c r="D141" s="332" t="s">
        <v>132</v>
      </c>
      <c r="E141" s="332" t="s">
        <v>133</v>
      </c>
      <c r="F141" s="333"/>
      <c r="G141" s="334">
        <v>46089</v>
      </c>
      <c r="H141" s="335">
        <v>525.62</v>
      </c>
      <c r="I141" s="336">
        <v>67.989999999999995</v>
      </c>
      <c r="J141" s="337">
        <v>2635.8850000000002</v>
      </c>
      <c r="K141" s="338" t="s">
        <v>349</v>
      </c>
      <c r="L141" s="339" t="s">
        <v>381</v>
      </c>
      <c r="M141" s="340">
        <v>30</v>
      </c>
      <c r="N141" s="341">
        <v>85462</v>
      </c>
      <c r="O141" s="332">
        <v>59.78</v>
      </c>
      <c r="P141" s="342">
        <v>8.6999999999999993</v>
      </c>
      <c r="Q141" s="343">
        <v>8.3821805392731541</v>
      </c>
      <c r="R141" s="344">
        <v>1.7010119595216191</v>
      </c>
      <c r="S141" s="344">
        <v>1.706</v>
      </c>
      <c r="T141" s="344">
        <v>1.849</v>
      </c>
      <c r="U141" s="344" t="s">
        <v>136</v>
      </c>
      <c r="V141" s="332" t="s">
        <v>169</v>
      </c>
      <c r="W141" s="345">
        <v>4</v>
      </c>
      <c r="X141" s="346">
        <v>2</v>
      </c>
      <c r="Y141" s="208">
        <v>2.8069999999999999</v>
      </c>
      <c r="Z141" s="332"/>
      <c r="AA141" s="342"/>
      <c r="AB141" s="342"/>
      <c r="AC141" s="342"/>
      <c r="AD141" s="347"/>
      <c r="AE141" s="348">
        <v>1.706</v>
      </c>
      <c r="AF141" s="349">
        <v>0</v>
      </c>
      <c r="AG141" s="350"/>
      <c r="AH141" s="351" t="s">
        <v>139</v>
      </c>
      <c r="AI141" s="352" t="s">
        <v>139</v>
      </c>
      <c r="AJ141" s="206" t="s">
        <v>139</v>
      </c>
      <c r="AK141" s="353" t="s">
        <v>360</v>
      </c>
      <c r="AL141" s="206" t="s">
        <v>139</v>
      </c>
      <c r="AM141" s="349">
        <v>99.707617791419651</v>
      </c>
      <c r="AN141" s="354" t="s">
        <v>139</v>
      </c>
      <c r="AO141" s="355" t="s">
        <v>140</v>
      </c>
      <c r="AP141" s="206" t="s">
        <v>139</v>
      </c>
      <c r="AQ141" s="207">
        <v>0</v>
      </c>
      <c r="AR141" s="211"/>
      <c r="AS141" s="297">
        <f>+IF(Table1[[#This Row],[Column40]]="ok",Table1[[#This Row],[Column7]],0)</f>
        <v>525.62</v>
      </c>
      <c r="AT141" s="295">
        <f>+IF(Table1[[#This Row],[Column40]]="No",Table1[[#This Row],[Column7]],0)</f>
        <v>0</v>
      </c>
      <c r="AU141" s="4" t="str">
        <f>+IF(LEFT(Table1[[#This Row],[Column42]],2)="DN",IF(Table1[[#This Row],[Column40]]="ok","(CA)",_xlfn.CONCAT("(CA)",CHAR(10),"FAIL")),"")</f>
        <v/>
      </c>
      <c r="AV141" s="154" t="str">
        <f>+IF(Table1[[#This Row],[Column6]]=0,"",_xlfn.CONCAT("Sem ",WEEKNUM(Table1[[#This Row],[Column6]],2)))</f>
        <v>Sem 10</v>
      </c>
      <c r="AW141" s="211"/>
    </row>
    <row r="142" spans="2:49" ht="19.5" customHeight="1" x14ac:dyDescent="0.3">
      <c r="B142" s="356" t="s">
        <v>382</v>
      </c>
      <c r="C142" s="331"/>
      <c r="D142" s="332" t="s">
        <v>132</v>
      </c>
      <c r="E142" s="332" t="s">
        <v>133</v>
      </c>
      <c r="F142" s="333"/>
      <c r="G142" s="334">
        <v>46089</v>
      </c>
      <c r="H142" s="335">
        <v>517.29</v>
      </c>
      <c r="I142" s="336">
        <v>68.62</v>
      </c>
      <c r="J142" s="337">
        <v>2635.8989999999999</v>
      </c>
      <c r="K142" s="338" t="s">
        <v>349</v>
      </c>
      <c r="L142" s="339" t="s">
        <v>168</v>
      </c>
      <c r="M142" s="340">
        <v>30</v>
      </c>
      <c r="N142" s="341">
        <v>85462</v>
      </c>
      <c r="O142" s="332">
        <v>59.78</v>
      </c>
      <c r="P142" s="342">
        <v>14.399999999999999</v>
      </c>
      <c r="Q142" s="343">
        <v>10.483870967741925</v>
      </c>
      <c r="R142" s="344">
        <v>1.6765734265734267</v>
      </c>
      <c r="S142" s="344">
        <v>1.736</v>
      </c>
      <c r="T142" s="344">
        <v>1.9179999999999999</v>
      </c>
      <c r="U142" s="344" t="s">
        <v>136</v>
      </c>
      <c r="V142" s="332" t="s">
        <v>169</v>
      </c>
      <c r="W142" s="345">
        <v>4</v>
      </c>
      <c r="X142" s="346">
        <v>2</v>
      </c>
      <c r="Y142" s="208">
        <v>2.8069999999999999</v>
      </c>
      <c r="Z142" s="332"/>
      <c r="AA142" s="342"/>
      <c r="AB142" s="342"/>
      <c r="AC142" s="342"/>
      <c r="AD142" s="347"/>
      <c r="AE142" s="348">
        <v>1.706</v>
      </c>
      <c r="AF142" s="349">
        <v>0</v>
      </c>
      <c r="AG142" s="350"/>
      <c r="AH142" s="351" t="s">
        <v>139</v>
      </c>
      <c r="AI142" s="352" t="s">
        <v>139</v>
      </c>
      <c r="AJ142" s="206" t="s">
        <v>139</v>
      </c>
      <c r="AK142" s="353" t="s">
        <v>360</v>
      </c>
      <c r="AL142" s="206" t="s">
        <v>139</v>
      </c>
      <c r="AM142" s="349">
        <v>98.275112929274727</v>
      </c>
      <c r="AN142" s="354" t="s">
        <v>139</v>
      </c>
      <c r="AO142" s="355" t="s">
        <v>140</v>
      </c>
      <c r="AP142" s="206" t="s">
        <v>139</v>
      </c>
      <c r="AQ142" s="207">
        <v>0</v>
      </c>
      <c r="AR142" s="211"/>
      <c r="AS142" s="297">
        <f>+IF(Table1[[#This Row],[Column40]]="ok",Table1[[#This Row],[Column7]],0)</f>
        <v>517.29</v>
      </c>
      <c r="AT142" s="295">
        <f>+IF(Table1[[#This Row],[Column40]]="No",Table1[[#This Row],[Column7]],0)</f>
        <v>0</v>
      </c>
      <c r="AU142" s="4" t="str">
        <f>+IF(LEFT(Table1[[#This Row],[Column42]],2)="DN",IF(Table1[[#This Row],[Column40]]="ok","(CA)",_xlfn.CONCAT("(CA)",CHAR(10),"FAIL")),"")</f>
        <v/>
      </c>
      <c r="AV142" s="154" t="str">
        <f>+IF(Table1[[#This Row],[Column6]]=0,"",_xlfn.CONCAT("Sem ",WEEKNUM(Table1[[#This Row],[Column6]],2)))</f>
        <v>Sem 10</v>
      </c>
      <c r="AW142" s="211"/>
    </row>
    <row r="143" spans="2:49" ht="19.5" customHeight="1" x14ac:dyDescent="0.3">
      <c r="B143" s="356" t="s">
        <v>383</v>
      </c>
      <c r="C143" s="331"/>
      <c r="D143" s="332" t="s">
        <v>132</v>
      </c>
      <c r="E143" s="332" t="s">
        <v>133</v>
      </c>
      <c r="F143" s="333"/>
      <c r="G143" s="334">
        <v>46089</v>
      </c>
      <c r="H143" s="335">
        <v>1874.82</v>
      </c>
      <c r="I143" s="336">
        <v>145.31</v>
      </c>
      <c r="J143" s="337">
        <v>2576.8270000000002</v>
      </c>
      <c r="K143" s="338" t="s">
        <v>134</v>
      </c>
      <c r="L143" s="339" t="s">
        <v>384</v>
      </c>
      <c r="M143" s="340">
        <v>30</v>
      </c>
      <c r="N143" s="341">
        <v>85462</v>
      </c>
      <c r="O143" s="332">
        <v>59.78</v>
      </c>
      <c r="P143" s="342">
        <v>14.899999999999999</v>
      </c>
      <c r="Q143" s="343">
        <v>10.505617977528093</v>
      </c>
      <c r="R143" s="344">
        <v>1.711923411662315</v>
      </c>
      <c r="S143" s="344">
        <v>1.78</v>
      </c>
      <c r="T143" s="344">
        <v>1.9670000000000001</v>
      </c>
      <c r="U143" s="344" t="s">
        <v>136</v>
      </c>
      <c r="V143" s="332" t="s">
        <v>137</v>
      </c>
      <c r="W143" s="345">
        <v>8</v>
      </c>
      <c r="X143" s="346">
        <v>4</v>
      </c>
      <c r="Y143" s="208">
        <v>2.8069999999999999</v>
      </c>
      <c r="Z143" s="332"/>
      <c r="AA143" s="342"/>
      <c r="AB143" s="342"/>
      <c r="AC143" s="342"/>
      <c r="AD143" s="347"/>
      <c r="AE143" s="348">
        <v>1.712</v>
      </c>
      <c r="AF143" s="349">
        <v>0</v>
      </c>
      <c r="AG143" s="350"/>
      <c r="AH143" s="351" t="s">
        <v>139</v>
      </c>
      <c r="AI143" s="352" t="s">
        <v>139</v>
      </c>
      <c r="AJ143" s="206" t="s">
        <v>139</v>
      </c>
      <c r="AK143" s="353" t="s">
        <v>376</v>
      </c>
      <c r="AL143" s="206" t="s">
        <v>139</v>
      </c>
      <c r="AM143" s="349">
        <v>99.995526382144575</v>
      </c>
      <c r="AN143" s="354" t="s">
        <v>139</v>
      </c>
      <c r="AO143" s="355" t="s">
        <v>140</v>
      </c>
      <c r="AP143" s="206" t="s">
        <v>139</v>
      </c>
      <c r="AQ143" s="207">
        <v>0</v>
      </c>
      <c r="AR143" s="211"/>
      <c r="AS143" s="297">
        <f>+IF(Table1[[#This Row],[Column40]]="ok",Table1[[#This Row],[Column7]],0)</f>
        <v>1874.82</v>
      </c>
      <c r="AT143" s="295">
        <f>+IF(Table1[[#This Row],[Column40]]="No",Table1[[#This Row],[Column7]],0)</f>
        <v>0</v>
      </c>
      <c r="AU143" s="4" t="str">
        <f>+IF(LEFT(Table1[[#This Row],[Column42]],2)="DN",IF(Table1[[#This Row],[Column40]]="ok","(CA)",_xlfn.CONCAT("(CA)",CHAR(10),"FAIL")),"")</f>
        <v/>
      </c>
      <c r="AV143" s="154" t="str">
        <f>+IF(Table1[[#This Row],[Column6]]=0,"",_xlfn.CONCAT("Sem ",WEEKNUM(Table1[[#This Row],[Column6]],2)))</f>
        <v>Sem 10</v>
      </c>
      <c r="AW143" s="211"/>
    </row>
    <row r="144" spans="2:49" ht="19.5" customHeight="1" x14ac:dyDescent="0.3">
      <c r="B144" s="356" t="s">
        <v>385</v>
      </c>
      <c r="C144" s="331"/>
      <c r="D144" s="332" t="s">
        <v>132</v>
      </c>
      <c r="E144" s="332" t="s">
        <v>133</v>
      </c>
      <c r="F144" s="333"/>
      <c r="G144" s="334">
        <v>46089</v>
      </c>
      <c r="H144" s="335">
        <v>1774.99</v>
      </c>
      <c r="I144" s="336">
        <v>141.80000000000001</v>
      </c>
      <c r="J144" s="337">
        <v>2592.41</v>
      </c>
      <c r="K144" s="338" t="s">
        <v>134</v>
      </c>
      <c r="L144" s="339" t="s">
        <v>146</v>
      </c>
      <c r="M144" s="340">
        <v>30</v>
      </c>
      <c r="N144" s="341">
        <v>85462</v>
      </c>
      <c r="O144" s="332">
        <v>59.78</v>
      </c>
      <c r="P144" s="342">
        <v>8.3000000000000007</v>
      </c>
      <c r="Q144" s="343">
        <v>8.8901472253680716</v>
      </c>
      <c r="R144" s="344">
        <v>1.7756232686980611</v>
      </c>
      <c r="S144" s="344">
        <v>1.766</v>
      </c>
      <c r="T144" s="344">
        <v>1.923</v>
      </c>
      <c r="U144" s="344" t="s">
        <v>136</v>
      </c>
      <c r="V144" s="332" t="s">
        <v>137</v>
      </c>
      <c r="W144" s="345">
        <v>8</v>
      </c>
      <c r="X144" s="346">
        <v>4</v>
      </c>
      <c r="Y144" s="208">
        <v>2.8069999999999999</v>
      </c>
      <c r="Z144" s="332"/>
      <c r="AA144" s="342"/>
      <c r="AB144" s="342"/>
      <c r="AC144" s="342"/>
      <c r="AD144" s="347"/>
      <c r="AE144" s="348">
        <v>1.712</v>
      </c>
      <c r="AF144" s="349">
        <v>0</v>
      </c>
      <c r="AG144" s="350"/>
      <c r="AH144" s="351" t="s">
        <v>139</v>
      </c>
      <c r="AI144" s="352" t="s">
        <v>139</v>
      </c>
      <c r="AJ144" s="206" t="s">
        <v>139</v>
      </c>
      <c r="AK144" s="353" t="s">
        <v>376</v>
      </c>
      <c r="AL144" s="206" t="s">
        <v>139</v>
      </c>
      <c r="AM144" s="349">
        <v>103.71631242395216</v>
      </c>
      <c r="AN144" s="354" t="s">
        <v>139</v>
      </c>
      <c r="AO144" s="355" t="s">
        <v>140</v>
      </c>
      <c r="AP144" s="206" t="s">
        <v>139</v>
      </c>
      <c r="AQ144" s="207">
        <v>0</v>
      </c>
      <c r="AR144" s="211"/>
      <c r="AS144" s="297">
        <f>+IF(Table1[[#This Row],[Column40]]="ok",Table1[[#This Row],[Column7]],0)</f>
        <v>1774.99</v>
      </c>
      <c r="AT144" s="295">
        <f>+IF(Table1[[#This Row],[Column40]]="No",Table1[[#This Row],[Column7]],0)</f>
        <v>0</v>
      </c>
      <c r="AU144" s="4" t="str">
        <f>+IF(LEFT(Table1[[#This Row],[Column42]],2)="DN",IF(Table1[[#This Row],[Column40]]="ok","(CA)",_xlfn.CONCAT("(CA)",CHAR(10),"FAIL")),"")</f>
        <v/>
      </c>
      <c r="AV144" s="154" t="str">
        <f>+IF(Table1[[#This Row],[Column6]]=0,"",_xlfn.CONCAT("Sem ",WEEKNUM(Table1[[#This Row],[Column6]],2)))</f>
        <v>Sem 10</v>
      </c>
      <c r="AW144" s="211"/>
    </row>
    <row r="145" spans="2:49" ht="19.5" customHeight="1" x14ac:dyDescent="0.3">
      <c r="B145" s="356" t="s">
        <v>386</v>
      </c>
      <c r="C145" s="331"/>
      <c r="D145" s="332" t="s">
        <v>132</v>
      </c>
      <c r="E145" s="332" t="s">
        <v>133</v>
      </c>
      <c r="F145" s="333"/>
      <c r="G145" s="334">
        <v>46089</v>
      </c>
      <c r="H145" s="335">
        <v>1731.83</v>
      </c>
      <c r="I145" s="336">
        <v>186.88</v>
      </c>
      <c r="J145" s="337">
        <v>2585.5970000000002</v>
      </c>
      <c r="K145" s="338" t="s">
        <v>149</v>
      </c>
      <c r="L145" s="339" t="s">
        <v>387</v>
      </c>
      <c r="M145" s="340">
        <v>30</v>
      </c>
      <c r="N145" s="341">
        <v>85462</v>
      </c>
      <c r="O145" s="332">
        <v>59.78</v>
      </c>
      <c r="P145" s="342">
        <v>10.7</v>
      </c>
      <c r="Q145" s="343">
        <v>9.0039392234102511</v>
      </c>
      <c r="R145" s="344">
        <v>1.7497741644083109</v>
      </c>
      <c r="S145" s="344">
        <v>1.7769999999999999</v>
      </c>
      <c r="T145" s="344">
        <v>1.9370000000000001</v>
      </c>
      <c r="U145" s="344" t="s">
        <v>136</v>
      </c>
      <c r="V145" s="332" t="s">
        <v>137</v>
      </c>
      <c r="W145" s="345">
        <v>8</v>
      </c>
      <c r="X145" s="346">
        <v>4</v>
      </c>
      <c r="Y145" s="208">
        <v>2.8069999999999999</v>
      </c>
      <c r="Z145" s="332"/>
      <c r="AA145" s="342"/>
      <c r="AB145" s="342"/>
      <c r="AC145" s="342"/>
      <c r="AD145" s="347"/>
      <c r="AE145" s="348">
        <v>1.712</v>
      </c>
      <c r="AF145" s="349">
        <v>0</v>
      </c>
      <c r="AG145" s="350"/>
      <c r="AH145" s="351" t="s">
        <v>139</v>
      </c>
      <c r="AI145" s="352" t="s">
        <v>139</v>
      </c>
      <c r="AJ145" s="206" t="s">
        <v>139</v>
      </c>
      <c r="AK145" s="353" t="s">
        <v>298</v>
      </c>
      <c r="AL145" s="206" t="s">
        <v>139</v>
      </c>
      <c r="AM145" s="349">
        <v>102.20643483693405</v>
      </c>
      <c r="AN145" s="354" t="s">
        <v>139</v>
      </c>
      <c r="AO145" s="355" t="s">
        <v>140</v>
      </c>
      <c r="AP145" s="206" t="s">
        <v>139</v>
      </c>
      <c r="AQ145" s="207">
        <v>0</v>
      </c>
      <c r="AR145" s="211"/>
      <c r="AS145" s="297">
        <f>+IF(Table1[[#This Row],[Column40]]="ok",Table1[[#This Row],[Column7]],0)</f>
        <v>1731.83</v>
      </c>
      <c r="AT145" s="295">
        <f>+IF(Table1[[#This Row],[Column40]]="No",Table1[[#This Row],[Column7]],0)</f>
        <v>0</v>
      </c>
      <c r="AU145" s="4" t="str">
        <f>+IF(LEFT(Table1[[#This Row],[Column42]],2)="DN",IF(Table1[[#This Row],[Column40]]="ok","(CA)",_xlfn.CONCAT("(CA)",CHAR(10),"FAIL")),"")</f>
        <v/>
      </c>
      <c r="AV145" s="154" t="str">
        <f>+IF(Table1[[#This Row],[Column6]]=0,"",_xlfn.CONCAT("Sem ",WEEKNUM(Table1[[#This Row],[Column6]],2)))</f>
        <v>Sem 10</v>
      </c>
      <c r="AW145" s="211"/>
    </row>
    <row r="146" spans="2:49" ht="19.5" customHeight="1" x14ac:dyDescent="0.3">
      <c r="B146" s="356" t="s">
        <v>388</v>
      </c>
      <c r="C146" s="331"/>
      <c r="D146" s="332" t="s">
        <v>132</v>
      </c>
      <c r="E146" s="332" t="s">
        <v>133</v>
      </c>
      <c r="F146" s="333"/>
      <c r="G146" s="334">
        <v>46089</v>
      </c>
      <c r="H146" s="335">
        <v>1814.4</v>
      </c>
      <c r="I146" s="336">
        <v>255.33</v>
      </c>
      <c r="J146" s="337">
        <v>2556.5349999999999</v>
      </c>
      <c r="K146" s="338" t="s">
        <v>158</v>
      </c>
      <c r="L146" s="339" t="s">
        <v>159</v>
      </c>
      <c r="M146" s="340">
        <v>30</v>
      </c>
      <c r="N146" s="341">
        <v>85462</v>
      </c>
      <c r="O146" s="332">
        <v>59.78</v>
      </c>
      <c r="P146" s="342">
        <v>12.5</v>
      </c>
      <c r="Q146" s="343">
        <v>10.788149804359982</v>
      </c>
      <c r="R146" s="344">
        <v>1.7617777777777777</v>
      </c>
      <c r="S146" s="344">
        <v>1.7889999999999999</v>
      </c>
      <c r="T146" s="344">
        <v>1.982</v>
      </c>
      <c r="U146" s="344" t="s">
        <v>136</v>
      </c>
      <c r="V146" s="332" t="s">
        <v>137</v>
      </c>
      <c r="W146" s="345">
        <v>8</v>
      </c>
      <c r="X146" s="346">
        <v>4</v>
      </c>
      <c r="Y146" s="208">
        <v>2.8069999999999999</v>
      </c>
      <c r="Z146" s="332"/>
      <c r="AA146" s="342"/>
      <c r="AB146" s="342"/>
      <c r="AC146" s="342"/>
      <c r="AD146" s="347"/>
      <c r="AE146" s="348">
        <v>1.7318323651699545</v>
      </c>
      <c r="AF146" s="349">
        <v>16.288403519930068</v>
      </c>
      <c r="AG146" s="350"/>
      <c r="AH146" s="351">
        <v>1.7308684436801374</v>
      </c>
      <c r="AI146" s="352">
        <v>2.0129999999999999</v>
      </c>
      <c r="AJ146" s="206">
        <v>16.3</v>
      </c>
      <c r="AK146" s="353" t="s">
        <v>298</v>
      </c>
      <c r="AL146" s="206">
        <v>-1.1596480069933079E-2</v>
      </c>
      <c r="AM146" s="349">
        <v>101.72911727544047</v>
      </c>
      <c r="AN146" s="354" t="s">
        <v>139</v>
      </c>
      <c r="AO146" s="355" t="s">
        <v>140</v>
      </c>
      <c r="AP146" s="206" t="s">
        <v>139</v>
      </c>
      <c r="AQ146" s="207" t="s">
        <v>389</v>
      </c>
      <c r="AR146" s="211"/>
      <c r="AS146" s="297">
        <f>+IF(Table1[[#This Row],[Column40]]="ok",Table1[[#This Row],[Column7]],0)</f>
        <v>1814.4</v>
      </c>
      <c r="AT146" s="295">
        <f>+IF(Table1[[#This Row],[Column40]]="No",Table1[[#This Row],[Column7]],0)</f>
        <v>0</v>
      </c>
      <c r="AU146" s="4" t="str">
        <f>+IF(LEFT(Table1[[#This Row],[Column42]],2)="DN",IF(Table1[[#This Row],[Column40]]="ok","(CA)",_xlfn.CONCAT("(CA)",CHAR(10),"FAIL")),"")</f>
        <v/>
      </c>
      <c r="AV146" s="154" t="str">
        <f>+IF(Table1[[#This Row],[Column6]]=0,"",_xlfn.CONCAT("Sem ",WEEKNUM(Table1[[#This Row],[Column6]],2)))</f>
        <v>Sem 10</v>
      </c>
      <c r="AW146" s="211"/>
    </row>
    <row r="147" spans="2:49" ht="19.5" customHeight="1" x14ac:dyDescent="0.3">
      <c r="B147" s="356" t="s">
        <v>389</v>
      </c>
      <c r="C147" s="331"/>
      <c r="D147" s="332" t="s">
        <v>132</v>
      </c>
      <c r="E147" s="332" t="s">
        <v>133</v>
      </c>
      <c r="F147" s="333"/>
      <c r="G147" s="334">
        <v>46089</v>
      </c>
      <c r="H147" s="335">
        <v>1814.4</v>
      </c>
      <c r="I147" s="336">
        <v>255.33</v>
      </c>
      <c r="J147" s="337">
        <v>2556.5349999999999</v>
      </c>
      <c r="K147" s="338" t="s">
        <v>158</v>
      </c>
      <c r="L147" s="339" t="s">
        <v>159</v>
      </c>
      <c r="M147" s="340">
        <v>15</v>
      </c>
      <c r="N147" s="341"/>
      <c r="O147" s="332"/>
      <c r="P147" s="342">
        <v>12.520027466239425</v>
      </c>
      <c r="Q147" s="343"/>
      <c r="R147" s="344">
        <v>1.7543923543424673</v>
      </c>
      <c r="S147" s="344"/>
      <c r="T147" s="344">
        <v>1.9740427589717486</v>
      </c>
      <c r="U147" s="344" t="s">
        <v>142</v>
      </c>
      <c r="V147" s="332" t="s">
        <v>137</v>
      </c>
      <c r="W147" s="345">
        <v>6</v>
      </c>
      <c r="X147" s="346">
        <v>8</v>
      </c>
      <c r="Y147" s="208"/>
      <c r="Z147" s="332" t="s">
        <v>143</v>
      </c>
      <c r="AA147" s="342">
        <v>98.466468299382015</v>
      </c>
      <c r="AB147" s="342">
        <v>75.4863813229572</v>
      </c>
      <c r="AC147" s="342">
        <v>33.806363012130916</v>
      </c>
      <c r="AD147" s="347">
        <v>12.542915999084443</v>
      </c>
      <c r="AE147" s="348">
        <v>1.7318323651699545</v>
      </c>
      <c r="AF147" s="349">
        <v>16.288403519930068</v>
      </c>
      <c r="AG147" s="350" t="s">
        <v>298</v>
      </c>
      <c r="AH147" s="351">
        <v>1.7249804117102361</v>
      </c>
      <c r="AI147" s="352">
        <v>2.0132013201320134</v>
      </c>
      <c r="AJ147" s="206">
        <v>16.708648194794268</v>
      </c>
      <c r="AK147" s="353" t="s">
        <v>298</v>
      </c>
      <c r="AL147" s="206">
        <v>-0.42024467486420036</v>
      </c>
      <c r="AM147" s="349">
        <v>101.30266587149148</v>
      </c>
      <c r="AN147" s="354" t="s">
        <v>139</v>
      </c>
      <c r="AO147" s="355" t="s">
        <v>144</v>
      </c>
      <c r="AP147" s="206">
        <v>0</v>
      </c>
      <c r="AQ147" s="207" t="s">
        <v>388</v>
      </c>
      <c r="AR147" s="211"/>
      <c r="AS147" s="297">
        <f>+IF(Table1[[#This Row],[Column40]]="ok",Table1[[#This Row],[Column7]],0)</f>
        <v>1814.4</v>
      </c>
      <c r="AT147" s="295">
        <f>+IF(Table1[[#This Row],[Column40]]="No",Table1[[#This Row],[Column7]],0)</f>
        <v>0</v>
      </c>
      <c r="AU147" s="4" t="str">
        <f>+IF(LEFT(Table1[[#This Row],[Column42]],2)="DN",IF(Table1[[#This Row],[Column40]]="ok","(CA)",_xlfn.CONCAT("(CA)",CHAR(10),"FAIL")),"")</f>
        <v>(CA)</v>
      </c>
      <c r="AV147" s="154" t="str">
        <f>+IF(Table1[[#This Row],[Column6]]=0,"",_xlfn.CONCAT("Sem ",WEEKNUM(Table1[[#This Row],[Column6]],2)))</f>
        <v>Sem 10</v>
      </c>
      <c r="AW147" s="211"/>
    </row>
    <row r="148" spans="2:49" ht="19.5" customHeight="1" x14ac:dyDescent="0.3">
      <c r="B148" s="356" t="s">
        <v>390</v>
      </c>
      <c r="C148" s="331"/>
      <c r="D148" s="332" t="s">
        <v>132</v>
      </c>
      <c r="E148" s="332" t="s">
        <v>133</v>
      </c>
      <c r="F148" s="333"/>
      <c r="G148" s="334">
        <v>46089</v>
      </c>
      <c r="H148" s="335">
        <v>1877.49</v>
      </c>
      <c r="I148" s="336">
        <v>239.55</v>
      </c>
      <c r="J148" s="337">
        <v>2555.0439999999999</v>
      </c>
      <c r="K148" s="338" t="s">
        <v>134</v>
      </c>
      <c r="L148" s="339" t="s">
        <v>384</v>
      </c>
      <c r="M148" s="340">
        <v>30</v>
      </c>
      <c r="N148" s="341">
        <v>85462</v>
      </c>
      <c r="O148" s="332">
        <v>59.78</v>
      </c>
      <c r="P148" s="342">
        <v>10.100000000000001</v>
      </c>
      <c r="Q148" s="343">
        <v>9.5265588914549717</v>
      </c>
      <c r="R148" s="344">
        <v>1.7229791099000908</v>
      </c>
      <c r="S148" s="344">
        <v>1.732</v>
      </c>
      <c r="T148" s="344">
        <v>1.897</v>
      </c>
      <c r="U148" s="344" t="s">
        <v>136</v>
      </c>
      <c r="V148" s="332" t="s">
        <v>137</v>
      </c>
      <c r="W148" s="345">
        <v>8</v>
      </c>
      <c r="X148" s="346">
        <v>4</v>
      </c>
      <c r="Y148" s="208">
        <v>2.8069999999999999</v>
      </c>
      <c r="Z148" s="332"/>
      <c r="AA148" s="342"/>
      <c r="AB148" s="342"/>
      <c r="AC148" s="342"/>
      <c r="AD148" s="347"/>
      <c r="AE148" s="348">
        <v>1.712</v>
      </c>
      <c r="AF148" s="349">
        <v>0</v>
      </c>
      <c r="AG148" s="350"/>
      <c r="AH148" s="351" t="s">
        <v>139</v>
      </c>
      <c r="AI148" s="352" t="s">
        <v>139</v>
      </c>
      <c r="AJ148" s="206" t="s">
        <v>139</v>
      </c>
      <c r="AK148" s="353" t="s">
        <v>376</v>
      </c>
      <c r="AL148" s="206" t="s">
        <v>139</v>
      </c>
      <c r="AM148" s="349">
        <v>100.64130314836979</v>
      </c>
      <c r="AN148" s="354" t="s">
        <v>139</v>
      </c>
      <c r="AO148" s="355" t="s">
        <v>140</v>
      </c>
      <c r="AP148" s="206" t="s">
        <v>139</v>
      </c>
      <c r="AQ148" s="207">
        <v>0</v>
      </c>
      <c r="AR148" s="211"/>
      <c r="AS148" s="297">
        <f>+IF(Table1[[#This Row],[Column40]]="ok",Table1[[#This Row],[Column7]],0)</f>
        <v>1877.49</v>
      </c>
      <c r="AT148" s="295">
        <f>+IF(Table1[[#This Row],[Column40]]="No",Table1[[#This Row],[Column7]],0)</f>
        <v>0</v>
      </c>
      <c r="AU148" s="4" t="str">
        <f>+IF(LEFT(Table1[[#This Row],[Column42]],2)="DN",IF(Table1[[#This Row],[Column40]]="ok","(CA)",_xlfn.CONCAT("(CA)",CHAR(10),"FAIL")),"")</f>
        <v/>
      </c>
      <c r="AV148" s="154" t="str">
        <f>+IF(Table1[[#This Row],[Column6]]=0,"",_xlfn.CONCAT("Sem ",WEEKNUM(Table1[[#This Row],[Column6]],2)))</f>
        <v>Sem 10</v>
      </c>
      <c r="AW148" s="211"/>
    </row>
    <row r="149" spans="2:49" ht="19.5" customHeight="1" x14ac:dyDescent="0.3">
      <c r="B149" s="356" t="s">
        <v>391</v>
      </c>
      <c r="C149" s="331"/>
      <c r="D149" s="332" t="s">
        <v>132</v>
      </c>
      <c r="E149" s="332" t="s">
        <v>176</v>
      </c>
      <c r="F149" s="333"/>
      <c r="G149" s="334">
        <v>46089</v>
      </c>
      <c r="H149" s="335">
        <v>1623.79</v>
      </c>
      <c r="I149" s="336">
        <v>348.21</v>
      </c>
      <c r="J149" s="337">
        <v>2540.87</v>
      </c>
      <c r="K149" s="338" t="s">
        <v>184</v>
      </c>
      <c r="L149" s="339" t="s">
        <v>163</v>
      </c>
      <c r="M149" s="340">
        <v>30</v>
      </c>
      <c r="N149" s="341">
        <v>85462</v>
      </c>
      <c r="O149" s="332">
        <v>59.78</v>
      </c>
      <c r="P149" s="342">
        <v>11</v>
      </c>
      <c r="Q149" s="343">
        <v>8.8650479954827777</v>
      </c>
      <c r="R149" s="344">
        <v>1.7369369369369367</v>
      </c>
      <c r="S149" s="344">
        <v>1.7709999999999999</v>
      </c>
      <c r="T149" s="344">
        <v>1.9279999999999999</v>
      </c>
      <c r="U149" s="344" t="s">
        <v>136</v>
      </c>
      <c r="V149" s="332" t="s">
        <v>137</v>
      </c>
      <c r="W149" s="345">
        <v>8</v>
      </c>
      <c r="X149" s="346">
        <v>4</v>
      </c>
      <c r="Y149" s="208">
        <v>2.8069999999999999</v>
      </c>
      <c r="Z149" s="332"/>
      <c r="AA149" s="342"/>
      <c r="AB149" s="342"/>
      <c r="AC149" s="342"/>
      <c r="AD149" s="347"/>
      <c r="AE149" s="348">
        <v>1.712</v>
      </c>
      <c r="AF149" s="349">
        <v>0</v>
      </c>
      <c r="AG149" s="350"/>
      <c r="AH149" s="351" t="s">
        <v>139</v>
      </c>
      <c r="AI149" s="352" t="s">
        <v>139</v>
      </c>
      <c r="AJ149" s="206" t="s">
        <v>139</v>
      </c>
      <c r="AK149" s="353" t="s">
        <v>376</v>
      </c>
      <c r="AL149" s="206" t="s">
        <v>139</v>
      </c>
      <c r="AM149" s="349">
        <v>101.45659678369958</v>
      </c>
      <c r="AN149" s="354" t="s">
        <v>139</v>
      </c>
      <c r="AO149" s="355" t="s">
        <v>140</v>
      </c>
      <c r="AP149" s="206" t="s">
        <v>139</v>
      </c>
      <c r="AQ149" s="207">
        <v>0</v>
      </c>
      <c r="AR149" s="211"/>
      <c r="AS149" s="297">
        <f>+IF(Table1[[#This Row],[Column40]]="ok",Table1[[#This Row],[Column7]],0)</f>
        <v>1623.79</v>
      </c>
      <c r="AT149" s="295">
        <f>+IF(Table1[[#This Row],[Column40]]="No",Table1[[#This Row],[Column7]],0)</f>
        <v>0</v>
      </c>
      <c r="AU149" s="4" t="str">
        <f>+IF(LEFT(Table1[[#This Row],[Column42]],2)="DN",IF(Table1[[#This Row],[Column40]]="ok","(CA)",_xlfn.CONCAT("(CA)",CHAR(10),"FAIL")),"")</f>
        <v/>
      </c>
      <c r="AV149" s="154" t="str">
        <f>+IF(Table1[[#This Row],[Column6]]=0,"",_xlfn.CONCAT("Sem ",WEEKNUM(Table1[[#This Row],[Column6]],2)))</f>
        <v>Sem 10</v>
      </c>
      <c r="AW149" s="211"/>
    </row>
    <row r="150" spans="2:49" ht="19.5" customHeight="1" x14ac:dyDescent="0.3">
      <c r="B150" s="356" t="s">
        <v>392</v>
      </c>
      <c r="C150" s="331"/>
      <c r="D150" s="332" t="s">
        <v>132</v>
      </c>
      <c r="E150" s="332" t="s">
        <v>176</v>
      </c>
      <c r="F150" s="333"/>
      <c r="G150" s="334">
        <v>46089</v>
      </c>
      <c r="H150" s="335">
        <v>1552.29</v>
      </c>
      <c r="I150" s="336">
        <v>322.11</v>
      </c>
      <c r="J150" s="337">
        <v>2550.48</v>
      </c>
      <c r="K150" s="338" t="s">
        <v>184</v>
      </c>
      <c r="L150" s="339" t="s">
        <v>177</v>
      </c>
      <c r="M150" s="340">
        <v>30</v>
      </c>
      <c r="N150" s="341">
        <v>85462</v>
      </c>
      <c r="O150" s="332">
        <v>59.78</v>
      </c>
      <c r="P150" s="342">
        <v>12.2</v>
      </c>
      <c r="Q150" s="343">
        <v>9.977324263038545</v>
      </c>
      <c r="R150" s="344">
        <v>1.7290552584670233</v>
      </c>
      <c r="S150" s="344">
        <v>1.764</v>
      </c>
      <c r="T150" s="344">
        <v>1.94</v>
      </c>
      <c r="U150" s="344" t="s">
        <v>136</v>
      </c>
      <c r="V150" s="332" t="s">
        <v>137</v>
      </c>
      <c r="W150" s="345">
        <v>8</v>
      </c>
      <c r="X150" s="346">
        <v>4</v>
      </c>
      <c r="Y150" s="208">
        <v>2.8069999999999999</v>
      </c>
      <c r="Z150" s="332"/>
      <c r="AA150" s="342"/>
      <c r="AB150" s="342"/>
      <c r="AC150" s="342"/>
      <c r="AD150" s="347"/>
      <c r="AE150" s="348">
        <v>1.712</v>
      </c>
      <c r="AF150" s="349">
        <v>0</v>
      </c>
      <c r="AG150" s="350"/>
      <c r="AH150" s="351" t="s">
        <v>139</v>
      </c>
      <c r="AI150" s="352" t="s">
        <v>139</v>
      </c>
      <c r="AJ150" s="206" t="s">
        <v>139</v>
      </c>
      <c r="AK150" s="353" t="s">
        <v>376</v>
      </c>
      <c r="AL150" s="206" t="s">
        <v>139</v>
      </c>
      <c r="AM150" s="349">
        <v>100.99621836840089</v>
      </c>
      <c r="AN150" s="354" t="s">
        <v>139</v>
      </c>
      <c r="AO150" s="355" t="s">
        <v>140</v>
      </c>
      <c r="AP150" s="206" t="s">
        <v>139</v>
      </c>
      <c r="AQ150" s="207">
        <v>0</v>
      </c>
      <c r="AR150" s="211"/>
      <c r="AS150" s="297">
        <f>+IF(Table1[[#This Row],[Column40]]="ok",Table1[[#This Row],[Column7]],0)</f>
        <v>1552.29</v>
      </c>
      <c r="AT150" s="295">
        <f>+IF(Table1[[#This Row],[Column40]]="No",Table1[[#This Row],[Column7]],0)</f>
        <v>0</v>
      </c>
      <c r="AU150" s="4" t="str">
        <f>+IF(LEFT(Table1[[#This Row],[Column42]],2)="DN",IF(Table1[[#This Row],[Column40]]="ok","(CA)",_xlfn.CONCAT("(CA)",CHAR(10),"FAIL")),"")</f>
        <v/>
      </c>
      <c r="AV150" s="154" t="str">
        <f>+IF(Table1[[#This Row],[Column6]]=0,"",_xlfn.CONCAT("Sem ",WEEKNUM(Table1[[#This Row],[Column6]],2)))</f>
        <v>Sem 10</v>
      </c>
      <c r="AW150" s="211"/>
    </row>
    <row r="151" spans="2:49" ht="19.5" customHeight="1" x14ac:dyDescent="0.3">
      <c r="B151" s="356" t="s">
        <v>393</v>
      </c>
      <c r="C151" s="331"/>
      <c r="D151" s="332" t="s">
        <v>132</v>
      </c>
      <c r="E151" s="332" t="s">
        <v>176</v>
      </c>
      <c r="F151" s="333"/>
      <c r="G151" s="334">
        <v>46089</v>
      </c>
      <c r="H151" s="335">
        <v>1482.07</v>
      </c>
      <c r="I151" s="336">
        <v>289.18</v>
      </c>
      <c r="J151" s="337">
        <v>2560.7399999999998</v>
      </c>
      <c r="K151" s="338" t="s">
        <v>184</v>
      </c>
      <c r="L151" s="339" t="s">
        <v>179</v>
      </c>
      <c r="M151" s="340">
        <v>30</v>
      </c>
      <c r="N151" s="341">
        <v>85462</v>
      </c>
      <c r="O151" s="332">
        <v>59.78</v>
      </c>
      <c r="P151" s="342">
        <v>10.9</v>
      </c>
      <c r="Q151" s="343">
        <v>9.298440979955469</v>
      </c>
      <c r="R151" s="344">
        <v>1.7700631199278631</v>
      </c>
      <c r="S151" s="344">
        <v>1.796</v>
      </c>
      <c r="T151" s="344">
        <v>1.9630000000000001</v>
      </c>
      <c r="U151" s="344" t="s">
        <v>136</v>
      </c>
      <c r="V151" s="332" t="s">
        <v>137</v>
      </c>
      <c r="W151" s="345">
        <v>8</v>
      </c>
      <c r="X151" s="346">
        <v>4</v>
      </c>
      <c r="Y151" s="208">
        <v>2.8069999999999999</v>
      </c>
      <c r="Z151" s="332"/>
      <c r="AA151" s="342"/>
      <c r="AB151" s="342"/>
      <c r="AC151" s="342"/>
      <c r="AD151" s="347"/>
      <c r="AE151" s="348">
        <v>1.712</v>
      </c>
      <c r="AF151" s="349">
        <v>0</v>
      </c>
      <c r="AG151" s="350"/>
      <c r="AH151" s="351" t="s">
        <v>139</v>
      </c>
      <c r="AI151" s="352" t="s">
        <v>139</v>
      </c>
      <c r="AJ151" s="206" t="s">
        <v>139</v>
      </c>
      <c r="AK151" s="353" t="s">
        <v>376</v>
      </c>
      <c r="AL151" s="206" t="s">
        <v>139</v>
      </c>
      <c r="AM151" s="349">
        <v>103.39153737896396</v>
      </c>
      <c r="AN151" s="354" t="s">
        <v>139</v>
      </c>
      <c r="AO151" s="355" t="s">
        <v>140</v>
      </c>
      <c r="AP151" s="206" t="s">
        <v>139</v>
      </c>
      <c r="AQ151" s="207">
        <v>0</v>
      </c>
      <c r="AR151" s="211"/>
      <c r="AS151" s="297">
        <f>+IF(Table1[[#This Row],[Column40]]="ok",Table1[[#This Row],[Column7]],0)</f>
        <v>1482.07</v>
      </c>
      <c r="AT151" s="295">
        <f>+IF(Table1[[#This Row],[Column40]]="No",Table1[[#This Row],[Column7]],0)</f>
        <v>0</v>
      </c>
      <c r="AU151" s="4" t="str">
        <f>+IF(LEFT(Table1[[#This Row],[Column42]],2)="DN",IF(Table1[[#This Row],[Column40]]="ok","(CA)",_xlfn.CONCAT("(CA)",CHAR(10),"FAIL")),"")</f>
        <v/>
      </c>
      <c r="AV151" s="154" t="str">
        <f>+IF(Table1[[#This Row],[Column6]]=0,"",_xlfn.CONCAT("Sem ",WEEKNUM(Table1[[#This Row],[Column6]],2)))</f>
        <v>Sem 10</v>
      </c>
      <c r="AW151" s="211"/>
    </row>
    <row r="152" spans="2:49" ht="19.5" customHeight="1" x14ac:dyDescent="0.3">
      <c r="B152" s="356" t="s">
        <v>394</v>
      </c>
      <c r="C152" s="331"/>
      <c r="D152" s="332" t="s">
        <v>132</v>
      </c>
      <c r="E152" s="332" t="s">
        <v>176</v>
      </c>
      <c r="F152" s="333"/>
      <c r="G152" s="334">
        <v>46089</v>
      </c>
      <c r="H152" s="335">
        <v>1474.59</v>
      </c>
      <c r="I152" s="336">
        <v>366.51</v>
      </c>
      <c r="J152" s="337">
        <v>2538.0500000000002</v>
      </c>
      <c r="K152" s="338" t="s">
        <v>184</v>
      </c>
      <c r="L152" s="339" t="s">
        <v>179</v>
      </c>
      <c r="M152" s="340">
        <v>30</v>
      </c>
      <c r="N152" s="341">
        <v>85462</v>
      </c>
      <c r="O152" s="332">
        <v>59.78</v>
      </c>
      <c r="P152" s="342">
        <v>12.3</v>
      </c>
      <c r="Q152" s="343">
        <v>9.4104308390022595</v>
      </c>
      <c r="R152" s="344">
        <v>1.7186108637577915</v>
      </c>
      <c r="S152" s="344">
        <v>1.764</v>
      </c>
      <c r="T152" s="344">
        <v>1.93</v>
      </c>
      <c r="U152" s="344" t="s">
        <v>136</v>
      </c>
      <c r="V152" s="332" t="s">
        <v>137</v>
      </c>
      <c r="W152" s="345">
        <v>8</v>
      </c>
      <c r="X152" s="346">
        <v>4</v>
      </c>
      <c r="Y152" s="208">
        <v>2.8069999999999999</v>
      </c>
      <c r="Z152" s="332"/>
      <c r="AA152" s="342"/>
      <c r="AB152" s="342"/>
      <c r="AC152" s="342"/>
      <c r="AD152" s="347"/>
      <c r="AE152" s="348">
        <v>1.712</v>
      </c>
      <c r="AF152" s="349">
        <v>0</v>
      </c>
      <c r="AG152" s="350"/>
      <c r="AH152" s="351" t="s">
        <v>139</v>
      </c>
      <c r="AI152" s="352" t="s">
        <v>139</v>
      </c>
      <c r="AJ152" s="206" t="s">
        <v>139</v>
      </c>
      <c r="AK152" s="353" t="s">
        <v>376</v>
      </c>
      <c r="AL152" s="206" t="s">
        <v>139</v>
      </c>
      <c r="AM152" s="349">
        <v>100.38614858398316</v>
      </c>
      <c r="AN152" s="354" t="s">
        <v>139</v>
      </c>
      <c r="AO152" s="355" t="s">
        <v>140</v>
      </c>
      <c r="AP152" s="206" t="s">
        <v>139</v>
      </c>
      <c r="AQ152" s="207">
        <v>0</v>
      </c>
      <c r="AR152" s="211"/>
      <c r="AS152" s="297">
        <f>+IF(Table1[[#This Row],[Column40]]="ok",Table1[[#This Row],[Column7]],0)</f>
        <v>1474.59</v>
      </c>
      <c r="AT152" s="295">
        <f>+IF(Table1[[#This Row],[Column40]]="No",Table1[[#This Row],[Column7]],0)</f>
        <v>0</v>
      </c>
      <c r="AU152" s="4" t="str">
        <f>+IF(LEFT(Table1[[#This Row],[Column42]],2)="DN",IF(Table1[[#This Row],[Column40]]="ok","(CA)",_xlfn.CONCAT("(CA)",CHAR(10),"FAIL")),"")</f>
        <v/>
      </c>
      <c r="AV152" s="154" t="str">
        <f>+IF(Table1[[#This Row],[Column6]]=0,"",_xlfn.CONCAT("Sem ",WEEKNUM(Table1[[#This Row],[Column6]],2)))</f>
        <v>Sem 10</v>
      </c>
      <c r="AW152" s="211"/>
    </row>
    <row r="153" spans="2:49" ht="19.5" customHeight="1" x14ac:dyDescent="0.3">
      <c r="B153" s="356" t="s">
        <v>395</v>
      </c>
      <c r="C153" s="331"/>
      <c r="D153" s="332" t="s">
        <v>132</v>
      </c>
      <c r="E153" s="332" t="s">
        <v>176</v>
      </c>
      <c r="F153" s="333"/>
      <c r="G153" s="334">
        <v>46089</v>
      </c>
      <c r="H153" s="335">
        <v>1597.64</v>
      </c>
      <c r="I153" s="336">
        <v>403.68</v>
      </c>
      <c r="J153" s="337">
        <v>2525.36</v>
      </c>
      <c r="K153" s="338" t="s">
        <v>184</v>
      </c>
      <c r="L153" s="339" t="s">
        <v>185</v>
      </c>
      <c r="M153" s="340">
        <v>30</v>
      </c>
      <c r="N153" s="341">
        <v>85462</v>
      </c>
      <c r="O153" s="332">
        <v>59.78</v>
      </c>
      <c r="P153" s="342">
        <v>10.8</v>
      </c>
      <c r="Q153" s="343">
        <v>9.277177006260672</v>
      </c>
      <c r="R153" s="344">
        <v>1.7328519855595665</v>
      </c>
      <c r="S153" s="344">
        <v>1.7569999999999999</v>
      </c>
      <c r="T153" s="344">
        <v>1.92</v>
      </c>
      <c r="U153" s="344" t="s">
        <v>136</v>
      </c>
      <c r="V153" s="332" t="s">
        <v>137</v>
      </c>
      <c r="W153" s="345">
        <v>8</v>
      </c>
      <c r="X153" s="346">
        <v>4</v>
      </c>
      <c r="Y153" s="208">
        <v>2.8069999999999999</v>
      </c>
      <c r="Z153" s="332"/>
      <c r="AA153" s="342"/>
      <c r="AB153" s="342"/>
      <c r="AC153" s="342"/>
      <c r="AD153" s="347"/>
      <c r="AE153" s="348">
        <v>1.712</v>
      </c>
      <c r="AF153" s="349">
        <v>0</v>
      </c>
      <c r="AG153" s="350"/>
      <c r="AH153" s="351" t="s">
        <v>139</v>
      </c>
      <c r="AI153" s="352" t="s">
        <v>139</v>
      </c>
      <c r="AJ153" s="206" t="s">
        <v>139</v>
      </c>
      <c r="AK153" s="353" t="s">
        <v>376</v>
      </c>
      <c r="AL153" s="206" t="s">
        <v>139</v>
      </c>
      <c r="AM153" s="349">
        <v>101.21798981072234</v>
      </c>
      <c r="AN153" s="354" t="s">
        <v>139</v>
      </c>
      <c r="AO153" s="355" t="s">
        <v>140</v>
      </c>
      <c r="AP153" s="206" t="s">
        <v>139</v>
      </c>
      <c r="AQ153" s="207">
        <v>0</v>
      </c>
      <c r="AR153" s="211"/>
      <c r="AS153" s="297">
        <f>+IF(Table1[[#This Row],[Column40]]="ok",Table1[[#This Row],[Column7]],0)</f>
        <v>1597.64</v>
      </c>
      <c r="AT153" s="295">
        <f>+IF(Table1[[#This Row],[Column40]]="No",Table1[[#This Row],[Column7]],0)</f>
        <v>0</v>
      </c>
      <c r="AU153" s="4" t="str">
        <f>+IF(LEFT(Table1[[#This Row],[Column42]],2)="DN",IF(Table1[[#This Row],[Column40]]="ok","(CA)",_xlfn.CONCAT("(CA)",CHAR(10),"FAIL")),"")</f>
        <v/>
      </c>
      <c r="AV153" s="154" t="str">
        <f>+IF(Table1[[#This Row],[Column6]]=0,"",_xlfn.CONCAT("Sem ",WEEKNUM(Table1[[#This Row],[Column6]],2)))</f>
        <v>Sem 10</v>
      </c>
      <c r="AW153" s="211"/>
    </row>
    <row r="154" spans="2:49" ht="19.5" customHeight="1" x14ac:dyDescent="0.3">
      <c r="B154" s="356" t="s">
        <v>396</v>
      </c>
      <c r="C154" s="331"/>
      <c r="D154" s="332" t="s">
        <v>132</v>
      </c>
      <c r="E154" s="332" t="s">
        <v>176</v>
      </c>
      <c r="F154" s="333"/>
      <c r="G154" s="334">
        <v>46089</v>
      </c>
      <c r="H154" s="335">
        <v>1560.61</v>
      </c>
      <c r="I154" s="336">
        <v>462.45</v>
      </c>
      <c r="J154" s="337">
        <v>2508.5700000000002</v>
      </c>
      <c r="K154" s="338" t="s">
        <v>184</v>
      </c>
      <c r="L154" s="339" t="s">
        <v>177</v>
      </c>
      <c r="M154" s="340">
        <v>30</v>
      </c>
      <c r="N154" s="341">
        <v>85462</v>
      </c>
      <c r="O154" s="332">
        <v>59.78</v>
      </c>
      <c r="P154" s="342">
        <v>12.1</v>
      </c>
      <c r="Q154" s="343">
        <v>9.4724900737379603</v>
      </c>
      <c r="R154" s="344">
        <v>1.7216770740410348</v>
      </c>
      <c r="S154" s="344">
        <v>1.7629999999999999</v>
      </c>
      <c r="T154" s="344">
        <v>1.93</v>
      </c>
      <c r="U154" s="344" t="s">
        <v>136</v>
      </c>
      <c r="V154" s="332" t="s">
        <v>137</v>
      </c>
      <c r="W154" s="345">
        <v>8</v>
      </c>
      <c r="X154" s="346">
        <v>4</v>
      </c>
      <c r="Y154" s="208">
        <v>2.8069999999999999</v>
      </c>
      <c r="Z154" s="332"/>
      <c r="AA154" s="342"/>
      <c r="AB154" s="342"/>
      <c r="AC154" s="342"/>
      <c r="AD154" s="347"/>
      <c r="AE154" s="348">
        <v>1.712</v>
      </c>
      <c r="AF154" s="349">
        <v>0</v>
      </c>
      <c r="AG154" s="350"/>
      <c r="AH154" s="351" t="s">
        <v>139</v>
      </c>
      <c r="AI154" s="352" t="s">
        <v>139</v>
      </c>
      <c r="AJ154" s="206" t="s">
        <v>139</v>
      </c>
      <c r="AK154" s="353" t="s">
        <v>376</v>
      </c>
      <c r="AL154" s="206" t="s">
        <v>139</v>
      </c>
      <c r="AM154" s="349">
        <v>100.56524965192961</v>
      </c>
      <c r="AN154" s="354" t="s">
        <v>139</v>
      </c>
      <c r="AO154" s="355" t="s">
        <v>140</v>
      </c>
      <c r="AP154" s="206" t="s">
        <v>139</v>
      </c>
      <c r="AQ154" s="207">
        <v>0</v>
      </c>
      <c r="AR154" s="211"/>
      <c r="AS154" s="297">
        <f>+IF(Table1[[#This Row],[Column40]]="ok",Table1[[#This Row],[Column7]],0)</f>
        <v>1560.61</v>
      </c>
      <c r="AT154" s="295">
        <f>+IF(Table1[[#This Row],[Column40]]="No",Table1[[#This Row],[Column7]],0)</f>
        <v>0</v>
      </c>
      <c r="AU154" s="4" t="str">
        <f>+IF(LEFT(Table1[[#This Row],[Column42]],2)="DN",IF(Table1[[#This Row],[Column40]]="ok","(CA)",_xlfn.CONCAT("(CA)",CHAR(10),"FAIL")),"")</f>
        <v/>
      </c>
      <c r="AV154" s="154" t="str">
        <f>+IF(Table1[[#This Row],[Column6]]=0,"",_xlfn.CONCAT("Sem ",WEEKNUM(Table1[[#This Row],[Column6]],2)))</f>
        <v>Sem 10</v>
      </c>
      <c r="AW154" s="211"/>
    </row>
    <row r="155" spans="2:49" ht="19.5" customHeight="1" x14ac:dyDescent="0.3">
      <c r="B155" s="356" t="s">
        <v>397</v>
      </c>
      <c r="C155" s="331"/>
      <c r="D155" s="332" t="s">
        <v>132</v>
      </c>
      <c r="E155" s="332" t="s">
        <v>176</v>
      </c>
      <c r="F155" s="333"/>
      <c r="G155" s="334">
        <v>46089</v>
      </c>
      <c r="H155" s="335">
        <v>1413.16</v>
      </c>
      <c r="I155" s="336">
        <v>253.49</v>
      </c>
      <c r="J155" s="337">
        <v>2571.65</v>
      </c>
      <c r="K155" s="338" t="s">
        <v>398</v>
      </c>
      <c r="L155" s="339" t="s">
        <v>230</v>
      </c>
      <c r="M155" s="340">
        <v>30</v>
      </c>
      <c r="N155" s="341">
        <v>85462</v>
      </c>
      <c r="O155" s="332">
        <v>59.78</v>
      </c>
      <c r="P155" s="342">
        <v>10</v>
      </c>
      <c r="Q155" s="343">
        <v>8.333333333333325</v>
      </c>
      <c r="R155" s="344">
        <v>1.7372727272727271</v>
      </c>
      <c r="S155" s="344">
        <v>1.764</v>
      </c>
      <c r="T155" s="344">
        <v>1.911</v>
      </c>
      <c r="U155" s="344" t="s">
        <v>136</v>
      </c>
      <c r="V155" s="332" t="s">
        <v>137</v>
      </c>
      <c r="W155" s="345">
        <v>8</v>
      </c>
      <c r="X155" s="346">
        <v>4</v>
      </c>
      <c r="Y155" s="208">
        <v>2.8069999999999999</v>
      </c>
      <c r="Z155" s="332"/>
      <c r="AA155" s="342"/>
      <c r="AB155" s="342"/>
      <c r="AC155" s="342"/>
      <c r="AD155" s="347"/>
      <c r="AE155" s="348">
        <v>1.712</v>
      </c>
      <c r="AF155" s="349">
        <v>0</v>
      </c>
      <c r="AG155" s="350"/>
      <c r="AH155" s="351" t="s">
        <v>139</v>
      </c>
      <c r="AI155" s="352" t="s">
        <v>139</v>
      </c>
      <c r="AJ155" s="206" t="s">
        <v>139</v>
      </c>
      <c r="AK155" s="353" t="s">
        <v>376</v>
      </c>
      <c r="AL155" s="206" t="s">
        <v>139</v>
      </c>
      <c r="AM155" s="349">
        <v>101.47621070518267</v>
      </c>
      <c r="AN155" s="354" t="s">
        <v>139</v>
      </c>
      <c r="AO155" s="355" t="s">
        <v>140</v>
      </c>
      <c r="AP155" s="206" t="s">
        <v>139</v>
      </c>
      <c r="AQ155" s="207">
        <v>0</v>
      </c>
      <c r="AR155" s="211"/>
      <c r="AS155" s="297">
        <f>+IF(Table1[[#This Row],[Column40]]="ok",Table1[[#This Row],[Column7]],0)</f>
        <v>1413.16</v>
      </c>
      <c r="AT155" s="295">
        <f>+IF(Table1[[#This Row],[Column40]]="No",Table1[[#This Row],[Column7]],0)</f>
        <v>0</v>
      </c>
      <c r="AU155" s="4" t="str">
        <f>+IF(LEFT(Table1[[#This Row],[Column42]],2)="DN",IF(Table1[[#This Row],[Column40]]="ok","(CA)",_xlfn.CONCAT("(CA)",CHAR(10),"FAIL")),"")</f>
        <v/>
      </c>
      <c r="AV155" s="154" t="str">
        <f>+IF(Table1[[#This Row],[Column6]]=0,"",_xlfn.CONCAT("Sem ",WEEKNUM(Table1[[#This Row],[Column6]],2)))</f>
        <v>Sem 10</v>
      </c>
      <c r="AW155" s="211"/>
    </row>
    <row r="156" spans="2:49" ht="19.5" customHeight="1" x14ac:dyDescent="0.3">
      <c r="B156" s="356" t="s">
        <v>399</v>
      </c>
      <c r="C156" s="331"/>
      <c r="D156" s="332" t="s">
        <v>132</v>
      </c>
      <c r="E156" s="332" t="s">
        <v>176</v>
      </c>
      <c r="F156" s="333"/>
      <c r="G156" s="334">
        <v>46089</v>
      </c>
      <c r="H156" s="335">
        <v>1341.47</v>
      </c>
      <c r="I156" s="336">
        <v>228.02</v>
      </c>
      <c r="J156" s="337">
        <v>2579.87</v>
      </c>
      <c r="K156" s="338" t="s">
        <v>221</v>
      </c>
      <c r="L156" s="339" t="s">
        <v>400</v>
      </c>
      <c r="M156" s="340">
        <v>30</v>
      </c>
      <c r="N156" s="341">
        <v>85462</v>
      </c>
      <c r="O156" s="332">
        <v>59.78</v>
      </c>
      <c r="P156" s="342">
        <v>10.7</v>
      </c>
      <c r="Q156" s="343">
        <v>9.7136440202133745</v>
      </c>
      <c r="R156" s="344">
        <v>1.7651309846431797</v>
      </c>
      <c r="S156" s="344">
        <v>1.7809999999999999</v>
      </c>
      <c r="T156" s="344">
        <v>1.954</v>
      </c>
      <c r="U156" s="344" t="s">
        <v>136</v>
      </c>
      <c r="V156" s="332" t="s">
        <v>137</v>
      </c>
      <c r="W156" s="345">
        <v>8</v>
      </c>
      <c r="X156" s="346">
        <v>4</v>
      </c>
      <c r="Y156" s="208">
        <v>2.8069999999999999</v>
      </c>
      <c r="Z156" s="332"/>
      <c r="AA156" s="342"/>
      <c r="AB156" s="342"/>
      <c r="AC156" s="342"/>
      <c r="AD156" s="347"/>
      <c r="AE156" s="348">
        <v>1.712</v>
      </c>
      <c r="AF156" s="349">
        <v>0</v>
      </c>
      <c r="AG156" s="350"/>
      <c r="AH156" s="351" t="s">
        <v>139</v>
      </c>
      <c r="AI156" s="352" t="s">
        <v>139</v>
      </c>
      <c r="AJ156" s="206" t="s">
        <v>139</v>
      </c>
      <c r="AK156" s="353" t="s">
        <v>376</v>
      </c>
      <c r="AL156" s="206" t="s">
        <v>139</v>
      </c>
      <c r="AM156" s="349">
        <v>103.10344536467171</v>
      </c>
      <c r="AN156" s="354" t="s">
        <v>139</v>
      </c>
      <c r="AO156" s="355" t="s">
        <v>140</v>
      </c>
      <c r="AP156" s="206" t="s">
        <v>139</v>
      </c>
      <c r="AQ156" s="207">
        <v>0</v>
      </c>
      <c r="AR156" s="211"/>
      <c r="AS156" s="297">
        <f>+IF(Table1[[#This Row],[Column40]]="ok",Table1[[#This Row],[Column7]],0)</f>
        <v>1341.47</v>
      </c>
      <c r="AT156" s="295">
        <f>+IF(Table1[[#This Row],[Column40]]="No",Table1[[#This Row],[Column7]],0)</f>
        <v>0</v>
      </c>
      <c r="AU156" s="4" t="str">
        <f>+IF(LEFT(Table1[[#This Row],[Column42]],2)="DN",IF(Table1[[#This Row],[Column40]]="ok","(CA)",_xlfn.CONCAT("(CA)",CHAR(10),"FAIL")),"")</f>
        <v/>
      </c>
      <c r="AV156" s="154" t="str">
        <f>+IF(Table1[[#This Row],[Column6]]=0,"",_xlfn.CONCAT("Sem ",WEEKNUM(Table1[[#This Row],[Column6]],2)))</f>
        <v>Sem 10</v>
      </c>
      <c r="AW156" s="211"/>
    </row>
    <row r="157" spans="2:49" ht="19.5" customHeight="1" x14ac:dyDescent="0.3">
      <c r="B157" s="356" t="s">
        <v>401</v>
      </c>
      <c r="C157" s="331"/>
      <c r="D157" s="332" t="s">
        <v>132</v>
      </c>
      <c r="E157" s="332" t="s">
        <v>176</v>
      </c>
      <c r="F157" s="333"/>
      <c r="G157" s="334">
        <v>46089</v>
      </c>
      <c r="H157" s="335">
        <v>1274.97</v>
      </c>
      <c r="I157" s="336">
        <v>203.96</v>
      </c>
      <c r="J157" s="337">
        <v>2585.2399999999998</v>
      </c>
      <c r="K157" s="338" t="s">
        <v>208</v>
      </c>
      <c r="L157" s="339" t="s">
        <v>402</v>
      </c>
      <c r="M157" s="340">
        <v>30</v>
      </c>
      <c r="N157" s="341">
        <v>85462</v>
      </c>
      <c r="O157" s="332">
        <v>59.78</v>
      </c>
      <c r="P157" s="342">
        <v>10.7</v>
      </c>
      <c r="Q157" s="343">
        <v>9.7409909909909942</v>
      </c>
      <c r="R157" s="344">
        <v>1.7606142728093948</v>
      </c>
      <c r="S157" s="344">
        <v>1.776</v>
      </c>
      <c r="T157" s="344">
        <v>1.9490000000000001</v>
      </c>
      <c r="U157" s="344" t="s">
        <v>136</v>
      </c>
      <c r="V157" s="332" t="s">
        <v>137</v>
      </c>
      <c r="W157" s="345">
        <v>8</v>
      </c>
      <c r="X157" s="346">
        <v>4</v>
      </c>
      <c r="Y157" s="208">
        <v>2.8069999999999999</v>
      </c>
      <c r="Z157" s="332"/>
      <c r="AA157" s="342"/>
      <c r="AB157" s="342"/>
      <c r="AC157" s="342"/>
      <c r="AD157" s="347"/>
      <c r="AE157" s="348">
        <v>1.7410000000000001</v>
      </c>
      <c r="AF157" s="349">
        <v>16</v>
      </c>
      <c r="AG157" s="350"/>
      <c r="AH157" s="351">
        <v>1.7405172413793106</v>
      </c>
      <c r="AI157" s="352">
        <v>2.0190000000000001</v>
      </c>
      <c r="AJ157" s="206">
        <v>16</v>
      </c>
      <c r="AK157" s="353" t="s">
        <v>403</v>
      </c>
      <c r="AL157" s="206">
        <v>0</v>
      </c>
      <c r="AM157" s="349">
        <v>101.12660958124036</v>
      </c>
      <c r="AN157" s="354" t="s">
        <v>139</v>
      </c>
      <c r="AO157" s="355" t="s">
        <v>140</v>
      </c>
      <c r="AP157" s="206" t="s">
        <v>139</v>
      </c>
      <c r="AQ157" s="207" t="s">
        <v>404</v>
      </c>
      <c r="AR157" s="211"/>
      <c r="AS157" s="297">
        <f>+IF(Table1[[#This Row],[Column40]]="ok",Table1[[#This Row],[Column7]],0)</f>
        <v>1274.97</v>
      </c>
      <c r="AT157" s="295">
        <f>+IF(Table1[[#This Row],[Column40]]="No",Table1[[#This Row],[Column7]],0)</f>
        <v>0</v>
      </c>
      <c r="AU157" s="4" t="str">
        <f>+IF(LEFT(Table1[[#This Row],[Column42]],2)="DN",IF(Table1[[#This Row],[Column40]]="ok","(CA)",_xlfn.CONCAT("(CA)",CHAR(10),"FAIL")),"")</f>
        <v/>
      </c>
      <c r="AV157" s="154" t="str">
        <f>+IF(Table1[[#This Row],[Column6]]=0,"",_xlfn.CONCAT("Sem ",WEEKNUM(Table1[[#This Row],[Column6]],2)))</f>
        <v>Sem 10</v>
      </c>
      <c r="AW157" s="211"/>
    </row>
    <row r="158" spans="2:49" ht="19.5" customHeight="1" x14ac:dyDescent="0.3">
      <c r="B158" s="356" t="s">
        <v>404</v>
      </c>
      <c r="C158" s="331"/>
      <c r="D158" s="332" t="s">
        <v>132</v>
      </c>
      <c r="E158" s="332" t="s">
        <v>176</v>
      </c>
      <c r="F158" s="333"/>
      <c r="G158" s="334">
        <v>46089</v>
      </c>
      <c r="H158" s="335">
        <v>1274.97</v>
      </c>
      <c r="I158" s="336">
        <v>203.96</v>
      </c>
      <c r="J158" s="337">
        <v>2585.2399999999998</v>
      </c>
      <c r="K158" s="338" t="s">
        <v>208</v>
      </c>
      <c r="L158" s="339" t="s">
        <v>402</v>
      </c>
      <c r="M158" s="340">
        <v>15</v>
      </c>
      <c r="N158" s="341"/>
      <c r="O158" s="332"/>
      <c r="P158" s="342">
        <v>9.8587933247753181</v>
      </c>
      <c r="Q158" s="343"/>
      <c r="R158" s="344">
        <v>1.776029715918531</v>
      </c>
      <c r="S158" s="344"/>
      <c r="T158" s="344">
        <v>1.9511248149975333</v>
      </c>
      <c r="U158" s="344" t="s">
        <v>142</v>
      </c>
      <c r="V158" s="332" t="s">
        <v>137</v>
      </c>
      <c r="W158" s="345">
        <v>6</v>
      </c>
      <c r="X158" s="346">
        <v>8</v>
      </c>
      <c r="Y158" s="208"/>
      <c r="Z158" s="332" t="s">
        <v>143</v>
      </c>
      <c r="AA158" s="342">
        <v>98.921694480102701</v>
      </c>
      <c r="AB158" s="342">
        <v>79.537869062901152</v>
      </c>
      <c r="AC158" s="342">
        <v>37.715019255455708</v>
      </c>
      <c r="AD158" s="347">
        <v>14.813863928112966</v>
      </c>
      <c r="AE158" s="348">
        <v>1.7410000000000001</v>
      </c>
      <c r="AF158" s="349">
        <v>16</v>
      </c>
      <c r="AG158" s="350" t="s">
        <v>403</v>
      </c>
      <c r="AH158" s="351">
        <v>1.7400396436801013</v>
      </c>
      <c r="AI158" s="352">
        <v>2.0185244330884702</v>
      </c>
      <c r="AJ158" s="206">
        <v>16.004508312200677</v>
      </c>
      <c r="AK158" s="353" t="s">
        <v>403</v>
      </c>
      <c r="AL158" s="206">
        <v>-4.5083122006772669E-3</v>
      </c>
      <c r="AM158" s="349">
        <v>102.01204571617065</v>
      </c>
      <c r="AN158" s="354" t="s">
        <v>139</v>
      </c>
      <c r="AO158" s="355" t="s">
        <v>144</v>
      </c>
      <c r="AP158" s="206">
        <v>0</v>
      </c>
      <c r="AQ158" s="207" t="s">
        <v>401</v>
      </c>
      <c r="AR158" s="211"/>
      <c r="AS158" s="297">
        <f>+IF(Table1[[#This Row],[Column40]]="ok",Table1[[#This Row],[Column7]],0)</f>
        <v>1274.97</v>
      </c>
      <c r="AT158" s="295">
        <f>+IF(Table1[[#This Row],[Column40]]="No",Table1[[#This Row],[Column7]],0)</f>
        <v>0</v>
      </c>
      <c r="AU158" s="4" t="str">
        <f>+IF(LEFT(Table1[[#This Row],[Column42]],2)="DN",IF(Table1[[#This Row],[Column40]]="ok","(CA)",_xlfn.CONCAT("(CA)",CHAR(10),"FAIL")),"")</f>
        <v>(CA)</v>
      </c>
      <c r="AV158" s="154" t="str">
        <f>+IF(Table1[[#This Row],[Column6]]=0,"",_xlfn.CONCAT("Sem ",WEEKNUM(Table1[[#This Row],[Column6]],2)))</f>
        <v>Sem 10</v>
      </c>
      <c r="AW158" s="211"/>
    </row>
    <row r="159" spans="2:49" ht="19.5" customHeight="1" x14ac:dyDescent="0.3">
      <c r="B159" s="356" t="s">
        <v>405</v>
      </c>
      <c r="C159" s="331"/>
      <c r="D159" s="332" t="s">
        <v>132</v>
      </c>
      <c r="E159" s="332" t="s">
        <v>176</v>
      </c>
      <c r="F159" s="333"/>
      <c r="G159" s="334">
        <v>46089</v>
      </c>
      <c r="H159" s="335">
        <v>1264.22</v>
      </c>
      <c r="I159" s="336">
        <v>286.26</v>
      </c>
      <c r="J159" s="337">
        <v>2561.25</v>
      </c>
      <c r="K159" s="338" t="s">
        <v>253</v>
      </c>
      <c r="L159" s="339" t="s">
        <v>402</v>
      </c>
      <c r="M159" s="340">
        <v>30</v>
      </c>
      <c r="N159" s="341">
        <v>85462</v>
      </c>
      <c r="O159" s="332">
        <v>59.78</v>
      </c>
      <c r="P159" s="342">
        <v>10.100000000000001</v>
      </c>
      <c r="Q159" s="343">
        <v>9.7658480868075372</v>
      </c>
      <c r="R159" s="344">
        <v>1.745685740236149</v>
      </c>
      <c r="S159" s="344">
        <v>1.7509999999999999</v>
      </c>
      <c r="T159" s="344">
        <v>1.9219999999999999</v>
      </c>
      <c r="U159" s="344" t="s">
        <v>136</v>
      </c>
      <c r="V159" s="332" t="s">
        <v>137</v>
      </c>
      <c r="W159" s="345">
        <v>8</v>
      </c>
      <c r="X159" s="346">
        <v>4</v>
      </c>
      <c r="Y159" s="208">
        <v>2.8069999999999999</v>
      </c>
      <c r="Z159" s="332"/>
      <c r="AA159" s="342"/>
      <c r="AB159" s="342"/>
      <c r="AC159" s="342"/>
      <c r="AD159" s="347"/>
      <c r="AE159" s="348">
        <v>1.712</v>
      </c>
      <c r="AF159" s="349">
        <v>0</v>
      </c>
      <c r="AG159" s="350"/>
      <c r="AH159" s="351" t="s">
        <v>139</v>
      </c>
      <c r="AI159" s="352" t="s">
        <v>139</v>
      </c>
      <c r="AJ159" s="206" t="s">
        <v>139</v>
      </c>
      <c r="AK159" s="353" t="s">
        <v>376</v>
      </c>
      <c r="AL159" s="206" t="s">
        <v>139</v>
      </c>
      <c r="AM159" s="349">
        <v>101.96762501379375</v>
      </c>
      <c r="AN159" s="354" t="s">
        <v>139</v>
      </c>
      <c r="AO159" s="355" t="s">
        <v>140</v>
      </c>
      <c r="AP159" s="206" t="s">
        <v>139</v>
      </c>
      <c r="AQ159" s="207">
        <v>0</v>
      </c>
      <c r="AR159" s="211"/>
      <c r="AS159" s="297">
        <f>+IF(Table1[[#This Row],[Column40]]="ok",Table1[[#This Row],[Column7]],0)</f>
        <v>1264.22</v>
      </c>
      <c r="AT159" s="295">
        <f>+IF(Table1[[#This Row],[Column40]]="No",Table1[[#This Row],[Column7]],0)</f>
        <v>0</v>
      </c>
      <c r="AU159" s="4" t="str">
        <f>+IF(LEFT(Table1[[#This Row],[Column42]],2)="DN",IF(Table1[[#This Row],[Column40]]="ok","(CA)",_xlfn.CONCAT("(CA)",CHAR(10),"FAIL")),"")</f>
        <v/>
      </c>
      <c r="AV159" s="154" t="str">
        <f>+IF(Table1[[#This Row],[Column6]]=0,"",_xlfn.CONCAT("Sem ",WEEKNUM(Table1[[#This Row],[Column6]],2)))</f>
        <v>Sem 10</v>
      </c>
      <c r="AW159" s="211"/>
    </row>
    <row r="160" spans="2:49" ht="19.5" customHeight="1" x14ac:dyDescent="0.3">
      <c r="B160" s="356" t="s">
        <v>406</v>
      </c>
      <c r="C160" s="331"/>
      <c r="D160" s="332" t="s">
        <v>132</v>
      </c>
      <c r="E160" s="332" t="s">
        <v>176</v>
      </c>
      <c r="F160" s="333"/>
      <c r="G160" s="334">
        <v>46089</v>
      </c>
      <c r="H160" s="335">
        <v>1335.09</v>
      </c>
      <c r="I160" s="336">
        <v>303.69</v>
      </c>
      <c r="J160" s="337">
        <v>2556.7399999999998</v>
      </c>
      <c r="K160" s="338" t="s">
        <v>398</v>
      </c>
      <c r="L160" s="339" t="s">
        <v>400</v>
      </c>
      <c r="M160" s="340">
        <v>30</v>
      </c>
      <c r="N160" s="341">
        <v>85462</v>
      </c>
      <c r="O160" s="332">
        <v>59.78</v>
      </c>
      <c r="P160" s="342">
        <v>10.4</v>
      </c>
      <c r="Q160" s="343">
        <v>9.0277777777777679</v>
      </c>
      <c r="R160" s="344">
        <v>1.7065217391304346</v>
      </c>
      <c r="S160" s="344">
        <v>1.728</v>
      </c>
      <c r="T160" s="344">
        <v>1.8839999999999999</v>
      </c>
      <c r="U160" s="344" t="s">
        <v>136</v>
      </c>
      <c r="V160" s="332" t="s">
        <v>137</v>
      </c>
      <c r="W160" s="345">
        <v>8</v>
      </c>
      <c r="X160" s="346">
        <v>4</v>
      </c>
      <c r="Y160" s="208">
        <v>2.8069999999999999</v>
      </c>
      <c r="Z160" s="332"/>
      <c r="AA160" s="342"/>
      <c r="AB160" s="342"/>
      <c r="AC160" s="342"/>
      <c r="AD160" s="347"/>
      <c r="AE160" s="348">
        <v>1.712</v>
      </c>
      <c r="AF160" s="349">
        <v>0</v>
      </c>
      <c r="AG160" s="350"/>
      <c r="AH160" s="351" t="s">
        <v>139</v>
      </c>
      <c r="AI160" s="352" t="s">
        <v>139</v>
      </c>
      <c r="AJ160" s="206" t="s">
        <v>139</v>
      </c>
      <c r="AK160" s="353" t="s">
        <v>376</v>
      </c>
      <c r="AL160" s="206" t="s">
        <v>139</v>
      </c>
      <c r="AM160" s="349">
        <v>99.680008126777722</v>
      </c>
      <c r="AN160" s="354" t="s">
        <v>139</v>
      </c>
      <c r="AO160" s="355" t="s">
        <v>140</v>
      </c>
      <c r="AP160" s="206" t="s">
        <v>139</v>
      </c>
      <c r="AQ160" s="207">
        <v>0</v>
      </c>
      <c r="AR160" s="211"/>
      <c r="AS160" s="297">
        <f>+IF(Table1[[#This Row],[Column40]]="ok",Table1[[#This Row],[Column7]],0)</f>
        <v>1335.09</v>
      </c>
      <c r="AT160" s="295">
        <f>+IF(Table1[[#This Row],[Column40]]="No",Table1[[#This Row],[Column7]],0)</f>
        <v>0</v>
      </c>
      <c r="AU160" s="4" t="str">
        <f>+IF(LEFT(Table1[[#This Row],[Column42]],2)="DN",IF(Table1[[#This Row],[Column40]]="ok","(CA)",_xlfn.CONCAT("(CA)",CHAR(10),"FAIL")),"")</f>
        <v/>
      </c>
      <c r="AV160" s="154" t="str">
        <f>+IF(Table1[[#This Row],[Column6]]=0,"",_xlfn.CONCAT("Sem ",WEEKNUM(Table1[[#This Row],[Column6]],2)))</f>
        <v>Sem 10</v>
      </c>
      <c r="AW160" s="211"/>
    </row>
    <row r="161" spans="2:49" ht="19.5" customHeight="1" x14ac:dyDescent="0.3">
      <c r="B161" s="356" t="s">
        <v>407</v>
      </c>
      <c r="C161" s="331"/>
      <c r="D161" s="332" t="s">
        <v>132</v>
      </c>
      <c r="E161" s="332" t="s">
        <v>176</v>
      </c>
      <c r="F161" s="333"/>
      <c r="G161" s="334">
        <v>46089</v>
      </c>
      <c r="H161" s="335">
        <v>1410.21</v>
      </c>
      <c r="I161" s="336">
        <v>364.43</v>
      </c>
      <c r="J161" s="337">
        <v>2538.5300000000002</v>
      </c>
      <c r="K161" s="338" t="s">
        <v>398</v>
      </c>
      <c r="L161" s="339" t="s">
        <v>230</v>
      </c>
      <c r="M161" s="340">
        <v>30</v>
      </c>
      <c r="N161" s="341">
        <v>85462</v>
      </c>
      <c r="O161" s="332">
        <v>59.78</v>
      </c>
      <c r="P161" s="342">
        <v>7.6</v>
      </c>
      <c r="Q161" s="343">
        <v>7.0781426953567372</v>
      </c>
      <c r="R161" s="344">
        <v>1.757434944237918</v>
      </c>
      <c r="S161" s="344">
        <v>1.766</v>
      </c>
      <c r="T161" s="344">
        <v>1.891</v>
      </c>
      <c r="U161" s="344" t="s">
        <v>136</v>
      </c>
      <c r="V161" s="332" t="s">
        <v>137</v>
      </c>
      <c r="W161" s="345">
        <v>8</v>
      </c>
      <c r="X161" s="346">
        <v>4</v>
      </c>
      <c r="Y161" s="208">
        <v>2.8069999999999999</v>
      </c>
      <c r="Z161" s="332"/>
      <c r="AA161" s="342"/>
      <c r="AB161" s="342"/>
      <c r="AC161" s="342"/>
      <c r="AD161" s="347"/>
      <c r="AE161" s="348">
        <v>1.712</v>
      </c>
      <c r="AF161" s="349">
        <v>0</v>
      </c>
      <c r="AG161" s="350"/>
      <c r="AH161" s="351" t="s">
        <v>139</v>
      </c>
      <c r="AI161" s="352" t="s">
        <v>139</v>
      </c>
      <c r="AJ161" s="206" t="s">
        <v>139</v>
      </c>
      <c r="AK161" s="353" t="s">
        <v>376</v>
      </c>
      <c r="AL161" s="206" t="s">
        <v>139</v>
      </c>
      <c r="AM161" s="349">
        <v>102.65391029427091</v>
      </c>
      <c r="AN161" s="354" t="s">
        <v>139</v>
      </c>
      <c r="AO161" s="355" t="s">
        <v>140</v>
      </c>
      <c r="AP161" s="206" t="s">
        <v>139</v>
      </c>
      <c r="AQ161" s="207">
        <v>0</v>
      </c>
      <c r="AR161" s="211"/>
      <c r="AS161" s="297">
        <f>+IF(Table1[[#This Row],[Column40]]="ok",Table1[[#This Row],[Column7]],0)</f>
        <v>1410.21</v>
      </c>
      <c r="AT161" s="295">
        <f>+IF(Table1[[#This Row],[Column40]]="No",Table1[[#This Row],[Column7]],0)</f>
        <v>0</v>
      </c>
      <c r="AU161" s="4" t="str">
        <f>+IF(LEFT(Table1[[#This Row],[Column42]],2)="DN",IF(Table1[[#This Row],[Column40]]="ok","(CA)",_xlfn.CONCAT("(CA)",CHAR(10),"FAIL")),"")</f>
        <v/>
      </c>
      <c r="AV161" s="154" t="str">
        <f>+IF(Table1[[#This Row],[Column6]]=0,"",_xlfn.CONCAT("Sem ",WEEKNUM(Table1[[#This Row],[Column6]],2)))</f>
        <v>Sem 10</v>
      </c>
      <c r="AW161" s="211"/>
    </row>
    <row r="162" spans="2:49" ht="19.5" customHeight="1" x14ac:dyDescent="0.3">
      <c r="B162" s="356" t="s">
        <v>408</v>
      </c>
      <c r="C162" s="331"/>
      <c r="D162" s="332" t="s">
        <v>132</v>
      </c>
      <c r="E162" s="332" t="s">
        <v>176</v>
      </c>
      <c r="F162" s="333"/>
      <c r="G162" s="334">
        <v>46089</v>
      </c>
      <c r="H162" s="335">
        <v>1331.2</v>
      </c>
      <c r="I162" s="336">
        <v>399.5</v>
      </c>
      <c r="J162" s="337">
        <v>2527.9499999999998</v>
      </c>
      <c r="K162" s="338" t="s">
        <v>398</v>
      </c>
      <c r="L162" s="339" t="s">
        <v>222</v>
      </c>
      <c r="M162" s="340">
        <v>30</v>
      </c>
      <c r="N162" s="341">
        <v>85462</v>
      </c>
      <c r="O162" s="332">
        <v>59.78</v>
      </c>
      <c r="P162" s="342">
        <v>13</v>
      </c>
      <c r="Q162" s="343">
        <v>10.544026920919801</v>
      </c>
      <c r="R162" s="344">
        <v>1.7442477876106197</v>
      </c>
      <c r="S162" s="344">
        <v>1.7829999999999999</v>
      </c>
      <c r="T162" s="344">
        <v>1.9710000000000001</v>
      </c>
      <c r="U162" s="344" t="s">
        <v>136</v>
      </c>
      <c r="V162" s="332" t="s">
        <v>137</v>
      </c>
      <c r="W162" s="345">
        <v>8</v>
      </c>
      <c r="X162" s="346">
        <v>4</v>
      </c>
      <c r="Y162" s="208">
        <v>2.8069999999999999</v>
      </c>
      <c r="Z162" s="332"/>
      <c r="AA162" s="342"/>
      <c r="AB162" s="342"/>
      <c r="AC162" s="342"/>
      <c r="AD162" s="347"/>
      <c r="AE162" s="348">
        <v>1.712</v>
      </c>
      <c r="AF162" s="349">
        <v>0</v>
      </c>
      <c r="AG162" s="350"/>
      <c r="AH162" s="351" t="s">
        <v>139</v>
      </c>
      <c r="AI162" s="352" t="s">
        <v>139</v>
      </c>
      <c r="AJ162" s="206" t="s">
        <v>139</v>
      </c>
      <c r="AK162" s="353" t="s">
        <v>376</v>
      </c>
      <c r="AL162" s="206" t="s">
        <v>139</v>
      </c>
      <c r="AM162" s="349">
        <v>101.88363245389134</v>
      </c>
      <c r="AN162" s="354" t="s">
        <v>139</v>
      </c>
      <c r="AO162" s="355" t="s">
        <v>140</v>
      </c>
      <c r="AP162" s="206" t="s">
        <v>139</v>
      </c>
      <c r="AQ162" s="207">
        <v>0</v>
      </c>
      <c r="AR162" s="211"/>
      <c r="AS162" s="297">
        <f>+IF(Table1[[#This Row],[Column40]]="ok",Table1[[#This Row],[Column7]],0)</f>
        <v>1331.2</v>
      </c>
      <c r="AT162" s="295">
        <f>+IF(Table1[[#This Row],[Column40]]="No",Table1[[#This Row],[Column7]],0)</f>
        <v>0</v>
      </c>
      <c r="AU162" s="4" t="str">
        <f>+IF(LEFT(Table1[[#This Row],[Column42]],2)="DN",IF(Table1[[#This Row],[Column40]]="ok","(CA)",_xlfn.CONCAT("(CA)",CHAR(10),"FAIL")),"")</f>
        <v/>
      </c>
      <c r="AV162" s="154" t="str">
        <f>+IF(Table1[[#This Row],[Column6]]=0,"",_xlfn.CONCAT("Sem ",WEEKNUM(Table1[[#This Row],[Column6]],2)))</f>
        <v>Sem 10</v>
      </c>
      <c r="AW162" s="211"/>
    </row>
    <row r="163" spans="2:49" ht="19.5" customHeight="1" x14ac:dyDescent="0.3">
      <c r="B163" s="356" t="s">
        <v>409</v>
      </c>
      <c r="C163" s="331"/>
      <c r="D163" s="332" t="s">
        <v>132</v>
      </c>
      <c r="E163" s="332" t="s">
        <v>176</v>
      </c>
      <c r="F163" s="333"/>
      <c r="G163" s="334">
        <v>46089</v>
      </c>
      <c r="H163" s="335">
        <v>487.09</v>
      </c>
      <c r="I163" s="336">
        <v>43.74</v>
      </c>
      <c r="J163" s="337">
        <v>2635.9</v>
      </c>
      <c r="K163" s="338" t="s">
        <v>349</v>
      </c>
      <c r="L163" s="339" t="s">
        <v>410</v>
      </c>
      <c r="M163" s="340">
        <v>30</v>
      </c>
      <c r="N163" s="341">
        <v>85462</v>
      </c>
      <c r="O163" s="332">
        <v>59.78</v>
      </c>
      <c r="P163" s="342">
        <v>8.7999999999999989</v>
      </c>
      <c r="Q163" s="343">
        <v>7.7102803738317904</v>
      </c>
      <c r="R163" s="344">
        <v>1.6948529411764706</v>
      </c>
      <c r="S163" s="344">
        <v>1.712</v>
      </c>
      <c r="T163" s="344">
        <v>1.8440000000000001</v>
      </c>
      <c r="U163" s="344" t="s">
        <v>136</v>
      </c>
      <c r="V163" s="332" t="s">
        <v>191</v>
      </c>
      <c r="W163" s="345">
        <v>6</v>
      </c>
      <c r="X163" s="346">
        <v>3</v>
      </c>
      <c r="Y163" s="208">
        <v>2.8069999999999999</v>
      </c>
      <c r="Z163" s="332"/>
      <c r="AA163" s="342"/>
      <c r="AB163" s="342"/>
      <c r="AC163" s="342"/>
      <c r="AD163" s="347"/>
      <c r="AE163" s="348">
        <v>1.706</v>
      </c>
      <c r="AF163" s="349">
        <v>0</v>
      </c>
      <c r="AG163" s="350"/>
      <c r="AH163" s="351" t="s">
        <v>139</v>
      </c>
      <c r="AI163" s="352" t="s">
        <v>139</v>
      </c>
      <c r="AJ163" s="206" t="s">
        <v>139</v>
      </c>
      <c r="AK163" s="353" t="s">
        <v>360</v>
      </c>
      <c r="AL163" s="206" t="s">
        <v>139</v>
      </c>
      <c r="AM163" s="349">
        <v>99.34659678642852</v>
      </c>
      <c r="AN163" s="354" t="s">
        <v>139</v>
      </c>
      <c r="AO163" s="355" t="s">
        <v>140</v>
      </c>
      <c r="AP163" s="206" t="s">
        <v>139</v>
      </c>
      <c r="AQ163" s="207">
        <v>0</v>
      </c>
      <c r="AR163" s="211"/>
      <c r="AS163" s="297">
        <f>+IF(Table1[[#This Row],[Column40]]="ok",Table1[[#This Row],[Column7]],0)</f>
        <v>487.09</v>
      </c>
      <c r="AT163" s="295">
        <f>+IF(Table1[[#This Row],[Column40]]="No",Table1[[#This Row],[Column7]],0)</f>
        <v>0</v>
      </c>
      <c r="AU163" s="4" t="str">
        <f>+IF(LEFT(Table1[[#This Row],[Column42]],2)="DN",IF(Table1[[#This Row],[Column40]]="ok","(CA)",_xlfn.CONCAT("(CA)",CHAR(10),"FAIL")),"")</f>
        <v/>
      </c>
      <c r="AV163" s="154" t="str">
        <f>+IF(Table1[[#This Row],[Column6]]=0,"",_xlfn.CONCAT("Sem ",WEEKNUM(Table1[[#This Row],[Column6]],2)))</f>
        <v>Sem 10</v>
      </c>
      <c r="AW163" s="211"/>
    </row>
    <row r="164" spans="2:49" ht="19.5" customHeight="1" x14ac:dyDescent="0.3">
      <c r="B164" s="356" t="s">
        <v>411</v>
      </c>
      <c r="C164" s="331"/>
      <c r="D164" s="332" t="s">
        <v>132</v>
      </c>
      <c r="E164" s="332" t="s">
        <v>176</v>
      </c>
      <c r="F164" s="333"/>
      <c r="G164" s="334">
        <v>46089</v>
      </c>
      <c r="H164" s="335">
        <v>32.369999999999997</v>
      </c>
      <c r="I164" s="336">
        <v>-24.95</v>
      </c>
      <c r="J164" s="337">
        <v>2635</v>
      </c>
      <c r="K164" s="338" t="s">
        <v>356</v>
      </c>
      <c r="L164" s="339" t="s">
        <v>412</v>
      </c>
      <c r="M164" s="340">
        <v>30</v>
      </c>
      <c r="N164" s="341">
        <v>85462</v>
      </c>
      <c r="O164" s="332">
        <v>59.78</v>
      </c>
      <c r="P164" s="342">
        <v>11.200000000000001</v>
      </c>
      <c r="Q164" s="343">
        <v>10.137457044673548</v>
      </c>
      <c r="R164" s="344">
        <v>1.7293165467625897</v>
      </c>
      <c r="S164" s="344">
        <v>1.746</v>
      </c>
      <c r="T164" s="344">
        <v>1.923</v>
      </c>
      <c r="U164" s="344" t="s">
        <v>136</v>
      </c>
      <c r="V164" s="332" t="s">
        <v>191</v>
      </c>
      <c r="W164" s="345">
        <v>6</v>
      </c>
      <c r="X164" s="346">
        <v>3</v>
      </c>
      <c r="Y164" s="208">
        <v>2.8069999999999999</v>
      </c>
      <c r="Z164" s="332"/>
      <c r="AA164" s="342"/>
      <c r="AB164" s="342"/>
      <c r="AC164" s="342"/>
      <c r="AD164" s="347"/>
      <c r="AE164" s="348">
        <v>1.706</v>
      </c>
      <c r="AF164" s="349">
        <v>0</v>
      </c>
      <c r="AG164" s="350"/>
      <c r="AH164" s="351" t="s">
        <v>139</v>
      </c>
      <c r="AI164" s="352" t="s">
        <v>139</v>
      </c>
      <c r="AJ164" s="206" t="s">
        <v>139</v>
      </c>
      <c r="AK164" s="353" t="s">
        <v>360</v>
      </c>
      <c r="AL164" s="206" t="s">
        <v>139</v>
      </c>
      <c r="AM164" s="349">
        <v>101.36673779382122</v>
      </c>
      <c r="AN164" s="354" t="s">
        <v>139</v>
      </c>
      <c r="AO164" s="355" t="s">
        <v>140</v>
      </c>
      <c r="AP164" s="206" t="s">
        <v>139</v>
      </c>
      <c r="AQ164" s="207">
        <v>0</v>
      </c>
      <c r="AR164" s="211"/>
      <c r="AS164" s="297">
        <f>+IF(Table1[[#This Row],[Column40]]="ok",Table1[[#This Row],[Column7]],0)</f>
        <v>32.369999999999997</v>
      </c>
      <c r="AT164" s="295">
        <f>+IF(Table1[[#This Row],[Column40]]="No",Table1[[#This Row],[Column7]],0)</f>
        <v>0</v>
      </c>
      <c r="AU164" s="4" t="str">
        <f>+IF(LEFT(Table1[[#This Row],[Column42]],2)="DN",IF(Table1[[#This Row],[Column40]]="ok","(CA)",_xlfn.CONCAT("(CA)",CHAR(10),"FAIL")),"")</f>
        <v/>
      </c>
      <c r="AV164" s="154" t="str">
        <f>+IF(Table1[[#This Row],[Column6]]=0,"",_xlfn.CONCAT("Sem ",WEEKNUM(Table1[[#This Row],[Column6]],2)))</f>
        <v>Sem 10</v>
      </c>
      <c r="AW164" s="211"/>
    </row>
    <row r="165" spans="2:49" ht="19.5" customHeight="1" x14ac:dyDescent="0.3">
      <c r="B165" s="356" t="s">
        <v>413</v>
      </c>
      <c r="C165" s="331"/>
      <c r="D165" s="332" t="s">
        <v>132</v>
      </c>
      <c r="E165" s="332" t="s">
        <v>176</v>
      </c>
      <c r="F165" s="333"/>
      <c r="G165" s="334">
        <v>46089</v>
      </c>
      <c r="H165" s="335">
        <v>131.66999999999999</v>
      </c>
      <c r="I165" s="336">
        <v>55.49</v>
      </c>
      <c r="J165" s="337">
        <v>2635.91</v>
      </c>
      <c r="K165" s="338" t="s">
        <v>356</v>
      </c>
      <c r="L165" s="339" t="s">
        <v>414</v>
      </c>
      <c r="M165" s="340">
        <v>30</v>
      </c>
      <c r="N165" s="341">
        <v>85462</v>
      </c>
      <c r="O165" s="332">
        <v>59.78</v>
      </c>
      <c r="P165" s="342">
        <v>12.3</v>
      </c>
      <c r="Q165" s="343">
        <v>10.831381733021072</v>
      </c>
      <c r="R165" s="344">
        <v>1.6856634016028496</v>
      </c>
      <c r="S165" s="344">
        <v>1.708</v>
      </c>
      <c r="T165" s="344">
        <v>1.893</v>
      </c>
      <c r="U165" s="344" t="s">
        <v>136</v>
      </c>
      <c r="V165" s="332" t="s">
        <v>191</v>
      </c>
      <c r="W165" s="345">
        <v>6</v>
      </c>
      <c r="X165" s="346">
        <v>3</v>
      </c>
      <c r="Y165" s="208">
        <v>2.8069999999999999</v>
      </c>
      <c r="Z165" s="332"/>
      <c r="AA165" s="342"/>
      <c r="AB165" s="342"/>
      <c r="AC165" s="342"/>
      <c r="AD165" s="347"/>
      <c r="AE165" s="348">
        <v>1.706</v>
      </c>
      <c r="AF165" s="349">
        <v>0</v>
      </c>
      <c r="AG165" s="350"/>
      <c r="AH165" s="351" t="s">
        <v>139</v>
      </c>
      <c r="AI165" s="352" t="s">
        <v>139</v>
      </c>
      <c r="AJ165" s="206" t="s">
        <v>139</v>
      </c>
      <c r="AK165" s="353" t="s">
        <v>360</v>
      </c>
      <c r="AL165" s="206" t="s">
        <v>139</v>
      </c>
      <c r="AM165" s="349">
        <v>98.807936787974768</v>
      </c>
      <c r="AN165" s="354" t="s">
        <v>139</v>
      </c>
      <c r="AO165" s="355" t="s">
        <v>140</v>
      </c>
      <c r="AP165" s="206" t="s">
        <v>139</v>
      </c>
      <c r="AQ165" s="207">
        <v>0</v>
      </c>
      <c r="AR165" s="211"/>
      <c r="AS165" s="297">
        <f>+IF(Table1[[#This Row],[Column40]]="ok",Table1[[#This Row],[Column7]],0)</f>
        <v>131.66999999999999</v>
      </c>
      <c r="AT165" s="295">
        <f>+IF(Table1[[#This Row],[Column40]]="No",Table1[[#This Row],[Column7]],0)</f>
        <v>0</v>
      </c>
      <c r="AU165" s="4" t="str">
        <f>+IF(LEFT(Table1[[#This Row],[Column42]],2)="DN",IF(Table1[[#This Row],[Column40]]="ok","(CA)",_xlfn.CONCAT("(CA)",CHAR(10),"FAIL")),"")</f>
        <v/>
      </c>
      <c r="AV165" s="154" t="str">
        <f>+IF(Table1[[#This Row],[Column6]]=0,"",_xlfn.CONCAT("Sem ",WEEKNUM(Table1[[#This Row],[Column6]],2)))</f>
        <v>Sem 10</v>
      </c>
      <c r="AW165" s="211"/>
    </row>
    <row r="166" spans="2:49" ht="19.5" customHeight="1" x14ac:dyDescent="0.3">
      <c r="B166" s="356" t="s">
        <v>415</v>
      </c>
      <c r="C166" s="331"/>
      <c r="D166" s="332" t="s">
        <v>132</v>
      </c>
      <c r="E166" s="332" t="s">
        <v>176</v>
      </c>
      <c r="F166" s="333"/>
      <c r="G166" s="334">
        <v>46089</v>
      </c>
      <c r="H166" s="335">
        <v>374.4</v>
      </c>
      <c r="I166" s="336">
        <v>92.13</v>
      </c>
      <c r="J166" s="337">
        <v>2635.88</v>
      </c>
      <c r="K166" s="338" t="s">
        <v>335</v>
      </c>
      <c r="L166" s="339" t="s">
        <v>198</v>
      </c>
      <c r="M166" s="340">
        <v>30</v>
      </c>
      <c r="N166" s="341">
        <v>85462</v>
      </c>
      <c r="O166" s="332">
        <v>59.78</v>
      </c>
      <c r="P166" s="342">
        <v>11.899999999999999</v>
      </c>
      <c r="Q166" s="343">
        <v>10.885929357266932</v>
      </c>
      <c r="R166" s="344">
        <v>1.711349419124218</v>
      </c>
      <c r="S166" s="344">
        <v>1.7270000000000001</v>
      </c>
      <c r="T166" s="344">
        <v>1.915</v>
      </c>
      <c r="U166" s="344" t="s">
        <v>136</v>
      </c>
      <c r="V166" s="332" t="s">
        <v>194</v>
      </c>
      <c r="W166" s="345" t="s">
        <v>195</v>
      </c>
      <c r="X166" s="346">
        <v>3</v>
      </c>
      <c r="Y166" s="208">
        <v>2.8069999999999999</v>
      </c>
      <c r="Z166" s="332"/>
      <c r="AA166" s="342"/>
      <c r="AB166" s="342"/>
      <c r="AC166" s="342"/>
      <c r="AD166" s="347"/>
      <c r="AE166" s="348">
        <v>1.706</v>
      </c>
      <c r="AF166" s="349">
        <v>0</v>
      </c>
      <c r="AG166" s="350"/>
      <c r="AH166" s="351" t="s">
        <v>139</v>
      </c>
      <c r="AI166" s="352" t="s">
        <v>139</v>
      </c>
      <c r="AJ166" s="206" t="s">
        <v>139</v>
      </c>
      <c r="AK166" s="353" t="s">
        <v>360</v>
      </c>
      <c r="AL166" s="206" t="s">
        <v>139</v>
      </c>
      <c r="AM166" s="349">
        <v>100.31356501314291</v>
      </c>
      <c r="AN166" s="354" t="s">
        <v>139</v>
      </c>
      <c r="AO166" s="355" t="s">
        <v>140</v>
      </c>
      <c r="AP166" s="206" t="s">
        <v>139</v>
      </c>
      <c r="AQ166" s="207">
        <v>0</v>
      </c>
      <c r="AR166" s="211"/>
      <c r="AS166" s="297">
        <f>+IF(Table1[[#This Row],[Column40]]="ok",Table1[[#This Row],[Column7]],0)</f>
        <v>374.4</v>
      </c>
      <c r="AT166" s="295">
        <f>+IF(Table1[[#This Row],[Column40]]="No",Table1[[#This Row],[Column7]],0)</f>
        <v>0</v>
      </c>
      <c r="AU166" s="4" t="str">
        <f>+IF(LEFT(Table1[[#This Row],[Column42]],2)="DN",IF(Table1[[#This Row],[Column40]]="ok","(CA)",_xlfn.CONCAT("(CA)",CHAR(10),"FAIL")),"")</f>
        <v/>
      </c>
      <c r="AV166" s="154" t="str">
        <f>+IF(Table1[[#This Row],[Column6]]=0,"",_xlfn.CONCAT("Sem ",WEEKNUM(Table1[[#This Row],[Column6]],2)))</f>
        <v>Sem 10</v>
      </c>
      <c r="AW166" s="211"/>
    </row>
    <row r="167" spans="2:49" ht="19.5" customHeight="1" x14ac:dyDescent="0.3">
      <c r="B167" s="356" t="s">
        <v>416</v>
      </c>
      <c r="C167" s="331"/>
      <c r="D167" s="332" t="s">
        <v>132</v>
      </c>
      <c r="E167" s="332" t="s">
        <v>176</v>
      </c>
      <c r="F167" s="333"/>
      <c r="G167" s="334">
        <v>46089</v>
      </c>
      <c r="H167" s="335">
        <v>476.9</v>
      </c>
      <c r="I167" s="336">
        <v>90.36</v>
      </c>
      <c r="J167" s="337">
        <v>2635.9</v>
      </c>
      <c r="K167" s="338" t="s">
        <v>349</v>
      </c>
      <c r="L167" s="339" t="s">
        <v>417</v>
      </c>
      <c r="M167" s="340">
        <v>30</v>
      </c>
      <c r="N167" s="341">
        <v>85462</v>
      </c>
      <c r="O167" s="332">
        <v>59.78</v>
      </c>
      <c r="P167" s="342">
        <v>11.799999999999999</v>
      </c>
      <c r="Q167" s="343">
        <v>12.12121212121211</v>
      </c>
      <c r="R167" s="344">
        <v>1.7540250447227195</v>
      </c>
      <c r="S167" s="344">
        <v>1.7490000000000001</v>
      </c>
      <c r="T167" s="344">
        <v>1.9610000000000001</v>
      </c>
      <c r="U167" s="344" t="s">
        <v>136</v>
      </c>
      <c r="V167" s="332" t="s">
        <v>191</v>
      </c>
      <c r="W167" s="345">
        <v>6</v>
      </c>
      <c r="X167" s="346">
        <v>3</v>
      </c>
      <c r="Y167" s="208">
        <v>2.8069999999999999</v>
      </c>
      <c r="Z167" s="332"/>
      <c r="AA167" s="342"/>
      <c r="AB167" s="342"/>
      <c r="AC167" s="342"/>
      <c r="AD167" s="347"/>
      <c r="AE167" s="348">
        <v>1.706</v>
      </c>
      <c r="AF167" s="349">
        <v>0</v>
      </c>
      <c r="AG167" s="350"/>
      <c r="AH167" s="351" t="s">
        <v>139</v>
      </c>
      <c r="AI167" s="352" t="s">
        <v>139</v>
      </c>
      <c r="AJ167" s="206" t="s">
        <v>139</v>
      </c>
      <c r="AK167" s="353" t="s">
        <v>360</v>
      </c>
      <c r="AL167" s="206" t="s">
        <v>139</v>
      </c>
      <c r="AM167" s="349">
        <v>102.81506709980771</v>
      </c>
      <c r="AN167" s="354" t="s">
        <v>139</v>
      </c>
      <c r="AO167" s="355" t="s">
        <v>140</v>
      </c>
      <c r="AP167" s="206" t="s">
        <v>139</v>
      </c>
      <c r="AQ167" s="207">
        <v>0</v>
      </c>
      <c r="AR167" s="211"/>
      <c r="AS167" s="297">
        <f>+IF(Table1[[#This Row],[Column40]]="ok",Table1[[#This Row],[Column7]],0)</f>
        <v>476.9</v>
      </c>
      <c r="AT167" s="295">
        <f>+IF(Table1[[#This Row],[Column40]]="No",Table1[[#This Row],[Column7]],0)</f>
        <v>0</v>
      </c>
      <c r="AU167" s="4" t="str">
        <f>+IF(LEFT(Table1[[#This Row],[Column42]],2)="DN",IF(Table1[[#This Row],[Column40]]="ok","(CA)",_xlfn.CONCAT("(CA)",CHAR(10),"FAIL")),"")</f>
        <v/>
      </c>
      <c r="AV167" s="154" t="str">
        <f>+IF(Table1[[#This Row],[Column6]]=0,"",_xlfn.CONCAT("Sem ",WEEKNUM(Table1[[#This Row],[Column6]],2)))</f>
        <v>Sem 10</v>
      </c>
      <c r="AW167" s="211"/>
    </row>
    <row r="168" spans="2:49" ht="19.5" customHeight="1" x14ac:dyDescent="0.3">
      <c r="B168" s="356" t="s">
        <v>418</v>
      </c>
      <c r="C168" s="331"/>
      <c r="D168" s="332" t="s">
        <v>132</v>
      </c>
      <c r="E168" s="332" t="s">
        <v>133</v>
      </c>
      <c r="F168" s="333"/>
      <c r="G168" s="334">
        <v>46090</v>
      </c>
      <c r="H168" s="335">
        <v>1559.26</v>
      </c>
      <c r="I168" s="336">
        <v>145.94999999999999</v>
      </c>
      <c r="J168" s="337">
        <v>2602.259</v>
      </c>
      <c r="K168" s="338" t="s">
        <v>162</v>
      </c>
      <c r="L168" s="339" t="s">
        <v>177</v>
      </c>
      <c r="M168" s="340">
        <v>30</v>
      </c>
      <c r="N168" s="341">
        <v>85462</v>
      </c>
      <c r="O168" s="332">
        <v>59.78</v>
      </c>
      <c r="P168" s="342">
        <v>13.4</v>
      </c>
      <c r="Q168" s="343">
        <v>11.398963730569944</v>
      </c>
      <c r="R168" s="344">
        <v>1.7063492063492065</v>
      </c>
      <c r="S168" s="344">
        <v>1.7370000000000001</v>
      </c>
      <c r="T168" s="344">
        <v>1.9350000000000001</v>
      </c>
      <c r="U168" s="344" t="s">
        <v>136</v>
      </c>
      <c r="V168" s="332" t="s">
        <v>137</v>
      </c>
      <c r="W168" s="345">
        <v>8</v>
      </c>
      <c r="X168" s="346">
        <v>4</v>
      </c>
      <c r="Y168" s="208">
        <v>2.8069999999999999</v>
      </c>
      <c r="Z168" s="332"/>
      <c r="AA168" s="342"/>
      <c r="AB168" s="342"/>
      <c r="AC168" s="342"/>
      <c r="AD168" s="347"/>
      <c r="AE168" s="348">
        <v>1.7307890926303404</v>
      </c>
      <c r="AF168" s="349">
        <v>16.256701093687461</v>
      </c>
      <c r="AG168" s="350"/>
      <c r="AH168" s="351">
        <v>1.7295434969853574</v>
      </c>
      <c r="AI168" s="352">
        <v>2.008</v>
      </c>
      <c r="AJ168" s="206">
        <v>16.100000000000001</v>
      </c>
      <c r="AK168" s="353" t="s">
        <v>181</v>
      </c>
      <c r="AL168" s="206">
        <v>0.15670109368745955</v>
      </c>
      <c r="AM168" s="349">
        <v>98.587933886040858</v>
      </c>
      <c r="AN168" s="354" t="s">
        <v>139</v>
      </c>
      <c r="AO168" s="355" t="s">
        <v>140</v>
      </c>
      <c r="AP168" s="206" t="s">
        <v>139</v>
      </c>
      <c r="AQ168" s="207" t="s">
        <v>419</v>
      </c>
      <c r="AR168" s="211"/>
      <c r="AS168" s="297">
        <f>+IF(Table1[[#This Row],[Column40]]="ok",Table1[[#This Row],[Column7]],0)</f>
        <v>1559.26</v>
      </c>
      <c r="AT168" s="295">
        <f>+IF(Table1[[#This Row],[Column40]]="No",Table1[[#This Row],[Column7]],0)</f>
        <v>0</v>
      </c>
      <c r="AU168" s="4" t="str">
        <f>+IF(LEFT(Table1[[#This Row],[Column42]],2)="DN",IF(Table1[[#This Row],[Column40]]="ok","(CA)",_xlfn.CONCAT("(CA)",CHAR(10),"FAIL")),"")</f>
        <v/>
      </c>
      <c r="AV168" s="154" t="str">
        <f>+IF(Table1[[#This Row],[Column6]]=0,"",_xlfn.CONCAT("Sem ",WEEKNUM(Table1[[#This Row],[Column6]],2)))</f>
        <v>Sem 11</v>
      </c>
      <c r="AW168" s="211"/>
    </row>
    <row r="169" spans="2:49" ht="19.5" customHeight="1" x14ac:dyDescent="0.3">
      <c r="B169" s="356" t="s">
        <v>419</v>
      </c>
      <c r="C169" s="331"/>
      <c r="D169" s="332" t="s">
        <v>132</v>
      </c>
      <c r="E169" s="332" t="s">
        <v>133</v>
      </c>
      <c r="F169" s="333"/>
      <c r="G169" s="334">
        <v>46090</v>
      </c>
      <c r="H169" s="335">
        <v>1559.26</v>
      </c>
      <c r="I169" s="336">
        <v>145.94999999999999</v>
      </c>
      <c r="J169" s="337">
        <v>2602.259</v>
      </c>
      <c r="K169" s="338" t="s">
        <v>162</v>
      </c>
      <c r="L169" s="339" t="s">
        <v>177</v>
      </c>
      <c r="M169" s="340">
        <v>15</v>
      </c>
      <c r="N169" s="341"/>
      <c r="O169" s="332"/>
      <c r="P169" s="342">
        <v>13.372093023255813</v>
      </c>
      <c r="Q169" s="343"/>
      <c r="R169" s="344">
        <v>1.725085531048441</v>
      </c>
      <c r="S169" s="344"/>
      <c r="T169" s="344">
        <v>1.9557655729909651</v>
      </c>
      <c r="U169" s="344" t="s">
        <v>142</v>
      </c>
      <c r="V169" s="332" t="s">
        <v>137</v>
      </c>
      <c r="W169" s="345">
        <v>6</v>
      </c>
      <c r="X169" s="346">
        <v>8</v>
      </c>
      <c r="Y169" s="208"/>
      <c r="Z169" s="332" t="s">
        <v>143</v>
      </c>
      <c r="AA169" s="342">
        <v>98.662790697674424</v>
      </c>
      <c r="AB169" s="342">
        <v>75.813953488372093</v>
      </c>
      <c r="AC169" s="342">
        <v>33.052325581395351</v>
      </c>
      <c r="AD169" s="347">
        <v>11.482558139534888</v>
      </c>
      <c r="AE169" s="348">
        <v>1.7310000000000001</v>
      </c>
      <c r="AF169" s="349">
        <v>16.288403519930068</v>
      </c>
      <c r="AG169" s="350" t="s">
        <v>181</v>
      </c>
      <c r="AH169" s="351">
        <v>1.7347467997803179</v>
      </c>
      <c r="AI169" s="352">
        <v>2.0132013201320134</v>
      </c>
      <c r="AJ169" s="206">
        <v>16.0515944106055</v>
      </c>
      <c r="AK169" s="353" t="s">
        <v>181</v>
      </c>
      <c r="AL169" s="206">
        <v>0.23680910932456811</v>
      </c>
      <c r="AM169" s="349">
        <v>99.658320684485318</v>
      </c>
      <c r="AN169" s="354" t="s">
        <v>139</v>
      </c>
      <c r="AO169" s="355" t="s">
        <v>144</v>
      </c>
      <c r="AP169" s="206">
        <v>0</v>
      </c>
      <c r="AQ169" s="207" t="s">
        <v>418</v>
      </c>
      <c r="AR169" s="211"/>
      <c r="AS169" s="297">
        <f>+IF(Table1[[#This Row],[Column40]]="ok",Table1[[#This Row],[Column7]],0)</f>
        <v>1559.26</v>
      </c>
      <c r="AT169" s="295">
        <f>+IF(Table1[[#This Row],[Column40]]="No",Table1[[#This Row],[Column7]],0)</f>
        <v>0</v>
      </c>
      <c r="AU169" s="4" t="str">
        <f>+IF(LEFT(Table1[[#This Row],[Column42]],2)="DN",IF(Table1[[#This Row],[Column40]]="ok","(CA)",_xlfn.CONCAT("(CA)",CHAR(10),"FAIL")),"")</f>
        <v>(CA)</v>
      </c>
      <c r="AV169" s="154" t="str">
        <f>+IF(Table1[[#This Row],[Column6]]=0,"",_xlfn.CONCAT("Sem ",WEEKNUM(Table1[[#This Row],[Column6]],2)))</f>
        <v>Sem 11</v>
      </c>
      <c r="AW169" s="211"/>
    </row>
    <row r="170" spans="2:49" ht="19.5" customHeight="1" x14ac:dyDescent="0.3">
      <c r="B170" s="356" t="s">
        <v>420</v>
      </c>
      <c r="C170" s="331"/>
      <c r="D170" s="332" t="s">
        <v>132</v>
      </c>
      <c r="E170" s="332" t="s">
        <v>133</v>
      </c>
      <c r="F170" s="333"/>
      <c r="G170" s="334">
        <v>46090</v>
      </c>
      <c r="H170" s="335">
        <v>1629.62</v>
      </c>
      <c r="I170" s="336">
        <v>169.5</v>
      </c>
      <c r="J170" s="337">
        <v>2592.5630000000001</v>
      </c>
      <c r="K170" s="338" t="s">
        <v>162</v>
      </c>
      <c r="L170" s="339" t="s">
        <v>163</v>
      </c>
      <c r="M170" s="340">
        <v>30</v>
      </c>
      <c r="N170" s="341">
        <v>85462</v>
      </c>
      <c r="O170" s="332">
        <v>59.78</v>
      </c>
      <c r="P170" s="342">
        <v>10.199999999999999</v>
      </c>
      <c r="Q170" s="343">
        <v>9.0039392234102511</v>
      </c>
      <c r="R170" s="344">
        <v>1.7577132486388385</v>
      </c>
      <c r="S170" s="344">
        <v>1.7769999999999999</v>
      </c>
      <c r="T170" s="344">
        <v>1.9370000000000001</v>
      </c>
      <c r="U170" s="344" t="s">
        <v>136</v>
      </c>
      <c r="V170" s="332" t="s">
        <v>137</v>
      </c>
      <c r="W170" s="345">
        <v>8</v>
      </c>
      <c r="X170" s="346">
        <v>4</v>
      </c>
      <c r="Y170" s="208">
        <v>2.8069999999999999</v>
      </c>
      <c r="Z170" s="332"/>
      <c r="AA170" s="342"/>
      <c r="AB170" s="342"/>
      <c r="AC170" s="342"/>
      <c r="AD170" s="347"/>
      <c r="AE170" s="348">
        <v>1.712</v>
      </c>
      <c r="AF170" s="349">
        <v>0</v>
      </c>
      <c r="AG170" s="350"/>
      <c r="AH170" s="351" t="s">
        <v>139</v>
      </c>
      <c r="AI170" s="352" t="s">
        <v>139</v>
      </c>
      <c r="AJ170" s="206" t="s">
        <v>139</v>
      </c>
      <c r="AK170" s="353" t="s">
        <v>376</v>
      </c>
      <c r="AL170" s="206" t="s">
        <v>139</v>
      </c>
      <c r="AM170" s="349">
        <v>102.67016639245551</v>
      </c>
      <c r="AN170" s="354" t="s">
        <v>139</v>
      </c>
      <c r="AO170" s="355" t="s">
        <v>140</v>
      </c>
      <c r="AP170" s="206" t="s">
        <v>139</v>
      </c>
      <c r="AQ170" s="207">
        <v>0</v>
      </c>
      <c r="AR170" s="211"/>
      <c r="AS170" s="297">
        <f>+IF(Table1[[#This Row],[Column40]]="ok",Table1[[#This Row],[Column7]],0)</f>
        <v>1629.62</v>
      </c>
      <c r="AT170" s="295">
        <f>+IF(Table1[[#This Row],[Column40]]="No",Table1[[#This Row],[Column7]],0)</f>
        <v>0</v>
      </c>
      <c r="AU170" s="4" t="str">
        <f>+IF(LEFT(Table1[[#This Row],[Column42]],2)="DN",IF(Table1[[#This Row],[Column40]]="ok","(CA)",_xlfn.CONCAT("(CA)",CHAR(10),"FAIL")),"")</f>
        <v/>
      </c>
      <c r="AV170" s="154" t="str">
        <f>+IF(Table1[[#This Row],[Column6]]=0,"",_xlfn.CONCAT("Sem ",WEEKNUM(Table1[[#This Row],[Column6]],2)))</f>
        <v>Sem 11</v>
      </c>
      <c r="AW170" s="211"/>
    </row>
    <row r="171" spans="2:49" ht="19.5" customHeight="1" x14ac:dyDescent="0.3">
      <c r="B171" s="356" t="s">
        <v>421</v>
      </c>
      <c r="C171" s="331"/>
      <c r="D171" s="332" t="s">
        <v>132</v>
      </c>
      <c r="E171" s="332" t="s">
        <v>133</v>
      </c>
      <c r="F171" s="333"/>
      <c r="G171" s="334">
        <v>46090</v>
      </c>
      <c r="H171" s="335">
        <v>1468.65</v>
      </c>
      <c r="I171" s="336">
        <v>116.35</v>
      </c>
      <c r="J171" s="337">
        <v>2610.922</v>
      </c>
      <c r="K171" s="338" t="s">
        <v>162</v>
      </c>
      <c r="L171" s="339" t="s">
        <v>179</v>
      </c>
      <c r="M171" s="340">
        <v>30</v>
      </c>
      <c r="N171" s="341">
        <v>85462</v>
      </c>
      <c r="O171" s="332">
        <v>59.78</v>
      </c>
      <c r="P171" s="342">
        <v>10.7</v>
      </c>
      <c r="Q171" s="343">
        <v>9.6683530073074841</v>
      </c>
      <c r="R171" s="344">
        <v>1.7624209575429088</v>
      </c>
      <c r="S171" s="344">
        <v>1.7789999999999999</v>
      </c>
      <c r="T171" s="344">
        <v>1.9510000000000001</v>
      </c>
      <c r="U171" s="344" t="s">
        <v>136</v>
      </c>
      <c r="V171" s="332" t="s">
        <v>137</v>
      </c>
      <c r="W171" s="345">
        <v>8</v>
      </c>
      <c r="X171" s="346">
        <v>4</v>
      </c>
      <c r="Y171" s="208">
        <v>2.8069999999999999</v>
      </c>
      <c r="Z171" s="332"/>
      <c r="AA171" s="342"/>
      <c r="AB171" s="342"/>
      <c r="AC171" s="342"/>
      <c r="AD171" s="347"/>
      <c r="AE171" s="348">
        <v>1.712</v>
      </c>
      <c r="AF171" s="349">
        <v>0</v>
      </c>
      <c r="AG171" s="350"/>
      <c r="AH171" s="351" t="s">
        <v>139</v>
      </c>
      <c r="AI171" s="352" t="s">
        <v>139</v>
      </c>
      <c r="AJ171" s="206" t="s">
        <v>139</v>
      </c>
      <c r="AK171" s="353" t="s">
        <v>376</v>
      </c>
      <c r="AL171" s="206" t="s">
        <v>139</v>
      </c>
      <c r="AM171" s="349">
        <v>102.9451493891886</v>
      </c>
      <c r="AN171" s="354" t="s">
        <v>139</v>
      </c>
      <c r="AO171" s="355" t="s">
        <v>140</v>
      </c>
      <c r="AP171" s="206" t="s">
        <v>139</v>
      </c>
      <c r="AQ171" s="207">
        <v>0</v>
      </c>
      <c r="AR171" s="211"/>
      <c r="AS171" s="297">
        <f>+IF(Table1[[#This Row],[Column40]]="ok",Table1[[#This Row],[Column7]],0)</f>
        <v>1468.65</v>
      </c>
      <c r="AT171" s="295">
        <f>+IF(Table1[[#This Row],[Column40]]="No",Table1[[#This Row],[Column7]],0)</f>
        <v>0</v>
      </c>
      <c r="AU171" s="4" t="str">
        <f>+IF(LEFT(Table1[[#This Row],[Column42]],2)="DN",IF(Table1[[#This Row],[Column40]]="ok","(CA)",_xlfn.CONCAT("(CA)",CHAR(10),"FAIL")),"")</f>
        <v/>
      </c>
      <c r="AV171" s="154" t="str">
        <f>+IF(Table1[[#This Row],[Column6]]=0,"",_xlfn.CONCAT("Sem ",WEEKNUM(Table1[[#This Row],[Column6]],2)))</f>
        <v>Sem 11</v>
      </c>
      <c r="AW171" s="211"/>
    </row>
    <row r="172" spans="2:49" ht="19.5" customHeight="1" x14ac:dyDescent="0.3">
      <c r="B172" s="356" t="s">
        <v>422</v>
      </c>
      <c r="C172" s="331"/>
      <c r="D172" s="332" t="s">
        <v>132</v>
      </c>
      <c r="E172" s="332" t="s">
        <v>133</v>
      </c>
      <c r="F172" s="333"/>
      <c r="G172" s="334">
        <v>46090</v>
      </c>
      <c r="H172" s="335">
        <v>1473.81</v>
      </c>
      <c r="I172" s="336">
        <v>200.29</v>
      </c>
      <c r="J172" s="337">
        <v>2586.7159999999999</v>
      </c>
      <c r="K172" s="338" t="s">
        <v>162</v>
      </c>
      <c r="L172" s="339" t="s">
        <v>179</v>
      </c>
      <c r="M172" s="340">
        <v>30</v>
      </c>
      <c r="N172" s="341">
        <v>85462</v>
      </c>
      <c r="O172" s="332">
        <v>59.78</v>
      </c>
      <c r="P172" s="342">
        <v>8.4</v>
      </c>
      <c r="Q172" s="343">
        <v>8.6511098463289748</v>
      </c>
      <c r="R172" s="344">
        <v>1.7610701107011069</v>
      </c>
      <c r="S172" s="344">
        <v>1.7569999999999999</v>
      </c>
      <c r="T172" s="344">
        <v>1.909</v>
      </c>
      <c r="U172" s="344" t="s">
        <v>136</v>
      </c>
      <c r="V172" s="332" t="s">
        <v>137</v>
      </c>
      <c r="W172" s="345">
        <v>8</v>
      </c>
      <c r="X172" s="346">
        <v>4</v>
      </c>
      <c r="Y172" s="208">
        <v>2.8069999999999999</v>
      </c>
      <c r="Z172" s="332"/>
      <c r="AA172" s="342"/>
      <c r="AB172" s="342"/>
      <c r="AC172" s="342"/>
      <c r="AD172" s="347"/>
      <c r="AE172" s="348">
        <v>1.712</v>
      </c>
      <c r="AF172" s="349">
        <v>0</v>
      </c>
      <c r="AG172" s="350"/>
      <c r="AH172" s="351" t="s">
        <v>139</v>
      </c>
      <c r="AI172" s="352" t="s">
        <v>139</v>
      </c>
      <c r="AJ172" s="206" t="s">
        <v>139</v>
      </c>
      <c r="AK172" s="353" t="s">
        <v>376</v>
      </c>
      <c r="AL172" s="206" t="s">
        <v>139</v>
      </c>
      <c r="AM172" s="349">
        <v>102.86624478394315</v>
      </c>
      <c r="AN172" s="354" t="s">
        <v>139</v>
      </c>
      <c r="AO172" s="355" t="s">
        <v>140</v>
      </c>
      <c r="AP172" s="206" t="s">
        <v>139</v>
      </c>
      <c r="AQ172" s="207">
        <v>0</v>
      </c>
      <c r="AR172" s="211"/>
      <c r="AS172" s="297">
        <f>+IF(Table1[[#This Row],[Column40]]="ok",Table1[[#This Row],[Column7]],0)</f>
        <v>1473.81</v>
      </c>
      <c r="AT172" s="295">
        <f>+IF(Table1[[#This Row],[Column40]]="No",Table1[[#This Row],[Column7]],0)</f>
        <v>0</v>
      </c>
      <c r="AU172" s="4" t="str">
        <f>+IF(LEFT(Table1[[#This Row],[Column42]],2)="DN",IF(Table1[[#This Row],[Column40]]="ok","(CA)",_xlfn.CONCAT("(CA)",CHAR(10),"FAIL")),"")</f>
        <v/>
      </c>
      <c r="AV172" s="154" t="str">
        <f>+IF(Table1[[#This Row],[Column6]]=0,"",_xlfn.CONCAT("Sem ",WEEKNUM(Table1[[#This Row],[Column6]],2)))</f>
        <v>Sem 11</v>
      </c>
      <c r="AW172" s="211"/>
    </row>
    <row r="173" spans="2:49" ht="19.5" customHeight="1" x14ac:dyDescent="0.3">
      <c r="B173" s="356" t="s">
        <v>423</v>
      </c>
      <c r="C173" s="331"/>
      <c r="D173" s="332" t="s">
        <v>132</v>
      </c>
      <c r="E173" s="332" t="s">
        <v>133</v>
      </c>
      <c r="F173" s="333"/>
      <c r="G173" s="334">
        <v>46090</v>
      </c>
      <c r="H173" s="335">
        <v>1526.35</v>
      </c>
      <c r="I173" s="336">
        <v>276.07</v>
      </c>
      <c r="J173" s="337">
        <v>2564.2959999999998</v>
      </c>
      <c r="K173" s="338" t="s">
        <v>184</v>
      </c>
      <c r="L173" s="339" t="s">
        <v>424</v>
      </c>
      <c r="M173" s="340">
        <v>30</v>
      </c>
      <c r="N173" s="341">
        <v>85462</v>
      </c>
      <c r="O173" s="332">
        <v>59.78</v>
      </c>
      <c r="P173" s="342">
        <v>9.9</v>
      </c>
      <c r="Q173" s="343">
        <v>8.4602368866328437</v>
      </c>
      <c r="R173" s="344">
        <v>1.7497725204731576</v>
      </c>
      <c r="S173" s="344">
        <v>1.7729999999999999</v>
      </c>
      <c r="T173" s="344">
        <v>1.923</v>
      </c>
      <c r="U173" s="344" t="s">
        <v>136</v>
      </c>
      <c r="V173" s="332" t="s">
        <v>137</v>
      </c>
      <c r="W173" s="345">
        <v>8</v>
      </c>
      <c r="X173" s="346">
        <v>4</v>
      </c>
      <c r="Y173" s="208">
        <v>2.8069999999999999</v>
      </c>
      <c r="Z173" s="332"/>
      <c r="AA173" s="342"/>
      <c r="AB173" s="342"/>
      <c r="AC173" s="342"/>
      <c r="AD173" s="347"/>
      <c r="AE173" s="348">
        <v>1.712</v>
      </c>
      <c r="AF173" s="349">
        <v>0</v>
      </c>
      <c r="AG173" s="350"/>
      <c r="AH173" s="351" t="s">
        <v>139</v>
      </c>
      <c r="AI173" s="352" t="s">
        <v>139</v>
      </c>
      <c r="AJ173" s="206" t="s">
        <v>139</v>
      </c>
      <c r="AK173" s="353" t="s">
        <v>376</v>
      </c>
      <c r="AL173" s="206" t="s">
        <v>139</v>
      </c>
      <c r="AM173" s="349">
        <v>102.20633881268444</v>
      </c>
      <c r="AN173" s="354" t="s">
        <v>139</v>
      </c>
      <c r="AO173" s="355" t="s">
        <v>140</v>
      </c>
      <c r="AP173" s="206" t="s">
        <v>139</v>
      </c>
      <c r="AQ173" s="207">
        <v>0</v>
      </c>
      <c r="AR173" s="211"/>
      <c r="AS173" s="297">
        <f>+IF(Table1[[#This Row],[Column40]]="ok",Table1[[#This Row],[Column7]],0)</f>
        <v>1526.35</v>
      </c>
      <c r="AT173" s="295">
        <f>+IF(Table1[[#This Row],[Column40]]="No",Table1[[#This Row],[Column7]],0)</f>
        <v>0</v>
      </c>
      <c r="AU173" s="4" t="str">
        <f>+IF(LEFT(Table1[[#This Row],[Column42]],2)="DN",IF(Table1[[#This Row],[Column40]]="ok","(CA)",_xlfn.CONCAT("(CA)",CHAR(10),"FAIL")),"")</f>
        <v/>
      </c>
      <c r="AV173" s="154" t="str">
        <f>+IF(Table1[[#This Row],[Column6]]=0,"",_xlfn.CONCAT("Sem ",WEEKNUM(Table1[[#This Row],[Column6]],2)))</f>
        <v>Sem 11</v>
      </c>
      <c r="AW173" s="211"/>
    </row>
    <row r="174" spans="2:49" ht="19.5" customHeight="1" x14ac:dyDescent="0.3">
      <c r="B174" s="356" t="s">
        <v>425</v>
      </c>
      <c r="C174" s="331"/>
      <c r="D174" s="332" t="s">
        <v>132</v>
      </c>
      <c r="E174" s="332" t="s">
        <v>133</v>
      </c>
      <c r="F174" s="333"/>
      <c r="G174" s="334">
        <v>46090</v>
      </c>
      <c r="H174" s="335">
        <v>1580.83</v>
      </c>
      <c r="I174" s="336">
        <v>240.7</v>
      </c>
      <c r="J174" s="337">
        <v>2573.2489999999998</v>
      </c>
      <c r="K174" s="338" t="s">
        <v>162</v>
      </c>
      <c r="L174" s="339" t="s">
        <v>185</v>
      </c>
      <c r="M174" s="340">
        <v>30</v>
      </c>
      <c r="N174" s="341">
        <v>85462</v>
      </c>
      <c r="O174" s="332">
        <v>59.78</v>
      </c>
      <c r="P174" s="342">
        <v>7.9</v>
      </c>
      <c r="Q174" s="343">
        <v>8.3188908145580562</v>
      </c>
      <c r="R174" s="344">
        <v>1.7377201112140872</v>
      </c>
      <c r="S174" s="344">
        <v>1.7310000000000001</v>
      </c>
      <c r="T174" s="344">
        <v>1.875</v>
      </c>
      <c r="U174" s="344" t="s">
        <v>136</v>
      </c>
      <c r="V174" s="332" t="s">
        <v>137</v>
      </c>
      <c r="W174" s="345">
        <v>8</v>
      </c>
      <c r="X174" s="346">
        <v>4</v>
      </c>
      <c r="Y174" s="208">
        <v>2.8069999999999999</v>
      </c>
      <c r="Z174" s="332"/>
      <c r="AA174" s="342"/>
      <c r="AB174" s="342"/>
      <c r="AC174" s="342"/>
      <c r="AD174" s="347"/>
      <c r="AE174" s="348">
        <v>1.712</v>
      </c>
      <c r="AF174" s="349">
        <v>0</v>
      </c>
      <c r="AG174" s="350"/>
      <c r="AH174" s="351" t="s">
        <v>139</v>
      </c>
      <c r="AI174" s="352" t="s">
        <v>139</v>
      </c>
      <c r="AJ174" s="206" t="s">
        <v>139</v>
      </c>
      <c r="AK174" s="353" t="s">
        <v>376</v>
      </c>
      <c r="AL174" s="206" t="s">
        <v>139</v>
      </c>
      <c r="AM174" s="349">
        <v>101.50234294474809</v>
      </c>
      <c r="AN174" s="354" t="s">
        <v>139</v>
      </c>
      <c r="AO174" s="355" t="s">
        <v>140</v>
      </c>
      <c r="AP174" s="206" t="s">
        <v>139</v>
      </c>
      <c r="AQ174" s="207">
        <v>0</v>
      </c>
      <c r="AR174" s="211"/>
      <c r="AS174" s="297">
        <f>+IF(Table1[[#This Row],[Column40]]="ok",Table1[[#This Row],[Column7]],0)</f>
        <v>1580.83</v>
      </c>
      <c r="AT174" s="295">
        <f>+IF(Table1[[#This Row],[Column40]]="No",Table1[[#This Row],[Column7]],0)</f>
        <v>0</v>
      </c>
      <c r="AU174" s="4" t="str">
        <f>+IF(LEFT(Table1[[#This Row],[Column42]],2)="DN",IF(Table1[[#This Row],[Column40]]="ok","(CA)",_xlfn.CONCAT("(CA)",CHAR(10),"FAIL")),"")</f>
        <v/>
      </c>
      <c r="AV174" s="154" t="str">
        <f>+IF(Table1[[#This Row],[Column6]]=0,"",_xlfn.CONCAT("Sem ",WEEKNUM(Table1[[#This Row],[Column6]],2)))</f>
        <v>Sem 11</v>
      </c>
      <c r="AW174" s="211"/>
    </row>
    <row r="175" spans="2:49" ht="19.5" customHeight="1" x14ac:dyDescent="0.3">
      <c r="B175" s="356" t="s">
        <v>426</v>
      </c>
      <c r="C175" s="331"/>
      <c r="D175" s="332" t="s">
        <v>132</v>
      </c>
      <c r="E175" s="332" t="s">
        <v>133</v>
      </c>
      <c r="F175" s="333"/>
      <c r="G175" s="334">
        <v>46090</v>
      </c>
      <c r="H175" s="335">
        <v>1634.34</v>
      </c>
      <c r="I175" s="336">
        <v>296.26</v>
      </c>
      <c r="J175" s="337">
        <v>2554.7539999999999</v>
      </c>
      <c r="K175" s="338" t="s">
        <v>184</v>
      </c>
      <c r="L175" s="339" t="s">
        <v>163</v>
      </c>
      <c r="M175" s="340">
        <v>30</v>
      </c>
      <c r="N175" s="341">
        <v>85462</v>
      </c>
      <c r="O175" s="332">
        <v>59.78</v>
      </c>
      <c r="P175" s="342">
        <v>8.6999999999999993</v>
      </c>
      <c r="Q175" s="343">
        <v>8.3238312428734353</v>
      </c>
      <c r="R175" s="344">
        <v>1.7479300827966882</v>
      </c>
      <c r="S175" s="344">
        <v>1.754</v>
      </c>
      <c r="T175" s="344">
        <v>1.9</v>
      </c>
      <c r="U175" s="344" t="s">
        <v>136</v>
      </c>
      <c r="V175" s="332" t="s">
        <v>137</v>
      </c>
      <c r="W175" s="345">
        <v>8</v>
      </c>
      <c r="X175" s="346">
        <v>4</v>
      </c>
      <c r="Y175" s="208">
        <v>2.8069999999999999</v>
      </c>
      <c r="Z175" s="332"/>
      <c r="AA175" s="342"/>
      <c r="AB175" s="342"/>
      <c r="AC175" s="342"/>
      <c r="AD175" s="347"/>
      <c r="AE175" s="348">
        <v>1.712</v>
      </c>
      <c r="AF175" s="349">
        <v>0</v>
      </c>
      <c r="AG175" s="350"/>
      <c r="AH175" s="351" t="s">
        <v>139</v>
      </c>
      <c r="AI175" s="352" t="s">
        <v>139</v>
      </c>
      <c r="AJ175" s="206" t="s">
        <v>139</v>
      </c>
      <c r="AK175" s="353" t="s">
        <v>298</v>
      </c>
      <c r="AL175" s="206" t="s">
        <v>139</v>
      </c>
      <c r="AM175" s="349">
        <v>102.09871978952619</v>
      </c>
      <c r="AN175" s="354" t="s">
        <v>139</v>
      </c>
      <c r="AO175" s="355" t="s">
        <v>140</v>
      </c>
      <c r="AP175" s="206" t="s">
        <v>139</v>
      </c>
      <c r="AQ175" s="207">
        <v>0</v>
      </c>
      <c r="AR175" s="211"/>
      <c r="AS175" s="297">
        <f>+IF(Table1[[#This Row],[Column40]]="ok",Table1[[#This Row],[Column7]],0)</f>
        <v>1634.34</v>
      </c>
      <c r="AT175" s="295">
        <f>+IF(Table1[[#This Row],[Column40]]="No",Table1[[#This Row],[Column7]],0)</f>
        <v>0</v>
      </c>
      <c r="AU175" s="4" t="str">
        <f>+IF(LEFT(Table1[[#This Row],[Column42]],2)="DN",IF(Table1[[#This Row],[Column40]]="ok","(CA)",_xlfn.CONCAT("(CA)",CHAR(10),"FAIL")),"")</f>
        <v/>
      </c>
      <c r="AV175" s="154" t="str">
        <f>+IF(Table1[[#This Row],[Column6]]=0,"",_xlfn.CONCAT("Sem ",WEEKNUM(Table1[[#This Row],[Column6]],2)))</f>
        <v>Sem 11</v>
      </c>
      <c r="AW175" s="211"/>
    </row>
    <row r="176" spans="2:49" ht="19.5" customHeight="1" x14ac:dyDescent="0.3">
      <c r="B176" s="356" t="s">
        <v>427</v>
      </c>
      <c r="C176" s="331"/>
      <c r="D176" s="332" t="s">
        <v>132</v>
      </c>
      <c r="E176" s="332" t="s">
        <v>133</v>
      </c>
      <c r="F176" s="333"/>
      <c r="G176" s="334">
        <v>46090</v>
      </c>
      <c r="H176" s="335">
        <v>1425.15</v>
      </c>
      <c r="I176" s="336">
        <v>498.79</v>
      </c>
      <c r="J176" s="337">
        <v>2499.4</v>
      </c>
      <c r="K176" s="338" t="s">
        <v>398</v>
      </c>
      <c r="L176" s="339" t="s">
        <v>230</v>
      </c>
      <c r="M176" s="340">
        <v>30</v>
      </c>
      <c r="N176" s="341">
        <v>85462</v>
      </c>
      <c r="O176" s="332">
        <v>59.78</v>
      </c>
      <c r="P176" s="342">
        <v>6.6000000000000005</v>
      </c>
      <c r="Q176" s="343">
        <v>6.4066852367687943</v>
      </c>
      <c r="R176" s="344">
        <v>1.7917448405253282</v>
      </c>
      <c r="S176" s="344">
        <v>1.7949999999999999</v>
      </c>
      <c r="T176" s="344">
        <v>1.91</v>
      </c>
      <c r="U176" s="344" t="s">
        <v>136</v>
      </c>
      <c r="V176" s="332" t="s">
        <v>137</v>
      </c>
      <c r="W176" s="345">
        <v>8</v>
      </c>
      <c r="X176" s="346">
        <v>4</v>
      </c>
      <c r="Y176" s="208">
        <v>2.8069999999999999</v>
      </c>
      <c r="Z176" s="332"/>
      <c r="AA176" s="342"/>
      <c r="AB176" s="342"/>
      <c r="AC176" s="342"/>
      <c r="AD176" s="347"/>
      <c r="AE176" s="348">
        <v>1.712</v>
      </c>
      <c r="AF176" s="349">
        <v>0</v>
      </c>
      <c r="AG176" s="350"/>
      <c r="AH176" s="351" t="s">
        <v>139</v>
      </c>
      <c r="AI176" s="352" t="s">
        <v>139</v>
      </c>
      <c r="AJ176" s="206" t="s">
        <v>139</v>
      </c>
      <c r="AK176" s="353" t="s">
        <v>376</v>
      </c>
      <c r="AL176" s="206" t="s">
        <v>139</v>
      </c>
      <c r="AM176" s="349">
        <v>104.65799302133927</v>
      </c>
      <c r="AN176" s="354" t="s">
        <v>139</v>
      </c>
      <c r="AO176" s="355" t="s">
        <v>140</v>
      </c>
      <c r="AP176" s="206" t="s">
        <v>139</v>
      </c>
      <c r="AQ176" s="207">
        <v>0</v>
      </c>
      <c r="AR176" s="211"/>
      <c r="AS176" s="297">
        <f>+IF(Table1[[#This Row],[Column40]]="ok",Table1[[#This Row],[Column7]],0)</f>
        <v>1425.15</v>
      </c>
      <c r="AT176" s="295">
        <f>+IF(Table1[[#This Row],[Column40]]="No",Table1[[#This Row],[Column7]],0)</f>
        <v>0</v>
      </c>
      <c r="AU176" s="4" t="str">
        <f>+IF(LEFT(Table1[[#This Row],[Column42]],2)="DN",IF(Table1[[#This Row],[Column40]]="ok","(CA)",_xlfn.CONCAT("(CA)",CHAR(10),"FAIL")),"")</f>
        <v/>
      </c>
      <c r="AV176" s="154" t="str">
        <f>+IF(Table1[[#This Row],[Column6]]=0,"",_xlfn.CONCAT("Sem ",WEEKNUM(Table1[[#This Row],[Column6]],2)))</f>
        <v>Sem 11</v>
      </c>
      <c r="AW176" s="211"/>
    </row>
    <row r="177" spans="2:49" ht="19.5" customHeight="1" x14ac:dyDescent="0.3">
      <c r="B177" s="356" t="s">
        <v>428</v>
      </c>
      <c r="C177" s="331"/>
      <c r="D177" s="332" t="s">
        <v>132</v>
      </c>
      <c r="E177" s="332" t="s">
        <v>133</v>
      </c>
      <c r="F177" s="333"/>
      <c r="G177" s="334">
        <v>46090</v>
      </c>
      <c r="H177" s="335">
        <v>1417.34</v>
      </c>
      <c r="I177" s="336">
        <v>592.70000000000005</v>
      </c>
      <c r="J177" s="337">
        <v>2473.23</v>
      </c>
      <c r="K177" s="338" t="s">
        <v>429</v>
      </c>
      <c r="L177" s="339" t="s">
        <v>230</v>
      </c>
      <c r="M177" s="340">
        <v>30</v>
      </c>
      <c r="N177" s="341">
        <v>85462</v>
      </c>
      <c r="O177" s="332">
        <v>59.78</v>
      </c>
      <c r="P177" s="342">
        <v>9.1</v>
      </c>
      <c r="Q177" s="343">
        <v>8.7252124645892373</v>
      </c>
      <c r="R177" s="344">
        <v>1.7589367552703943</v>
      </c>
      <c r="S177" s="344">
        <v>1.7649999999999999</v>
      </c>
      <c r="T177" s="344">
        <v>1.919</v>
      </c>
      <c r="U177" s="344" t="s">
        <v>136</v>
      </c>
      <c r="V177" s="332" t="s">
        <v>137</v>
      </c>
      <c r="W177" s="345">
        <v>8</v>
      </c>
      <c r="X177" s="346">
        <v>4</v>
      </c>
      <c r="Y177" s="208">
        <v>2.8069999999999999</v>
      </c>
      <c r="Z177" s="332"/>
      <c r="AA177" s="342"/>
      <c r="AB177" s="342"/>
      <c r="AC177" s="342"/>
      <c r="AD177" s="347"/>
      <c r="AE177" s="348">
        <v>1.712</v>
      </c>
      <c r="AF177" s="349">
        <v>0</v>
      </c>
      <c r="AG177" s="350"/>
      <c r="AH177" s="351" t="s">
        <v>139</v>
      </c>
      <c r="AI177" s="352" t="s">
        <v>139</v>
      </c>
      <c r="AJ177" s="206" t="s">
        <v>139</v>
      </c>
      <c r="AK177" s="353" t="s">
        <v>376</v>
      </c>
      <c r="AL177" s="206" t="s">
        <v>139</v>
      </c>
      <c r="AM177" s="349">
        <v>102.74163290130809</v>
      </c>
      <c r="AN177" s="354" t="s">
        <v>139</v>
      </c>
      <c r="AO177" s="355" t="s">
        <v>140</v>
      </c>
      <c r="AP177" s="206" t="s">
        <v>139</v>
      </c>
      <c r="AQ177" s="207">
        <v>0</v>
      </c>
      <c r="AR177" s="211"/>
      <c r="AS177" s="297">
        <f>+IF(Table1[[#This Row],[Column40]]="ok",Table1[[#This Row],[Column7]],0)</f>
        <v>1417.34</v>
      </c>
      <c r="AT177" s="295">
        <f>+IF(Table1[[#This Row],[Column40]]="No",Table1[[#This Row],[Column7]],0)</f>
        <v>0</v>
      </c>
      <c r="AU177" s="4" t="str">
        <f>+IF(LEFT(Table1[[#This Row],[Column42]],2)="DN",IF(Table1[[#This Row],[Column40]]="ok","(CA)",_xlfn.CONCAT("(CA)",CHAR(10),"FAIL")),"")</f>
        <v/>
      </c>
      <c r="AV177" s="154" t="str">
        <f>+IF(Table1[[#This Row],[Column6]]=0,"",_xlfn.CONCAT("Sem ",WEEKNUM(Table1[[#This Row],[Column6]],2)))</f>
        <v>Sem 11</v>
      </c>
      <c r="AW177" s="211"/>
    </row>
    <row r="178" spans="2:49" ht="19.5" customHeight="1" x14ac:dyDescent="0.3">
      <c r="B178" s="356" t="s">
        <v>430</v>
      </c>
      <c r="C178" s="331"/>
      <c r="D178" s="332" t="s">
        <v>132</v>
      </c>
      <c r="E178" s="332" t="s">
        <v>176</v>
      </c>
      <c r="F178" s="333"/>
      <c r="G178" s="334">
        <v>46090</v>
      </c>
      <c r="H178" s="335">
        <v>1357.54</v>
      </c>
      <c r="I178" s="336">
        <v>458.75</v>
      </c>
      <c r="J178" s="337">
        <v>2511.39</v>
      </c>
      <c r="K178" s="338" t="s">
        <v>398</v>
      </c>
      <c r="L178" s="339" t="s">
        <v>400</v>
      </c>
      <c r="M178" s="340">
        <v>30</v>
      </c>
      <c r="N178" s="341">
        <v>85462</v>
      </c>
      <c r="O178" s="332">
        <v>59.78</v>
      </c>
      <c r="P178" s="342">
        <v>14.7</v>
      </c>
      <c r="Q178" s="343">
        <v>10.089686098654704</v>
      </c>
      <c r="R178" s="344">
        <v>1.7122929380993896</v>
      </c>
      <c r="S178" s="344">
        <v>1.784</v>
      </c>
      <c r="T178" s="344">
        <v>1.964</v>
      </c>
      <c r="U178" s="344" t="s">
        <v>136</v>
      </c>
      <c r="V178" s="332" t="s">
        <v>137</v>
      </c>
      <c r="W178" s="345">
        <v>8</v>
      </c>
      <c r="X178" s="346">
        <v>4</v>
      </c>
      <c r="Y178" s="208">
        <v>2.8069999999999999</v>
      </c>
      <c r="Z178" s="332"/>
      <c r="AA178" s="342"/>
      <c r="AB178" s="342"/>
      <c r="AC178" s="342"/>
      <c r="AD178" s="347"/>
      <c r="AE178" s="348">
        <v>1.712</v>
      </c>
      <c r="AF178" s="349">
        <v>0</v>
      </c>
      <c r="AG178" s="350"/>
      <c r="AH178" s="351" t="s">
        <v>139</v>
      </c>
      <c r="AI178" s="352" t="s">
        <v>139</v>
      </c>
      <c r="AJ178" s="206" t="s">
        <v>139</v>
      </c>
      <c r="AK178" s="353" t="s">
        <v>376</v>
      </c>
      <c r="AL178" s="206" t="s">
        <v>139</v>
      </c>
      <c r="AM178" s="349">
        <v>100.01711087029146</v>
      </c>
      <c r="AN178" s="354" t="s">
        <v>139</v>
      </c>
      <c r="AO178" s="355" t="s">
        <v>140</v>
      </c>
      <c r="AP178" s="206" t="s">
        <v>139</v>
      </c>
      <c r="AQ178" s="207">
        <v>0</v>
      </c>
      <c r="AR178" s="211"/>
      <c r="AS178" s="297">
        <f>+IF(Table1[[#This Row],[Column40]]="ok",Table1[[#This Row],[Column7]],0)</f>
        <v>1357.54</v>
      </c>
      <c r="AT178" s="295">
        <f>+IF(Table1[[#This Row],[Column40]]="No",Table1[[#This Row],[Column7]],0)</f>
        <v>0</v>
      </c>
      <c r="AU178" s="4" t="str">
        <f>+IF(LEFT(Table1[[#This Row],[Column42]],2)="DN",IF(Table1[[#This Row],[Column40]]="ok","(CA)",_xlfn.CONCAT("(CA)",CHAR(10),"FAIL")),"")</f>
        <v/>
      </c>
      <c r="AV178" s="154" t="str">
        <f>+IF(Table1[[#This Row],[Column6]]=0,"",_xlfn.CONCAT("Sem ",WEEKNUM(Table1[[#This Row],[Column6]],2)))</f>
        <v>Sem 11</v>
      </c>
      <c r="AW178" s="211"/>
    </row>
    <row r="179" spans="2:49" ht="19.5" customHeight="1" x14ac:dyDescent="0.3">
      <c r="B179" s="356" t="s">
        <v>431</v>
      </c>
      <c r="C179" s="331"/>
      <c r="D179" s="332" t="s">
        <v>132</v>
      </c>
      <c r="E179" s="332" t="s">
        <v>176</v>
      </c>
      <c r="F179" s="333"/>
      <c r="G179" s="334">
        <v>46090</v>
      </c>
      <c r="H179" s="335">
        <v>1283.5999999999999</v>
      </c>
      <c r="I179" s="336">
        <v>416.04</v>
      </c>
      <c r="J179" s="337">
        <v>2523.59</v>
      </c>
      <c r="K179" s="338" t="s">
        <v>398</v>
      </c>
      <c r="L179" s="339" t="s">
        <v>402</v>
      </c>
      <c r="M179" s="340">
        <v>30</v>
      </c>
      <c r="N179" s="341">
        <v>85462</v>
      </c>
      <c r="O179" s="332">
        <v>59.78</v>
      </c>
      <c r="P179" s="342">
        <v>9.1</v>
      </c>
      <c r="Q179" s="343">
        <v>8.595505617977528</v>
      </c>
      <c r="R179" s="344">
        <v>1.7717690192483961</v>
      </c>
      <c r="S179" s="344">
        <v>1.78</v>
      </c>
      <c r="T179" s="344">
        <v>1.9330000000000001</v>
      </c>
      <c r="U179" s="344" t="s">
        <v>136</v>
      </c>
      <c r="V179" s="332" t="s">
        <v>137</v>
      </c>
      <c r="W179" s="345">
        <v>8</v>
      </c>
      <c r="X179" s="346">
        <v>4</v>
      </c>
      <c r="Y179" s="208">
        <v>2.8069999999999999</v>
      </c>
      <c r="Z179" s="332"/>
      <c r="AA179" s="342"/>
      <c r="AB179" s="342"/>
      <c r="AC179" s="342"/>
      <c r="AD179" s="347"/>
      <c r="AE179" s="348">
        <v>1.736</v>
      </c>
      <c r="AF179" s="349">
        <v>16</v>
      </c>
      <c r="AG179" s="350"/>
      <c r="AH179" s="351">
        <v>1.7362068965517241</v>
      </c>
      <c r="AI179" s="352">
        <v>2.0139999999999998</v>
      </c>
      <c r="AJ179" s="206">
        <v>16</v>
      </c>
      <c r="AK179" s="353" t="s">
        <v>403</v>
      </c>
      <c r="AL179" s="206">
        <v>0</v>
      </c>
      <c r="AM179" s="349">
        <v>102.06042737605969</v>
      </c>
      <c r="AN179" s="354" t="s">
        <v>139</v>
      </c>
      <c r="AO179" s="355" t="s">
        <v>140</v>
      </c>
      <c r="AP179" s="206" t="s">
        <v>139</v>
      </c>
      <c r="AQ179" s="207" t="s">
        <v>432</v>
      </c>
      <c r="AR179" s="211"/>
      <c r="AS179" s="297">
        <f>+IF(Table1[[#This Row],[Column40]]="ok",Table1[[#This Row],[Column7]],0)</f>
        <v>1283.5999999999999</v>
      </c>
      <c r="AT179" s="295">
        <f>+IF(Table1[[#This Row],[Column40]]="No",Table1[[#This Row],[Column7]],0)</f>
        <v>0</v>
      </c>
      <c r="AU179" s="4" t="str">
        <f>+IF(LEFT(Table1[[#This Row],[Column42]],2)="DN",IF(Table1[[#This Row],[Column40]]="ok","(CA)",_xlfn.CONCAT("(CA)",CHAR(10),"FAIL")),"")</f>
        <v/>
      </c>
      <c r="AV179" s="154" t="str">
        <f>+IF(Table1[[#This Row],[Column6]]=0,"",_xlfn.CONCAT("Sem ",WEEKNUM(Table1[[#This Row],[Column6]],2)))</f>
        <v>Sem 11</v>
      </c>
      <c r="AW179" s="211"/>
    </row>
    <row r="180" spans="2:49" ht="19.5" customHeight="1" x14ac:dyDescent="0.3">
      <c r="B180" s="356" t="s">
        <v>432</v>
      </c>
      <c r="C180" s="331"/>
      <c r="D180" s="332" t="s">
        <v>132</v>
      </c>
      <c r="E180" s="332" t="s">
        <v>176</v>
      </c>
      <c r="F180" s="333"/>
      <c r="G180" s="334">
        <v>46090</v>
      </c>
      <c r="H180" s="335">
        <v>1283.5999999999999</v>
      </c>
      <c r="I180" s="336">
        <v>416.04</v>
      </c>
      <c r="J180" s="337">
        <v>2523.59</v>
      </c>
      <c r="K180" s="338" t="s">
        <v>398</v>
      </c>
      <c r="L180" s="339" t="s">
        <v>402</v>
      </c>
      <c r="M180" s="340">
        <v>15</v>
      </c>
      <c r="N180" s="341"/>
      <c r="O180" s="332"/>
      <c r="P180" s="342">
        <v>9.109854123250976</v>
      </c>
      <c r="Q180" s="343"/>
      <c r="R180" s="344">
        <v>1.7317859980833661</v>
      </c>
      <c r="S180" s="344"/>
      <c r="T180" s="344">
        <v>1.8895491762356467</v>
      </c>
      <c r="U180" s="344" t="s">
        <v>142</v>
      </c>
      <c r="V180" s="332" t="s">
        <v>137</v>
      </c>
      <c r="W180" s="345">
        <v>6</v>
      </c>
      <c r="X180" s="346">
        <v>8</v>
      </c>
      <c r="Y180" s="208"/>
      <c r="Z180" s="332" t="s">
        <v>227</v>
      </c>
      <c r="AA180" s="342">
        <v>98.481690979458179</v>
      </c>
      <c r="AB180" s="342">
        <v>75.111640369157485</v>
      </c>
      <c r="AC180" s="342">
        <v>34.682941351592731</v>
      </c>
      <c r="AD180" s="347">
        <v>10.598392378684125</v>
      </c>
      <c r="AE180" s="348">
        <v>1.736</v>
      </c>
      <c r="AF180" s="349">
        <v>16</v>
      </c>
      <c r="AG180" s="350" t="s">
        <v>403</v>
      </c>
      <c r="AH180" s="351">
        <v>1.7360075096198242</v>
      </c>
      <c r="AI180" s="352">
        <v>2.0142659427233047</v>
      </c>
      <c r="AJ180" s="206">
        <v>16.028642247314799</v>
      </c>
      <c r="AK180" s="353" t="s">
        <v>403</v>
      </c>
      <c r="AL180" s="206">
        <v>-2.8642247314799363E-2</v>
      </c>
      <c r="AM180" s="349">
        <v>99.757257954110941</v>
      </c>
      <c r="AN180" s="354" t="s">
        <v>139</v>
      </c>
      <c r="AO180" s="355" t="s">
        <v>144</v>
      </c>
      <c r="AP180" s="206">
        <v>0</v>
      </c>
      <c r="AQ180" s="207" t="s">
        <v>431</v>
      </c>
      <c r="AR180" s="211"/>
      <c r="AS180" s="297">
        <f>+IF(Table1[[#This Row],[Column40]]="ok",Table1[[#This Row],[Column7]],0)</f>
        <v>1283.5999999999999</v>
      </c>
      <c r="AT180" s="295">
        <f>+IF(Table1[[#This Row],[Column40]]="No",Table1[[#This Row],[Column7]],0)</f>
        <v>0</v>
      </c>
      <c r="AU180" s="4" t="str">
        <f>+IF(LEFT(Table1[[#This Row],[Column42]],2)="DN",IF(Table1[[#This Row],[Column40]]="ok","(CA)",_xlfn.CONCAT("(CA)",CHAR(10),"FAIL")),"")</f>
        <v>(CA)</v>
      </c>
      <c r="AV180" s="154" t="str">
        <f>+IF(Table1[[#This Row],[Column6]]=0,"",_xlfn.CONCAT("Sem ",WEEKNUM(Table1[[#This Row],[Column6]],2)))</f>
        <v>Sem 11</v>
      </c>
      <c r="AW180" s="211"/>
    </row>
    <row r="181" spans="2:49" ht="19.5" customHeight="1" x14ac:dyDescent="0.3">
      <c r="B181" s="356" t="s">
        <v>433</v>
      </c>
      <c r="C181" s="331"/>
      <c r="D181" s="332" t="s">
        <v>132</v>
      </c>
      <c r="E181" s="332" t="s">
        <v>176</v>
      </c>
      <c r="F181" s="333"/>
      <c r="G181" s="334">
        <v>46090</v>
      </c>
      <c r="H181" s="335">
        <v>1274.98</v>
      </c>
      <c r="I181" s="336">
        <v>516.91</v>
      </c>
      <c r="J181" s="337">
        <v>2493.65</v>
      </c>
      <c r="K181" s="338" t="s">
        <v>257</v>
      </c>
      <c r="L181" s="339" t="s">
        <v>402</v>
      </c>
      <c r="M181" s="340">
        <v>30</v>
      </c>
      <c r="N181" s="341">
        <v>85462</v>
      </c>
      <c r="O181" s="332">
        <v>59.78</v>
      </c>
      <c r="P181" s="342">
        <v>9.1999999999999993</v>
      </c>
      <c r="Q181" s="343">
        <v>8.625646923519259</v>
      </c>
      <c r="R181" s="344">
        <v>1.7298534798534797</v>
      </c>
      <c r="S181" s="344">
        <v>1.7390000000000001</v>
      </c>
      <c r="T181" s="344">
        <v>1.889</v>
      </c>
      <c r="U181" s="344" t="s">
        <v>136</v>
      </c>
      <c r="V181" s="332" t="s">
        <v>137</v>
      </c>
      <c r="W181" s="345">
        <v>8</v>
      </c>
      <c r="X181" s="346">
        <v>4</v>
      </c>
      <c r="Y181" s="208">
        <v>2.8069999999999999</v>
      </c>
      <c r="Z181" s="332"/>
      <c r="AA181" s="342"/>
      <c r="AB181" s="342"/>
      <c r="AC181" s="342"/>
      <c r="AD181" s="347"/>
      <c r="AE181" s="348">
        <v>1.712</v>
      </c>
      <c r="AF181" s="349">
        <v>0</v>
      </c>
      <c r="AG181" s="350"/>
      <c r="AH181" s="351" t="s">
        <v>139</v>
      </c>
      <c r="AI181" s="352" t="s">
        <v>139</v>
      </c>
      <c r="AJ181" s="206" t="s">
        <v>139</v>
      </c>
      <c r="AK181" s="353" t="s">
        <v>376</v>
      </c>
      <c r="AL181" s="206" t="s">
        <v>139</v>
      </c>
      <c r="AM181" s="349">
        <v>101.0428434493855</v>
      </c>
      <c r="AN181" s="354" t="s">
        <v>139</v>
      </c>
      <c r="AO181" s="355" t="s">
        <v>140</v>
      </c>
      <c r="AP181" s="206" t="s">
        <v>139</v>
      </c>
      <c r="AQ181" s="207">
        <v>0</v>
      </c>
      <c r="AR181" s="211"/>
      <c r="AS181" s="297">
        <f>+IF(Table1[[#This Row],[Column40]]="ok",Table1[[#This Row],[Column7]],0)</f>
        <v>1274.98</v>
      </c>
      <c r="AT181" s="295">
        <f>+IF(Table1[[#This Row],[Column40]]="No",Table1[[#This Row],[Column7]],0)</f>
        <v>0</v>
      </c>
      <c r="AU181" s="4" t="str">
        <f>+IF(LEFT(Table1[[#This Row],[Column42]],2)="DN",IF(Table1[[#This Row],[Column40]]="ok","(CA)",_xlfn.CONCAT("(CA)",CHAR(10),"FAIL")),"")</f>
        <v/>
      </c>
      <c r="AV181" s="154" t="str">
        <f>+IF(Table1[[#This Row],[Column6]]=0,"",_xlfn.CONCAT("Sem ",WEEKNUM(Table1[[#This Row],[Column6]],2)))</f>
        <v>Sem 11</v>
      </c>
      <c r="AW181" s="211"/>
    </row>
    <row r="182" spans="2:49" ht="19.5" customHeight="1" x14ac:dyDescent="0.3">
      <c r="B182" s="356" t="s">
        <v>434</v>
      </c>
      <c r="C182" s="331"/>
      <c r="D182" s="332" t="s">
        <v>132</v>
      </c>
      <c r="E182" s="332" t="s">
        <v>176</v>
      </c>
      <c r="F182" s="333"/>
      <c r="G182" s="334">
        <v>46090</v>
      </c>
      <c r="H182" s="335">
        <v>1345.62</v>
      </c>
      <c r="I182" s="336">
        <v>546.49</v>
      </c>
      <c r="J182" s="337">
        <v>2484.46</v>
      </c>
      <c r="K182" s="338" t="s">
        <v>429</v>
      </c>
      <c r="L182" s="339" t="s">
        <v>400</v>
      </c>
      <c r="M182" s="340">
        <v>30</v>
      </c>
      <c r="N182" s="341">
        <v>85462</v>
      </c>
      <c r="O182" s="332">
        <v>59.78</v>
      </c>
      <c r="P182" s="342">
        <v>8.4</v>
      </c>
      <c r="Q182" s="343">
        <v>8.793103448275863</v>
      </c>
      <c r="R182" s="344">
        <v>1.7463099630996308</v>
      </c>
      <c r="S182" s="344">
        <v>1.74</v>
      </c>
      <c r="T182" s="344">
        <v>1.893</v>
      </c>
      <c r="U182" s="344" t="s">
        <v>136</v>
      </c>
      <c r="V182" s="332" t="s">
        <v>137</v>
      </c>
      <c r="W182" s="345">
        <v>8</v>
      </c>
      <c r="X182" s="346">
        <v>4</v>
      </c>
      <c r="Y182" s="208">
        <v>2.8069999999999999</v>
      </c>
      <c r="Z182" s="332"/>
      <c r="AA182" s="342"/>
      <c r="AB182" s="342"/>
      <c r="AC182" s="342"/>
      <c r="AD182" s="347"/>
      <c r="AE182" s="348">
        <v>1.712</v>
      </c>
      <c r="AF182" s="349">
        <v>0</v>
      </c>
      <c r="AG182" s="350"/>
      <c r="AH182" s="351" t="s">
        <v>139</v>
      </c>
      <c r="AI182" s="352" t="s">
        <v>139</v>
      </c>
      <c r="AJ182" s="206" t="s">
        <v>139</v>
      </c>
      <c r="AK182" s="353" t="s">
        <v>376</v>
      </c>
      <c r="AL182" s="206" t="s">
        <v>139</v>
      </c>
      <c r="AM182" s="349">
        <v>102.00408662965133</v>
      </c>
      <c r="AN182" s="354" t="s">
        <v>139</v>
      </c>
      <c r="AO182" s="355" t="s">
        <v>140</v>
      </c>
      <c r="AP182" s="206" t="s">
        <v>139</v>
      </c>
      <c r="AQ182" s="207">
        <v>0</v>
      </c>
      <c r="AR182" s="211"/>
      <c r="AS182" s="297">
        <f>+IF(Table1[[#This Row],[Column40]]="ok",Table1[[#This Row],[Column7]],0)</f>
        <v>1345.62</v>
      </c>
      <c r="AT182" s="295">
        <f>+IF(Table1[[#This Row],[Column40]]="No",Table1[[#This Row],[Column7]],0)</f>
        <v>0</v>
      </c>
      <c r="AU182" s="4" t="str">
        <f>+IF(LEFT(Table1[[#This Row],[Column42]],2)="DN",IF(Table1[[#This Row],[Column40]]="ok","(CA)",_xlfn.CONCAT("(CA)",CHAR(10),"FAIL")),"")</f>
        <v/>
      </c>
      <c r="AV182" s="154" t="str">
        <f>+IF(Table1[[#This Row],[Column6]]=0,"",_xlfn.CONCAT("Sem ",WEEKNUM(Table1[[#This Row],[Column6]],2)))</f>
        <v>Sem 11</v>
      </c>
      <c r="AW182" s="211"/>
    </row>
    <row r="183" spans="2:49" ht="19.5" customHeight="1" x14ac:dyDescent="0.3">
      <c r="B183" s="356" t="s">
        <v>435</v>
      </c>
      <c r="C183" s="331"/>
      <c r="D183" s="332" t="s">
        <v>132</v>
      </c>
      <c r="E183" s="332" t="s">
        <v>176</v>
      </c>
      <c r="F183" s="333"/>
      <c r="G183" s="334">
        <v>46090</v>
      </c>
      <c r="H183" s="335">
        <v>1364.05</v>
      </c>
      <c r="I183" s="336">
        <v>634.92999999999995</v>
      </c>
      <c r="J183" s="337">
        <v>2460.66</v>
      </c>
      <c r="K183" s="338" t="s">
        <v>429</v>
      </c>
      <c r="L183" s="339" t="s">
        <v>400</v>
      </c>
      <c r="M183" s="340">
        <v>30</v>
      </c>
      <c r="N183" s="341">
        <v>85462</v>
      </c>
      <c r="O183" s="332">
        <v>59.78</v>
      </c>
      <c r="P183" s="342">
        <v>9.1</v>
      </c>
      <c r="Q183" s="343">
        <v>8.6685552407931965</v>
      </c>
      <c r="R183" s="344">
        <v>1.758020164986251</v>
      </c>
      <c r="S183" s="344">
        <v>1.7649999999999999</v>
      </c>
      <c r="T183" s="344">
        <v>1.9179999999999999</v>
      </c>
      <c r="U183" s="344" t="s">
        <v>136</v>
      </c>
      <c r="V183" s="332" t="s">
        <v>137</v>
      </c>
      <c r="W183" s="345">
        <v>8</v>
      </c>
      <c r="X183" s="346">
        <v>4</v>
      </c>
      <c r="Y183" s="208">
        <v>2.8069999999999999</v>
      </c>
      <c r="Z183" s="332"/>
      <c r="AA183" s="342"/>
      <c r="AB183" s="342"/>
      <c r="AC183" s="342"/>
      <c r="AD183" s="347"/>
      <c r="AE183" s="348">
        <v>1.712</v>
      </c>
      <c r="AF183" s="349">
        <v>0</v>
      </c>
      <c r="AG183" s="350"/>
      <c r="AH183" s="351" t="s">
        <v>139</v>
      </c>
      <c r="AI183" s="352" t="s">
        <v>139</v>
      </c>
      <c r="AJ183" s="206" t="s">
        <v>139</v>
      </c>
      <c r="AK183" s="353" t="s">
        <v>376</v>
      </c>
      <c r="AL183" s="206" t="s">
        <v>139</v>
      </c>
      <c r="AM183" s="349">
        <v>102.68809374919692</v>
      </c>
      <c r="AN183" s="354" t="s">
        <v>139</v>
      </c>
      <c r="AO183" s="355" t="s">
        <v>140</v>
      </c>
      <c r="AP183" s="206" t="s">
        <v>139</v>
      </c>
      <c r="AQ183" s="207">
        <v>0</v>
      </c>
      <c r="AR183" s="211"/>
      <c r="AS183" s="297">
        <f>+IF(Table1[[#This Row],[Column40]]="ok",Table1[[#This Row],[Column7]],0)</f>
        <v>1364.05</v>
      </c>
      <c r="AT183" s="295">
        <f>+IF(Table1[[#This Row],[Column40]]="No",Table1[[#This Row],[Column7]],0)</f>
        <v>0</v>
      </c>
      <c r="AU183" s="4" t="str">
        <f>+IF(LEFT(Table1[[#This Row],[Column42]],2)="DN",IF(Table1[[#This Row],[Column40]]="ok","(CA)",_xlfn.CONCAT("(CA)",CHAR(10),"FAIL")),"")</f>
        <v/>
      </c>
      <c r="AV183" s="154" t="str">
        <f>+IF(Table1[[#This Row],[Column6]]=0,"",_xlfn.CONCAT("Sem ",WEEKNUM(Table1[[#This Row],[Column6]],2)))</f>
        <v>Sem 11</v>
      </c>
      <c r="AW183" s="211"/>
    </row>
    <row r="184" spans="2:49" ht="19.5" customHeight="1" x14ac:dyDescent="0.3">
      <c r="B184" s="356" t="s">
        <v>436</v>
      </c>
      <c r="C184" s="331"/>
      <c r="D184" s="332" t="s">
        <v>132</v>
      </c>
      <c r="E184" s="332" t="s">
        <v>176</v>
      </c>
      <c r="F184" s="333"/>
      <c r="G184" s="334">
        <v>46090</v>
      </c>
      <c r="H184" s="335">
        <v>1719.41</v>
      </c>
      <c r="I184" s="336">
        <v>35.64</v>
      </c>
      <c r="J184" s="337">
        <v>2627.91</v>
      </c>
      <c r="K184" s="338" t="s">
        <v>149</v>
      </c>
      <c r="L184" s="339" t="s">
        <v>152</v>
      </c>
      <c r="M184" s="340">
        <v>30</v>
      </c>
      <c r="N184" s="341">
        <v>85462</v>
      </c>
      <c r="O184" s="332">
        <v>59.78</v>
      </c>
      <c r="P184" s="342">
        <v>12.7</v>
      </c>
      <c r="Q184" s="343">
        <v>10.824742268041243</v>
      </c>
      <c r="R184" s="344">
        <v>1.7169476486246673</v>
      </c>
      <c r="S184" s="344">
        <v>1.746</v>
      </c>
      <c r="T184" s="344">
        <v>1.9350000000000001</v>
      </c>
      <c r="U184" s="344" t="s">
        <v>136</v>
      </c>
      <c r="V184" s="332" t="s">
        <v>137</v>
      </c>
      <c r="W184" s="345">
        <v>8</v>
      </c>
      <c r="X184" s="346">
        <v>4</v>
      </c>
      <c r="Y184" s="208">
        <v>2.8069999999999999</v>
      </c>
      <c r="Z184" s="332"/>
      <c r="AA184" s="342"/>
      <c r="AB184" s="342"/>
      <c r="AC184" s="342"/>
      <c r="AD184" s="347"/>
      <c r="AE184" s="348">
        <v>1.716</v>
      </c>
      <c r="AF184" s="349">
        <v>0</v>
      </c>
      <c r="AG184" s="350"/>
      <c r="AH184" s="351" t="s">
        <v>139</v>
      </c>
      <c r="AI184" s="352" t="s">
        <v>139</v>
      </c>
      <c r="AJ184" s="206" t="s">
        <v>139</v>
      </c>
      <c r="AK184" s="353" t="s">
        <v>437</v>
      </c>
      <c r="AL184" s="206" t="s">
        <v>139</v>
      </c>
      <c r="AM184" s="349">
        <v>100.05522427882676</v>
      </c>
      <c r="AN184" s="354" t="s">
        <v>139</v>
      </c>
      <c r="AO184" s="355" t="s">
        <v>140</v>
      </c>
      <c r="AP184" s="206" t="s">
        <v>139</v>
      </c>
      <c r="AQ184" s="207">
        <v>0</v>
      </c>
      <c r="AR184" s="211"/>
      <c r="AS184" s="297">
        <f>+IF(Table1[[#This Row],[Column40]]="ok",Table1[[#This Row],[Column7]],0)</f>
        <v>1719.41</v>
      </c>
      <c r="AT184" s="295">
        <f>+IF(Table1[[#This Row],[Column40]]="No",Table1[[#This Row],[Column7]],0)</f>
        <v>0</v>
      </c>
      <c r="AU184" s="4" t="str">
        <f>+IF(LEFT(Table1[[#This Row],[Column42]],2)="DN",IF(Table1[[#This Row],[Column40]]="ok","(CA)",_xlfn.CONCAT("(CA)",CHAR(10),"FAIL")),"")</f>
        <v/>
      </c>
      <c r="AV184" s="154" t="str">
        <f>+IF(Table1[[#This Row],[Column6]]=0,"",_xlfn.CONCAT("Sem ",WEEKNUM(Table1[[#This Row],[Column6]],2)))</f>
        <v>Sem 11</v>
      </c>
      <c r="AW184" s="211"/>
    </row>
    <row r="185" spans="2:49" ht="19.5" customHeight="1" x14ac:dyDescent="0.3">
      <c r="B185" s="356" t="s">
        <v>438</v>
      </c>
      <c r="C185" s="331"/>
      <c r="D185" s="332" t="s">
        <v>132</v>
      </c>
      <c r="E185" s="332" t="s">
        <v>176</v>
      </c>
      <c r="F185" s="333"/>
      <c r="G185" s="334">
        <v>46090</v>
      </c>
      <c r="H185" s="335">
        <v>33.119999999999997</v>
      </c>
      <c r="I185" s="336">
        <v>-25.45</v>
      </c>
      <c r="J185" s="337">
        <v>2635.6</v>
      </c>
      <c r="K185" s="338" t="s">
        <v>356</v>
      </c>
      <c r="L185" s="339" t="s">
        <v>439</v>
      </c>
      <c r="M185" s="340">
        <v>30</v>
      </c>
      <c r="N185" s="341">
        <v>85462</v>
      </c>
      <c r="O185" s="332">
        <v>59.78</v>
      </c>
      <c r="P185" s="342">
        <v>13.200000000000001</v>
      </c>
      <c r="Q185" s="343">
        <v>10.580204778156999</v>
      </c>
      <c r="R185" s="344">
        <v>1.7173144876325086</v>
      </c>
      <c r="S185" s="344">
        <v>1.758</v>
      </c>
      <c r="T185" s="344">
        <v>1.944</v>
      </c>
      <c r="U185" s="344" t="s">
        <v>136</v>
      </c>
      <c r="V185" s="332" t="s">
        <v>191</v>
      </c>
      <c r="W185" s="345">
        <v>6</v>
      </c>
      <c r="X185" s="346">
        <v>3</v>
      </c>
      <c r="Y185" s="208">
        <v>2.8069999999999999</v>
      </c>
      <c r="Z185" s="332"/>
      <c r="AA185" s="342"/>
      <c r="AB185" s="342"/>
      <c r="AC185" s="342"/>
      <c r="AD185" s="347"/>
      <c r="AE185" s="348">
        <v>1.706</v>
      </c>
      <c r="AF185" s="349">
        <v>0</v>
      </c>
      <c r="AG185" s="350"/>
      <c r="AH185" s="351" t="s">
        <v>139</v>
      </c>
      <c r="AI185" s="352" t="s">
        <v>139</v>
      </c>
      <c r="AJ185" s="206" t="s">
        <v>139</v>
      </c>
      <c r="AK185" s="353" t="s">
        <v>376</v>
      </c>
      <c r="AL185" s="206" t="s">
        <v>139</v>
      </c>
      <c r="AM185" s="349">
        <v>100.66321732898645</v>
      </c>
      <c r="AN185" s="354" t="s">
        <v>139</v>
      </c>
      <c r="AO185" s="355" t="s">
        <v>140</v>
      </c>
      <c r="AP185" s="206" t="s">
        <v>139</v>
      </c>
      <c r="AQ185" s="207">
        <v>0</v>
      </c>
      <c r="AR185" s="211"/>
      <c r="AS185" s="297">
        <f>+IF(Table1[[#This Row],[Column40]]="ok",Table1[[#This Row],[Column7]],0)</f>
        <v>33.119999999999997</v>
      </c>
      <c r="AT185" s="295">
        <f>+IF(Table1[[#This Row],[Column40]]="No",Table1[[#This Row],[Column7]],0)</f>
        <v>0</v>
      </c>
      <c r="AU185" s="4" t="str">
        <f>+IF(LEFT(Table1[[#This Row],[Column42]],2)="DN",IF(Table1[[#This Row],[Column40]]="ok","(CA)",_xlfn.CONCAT("(CA)",CHAR(10),"FAIL")),"")</f>
        <v/>
      </c>
      <c r="AV185" s="154" t="str">
        <f>+IF(Table1[[#This Row],[Column6]]=0,"",_xlfn.CONCAT("Sem ",WEEKNUM(Table1[[#This Row],[Column6]],2)))</f>
        <v>Sem 11</v>
      </c>
      <c r="AW185" s="211"/>
    </row>
    <row r="186" spans="2:49" ht="19.5" customHeight="1" x14ac:dyDescent="0.3">
      <c r="B186" s="356" t="s">
        <v>437</v>
      </c>
      <c r="C186" s="331"/>
      <c r="D186" s="332" t="s">
        <v>132</v>
      </c>
      <c r="E186" s="332" t="s">
        <v>176</v>
      </c>
      <c r="F186" s="333"/>
      <c r="G186" s="334">
        <v>46090</v>
      </c>
      <c r="H186" s="335">
        <v>1694.27</v>
      </c>
      <c r="I186" s="336">
        <v>18.899999999999999</v>
      </c>
      <c r="J186" s="337">
        <v>2635.22</v>
      </c>
      <c r="K186" s="338" t="s">
        <v>149</v>
      </c>
      <c r="L186" s="339" t="s">
        <v>150</v>
      </c>
      <c r="M186" s="340" t="s">
        <v>293</v>
      </c>
      <c r="N186" s="341" t="s">
        <v>293</v>
      </c>
      <c r="O186" s="332" t="s">
        <v>293</v>
      </c>
      <c r="P186" s="342" t="s">
        <v>293</v>
      </c>
      <c r="Q186" s="343" t="s">
        <v>293</v>
      </c>
      <c r="R186" s="344" t="s">
        <v>293</v>
      </c>
      <c r="S186" s="344" t="s">
        <v>293</v>
      </c>
      <c r="T186" s="344" t="s">
        <v>293</v>
      </c>
      <c r="U186" s="344" t="s">
        <v>294</v>
      </c>
      <c r="V186" s="332" t="s">
        <v>293</v>
      </c>
      <c r="W186" s="345" t="s">
        <v>293</v>
      </c>
      <c r="X186" s="346" t="s">
        <v>293</v>
      </c>
      <c r="Y186" s="208">
        <v>2.8406317305278024</v>
      </c>
      <c r="Z186" s="332" t="s">
        <v>227</v>
      </c>
      <c r="AA186" s="342">
        <v>98.132835422779408</v>
      </c>
      <c r="AB186" s="342">
        <v>73.779674579887981</v>
      </c>
      <c r="AC186" s="342">
        <v>32.435316084289155</v>
      </c>
      <c r="AD186" s="347">
        <v>10.856228327554021</v>
      </c>
      <c r="AE186" s="348">
        <v>1.716326233153076</v>
      </c>
      <c r="AF186" s="349">
        <v>15.954431953696661</v>
      </c>
      <c r="AG186" s="350" t="s">
        <v>437</v>
      </c>
      <c r="AH186" s="351" t="s">
        <v>293</v>
      </c>
      <c r="AI186" s="352" t="s">
        <v>293</v>
      </c>
      <c r="AJ186" s="206" t="s">
        <v>293</v>
      </c>
      <c r="AK186" s="353" t="s">
        <v>293</v>
      </c>
      <c r="AL186" s="206" t="s">
        <v>293</v>
      </c>
      <c r="AM186" s="349" t="s">
        <v>293</v>
      </c>
      <c r="AN186" s="354" t="s">
        <v>293</v>
      </c>
      <c r="AO186" s="355" t="s">
        <v>293</v>
      </c>
      <c r="AP186" s="206" t="s">
        <v>293</v>
      </c>
      <c r="AQ186" s="207" t="s">
        <v>295</v>
      </c>
      <c r="AR186" s="211"/>
      <c r="AS186" s="297">
        <f>+IF(Table1[[#This Row],[Column40]]="ok",Table1[[#This Row],[Column7]],0)</f>
        <v>0</v>
      </c>
      <c r="AT186" s="295">
        <f>+IF(Table1[[#This Row],[Column40]]="No",Table1[[#This Row],[Column7]],0)</f>
        <v>0</v>
      </c>
      <c r="AU186" s="4" t="str">
        <f>+IF(LEFT(Table1[[#This Row],[Column42]],2)="DN",IF(Table1[[#This Row],[Column40]]="ok","(CA)",_xlfn.CONCAT("(CA)",CHAR(10),"FAIL")),"")</f>
        <v/>
      </c>
      <c r="AV186" s="154" t="str">
        <f>+IF(Table1[[#This Row],[Column6]]=0,"",_xlfn.CONCAT("Sem ",WEEKNUM(Table1[[#This Row],[Column6]],2)))</f>
        <v>Sem 11</v>
      </c>
      <c r="AW186" s="211"/>
    </row>
    <row r="187" spans="2:49" ht="19.5" customHeight="1" x14ac:dyDescent="0.3">
      <c r="B187" s="356" t="s">
        <v>440</v>
      </c>
      <c r="C187" s="331"/>
      <c r="D187" s="332" t="s">
        <v>132</v>
      </c>
      <c r="E187" s="332" t="s">
        <v>133</v>
      </c>
      <c r="F187" s="333"/>
      <c r="G187" s="334">
        <v>46091</v>
      </c>
      <c r="H187" s="335">
        <v>1928.22</v>
      </c>
      <c r="I187" s="336">
        <v>-116.35</v>
      </c>
      <c r="J187" s="337">
        <v>2627.32</v>
      </c>
      <c r="K187" s="338" t="s">
        <v>218</v>
      </c>
      <c r="L187" s="339" t="s">
        <v>441</v>
      </c>
      <c r="M187" s="340">
        <v>30</v>
      </c>
      <c r="N187" s="341">
        <v>85462</v>
      </c>
      <c r="O187" s="332">
        <v>59.78</v>
      </c>
      <c r="P187" s="342">
        <v>10.9</v>
      </c>
      <c r="Q187" s="343">
        <v>10.034602076124566</v>
      </c>
      <c r="R187" s="344">
        <v>1.7204688908926962</v>
      </c>
      <c r="S187" s="344">
        <v>1.734</v>
      </c>
      <c r="T187" s="344">
        <v>1.9079999999999999</v>
      </c>
      <c r="U187" s="344" t="s">
        <v>136</v>
      </c>
      <c r="V187" s="332" t="s">
        <v>137</v>
      </c>
      <c r="W187" s="345">
        <v>8</v>
      </c>
      <c r="X187" s="346">
        <v>4</v>
      </c>
      <c r="Y187" s="208">
        <v>2.8069999999999999</v>
      </c>
      <c r="Z187" s="332"/>
      <c r="AA187" s="342"/>
      <c r="AB187" s="342"/>
      <c r="AC187" s="342"/>
      <c r="AD187" s="347"/>
      <c r="AE187" s="348">
        <v>1.716</v>
      </c>
      <c r="AF187" s="349">
        <v>0</v>
      </c>
      <c r="AG187" s="350"/>
      <c r="AH187" s="351" t="s">
        <v>139</v>
      </c>
      <c r="AI187" s="352" t="s">
        <v>139</v>
      </c>
      <c r="AJ187" s="206" t="s">
        <v>139</v>
      </c>
      <c r="AK187" s="353" t="s">
        <v>437</v>
      </c>
      <c r="AL187" s="206" t="s">
        <v>139</v>
      </c>
      <c r="AM187" s="349">
        <v>100.26042487719675</v>
      </c>
      <c r="AN187" s="354" t="s">
        <v>139</v>
      </c>
      <c r="AO187" s="355" t="s">
        <v>140</v>
      </c>
      <c r="AP187" s="206" t="s">
        <v>139</v>
      </c>
      <c r="AQ187" s="207">
        <v>0</v>
      </c>
      <c r="AR187" s="211"/>
      <c r="AS187" s="297">
        <f>+IF(Table1[[#This Row],[Column40]]="ok",Table1[[#This Row],[Column7]],0)</f>
        <v>1928.22</v>
      </c>
      <c r="AT187" s="295">
        <f>+IF(Table1[[#This Row],[Column40]]="No",Table1[[#This Row],[Column7]],0)</f>
        <v>0</v>
      </c>
      <c r="AU187" s="4" t="str">
        <f>+IF(LEFT(Table1[[#This Row],[Column42]],2)="DN",IF(Table1[[#This Row],[Column40]]="ok","(CA)",_xlfn.CONCAT("(CA)",CHAR(10),"FAIL")),"")</f>
        <v/>
      </c>
      <c r="AV187" s="154" t="str">
        <f>+IF(Table1[[#This Row],[Column6]]=0,"",_xlfn.CONCAT("Sem ",WEEKNUM(Table1[[#This Row],[Column6]],2)))</f>
        <v>Sem 11</v>
      </c>
      <c r="AW187" s="211"/>
    </row>
    <row r="188" spans="2:49" ht="19.5" customHeight="1" x14ac:dyDescent="0.3">
      <c r="B188" s="356" t="s">
        <v>442</v>
      </c>
      <c r="C188" s="331"/>
      <c r="D188" s="332" t="s">
        <v>132</v>
      </c>
      <c r="E188" s="332" t="s">
        <v>133</v>
      </c>
      <c r="F188" s="333"/>
      <c r="G188" s="334">
        <v>46091</v>
      </c>
      <c r="H188" s="335">
        <v>1819.25</v>
      </c>
      <c r="I188" s="336">
        <v>-62.86</v>
      </c>
      <c r="J188" s="337">
        <v>2631.0740000000001</v>
      </c>
      <c r="K188" s="338" t="s">
        <v>134</v>
      </c>
      <c r="L188" s="339" t="s">
        <v>159</v>
      </c>
      <c r="M188" s="340">
        <v>30</v>
      </c>
      <c r="N188" s="341">
        <v>85462</v>
      </c>
      <c r="O188" s="332">
        <v>59.78</v>
      </c>
      <c r="P188" s="342">
        <v>11.700000000000001</v>
      </c>
      <c r="Q188" s="343">
        <v>11.405985319028812</v>
      </c>
      <c r="R188" s="344">
        <v>1.7663384064458372</v>
      </c>
      <c r="S188" s="344">
        <v>1.7709999999999999</v>
      </c>
      <c r="T188" s="344">
        <v>1.9730000000000001</v>
      </c>
      <c r="U188" s="344" t="s">
        <v>136</v>
      </c>
      <c r="V188" s="332" t="s">
        <v>137</v>
      </c>
      <c r="W188" s="345">
        <v>8</v>
      </c>
      <c r="X188" s="346">
        <v>4</v>
      </c>
      <c r="Y188" s="208">
        <v>2.8069999999999999</v>
      </c>
      <c r="Z188" s="332"/>
      <c r="AA188" s="342"/>
      <c r="AB188" s="342"/>
      <c r="AC188" s="342"/>
      <c r="AD188" s="347"/>
      <c r="AE188" s="348">
        <v>1.716</v>
      </c>
      <c r="AF188" s="349">
        <v>0</v>
      </c>
      <c r="AG188" s="350"/>
      <c r="AH188" s="351" t="s">
        <v>139</v>
      </c>
      <c r="AI188" s="352" t="s">
        <v>139</v>
      </c>
      <c r="AJ188" s="206" t="s">
        <v>139</v>
      </c>
      <c r="AK188" s="353" t="s">
        <v>437</v>
      </c>
      <c r="AL188" s="206" t="s">
        <v>139</v>
      </c>
      <c r="AM188" s="349">
        <v>102.93347356910473</v>
      </c>
      <c r="AN188" s="354" t="s">
        <v>139</v>
      </c>
      <c r="AO188" s="355" t="s">
        <v>140</v>
      </c>
      <c r="AP188" s="206" t="s">
        <v>139</v>
      </c>
      <c r="AQ188" s="207">
        <v>0</v>
      </c>
      <c r="AR188" s="211"/>
      <c r="AS188" s="297">
        <f>+IF(Table1[[#This Row],[Column40]]="ok",Table1[[#This Row],[Column7]],0)</f>
        <v>1819.25</v>
      </c>
      <c r="AT188" s="295">
        <f>+IF(Table1[[#This Row],[Column40]]="No",Table1[[#This Row],[Column7]],0)</f>
        <v>0</v>
      </c>
      <c r="AU188" s="4" t="str">
        <f>+IF(LEFT(Table1[[#This Row],[Column42]],2)="DN",IF(Table1[[#This Row],[Column40]]="ok","(CA)",_xlfn.CONCAT("(CA)",CHAR(10),"FAIL")),"")</f>
        <v/>
      </c>
      <c r="AV188" s="154" t="str">
        <f>+IF(Table1[[#This Row],[Column6]]=0,"",_xlfn.CONCAT("Sem ",WEEKNUM(Table1[[#This Row],[Column6]],2)))</f>
        <v>Sem 11</v>
      </c>
      <c r="AW188" s="211"/>
    </row>
    <row r="189" spans="2:49" ht="19.5" customHeight="1" x14ac:dyDescent="0.3">
      <c r="B189" s="356" t="s">
        <v>443</v>
      </c>
      <c r="C189" s="331"/>
      <c r="D189" s="332" t="s">
        <v>132</v>
      </c>
      <c r="E189" s="332" t="s">
        <v>176</v>
      </c>
      <c r="F189" s="333"/>
      <c r="G189" s="334">
        <v>46091</v>
      </c>
      <c r="H189" s="335">
        <v>1948.52</v>
      </c>
      <c r="I189" s="336">
        <v>-136.27000000000001</v>
      </c>
      <c r="J189" s="337">
        <v>2631.61</v>
      </c>
      <c r="K189" s="338" t="s">
        <v>218</v>
      </c>
      <c r="L189" s="339" t="s">
        <v>441</v>
      </c>
      <c r="M189" s="340">
        <v>30</v>
      </c>
      <c r="N189" s="341">
        <v>85462</v>
      </c>
      <c r="O189" s="332">
        <v>59.78</v>
      </c>
      <c r="P189" s="342">
        <v>11.3</v>
      </c>
      <c r="Q189" s="343">
        <v>9.6412556053811613</v>
      </c>
      <c r="R189" s="344">
        <v>1.7574123989218329</v>
      </c>
      <c r="S189" s="344">
        <v>1.784</v>
      </c>
      <c r="T189" s="344">
        <v>1.956</v>
      </c>
      <c r="U189" s="344" t="s">
        <v>136</v>
      </c>
      <c r="V189" s="332" t="s">
        <v>137</v>
      </c>
      <c r="W189" s="345">
        <v>8</v>
      </c>
      <c r="X189" s="346">
        <v>4</v>
      </c>
      <c r="Y189" s="208">
        <v>2.8069999999999999</v>
      </c>
      <c r="Z189" s="332"/>
      <c r="AA189" s="342"/>
      <c r="AB189" s="342"/>
      <c r="AC189" s="342"/>
      <c r="AD189" s="347"/>
      <c r="AE189" s="348">
        <v>1.716</v>
      </c>
      <c r="AF189" s="349">
        <v>0</v>
      </c>
      <c r="AG189" s="350"/>
      <c r="AH189" s="351" t="s">
        <v>139</v>
      </c>
      <c r="AI189" s="352" t="s">
        <v>139</v>
      </c>
      <c r="AJ189" s="206" t="s">
        <v>139</v>
      </c>
      <c r="AK189" s="353" t="s">
        <v>437</v>
      </c>
      <c r="AL189" s="206" t="s">
        <v>139</v>
      </c>
      <c r="AM189" s="349">
        <v>102.41330996047976</v>
      </c>
      <c r="AN189" s="354" t="s">
        <v>139</v>
      </c>
      <c r="AO189" s="355" t="s">
        <v>140</v>
      </c>
      <c r="AP189" s="206" t="s">
        <v>139</v>
      </c>
      <c r="AQ189" s="207">
        <v>0</v>
      </c>
      <c r="AR189" s="211"/>
      <c r="AS189" s="297">
        <f>+IF(Table1[[#This Row],[Column40]]="ok",Table1[[#This Row],[Column7]],0)</f>
        <v>1948.52</v>
      </c>
      <c r="AT189" s="295">
        <f>+IF(Table1[[#This Row],[Column40]]="No",Table1[[#This Row],[Column7]],0)</f>
        <v>0</v>
      </c>
      <c r="AU189" s="4" t="str">
        <f>+IF(LEFT(Table1[[#This Row],[Column42]],2)="DN",IF(Table1[[#This Row],[Column40]]="ok","(CA)",_xlfn.CONCAT("(CA)",CHAR(10),"FAIL")),"")</f>
        <v/>
      </c>
      <c r="AV189" s="154" t="str">
        <f>+IF(Table1[[#This Row],[Column6]]=0,"",_xlfn.CONCAT("Sem ",WEEKNUM(Table1[[#This Row],[Column6]],2)))</f>
        <v>Sem 11</v>
      </c>
      <c r="AW189" s="211"/>
    </row>
    <row r="190" spans="2:49" ht="19.5" customHeight="1" x14ac:dyDescent="0.3">
      <c r="B190" s="356" t="s">
        <v>444</v>
      </c>
      <c r="C190" s="331"/>
      <c r="D190" s="332" t="s">
        <v>132</v>
      </c>
      <c r="E190" s="332" t="s">
        <v>176</v>
      </c>
      <c r="F190" s="333"/>
      <c r="G190" s="334">
        <v>46091</v>
      </c>
      <c r="H190" s="335">
        <v>2023.03</v>
      </c>
      <c r="I190" s="336">
        <v>-143.18</v>
      </c>
      <c r="J190" s="337">
        <v>2627.82</v>
      </c>
      <c r="K190" s="338" t="s">
        <v>218</v>
      </c>
      <c r="L190" s="339" t="s">
        <v>445</v>
      </c>
      <c r="M190" s="340">
        <v>30</v>
      </c>
      <c r="N190" s="341">
        <v>85462</v>
      </c>
      <c r="O190" s="332">
        <v>59.78</v>
      </c>
      <c r="P190" s="342">
        <v>11.3</v>
      </c>
      <c r="Q190" s="343">
        <v>11.421911421911425</v>
      </c>
      <c r="R190" s="344">
        <v>1.7178796046720575</v>
      </c>
      <c r="S190" s="344">
        <v>1.716</v>
      </c>
      <c r="T190" s="344">
        <v>1.9119999999999999</v>
      </c>
      <c r="U190" s="344" t="s">
        <v>136</v>
      </c>
      <c r="V190" s="332" t="s">
        <v>137</v>
      </c>
      <c r="W190" s="345">
        <v>8</v>
      </c>
      <c r="X190" s="346">
        <v>4</v>
      </c>
      <c r="Y190" s="208">
        <v>2.8069999999999999</v>
      </c>
      <c r="Z190" s="332"/>
      <c r="AA190" s="342"/>
      <c r="AB190" s="342"/>
      <c r="AC190" s="342"/>
      <c r="AD190" s="347"/>
      <c r="AE190" s="348">
        <v>1.716</v>
      </c>
      <c r="AF190" s="349">
        <v>0</v>
      </c>
      <c r="AG190" s="350"/>
      <c r="AH190" s="351" t="s">
        <v>139</v>
      </c>
      <c r="AI190" s="352" t="s">
        <v>139</v>
      </c>
      <c r="AJ190" s="206" t="s">
        <v>139</v>
      </c>
      <c r="AK190" s="353" t="s">
        <v>437</v>
      </c>
      <c r="AL190" s="206" t="s">
        <v>139</v>
      </c>
      <c r="AM190" s="349">
        <v>100.10953407179821</v>
      </c>
      <c r="AN190" s="354" t="s">
        <v>139</v>
      </c>
      <c r="AO190" s="355" t="s">
        <v>140</v>
      </c>
      <c r="AP190" s="206" t="s">
        <v>139</v>
      </c>
      <c r="AQ190" s="207">
        <v>0</v>
      </c>
      <c r="AR190" s="211"/>
      <c r="AS190" s="297">
        <f>+IF(Table1[[#This Row],[Column40]]="ok",Table1[[#This Row],[Column7]],0)</f>
        <v>2023.03</v>
      </c>
      <c r="AT190" s="295">
        <f>+IF(Table1[[#This Row],[Column40]]="No",Table1[[#This Row],[Column7]],0)</f>
        <v>0</v>
      </c>
      <c r="AU190" s="4" t="str">
        <f>+IF(LEFT(Table1[[#This Row],[Column42]],2)="DN",IF(Table1[[#This Row],[Column40]]="ok","(CA)",_xlfn.CONCAT("(CA)",CHAR(10),"FAIL")),"")</f>
        <v/>
      </c>
      <c r="AV190" s="154" t="str">
        <f>+IF(Table1[[#This Row],[Column6]]=0,"",_xlfn.CONCAT("Sem ",WEEKNUM(Table1[[#This Row],[Column6]],2)))</f>
        <v>Sem 11</v>
      </c>
      <c r="AW190" s="211"/>
    </row>
    <row r="191" spans="2:49" ht="19.5" customHeight="1" x14ac:dyDescent="0.3">
      <c r="B191" s="356" t="s">
        <v>446</v>
      </c>
      <c r="C191" s="331"/>
      <c r="D191" s="332" t="s">
        <v>132</v>
      </c>
      <c r="E191" s="332" t="s">
        <v>176</v>
      </c>
      <c r="F191" s="333"/>
      <c r="G191" s="334">
        <v>46091</v>
      </c>
      <c r="H191" s="335">
        <v>2105.98</v>
      </c>
      <c r="I191" s="336">
        <v>-158.47</v>
      </c>
      <c r="J191" s="337">
        <v>2627.3</v>
      </c>
      <c r="K191" s="338" t="s">
        <v>218</v>
      </c>
      <c r="L191" s="339" t="s">
        <v>447</v>
      </c>
      <c r="M191" s="340">
        <v>30</v>
      </c>
      <c r="N191" s="341">
        <v>85462</v>
      </c>
      <c r="O191" s="332">
        <v>59.78</v>
      </c>
      <c r="P191" s="342">
        <v>11.3</v>
      </c>
      <c r="Q191" s="343">
        <v>11.512415349887139</v>
      </c>
      <c r="R191" s="344">
        <v>1.775381850853549</v>
      </c>
      <c r="S191" s="344">
        <v>1.772</v>
      </c>
      <c r="T191" s="344">
        <v>1.976</v>
      </c>
      <c r="U191" s="344" t="s">
        <v>136</v>
      </c>
      <c r="V191" s="332" t="s">
        <v>137</v>
      </c>
      <c r="W191" s="345">
        <v>8</v>
      </c>
      <c r="X191" s="346">
        <v>4</v>
      </c>
      <c r="Y191" s="208">
        <v>2.8069999999999999</v>
      </c>
      <c r="Z191" s="332"/>
      <c r="AA191" s="342"/>
      <c r="AB191" s="342"/>
      <c r="AC191" s="342"/>
      <c r="AD191" s="347"/>
      <c r="AE191" s="348">
        <v>1.716</v>
      </c>
      <c r="AF191" s="349">
        <v>16</v>
      </c>
      <c r="AG191" s="350"/>
      <c r="AH191" s="351">
        <v>1.7146551724137933</v>
      </c>
      <c r="AI191" s="352">
        <v>1.9890000000000001</v>
      </c>
      <c r="AJ191" s="206">
        <v>16</v>
      </c>
      <c r="AK191" s="353" t="s">
        <v>437</v>
      </c>
      <c r="AL191" s="206">
        <v>0</v>
      </c>
      <c r="AM191" s="349">
        <v>103.46048081897139</v>
      </c>
      <c r="AN191" s="354" t="s">
        <v>139</v>
      </c>
      <c r="AO191" s="355" t="s">
        <v>140</v>
      </c>
      <c r="AP191" s="206" t="s">
        <v>139</v>
      </c>
      <c r="AQ191" s="207" t="s">
        <v>448</v>
      </c>
      <c r="AR191" s="211"/>
      <c r="AS191" s="297">
        <f>+IF(Table1[[#This Row],[Column40]]="ok",Table1[[#This Row],[Column7]],0)</f>
        <v>2105.98</v>
      </c>
      <c r="AT191" s="295">
        <f>+IF(Table1[[#This Row],[Column40]]="No",Table1[[#This Row],[Column7]],0)</f>
        <v>0</v>
      </c>
      <c r="AU191" s="4" t="str">
        <f>+IF(LEFT(Table1[[#This Row],[Column42]],2)="DN",IF(Table1[[#This Row],[Column40]]="ok","(CA)",_xlfn.CONCAT("(CA)",CHAR(10),"FAIL")),"")</f>
        <v/>
      </c>
      <c r="AV191" s="154" t="str">
        <f>+IF(Table1[[#This Row],[Column6]]=0,"",_xlfn.CONCAT("Sem ",WEEKNUM(Table1[[#This Row],[Column6]],2)))</f>
        <v>Sem 11</v>
      </c>
      <c r="AW191" s="211"/>
    </row>
    <row r="192" spans="2:49" ht="19.5" customHeight="1" x14ac:dyDescent="0.3">
      <c r="B192" s="356" t="s">
        <v>448</v>
      </c>
      <c r="C192" s="331"/>
      <c r="D192" s="332" t="s">
        <v>132</v>
      </c>
      <c r="E192" s="332" t="s">
        <v>176</v>
      </c>
      <c r="F192" s="333"/>
      <c r="G192" s="334">
        <v>46091</v>
      </c>
      <c r="H192" s="335">
        <v>2105.98</v>
      </c>
      <c r="I192" s="336">
        <v>-158.47</v>
      </c>
      <c r="J192" s="337">
        <v>2627.3</v>
      </c>
      <c r="K192" s="338" t="s">
        <v>218</v>
      </c>
      <c r="L192" s="339" t="s">
        <v>447</v>
      </c>
      <c r="M192" s="340">
        <v>15</v>
      </c>
      <c r="N192" s="341"/>
      <c r="O192" s="332"/>
      <c r="P192" s="342">
        <v>11.290322580645169</v>
      </c>
      <c r="Q192" s="343"/>
      <c r="R192" s="344">
        <v>1.7324490533726571</v>
      </c>
      <c r="S192" s="344"/>
      <c r="T192" s="344">
        <v>1.9280481400437637</v>
      </c>
      <c r="U192" s="344" t="s">
        <v>142</v>
      </c>
      <c r="V192" s="332" t="s">
        <v>137</v>
      </c>
      <c r="W192" s="345">
        <v>6</v>
      </c>
      <c r="X192" s="346">
        <v>8</v>
      </c>
      <c r="Y192" s="208"/>
      <c r="Z192" s="332" t="s">
        <v>227</v>
      </c>
      <c r="AA192" s="342">
        <v>98.965307364576987</v>
      </c>
      <c r="AB192" s="342">
        <v>82.04503956177723</v>
      </c>
      <c r="AC192" s="342">
        <v>38.679245283018865</v>
      </c>
      <c r="AD192" s="347">
        <v>14.0596469872185</v>
      </c>
      <c r="AE192" s="348">
        <v>1.716</v>
      </c>
      <c r="AF192" s="349">
        <v>16</v>
      </c>
      <c r="AG192" s="350" t="s">
        <v>437</v>
      </c>
      <c r="AH192" s="351">
        <v>1.7152010082282785</v>
      </c>
      <c r="AI192" s="352">
        <v>1.9893276414087513</v>
      </c>
      <c r="AJ192" s="206">
        <v>15.982187036120768</v>
      </c>
      <c r="AK192" s="353" t="s">
        <v>437</v>
      </c>
      <c r="AL192" s="206">
        <v>1.7812963879231702E-2</v>
      </c>
      <c r="AM192" s="349">
        <v>100.95856954386113</v>
      </c>
      <c r="AN192" s="354" t="s">
        <v>139</v>
      </c>
      <c r="AO192" s="355" t="s">
        <v>144</v>
      </c>
      <c r="AP192" s="206">
        <v>0</v>
      </c>
      <c r="AQ192" s="207" t="s">
        <v>446</v>
      </c>
      <c r="AR192" s="211"/>
      <c r="AS192" s="297">
        <f>+IF(Table1[[#This Row],[Column40]]="ok",Table1[[#This Row],[Column7]],0)</f>
        <v>2105.98</v>
      </c>
      <c r="AT192" s="295">
        <f>+IF(Table1[[#This Row],[Column40]]="No",Table1[[#This Row],[Column7]],0)</f>
        <v>0</v>
      </c>
      <c r="AU192" s="4" t="str">
        <f>+IF(LEFT(Table1[[#This Row],[Column42]],2)="DN",IF(Table1[[#This Row],[Column40]]="ok","(CA)",_xlfn.CONCAT("(CA)",CHAR(10),"FAIL")),"")</f>
        <v>(CA)</v>
      </c>
      <c r="AV192" s="154" t="str">
        <f>+IF(Table1[[#This Row],[Column6]]=0,"",_xlfn.CONCAT("Sem ",WEEKNUM(Table1[[#This Row],[Column6]],2)))</f>
        <v>Sem 11</v>
      </c>
      <c r="AW192" s="211"/>
    </row>
    <row r="193" spans="2:49" ht="19.5" customHeight="1" x14ac:dyDescent="0.3">
      <c r="B193" s="356" t="s">
        <v>449</v>
      </c>
      <c r="C193" s="331"/>
      <c r="D193" s="332" t="s">
        <v>132</v>
      </c>
      <c r="E193" s="332" t="s">
        <v>176</v>
      </c>
      <c r="F193" s="333"/>
      <c r="G193" s="334">
        <v>46091</v>
      </c>
      <c r="H193" s="335">
        <v>2115.42</v>
      </c>
      <c r="I193" s="336">
        <v>-77.41</v>
      </c>
      <c r="J193" s="337">
        <v>2605.19</v>
      </c>
      <c r="K193" s="338" t="s">
        <v>218</v>
      </c>
      <c r="L193" s="339" t="s">
        <v>447</v>
      </c>
      <c r="M193" s="340">
        <v>30</v>
      </c>
      <c r="N193" s="341">
        <v>85462</v>
      </c>
      <c r="O193" s="332">
        <v>59.78</v>
      </c>
      <c r="P193" s="342">
        <v>11.200000000000001</v>
      </c>
      <c r="Q193" s="343">
        <v>10.206358059118802</v>
      </c>
      <c r="R193" s="344">
        <v>1.7769784172661869</v>
      </c>
      <c r="S193" s="344">
        <v>1.7929999999999999</v>
      </c>
      <c r="T193" s="344">
        <v>1.976</v>
      </c>
      <c r="U193" s="344" t="s">
        <v>136</v>
      </c>
      <c r="V193" s="332" t="s">
        <v>137</v>
      </c>
      <c r="W193" s="345">
        <v>8</v>
      </c>
      <c r="X193" s="346">
        <v>4</v>
      </c>
      <c r="Y193" s="208">
        <v>2.8069999999999999</v>
      </c>
      <c r="Z193" s="332"/>
      <c r="AA193" s="342"/>
      <c r="AB193" s="342"/>
      <c r="AC193" s="342"/>
      <c r="AD193" s="347"/>
      <c r="AE193" s="348">
        <v>1.716</v>
      </c>
      <c r="AF193" s="349">
        <v>0</v>
      </c>
      <c r="AG193" s="350"/>
      <c r="AH193" s="351" t="s">
        <v>139</v>
      </c>
      <c r="AI193" s="352" t="s">
        <v>139</v>
      </c>
      <c r="AJ193" s="206" t="s">
        <v>139</v>
      </c>
      <c r="AK193" s="353" t="s">
        <v>437</v>
      </c>
      <c r="AL193" s="206" t="s">
        <v>139</v>
      </c>
      <c r="AM193" s="349">
        <v>103.55352081970786</v>
      </c>
      <c r="AN193" s="354" t="s">
        <v>139</v>
      </c>
      <c r="AO193" s="355" t="s">
        <v>140</v>
      </c>
      <c r="AP193" s="206" t="s">
        <v>139</v>
      </c>
      <c r="AQ193" s="207">
        <v>0</v>
      </c>
      <c r="AR193" s="211"/>
      <c r="AS193" s="297">
        <f>+IF(Table1[[#This Row],[Column40]]="ok",Table1[[#This Row],[Column7]],0)</f>
        <v>2115.42</v>
      </c>
      <c r="AT193" s="295">
        <f>+IF(Table1[[#This Row],[Column40]]="No",Table1[[#This Row],[Column7]],0)</f>
        <v>0</v>
      </c>
      <c r="AU193" s="4" t="str">
        <f>+IF(LEFT(Table1[[#This Row],[Column42]],2)="DN",IF(Table1[[#This Row],[Column40]]="ok","(CA)",_xlfn.CONCAT("(CA)",CHAR(10),"FAIL")),"")</f>
        <v/>
      </c>
      <c r="AV193" s="154" t="str">
        <f>+IF(Table1[[#This Row],[Column6]]=0,"",_xlfn.CONCAT("Sem ",WEEKNUM(Table1[[#This Row],[Column6]],2)))</f>
        <v>Sem 11</v>
      </c>
      <c r="AW193" s="211"/>
    </row>
    <row r="194" spans="2:49" ht="19.5" customHeight="1" x14ac:dyDescent="0.3">
      <c r="B194" s="356" t="s">
        <v>450</v>
      </c>
      <c r="C194" s="331"/>
      <c r="D194" s="332" t="s">
        <v>132</v>
      </c>
      <c r="E194" s="332" t="s">
        <v>176</v>
      </c>
      <c r="F194" s="333"/>
      <c r="G194" s="334">
        <v>46091</v>
      </c>
      <c r="H194" s="335">
        <v>2034.52</v>
      </c>
      <c r="I194" s="336">
        <v>-69.040000000000006</v>
      </c>
      <c r="J194" s="337">
        <v>2608.0500000000002</v>
      </c>
      <c r="K194" s="338" t="s">
        <v>218</v>
      </c>
      <c r="L194" s="339" t="s">
        <v>445</v>
      </c>
      <c r="M194" s="340">
        <v>30</v>
      </c>
      <c r="N194" s="341">
        <v>85462</v>
      </c>
      <c r="O194" s="332">
        <v>59.78</v>
      </c>
      <c r="P194" s="342">
        <v>13</v>
      </c>
      <c r="Q194" s="343">
        <v>10.278250993753545</v>
      </c>
      <c r="R194" s="344">
        <v>1.7185840707964604</v>
      </c>
      <c r="S194" s="344">
        <v>1.7609999999999999</v>
      </c>
      <c r="T194" s="344">
        <v>1.9419999999999999</v>
      </c>
      <c r="U194" s="344" t="s">
        <v>136</v>
      </c>
      <c r="V194" s="332" t="s">
        <v>137</v>
      </c>
      <c r="W194" s="345">
        <v>8</v>
      </c>
      <c r="X194" s="346">
        <v>4</v>
      </c>
      <c r="Y194" s="208">
        <v>2.8069999999999999</v>
      </c>
      <c r="Z194" s="332"/>
      <c r="AA194" s="342"/>
      <c r="AB194" s="342"/>
      <c r="AC194" s="342"/>
      <c r="AD194" s="347"/>
      <c r="AE194" s="348">
        <v>1.716</v>
      </c>
      <c r="AF194" s="349">
        <v>0</v>
      </c>
      <c r="AG194" s="350"/>
      <c r="AH194" s="351" t="s">
        <v>139</v>
      </c>
      <c r="AI194" s="352" t="s">
        <v>139</v>
      </c>
      <c r="AJ194" s="206" t="s">
        <v>139</v>
      </c>
      <c r="AK194" s="353" t="s">
        <v>437</v>
      </c>
      <c r="AL194" s="206" t="s">
        <v>139</v>
      </c>
      <c r="AM194" s="349">
        <v>100.1505868762506</v>
      </c>
      <c r="AN194" s="354" t="s">
        <v>139</v>
      </c>
      <c r="AO194" s="355" t="s">
        <v>140</v>
      </c>
      <c r="AP194" s="206" t="s">
        <v>139</v>
      </c>
      <c r="AQ194" s="207">
        <v>0</v>
      </c>
      <c r="AR194" s="211"/>
      <c r="AS194" s="297">
        <f>+IF(Table1[[#This Row],[Column40]]="ok",Table1[[#This Row],[Column7]],0)</f>
        <v>2034.52</v>
      </c>
      <c r="AT194" s="295">
        <f>+IF(Table1[[#This Row],[Column40]]="No",Table1[[#This Row],[Column7]],0)</f>
        <v>0</v>
      </c>
      <c r="AU194" s="4" t="str">
        <f>+IF(LEFT(Table1[[#This Row],[Column42]],2)="DN",IF(Table1[[#This Row],[Column40]]="ok","(CA)",_xlfn.CONCAT("(CA)",CHAR(10),"FAIL")),"")</f>
        <v/>
      </c>
      <c r="AV194" s="154" t="str">
        <f>+IF(Table1[[#This Row],[Column6]]=0,"",_xlfn.CONCAT("Sem ",WEEKNUM(Table1[[#This Row],[Column6]],2)))</f>
        <v>Sem 11</v>
      </c>
      <c r="AW194" s="211"/>
    </row>
    <row r="195" spans="2:49" ht="19.5" customHeight="1" x14ac:dyDescent="0.3">
      <c r="B195" s="356" t="s">
        <v>451</v>
      </c>
      <c r="C195" s="331"/>
      <c r="D195" s="332" t="s">
        <v>132</v>
      </c>
      <c r="E195" s="332" t="s">
        <v>176</v>
      </c>
      <c r="F195" s="333"/>
      <c r="G195" s="334">
        <v>46091</v>
      </c>
      <c r="H195" s="335">
        <v>1973.77</v>
      </c>
      <c r="I195" s="336">
        <v>-74.98</v>
      </c>
      <c r="J195" s="337">
        <v>2613.81</v>
      </c>
      <c r="K195" s="338" t="s">
        <v>218</v>
      </c>
      <c r="L195" s="339" t="s">
        <v>452</v>
      </c>
      <c r="M195" s="340">
        <v>30</v>
      </c>
      <c r="N195" s="341">
        <v>85462</v>
      </c>
      <c r="O195" s="332">
        <v>59.78</v>
      </c>
      <c r="P195" s="342">
        <v>9.8000000000000007</v>
      </c>
      <c r="Q195" s="343">
        <v>8.8400900900901025</v>
      </c>
      <c r="R195" s="344">
        <v>1.7604735883424407</v>
      </c>
      <c r="S195" s="344">
        <v>1.776</v>
      </c>
      <c r="T195" s="344">
        <v>1.9330000000000001</v>
      </c>
      <c r="U195" s="344" t="s">
        <v>136</v>
      </c>
      <c r="V195" s="332" t="s">
        <v>137</v>
      </c>
      <c r="W195" s="345">
        <v>8</v>
      </c>
      <c r="X195" s="346">
        <v>4</v>
      </c>
      <c r="Y195" s="208">
        <v>2.8069999999999999</v>
      </c>
      <c r="Z195" s="332"/>
      <c r="AA195" s="342"/>
      <c r="AB195" s="342"/>
      <c r="AC195" s="342"/>
      <c r="AD195" s="347"/>
      <c r="AE195" s="348">
        <v>1.716</v>
      </c>
      <c r="AF195" s="349">
        <v>0</v>
      </c>
      <c r="AG195" s="350"/>
      <c r="AH195" s="351" t="s">
        <v>139</v>
      </c>
      <c r="AI195" s="352" t="s">
        <v>139</v>
      </c>
      <c r="AJ195" s="206" t="s">
        <v>139</v>
      </c>
      <c r="AK195" s="353" t="s">
        <v>453</v>
      </c>
      <c r="AL195" s="206" t="s">
        <v>139</v>
      </c>
      <c r="AM195" s="349">
        <v>102.59170095235667</v>
      </c>
      <c r="AN195" s="354" t="s">
        <v>139</v>
      </c>
      <c r="AO195" s="355" t="s">
        <v>140</v>
      </c>
      <c r="AP195" s="206" t="s">
        <v>139</v>
      </c>
      <c r="AQ195" s="207">
        <v>0</v>
      </c>
      <c r="AR195" s="211"/>
      <c r="AS195" s="297">
        <f>+IF(Table1[[#This Row],[Column40]]="ok",Table1[[#This Row],[Column7]],0)</f>
        <v>1973.77</v>
      </c>
      <c r="AT195" s="295">
        <f>+IF(Table1[[#This Row],[Column40]]="No",Table1[[#This Row],[Column7]],0)</f>
        <v>0</v>
      </c>
      <c r="AU195" s="4" t="str">
        <f>+IF(LEFT(Table1[[#This Row],[Column42]],2)="DN",IF(Table1[[#This Row],[Column40]]="ok","(CA)",_xlfn.CONCAT("(CA)",CHAR(10),"FAIL")),"")</f>
        <v/>
      </c>
      <c r="AV195" s="154" t="str">
        <f>+IF(Table1[[#This Row],[Column6]]=0,"",_xlfn.CONCAT("Sem ",WEEKNUM(Table1[[#This Row],[Column6]],2)))</f>
        <v>Sem 11</v>
      </c>
      <c r="AW195" s="211"/>
    </row>
    <row r="196" spans="2:49" ht="19.5" customHeight="1" x14ac:dyDescent="0.3">
      <c r="B196" s="356" t="s">
        <v>454</v>
      </c>
      <c r="C196" s="331"/>
      <c r="D196" s="332" t="s">
        <v>132</v>
      </c>
      <c r="E196" s="332" t="s">
        <v>176</v>
      </c>
      <c r="F196" s="333"/>
      <c r="G196" s="334">
        <v>46091</v>
      </c>
      <c r="H196" s="335">
        <v>2053.88</v>
      </c>
      <c r="I196" s="336">
        <v>-20.420000000000002</v>
      </c>
      <c r="J196" s="337">
        <v>2592.4699999999998</v>
      </c>
      <c r="K196" s="338" t="s">
        <v>218</v>
      </c>
      <c r="L196" s="339" t="s">
        <v>455</v>
      </c>
      <c r="M196" s="340">
        <v>30</v>
      </c>
      <c r="N196" s="341">
        <v>85462</v>
      </c>
      <c r="O196" s="332">
        <v>59.78</v>
      </c>
      <c r="P196" s="342">
        <v>11.200000000000001</v>
      </c>
      <c r="Q196" s="343">
        <v>11.29509166173861</v>
      </c>
      <c r="R196" s="344">
        <v>1.6924460431654673</v>
      </c>
      <c r="S196" s="344">
        <v>1.6910000000000001</v>
      </c>
      <c r="T196" s="344">
        <v>1.8819999999999999</v>
      </c>
      <c r="U196" s="344" t="s">
        <v>136</v>
      </c>
      <c r="V196" s="332" t="s">
        <v>137</v>
      </c>
      <c r="W196" s="345">
        <v>8</v>
      </c>
      <c r="X196" s="346">
        <v>4</v>
      </c>
      <c r="Y196" s="208">
        <v>2.8069999999999999</v>
      </c>
      <c r="Z196" s="332"/>
      <c r="AA196" s="342"/>
      <c r="AB196" s="342"/>
      <c r="AC196" s="342"/>
      <c r="AD196" s="347"/>
      <c r="AE196" s="348">
        <v>1.7170000000000001</v>
      </c>
      <c r="AF196" s="349">
        <v>16.3</v>
      </c>
      <c r="AG196" s="350"/>
      <c r="AH196" s="351">
        <v>1.7118205349439171</v>
      </c>
      <c r="AI196" s="352">
        <v>1.984</v>
      </c>
      <c r="AJ196" s="206">
        <v>15.9</v>
      </c>
      <c r="AK196" s="353" t="s">
        <v>147</v>
      </c>
      <c r="AL196" s="206">
        <v>0.40000000000000036</v>
      </c>
      <c r="AM196" s="349">
        <v>98.569950096998667</v>
      </c>
      <c r="AN196" s="354" t="s">
        <v>139</v>
      </c>
      <c r="AO196" s="355" t="s">
        <v>140</v>
      </c>
      <c r="AP196" s="206" t="s">
        <v>139</v>
      </c>
      <c r="AQ196" s="207">
        <v>0</v>
      </c>
      <c r="AR196" s="211"/>
      <c r="AS196" s="297">
        <f>+IF(Table1[[#This Row],[Column40]]="ok",Table1[[#This Row],[Column7]],0)</f>
        <v>2053.88</v>
      </c>
      <c r="AT196" s="295">
        <f>+IF(Table1[[#This Row],[Column40]]="No",Table1[[#This Row],[Column7]],0)</f>
        <v>0</v>
      </c>
      <c r="AU196" s="4" t="str">
        <f>+IF(LEFT(Table1[[#This Row],[Column42]],2)="DN",IF(Table1[[#This Row],[Column40]]="ok","(CA)",_xlfn.CONCAT("(CA)",CHAR(10),"FAIL")),"")</f>
        <v/>
      </c>
      <c r="AV196" s="154" t="str">
        <f>+IF(Table1[[#This Row],[Column6]]=0,"",_xlfn.CONCAT("Sem ",WEEKNUM(Table1[[#This Row],[Column6]],2)))</f>
        <v>Sem 11</v>
      </c>
      <c r="AW196" s="211"/>
    </row>
    <row r="197" spans="2:49" ht="19.5" customHeight="1" x14ac:dyDescent="0.3">
      <c r="B197" s="356" t="s">
        <v>456</v>
      </c>
      <c r="C197" s="331"/>
      <c r="D197" s="332" t="s">
        <v>132</v>
      </c>
      <c r="E197" s="332" t="s">
        <v>176</v>
      </c>
      <c r="F197" s="333"/>
      <c r="G197" s="334">
        <v>46091</v>
      </c>
      <c r="H197" s="335">
        <v>1663.35</v>
      </c>
      <c r="I197" s="336">
        <v>-4.8899999999999997</v>
      </c>
      <c r="J197" s="337">
        <v>2635.6</v>
      </c>
      <c r="K197" s="338" t="s">
        <v>149</v>
      </c>
      <c r="L197" s="339" t="s">
        <v>457</v>
      </c>
      <c r="M197" s="340">
        <v>30</v>
      </c>
      <c r="N197" s="341">
        <v>85462</v>
      </c>
      <c r="O197" s="332">
        <v>59.78</v>
      </c>
      <c r="P197" s="342">
        <v>13.8</v>
      </c>
      <c r="Q197" s="343">
        <v>10.084033613445387</v>
      </c>
      <c r="R197" s="344">
        <v>1.7267135325131813</v>
      </c>
      <c r="S197" s="344">
        <v>1.7849999999999999</v>
      </c>
      <c r="T197" s="344">
        <v>1.9650000000000001</v>
      </c>
      <c r="U197" s="344" t="s">
        <v>136</v>
      </c>
      <c r="V197" s="332" t="s">
        <v>169</v>
      </c>
      <c r="W197" s="345">
        <v>4</v>
      </c>
      <c r="X197" s="346">
        <v>2</v>
      </c>
      <c r="Y197" s="208">
        <v>2.8069999999999999</v>
      </c>
      <c r="Z197" s="332"/>
      <c r="AA197" s="342"/>
      <c r="AB197" s="342"/>
      <c r="AC197" s="342"/>
      <c r="AD197" s="347"/>
      <c r="AE197" s="348">
        <v>1.716</v>
      </c>
      <c r="AF197" s="349">
        <v>0</v>
      </c>
      <c r="AG197" s="350"/>
      <c r="AH197" s="351" t="s">
        <v>139</v>
      </c>
      <c r="AI197" s="352" t="s">
        <v>139</v>
      </c>
      <c r="AJ197" s="206" t="s">
        <v>139</v>
      </c>
      <c r="AK197" s="353" t="s">
        <v>437</v>
      </c>
      <c r="AL197" s="206" t="s">
        <v>139</v>
      </c>
      <c r="AM197" s="349">
        <v>100.62433173153738</v>
      </c>
      <c r="AN197" s="354" t="s">
        <v>139</v>
      </c>
      <c r="AO197" s="355" t="s">
        <v>140</v>
      </c>
      <c r="AP197" s="206" t="s">
        <v>139</v>
      </c>
      <c r="AQ197" s="207">
        <v>0</v>
      </c>
      <c r="AR197" s="211"/>
      <c r="AS197" s="297">
        <f>+IF(Table1[[#This Row],[Column40]]="ok",Table1[[#This Row],[Column7]],0)</f>
        <v>1663.35</v>
      </c>
      <c r="AT197" s="295">
        <f>+IF(Table1[[#This Row],[Column40]]="No",Table1[[#This Row],[Column7]],0)</f>
        <v>0</v>
      </c>
      <c r="AU197" s="4" t="str">
        <f>+IF(LEFT(Table1[[#This Row],[Column42]],2)="DN",IF(Table1[[#This Row],[Column40]]="ok","(CA)",_xlfn.CONCAT("(CA)",CHAR(10),"FAIL")),"")</f>
        <v/>
      </c>
      <c r="AV197" s="154" t="str">
        <f>+IF(Table1[[#This Row],[Column6]]=0,"",_xlfn.CONCAT("Sem ",WEEKNUM(Table1[[#This Row],[Column6]],2)))</f>
        <v>Sem 11</v>
      </c>
      <c r="AW197" s="211"/>
    </row>
    <row r="198" spans="2:49" ht="19.5" customHeight="1" x14ac:dyDescent="0.3">
      <c r="B198" s="356" t="s">
        <v>458</v>
      </c>
      <c r="C198" s="331"/>
      <c r="D198" s="332" t="s">
        <v>132</v>
      </c>
      <c r="E198" s="332" t="s">
        <v>176</v>
      </c>
      <c r="F198" s="333"/>
      <c r="G198" s="334">
        <v>46091</v>
      </c>
      <c r="H198" s="335">
        <v>33.1</v>
      </c>
      <c r="I198" s="336">
        <v>0.54</v>
      </c>
      <c r="J198" s="337">
        <v>2635.9</v>
      </c>
      <c r="K198" s="338" t="s">
        <v>356</v>
      </c>
      <c r="L198" s="339" t="s">
        <v>215</v>
      </c>
      <c r="M198" s="340">
        <v>30</v>
      </c>
      <c r="N198" s="341">
        <v>85462</v>
      </c>
      <c r="O198" s="332">
        <v>59.78</v>
      </c>
      <c r="P198" s="342">
        <v>9</v>
      </c>
      <c r="Q198" s="343">
        <v>9.6018735362997774</v>
      </c>
      <c r="R198" s="344">
        <v>1.7174311926605503</v>
      </c>
      <c r="S198" s="344">
        <v>1.708</v>
      </c>
      <c r="T198" s="344">
        <v>1.8720000000000001</v>
      </c>
      <c r="U198" s="344" t="s">
        <v>136</v>
      </c>
      <c r="V198" s="332" t="s">
        <v>194</v>
      </c>
      <c r="W198" s="345" t="s">
        <v>195</v>
      </c>
      <c r="X198" s="346">
        <v>3</v>
      </c>
      <c r="Y198" s="208">
        <v>2.8069999999999999</v>
      </c>
      <c r="Z198" s="332"/>
      <c r="AA198" s="342"/>
      <c r="AB198" s="342"/>
      <c r="AC198" s="342"/>
      <c r="AD198" s="347"/>
      <c r="AE198" s="348">
        <v>1.706</v>
      </c>
      <c r="AF198" s="349">
        <v>0</v>
      </c>
      <c r="AG198" s="350"/>
      <c r="AH198" s="351" t="s">
        <v>139</v>
      </c>
      <c r="AI198" s="352" t="s">
        <v>139</v>
      </c>
      <c r="AJ198" s="206" t="s">
        <v>139</v>
      </c>
      <c r="AK198" s="353" t="s">
        <v>360</v>
      </c>
      <c r="AL198" s="206" t="s">
        <v>139</v>
      </c>
      <c r="AM198" s="349">
        <v>100.6700581864332</v>
      </c>
      <c r="AN198" s="354" t="s">
        <v>139</v>
      </c>
      <c r="AO198" s="355" t="s">
        <v>140</v>
      </c>
      <c r="AP198" s="206" t="s">
        <v>139</v>
      </c>
      <c r="AQ198" s="207">
        <v>0</v>
      </c>
      <c r="AR198" s="211"/>
      <c r="AS198" s="297">
        <f>+IF(Table1[[#This Row],[Column40]]="ok",Table1[[#This Row],[Column7]],0)</f>
        <v>33.1</v>
      </c>
      <c r="AT198" s="295">
        <f>+IF(Table1[[#This Row],[Column40]]="No",Table1[[#This Row],[Column7]],0)</f>
        <v>0</v>
      </c>
      <c r="AU198" s="4" t="str">
        <f>+IF(LEFT(Table1[[#This Row],[Column42]],2)="DN",IF(Table1[[#This Row],[Column40]]="ok","(CA)",_xlfn.CONCAT("(CA)",CHAR(10),"FAIL")),"")</f>
        <v/>
      </c>
      <c r="AV198" s="154" t="str">
        <f>+IF(Table1[[#This Row],[Column6]]=0,"",_xlfn.CONCAT("Sem ",WEEKNUM(Table1[[#This Row],[Column6]],2)))</f>
        <v>Sem 11</v>
      </c>
      <c r="AW198" s="211"/>
    </row>
    <row r="199" spans="2:49" ht="19.5" customHeight="1" x14ac:dyDescent="0.3">
      <c r="B199" s="356" t="s">
        <v>459</v>
      </c>
      <c r="C199" s="331"/>
      <c r="D199" s="332" t="s">
        <v>132</v>
      </c>
      <c r="E199" s="332" t="s">
        <v>176</v>
      </c>
      <c r="F199" s="333"/>
      <c r="G199" s="334">
        <v>46091</v>
      </c>
      <c r="H199" s="335">
        <v>34.24</v>
      </c>
      <c r="I199" s="336">
        <v>-25.32</v>
      </c>
      <c r="J199" s="337">
        <v>2635.9</v>
      </c>
      <c r="K199" s="338" t="s">
        <v>356</v>
      </c>
      <c r="L199" s="339" t="s">
        <v>460</v>
      </c>
      <c r="M199" s="340">
        <v>30</v>
      </c>
      <c r="N199" s="341">
        <v>85462</v>
      </c>
      <c r="O199" s="332">
        <v>59.78</v>
      </c>
      <c r="P199" s="342">
        <v>11.4</v>
      </c>
      <c r="Q199" s="343">
        <v>9.4594594594594525</v>
      </c>
      <c r="R199" s="344">
        <v>1.7450628366247753</v>
      </c>
      <c r="S199" s="344">
        <v>1.776</v>
      </c>
      <c r="T199" s="344">
        <v>1.944</v>
      </c>
      <c r="U199" s="344" t="s">
        <v>136</v>
      </c>
      <c r="V199" s="332" t="s">
        <v>191</v>
      </c>
      <c r="W199" s="345">
        <v>6</v>
      </c>
      <c r="X199" s="346">
        <v>3</v>
      </c>
      <c r="Y199" s="208">
        <v>2.8069999999999999</v>
      </c>
      <c r="Z199" s="332"/>
      <c r="AA199" s="342"/>
      <c r="AB199" s="342"/>
      <c r="AC199" s="342"/>
      <c r="AD199" s="347"/>
      <c r="AE199" s="348">
        <v>1.706</v>
      </c>
      <c r="AF199" s="349">
        <v>0</v>
      </c>
      <c r="AG199" s="350"/>
      <c r="AH199" s="351" t="s">
        <v>139</v>
      </c>
      <c r="AI199" s="352" t="s">
        <v>139</v>
      </c>
      <c r="AJ199" s="206" t="s">
        <v>139</v>
      </c>
      <c r="AK199" s="353" t="s">
        <v>360</v>
      </c>
      <c r="AL199" s="206" t="s">
        <v>139</v>
      </c>
      <c r="AM199" s="349">
        <v>102.28973251024476</v>
      </c>
      <c r="AN199" s="354" t="s">
        <v>139</v>
      </c>
      <c r="AO199" s="355" t="s">
        <v>140</v>
      </c>
      <c r="AP199" s="206" t="s">
        <v>139</v>
      </c>
      <c r="AQ199" s="207">
        <v>0</v>
      </c>
      <c r="AR199" s="211"/>
      <c r="AS199" s="297">
        <f>+IF(Table1[[#This Row],[Column40]]="ok",Table1[[#This Row],[Column7]],0)</f>
        <v>34.24</v>
      </c>
      <c r="AT199" s="295">
        <f>+IF(Table1[[#This Row],[Column40]]="No",Table1[[#This Row],[Column7]],0)</f>
        <v>0</v>
      </c>
      <c r="AU199" s="4" t="str">
        <f>+IF(LEFT(Table1[[#This Row],[Column42]],2)="DN",IF(Table1[[#This Row],[Column40]]="ok","(CA)",_xlfn.CONCAT("(CA)",CHAR(10),"FAIL")),"")</f>
        <v/>
      </c>
      <c r="AV199" s="154" t="str">
        <f>+IF(Table1[[#This Row],[Column6]]=0,"",_xlfn.CONCAT("Sem ",WEEKNUM(Table1[[#This Row],[Column6]],2)))</f>
        <v>Sem 11</v>
      </c>
      <c r="AW199" s="211"/>
    </row>
    <row r="200" spans="2:49" ht="19.5" customHeight="1" x14ac:dyDescent="0.3">
      <c r="B200" s="356" t="s">
        <v>461</v>
      </c>
      <c r="C200" s="331"/>
      <c r="D200" s="332" t="s">
        <v>132</v>
      </c>
      <c r="E200" s="332" t="s">
        <v>133</v>
      </c>
      <c r="F200" s="333"/>
      <c r="G200" s="334">
        <v>46092</v>
      </c>
      <c r="H200" s="335">
        <v>1869.66</v>
      </c>
      <c r="I200" s="336">
        <v>-162.91</v>
      </c>
      <c r="J200" s="337">
        <v>2635.5990000000002</v>
      </c>
      <c r="K200" s="338" t="s">
        <v>134</v>
      </c>
      <c r="L200" s="339" t="s">
        <v>462</v>
      </c>
      <c r="M200" s="340">
        <v>30</v>
      </c>
      <c r="N200" s="341">
        <v>85462</v>
      </c>
      <c r="O200" s="332">
        <v>59.78</v>
      </c>
      <c r="P200" s="342">
        <v>10.100000000000001</v>
      </c>
      <c r="Q200" s="343">
        <v>9.6645821489482753</v>
      </c>
      <c r="R200" s="344">
        <v>1.7520435967302452</v>
      </c>
      <c r="S200" s="344">
        <v>1.7589999999999999</v>
      </c>
      <c r="T200" s="344">
        <v>1.929</v>
      </c>
      <c r="U200" s="344" t="s">
        <v>136</v>
      </c>
      <c r="V200" s="332" t="s">
        <v>169</v>
      </c>
      <c r="W200" s="345">
        <v>4</v>
      </c>
      <c r="X200" s="346">
        <v>2</v>
      </c>
      <c r="Y200" s="208">
        <v>2.8069999999999999</v>
      </c>
      <c r="Z200" s="332"/>
      <c r="AA200" s="342"/>
      <c r="AB200" s="342"/>
      <c r="AC200" s="342"/>
      <c r="AD200" s="347"/>
      <c r="AE200" s="348">
        <v>1.712</v>
      </c>
      <c r="AF200" s="349">
        <v>0</v>
      </c>
      <c r="AG200" s="350"/>
      <c r="AH200" s="351" t="s">
        <v>139</v>
      </c>
      <c r="AI200" s="352" t="s">
        <v>139</v>
      </c>
      <c r="AJ200" s="206" t="s">
        <v>139</v>
      </c>
      <c r="AK200" s="353" t="s">
        <v>181</v>
      </c>
      <c r="AL200" s="206" t="s">
        <v>139</v>
      </c>
      <c r="AM200" s="349">
        <v>102.33899513611246</v>
      </c>
      <c r="AN200" s="354" t="s">
        <v>139</v>
      </c>
      <c r="AO200" s="355" t="s">
        <v>140</v>
      </c>
      <c r="AP200" s="206" t="s">
        <v>139</v>
      </c>
      <c r="AQ200" s="207">
        <v>0</v>
      </c>
      <c r="AR200" s="211"/>
      <c r="AS200" s="297">
        <f>+IF(Table1[[#This Row],[Column40]]="ok",Table1[[#This Row],[Column7]],0)</f>
        <v>1869.66</v>
      </c>
      <c r="AT200" s="295">
        <f>+IF(Table1[[#This Row],[Column40]]="No",Table1[[#This Row],[Column7]],0)</f>
        <v>0</v>
      </c>
      <c r="AU200" s="4" t="str">
        <f>+IF(LEFT(Table1[[#This Row],[Column42]],2)="DN",IF(Table1[[#This Row],[Column40]]="ok","(CA)",_xlfn.CONCAT("(CA)",CHAR(10),"FAIL")),"")</f>
        <v/>
      </c>
      <c r="AV200" s="154" t="str">
        <f>+IF(Table1[[#This Row],[Column6]]=0,"",_xlfn.CONCAT("Sem ",WEEKNUM(Table1[[#This Row],[Column6]],2)))</f>
        <v>Sem 11</v>
      </c>
      <c r="AW200" s="211"/>
    </row>
    <row r="201" spans="2:49" ht="19.5" customHeight="1" x14ac:dyDescent="0.3">
      <c r="B201" s="356" t="s">
        <v>463</v>
      </c>
      <c r="C201" s="331"/>
      <c r="D201" s="332" t="s">
        <v>132</v>
      </c>
      <c r="E201" s="332" t="s">
        <v>133</v>
      </c>
      <c r="F201" s="333"/>
      <c r="G201" s="334">
        <v>46092</v>
      </c>
      <c r="H201" s="335">
        <v>2040.06</v>
      </c>
      <c r="I201" s="336">
        <v>-191.98</v>
      </c>
      <c r="J201" s="337">
        <v>2635.6529999999998</v>
      </c>
      <c r="K201" s="338" t="s">
        <v>218</v>
      </c>
      <c r="L201" s="339" t="s">
        <v>462</v>
      </c>
      <c r="M201" s="340">
        <v>30</v>
      </c>
      <c r="N201" s="341">
        <v>85462</v>
      </c>
      <c r="O201" s="332">
        <v>59.78</v>
      </c>
      <c r="P201" s="342">
        <v>12.5</v>
      </c>
      <c r="Q201" s="343">
        <v>9.4415659182498501</v>
      </c>
      <c r="R201" s="344">
        <v>1.6897777777777778</v>
      </c>
      <c r="S201" s="344">
        <v>1.7370000000000001</v>
      </c>
      <c r="T201" s="344">
        <v>1.901</v>
      </c>
      <c r="U201" s="344" t="s">
        <v>136</v>
      </c>
      <c r="V201" s="332" t="s">
        <v>169</v>
      </c>
      <c r="W201" s="345">
        <v>4</v>
      </c>
      <c r="X201" s="346">
        <v>2</v>
      </c>
      <c r="Y201" s="208">
        <v>2.8069999999999999</v>
      </c>
      <c r="Z201" s="332"/>
      <c r="AA201" s="342"/>
      <c r="AB201" s="342"/>
      <c r="AC201" s="342"/>
      <c r="AD201" s="347"/>
      <c r="AE201" s="348">
        <v>1.712</v>
      </c>
      <c r="AF201" s="349">
        <v>0</v>
      </c>
      <c r="AG201" s="350"/>
      <c r="AH201" s="351" t="s">
        <v>139</v>
      </c>
      <c r="AI201" s="352" t="s">
        <v>139</v>
      </c>
      <c r="AJ201" s="206" t="s">
        <v>139</v>
      </c>
      <c r="AK201" s="353" t="s">
        <v>376</v>
      </c>
      <c r="AL201" s="206" t="s">
        <v>139</v>
      </c>
      <c r="AM201" s="349">
        <v>98.701973001038425</v>
      </c>
      <c r="AN201" s="354" t="s">
        <v>139</v>
      </c>
      <c r="AO201" s="355" t="s">
        <v>140</v>
      </c>
      <c r="AP201" s="206" t="s">
        <v>139</v>
      </c>
      <c r="AQ201" s="207">
        <v>0</v>
      </c>
      <c r="AR201" s="211"/>
      <c r="AS201" s="297">
        <f>+IF(Table1[[#This Row],[Column40]]="ok",Table1[[#This Row],[Column7]],0)</f>
        <v>2040.06</v>
      </c>
      <c r="AT201" s="295">
        <f>+IF(Table1[[#This Row],[Column40]]="No",Table1[[#This Row],[Column7]],0)</f>
        <v>0</v>
      </c>
      <c r="AU201" s="4" t="str">
        <f>+IF(LEFT(Table1[[#This Row],[Column42]],2)="DN",IF(Table1[[#This Row],[Column40]]="ok","(CA)",_xlfn.CONCAT("(CA)",CHAR(10),"FAIL")),"")</f>
        <v/>
      </c>
      <c r="AV201" s="154" t="str">
        <f>+IF(Table1[[#This Row],[Column6]]=0,"",_xlfn.CONCAT("Sem ",WEEKNUM(Table1[[#This Row],[Column6]],2)))</f>
        <v>Sem 11</v>
      </c>
      <c r="AW201" s="211"/>
    </row>
    <row r="202" spans="2:49" ht="19.5" customHeight="1" x14ac:dyDescent="0.3">
      <c r="B202" s="356" t="s">
        <v>464</v>
      </c>
      <c r="C202" s="331"/>
      <c r="D202" s="332" t="s">
        <v>132</v>
      </c>
      <c r="E202" s="332" t="s">
        <v>133</v>
      </c>
      <c r="F202" s="333"/>
      <c r="G202" s="334">
        <v>46092</v>
      </c>
      <c r="H202" s="335">
        <v>1237.25</v>
      </c>
      <c r="I202" s="336">
        <v>204.35</v>
      </c>
      <c r="J202" s="337">
        <v>2585.1869999999999</v>
      </c>
      <c r="K202" s="338" t="s">
        <v>208</v>
      </c>
      <c r="L202" s="339" t="s">
        <v>212</v>
      </c>
      <c r="M202" s="340">
        <v>30</v>
      </c>
      <c r="N202" s="341">
        <v>85462</v>
      </c>
      <c r="O202" s="332">
        <v>59.78</v>
      </c>
      <c r="P202" s="342">
        <v>11.899999999999999</v>
      </c>
      <c r="Q202" s="343">
        <v>10.954263128176178</v>
      </c>
      <c r="R202" s="344">
        <v>1.7560321715817695</v>
      </c>
      <c r="S202" s="344">
        <v>1.7709999999999999</v>
      </c>
      <c r="T202" s="344">
        <v>1.9650000000000001</v>
      </c>
      <c r="U202" s="344" t="s">
        <v>136</v>
      </c>
      <c r="V202" s="332" t="s">
        <v>137</v>
      </c>
      <c r="W202" s="345">
        <v>8</v>
      </c>
      <c r="X202" s="346">
        <v>4</v>
      </c>
      <c r="Y202" s="208">
        <v>2.8069999999999999</v>
      </c>
      <c r="Z202" s="332"/>
      <c r="AA202" s="342"/>
      <c r="AB202" s="342"/>
      <c r="AC202" s="342"/>
      <c r="AD202" s="347"/>
      <c r="AE202" s="348">
        <v>1.724</v>
      </c>
      <c r="AF202" s="349">
        <v>16.5</v>
      </c>
      <c r="AG202" s="350"/>
      <c r="AH202" s="351">
        <v>1.7236051502145922</v>
      </c>
      <c r="AI202" s="352">
        <v>2.008</v>
      </c>
      <c r="AJ202" s="206">
        <v>16.5</v>
      </c>
      <c r="AK202" s="353" t="s">
        <v>403</v>
      </c>
      <c r="AL202" s="206">
        <v>0</v>
      </c>
      <c r="AM202" s="349">
        <v>101.85801459291007</v>
      </c>
      <c r="AN202" s="354" t="s">
        <v>139</v>
      </c>
      <c r="AO202" s="355" t="s">
        <v>140</v>
      </c>
      <c r="AP202" s="206" t="s">
        <v>139</v>
      </c>
      <c r="AQ202" s="207" t="s">
        <v>465</v>
      </c>
      <c r="AR202" s="211"/>
      <c r="AS202" s="297">
        <f>+IF(Table1[[#This Row],[Column40]]="ok",Table1[[#This Row],[Column7]],0)</f>
        <v>1237.25</v>
      </c>
      <c r="AT202" s="295">
        <f>+IF(Table1[[#This Row],[Column40]]="No",Table1[[#This Row],[Column7]],0)</f>
        <v>0</v>
      </c>
      <c r="AU202" s="4" t="str">
        <f>+IF(LEFT(Table1[[#This Row],[Column42]],2)="DN",IF(Table1[[#This Row],[Column40]]="ok","(CA)",_xlfn.CONCAT("(CA)",CHAR(10),"FAIL")),"")</f>
        <v/>
      </c>
      <c r="AV202" s="154" t="str">
        <f>+IF(Table1[[#This Row],[Column6]]=0,"",_xlfn.CONCAT("Sem ",WEEKNUM(Table1[[#This Row],[Column6]],2)))</f>
        <v>Sem 11</v>
      </c>
      <c r="AW202" s="211"/>
    </row>
    <row r="203" spans="2:49" ht="19.5" customHeight="1" x14ac:dyDescent="0.3">
      <c r="B203" s="356" t="s">
        <v>465</v>
      </c>
      <c r="C203" s="331"/>
      <c r="D203" s="332" t="s">
        <v>132</v>
      </c>
      <c r="E203" s="332" t="s">
        <v>133</v>
      </c>
      <c r="F203" s="333"/>
      <c r="G203" s="334">
        <v>46092</v>
      </c>
      <c r="H203" s="335">
        <v>1237.25</v>
      </c>
      <c r="I203" s="336">
        <v>204.35</v>
      </c>
      <c r="J203" s="337">
        <v>2585.1869999999999</v>
      </c>
      <c r="K203" s="338" t="s">
        <v>208</v>
      </c>
      <c r="L203" s="339" t="s">
        <v>212</v>
      </c>
      <c r="M203" s="340">
        <v>15</v>
      </c>
      <c r="N203" s="341"/>
      <c r="O203" s="332"/>
      <c r="P203" s="342">
        <v>11.941701927597544</v>
      </c>
      <c r="Q203" s="343"/>
      <c r="R203" s="344">
        <v>1.7905776907498501</v>
      </c>
      <c r="S203" s="344"/>
      <c r="T203" s="344">
        <v>2.0044031413612564</v>
      </c>
      <c r="U203" s="344" t="s">
        <v>142</v>
      </c>
      <c r="V203" s="332" t="s">
        <v>137</v>
      </c>
      <c r="W203" s="345">
        <v>6</v>
      </c>
      <c r="X203" s="346">
        <v>8</v>
      </c>
      <c r="Y203" s="208"/>
      <c r="Z203" s="332" t="s">
        <v>143</v>
      </c>
      <c r="AA203" s="342">
        <v>99.412317818523746</v>
      </c>
      <c r="AB203" s="342">
        <v>83.497884344146684</v>
      </c>
      <c r="AC203" s="342">
        <v>34.109073812882002</v>
      </c>
      <c r="AD203" s="347">
        <v>14.409967089797846</v>
      </c>
      <c r="AE203" s="348">
        <v>1.7230000000000001</v>
      </c>
      <c r="AF203" s="349">
        <v>16.5</v>
      </c>
      <c r="AG203" s="350" t="s">
        <v>403</v>
      </c>
      <c r="AH203" s="351">
        <v>1.7230396708087909</v>
      </c>
      <c r="AI203" s="352">
        <v>2.0078782071755565</v>
      </c>
      <c r="AJ203" s="206">
        <v>16.531165311653144</v>
      </c>
      <c r="AK203" s="353" t="s">
        <v>403</v>
      </c>
      <c r="AL203" s="206">
        <v>-3.1165311653143846E-2</v>
      </c>
      <c r="AM203" s="349">
        <v>103.92209464595763</v>
      </c>
      <c r="AN203" s="354" t="s">
        <v>139</v>
      </c>
      <c r="AO203" s="355" t="s">
        <v>144</v>
      </c>
      <c r="AP203" s="206">
        <v>0</v>
      </c>
      <c r="AQ203" s="207" t="s">
        <v>464</v>
      </c>
      <c r="AR203" s="211"/>
      <c r="AS203" s="297">
        <f>+IF(Table1[[#This Row],[Column40]]="ok",Table1[[#This Row],[Column7]],0)</f>
        <v>1237.25</v>
      </c>
      <c r="AT203" s="295">
        <f>+IF(Table1[[#This Row],[Column40]]="No",Table1[[#This Row],[Column7]],0)</f>
        <v>0</v>
      </c>
      <c r="AU203" s="4" t="str">
        <f>+IF(LEFT(Table1[[#This Row],[Column42]],2)="DN",IF(Table1[[#This Row],[Column40]]="ok","(CA)",_xlfn.CONCAT("(CA)",CHAR(10),"FAIL")),"")</f>
        <v>(CA)</v>
      </c>
      <c r="AV203" s="154" t="str">
        <f>+IF(Table1[[#This Row],[Column6]]=0,"",_xlfn.CONCAT("Sem ",WEEKNUM(Table1[[#This Row],[Column6]],2)))</f>
        <v>Sem 11</v>
      </c>
      <c r="AW203" s="211"/>
    </row>
    <row r="204" spans="2:49" ht="19.5" customHeight="1" x14ac:dyDescent="0.3">
      <c r="B204" s="356" t="s">
        <v>466</v>
      </c>
      <c r="C204" s="331"/>
      <c r="D204" s="332" t="s">
        <v>132</v>
      </c>
      <c r="E204" s="332" t="s">
        <v>133</v>
      </c>
      <c r="F204" s="333"/>
      <c r="G204" s="334">
        <v>46092</v>
      </c>
      <c r="H204" s="335">
        <v>1179.44</v>
      </c>
      <c r="I204" s="336">
        <v>234.95</v>
      </c>
      <c r="J204" s="337">
        <v>2577.0549999999998</v>
      </c>
      <c r="K204" s="338" t="s">
        <v>208</v>
      </c>
      <c r="L204" s="339" t="s">
        <v>254</v>
      </c>
      <c r="M204" s="340">
        <v>30</v>
      </c>
      <c r="N204" s="341">
        <v>85462</v>
      </c>
      <c r="O204" s="332">
        <v>59.78</v>
      </c>
      <c r="P204" s="342">
        <v>11.799999999999999</v>
      </c>
      <c r="Q204" s="343">
        <v>9.977324263038545</v>
      </c>
      <c r="R204" s="344">
        <v>1.7352415026833632</v>
      </c>
      <c r="S204" s="344">
        <v>1.764</v>
      </c>
      <c r="T204" s="344">
        <v>1.94</v>
      </c>
      <c r="U204" s="344" t="s">
        <v>136</v>
      </c>
      <c r="V204" s="332" t="s">
        <v>137</v>
      </c>
      <c r="W204" s="345">
        <v>8</v>
      </c>
      <c r="X204" s="346">
        <v>4</v>
      </c>
      <c r="Y204" s="208">
        <v>2.8069999999999999</v>
      </c>
      <c r="Z204" s="332"/>
      <c r="AA204" s="342"/>
      <c r="AB204" s="342"/>
      <c r="AC204" s="342"/>
      <c r="AD204" s="347"/>
      <c r="AE204" s="348">
        <v>1.716</v>
      </c>
      <c r="AF204" s="349">
        <v>0</v>
      </c>
      <c r="AG204" s="350"/>
      <c r="AH204" s="351" t="s">
        <v>139</v>
      </c>
      <c r="AI204" s="352" t="s">
        <v>139</v>
      </c>
      <c r="AJ204" s="206" t="s">
        <v>139</v>
      </c>
      <c r="AK204" s="353" t="s">
        <v>467</v>
      </c>
      <c r="AL204" s="206" t="s">
        <v>139</v>
      </c>
      <c r="AM204" s="349">
        <v>101.12129969017268</v>
      </c>
      <c r="AN204" s="354" t="s">
        <v>139</v>
      </c>
      <c r="AO204" s="355" t="s">
        <v>140</v>
      </c>
      <c r="AP204" s="206" t="s">
        <v>139</v>
      </c>
      <c r="AQ204" s="207">
        <v>0</v>
      </c>
      <c r="AR204" s="211"/>
      <c r="AS204" s="297">
        <f>+IF(Table1[[#This Row],[Column40]]="ok",Table1[[#This Row],[Column7]],0)</f>
        <v>1179.44</v>
      </c>
      <c r="AT204" s="295">
        <f>+IF(Table1[[#This Row],[Column40]]="No",Table1[[#This Row],[Column7]],0)</f>
        <v>0</v>
      </c>
      <c r="AU204" s="4" t="str">
        <f>+IF(LEFT(Table1[[#This Row],[Column42]],2)="DN",IF(Table1[[#This Row],[Column40]]="ok","(CA)",_xlfn.CONCAT("(CA)",CHAR(10),"FAIL")),"")</f>
        <v/>
      </c>
      <c r="AV204" s="154" t="str">
        <f>+IF(Table1[[#This Row],[Column6]]=0,"",_xlfn.CONCAT("Sem ",WEEKNUM(Table1[[#This Row],[Column6]],2)))</f>
        <v>Sem 11</v>
      </c>
      <c r="AW204" s="211"/>
    </row>
    <row r="205" spans="2:49" ht="19.5" customHeight="1" x14ac:dyDescent="0.3">
      <c r="B205" s="356" t="s">
        <v>468</v>
      </c>
      <c r="C205" s="331"/>
      <c r="D205" s="332" t="s">
        <v>132</v>
      </c>
      <c r="E205" s="332" t="s">
        <v>133</v>
      </c>
      <c r="F205" s="333"/>
      <c r="G205" s="334">
        <v>46092</v>
      </c>
      <c r="H205" s="335">
        <v>1101.6500000000001</v>
      </c>
      <c r="I205" s="336">
        <v>267.49</v>
      </c>
      <c r="J205" s="337">
        <v>2566.7860000000001</v>
      </c>
      <c r="K205" s="338" t="s">
        <v>236</v>
      </c>
      <c r="L205" s="339" t="s">
        <v>247</v>
      </c>
      <c r="M205" s="340">
        <v>30</v>
      </c>
      <c r="N205" s="341">
        <v>85462</v>
      </c>
      <c r="O205" s="332">
        <v>59.78</v>
      </c>
      <c r="P205" s="342">
        <v>11.600000000000001</v>
      </c>
      <c r="Q205" s="343">
        <v>9.8407281001137612</v>
      </c>
      <c r="R205" s="344">
        <v>1.7302867383512543</v>
      </c>
      <c r="S205" s="344">
        <v>1.758</v>
      </c>
      <c r="T205" s="344">
        <v>1.931</v>
      </c>
      <c r="U205" s="344" t="s">
        <v>136</v>
      </c>
      <c r="V205" s="332" t="s">
        <v>137</v>
      </c>
      <c r="W205" s="345">
        <v>8</v>
      </c>
      <c r="X205" s="346">
        <v>4</v>
      </c>
      <c r="Y205" s="208">
        <v>2.8069999999999999</v>
      </c>
      <c r="Z205" s="332"/>
      <c r="AA205" s="342"/>
      <c r="AB205" s="342"/>
      <c r="AC205" s="342"/>
      <c r="AD205" s="347"/>
      <c r="AE205" s="348">
        <v>1.716</v>
      </c>
      <c r="AF205" s="349">
        <v>0</v>
      </c>
      <c r="AG205" s="350"/>
      <c r="AH205" s="351" t="s">
        <v>139</v>
      </c>
      <c r="AI205" s="352" t="s">
        <v>139</v>
      </c>
      <c r="AJ205" s="206" t="s">
        <v>139</v>
      </c>
      <c r="AK205" s="353" t="s">
        <v>467</v>
      </c>
      <c r="AL205" s="206" t="s">
        <v>139</v>
      </c>
      <c r="AM205" s="349">
        <v>100.83256050997986</v>
      </c>
      <c r="AN205" s="354" t="s">
        <v>139</v>
      </c>
      <c r="AO205" s="355" t="s">
        <v>140</v>
      </c>
      <c r="AP205" s="206" t="s">
        <v>139</v>
      </c>
      <c r="AQ205" s="207">
        <v>0</v>
      </c>
      <c r="AR205" s="211"/>
      <c r="AS205" s="297">
        <f>+IF(Table1[[#This Row],[Column40]]="ok",Table1[[#This Row],[Column7]],0)</f>
        <v>1101.6500000000001</v>
      </c>
      <c r="AT205" s="295">
        <f>+IF(Table1[[#This Row],[Column40]]="No",Table1[[#This Row],[Column7]],0)</f>
        <v>0</v>
      </c>
      <c r="AU205" s="4" t="str">
        <f>+IF(LEFT(Table1[[#This Row],[Column42]],2)="DN",IF(Table1[[#This Row],[Column40]]="ok","(CA)",_xlfn.CONCAT("(CA)",CHAR(10),"FAIL")),"")</f>
        <v/>
      </c>
      <c r="AV205" s="154" t="str">
        <f>+IF(Table1[[#This Row],[Column6]]=0,"",_xlfn.CONCAT("Sem ",WEEKNUM(Table1[[#This Row],[Column6]],2)))</f>
        <v>Sem 11</v>
      </c>
      <c r="AW205" s="211"/>
    </row>
    <row r="206" spans="2:49" ht="19.5" customHeight="1" x14ac:dyDescent="0.3">
      <c r="B206" s="356" t="s">
        <v>469</v>
      </c>
      <c r="C206" s="331"/>
      <c r="D206" s="332" t="s">
        <v>132</v>
      </c>
      <c r="E206" s="332" t="s">
        <v>133</v>
      </c>
      <c r="F206" s="333"/>
      <c r="G206" s="334">
        <v>46092</v>
      </c>
      <c r="H206" s="335">
        <v>1097.0999999999999</v>
      </c>
      <c r="I206" s="336">
        <v>340.83</v>
      </c>
      <c r="J206" s="337">
        <v>2547.7130000000002</v>
      </c>
      <c r="K206" s="338" t="s">
        <v>236</v>
      </c>
      <c r="L206" s="339" t="s">
        <v>247</v>
      </c>
      <c r="M206" s="340">
        <v>30</v>
      </c>
      <c r="N206" s="341">
        <v>85462</v>
      </c>
      <c r="O206" s="332">
        <v>59.78</v>
      </c>
      <c r="P206" s="342">
        <v>10.199999999999999</v>
      </c>
      <c r="Q206" s="343">
        <v>9.6755504055620065</v>
      </c>
      <c r="R206" s="344">
        <v>1.717785843920145</v>
      </c>
      <c r="S206" s="344">
        <v>1.726</v>
      </c>
      <c r="T206" s="344">
        <v>1.893</v>
      </c>
      <c r="U206" s="344" t="s">
        <v>136</v>
      </c>
      <c r="V206" s="332" t="s">
        <v>137</v>
      </c>
      <c r="W206" s="345">
        <v>8</v>
      </c>
      <c r="X206" s="346">
        <v>4</v>
      </c>
      <c r="Y206" s="208">
        <v>2.8069999999999999</v>
      </c>
      <c r="Z206" s="332"/>
      <c r="AA206" s="342"/>
      <c r="AB206" s="342"/>
      <c r="AC206" s="342"/>
      <c r="AD206" s="347"/>
      <c r="AE206" s="348">
        <v>1.716</v>
      </c>
      <c r="AF206" s="349">
        <v>0</v>
      </c>
      <c r="AG206" s="350"/>
      <c r="AH206" s="351" t="s">
        <v>139</v>
      </c>
      <c r="AI206" s="352" t="s">
        <v>139</v>
      </c>
      <c r="AJ206" s="206" t="s">
        <v>139</v>
      </c>
      <c r="AK206" s="353" t="s">
        <v>467</v>
      </c>
      <c r="AL206" s="206" t="s">
        <v>139</v>
      </c>
      <c r="AM206" s="349">
        <v>100.10407015851661</v>
      </c>
      <c r="AN206" s="354" t="s">
        <v>139</v>
      </c>
      <c r="AO206" s="355" t="s">
        <v>140</v>
      </c>
      <c r="AP206" s="206" t="s">
        <v>139</v>
      </c>
      <c r="AQ206" s="207">
        <v>0</v>
      </c>
      <c r="AR206" s="211"/>
      <c r="AS206" s="297">
        <f>+IF(Table1[[#This Row],[Column40]]="ok",Table1[[#This Row],[Column7]],0)</f>
        <v>1097.0999999999999</v>
      </c>
      <c r="AT206" s="295">
        <f>+IF(Table1[[#This Row],[Column40]]="No",Table1[[#This Row],[Column7]],0)</f>
        <v>0</v>
      </c>
      <c r="AU206" s="4" t="str">
        <f>+IF(LEFT(Table1[[#This Row],[Column42]],2)="DN",IF(Table1[[#This Row],[Column40]]="ok","(CA)",_xlfn.CONCAT("(CA)",CHAR(10),"FAIL")),"")</f>
        <v/>
      </c>
      <c r="AV206" s="154" t="str">
        <f>+IF(Table1[[#This Row],[Column6]]=0,"",_xlfn.CONCAT("Sem ",WEEKNUM(Table1[[#This Row],[Column6]],2)))</f>
        <v>Sem 11</v>
      </c>
      <c r="AW206" s="211"/>
    </row>
    <row r="207" spans="2:49" ht="19.5" customHeight="1" x14ac:dyDescent="0.3">
      <c r="B207" s="356" t="s">
        <v>470</v>
      </c>
      <c r="C207" s="331"/>
      <c r="D207" s="332" t="s">
        <v>132</v>
      </c>
      <c r="E207" s="332" t="s">
        <v>133</v>
      </c>
      <c r="F207" s="333"/>
      <c r="G207" s="334">
        <v>46092</v>
      </c>
      <c r="H207" s="335">
        <v>1174.3800000000001</v>
      </c>
      <c r="I207" s="336">
        <v>315</v>
      </c>
      <c r="J207" s="337">
        <v>2555.538</v>
      </c>
      <c r="K207" s="338" t="s">
        <v>253</v>
      </c>
      <c r="L207" s="339" t="s">
        <v>254</v>
      </c>
      <c r="M207" s="340">
        <v>30</v>
      </c>
      <c r="N207" s="341">
        <v>85462</v>
      </c>
      <c r="O207" s="332">
        <v>59.78</v>
      </c>
      <c r="P207" s="342">
        <v>10.299999999999999</v>
      </c>
      <c r="Q207" s="343">
        <v>10.144927536231862</v>
      </c>
      <c r="R207" s="344">
        <v>1.7225747960108793</v>
      </c>
      <c r="S207" s="344">
        <v>1.7250000000000001</v>
      </c>
      <c r="T207" s="344">
        <v>1.9</v>
      </c>
      <c r="U207" s="344" t="s">
        <v>136</v>
      </c>
      <c r="V207" s="332" t="s">
        <v>137</v>
      </c>
      <c r="W207" s="345">
        <v>8</v>
      </c>
      <c r="X207" s="346">
        <v>4</v>
      </c>
      <c r="Y207" s="208">
        <v>2.8069999999999999</v>
      </c>
      <c r="Z207" s="332"/>
      <c r="AA207" s="342"/>
      <c r="AB207" s="342"/>
      <c r="AC207" s="342"/>
      <c r="AD207" s="347"/>
      <c r="AE207" s="348">
        <v>1.716</v>
      </c>
      <c r="AF207" s="349">
        <v>0</v>
      </c>
      <c r="AG207" s="350"/>
      <c r="AH207" s="351" t="s">
        <v>139</v>
      </c>
      <c r="AI207" s="352" t="s">
        <v>139</v>
      </c>
      <c r="AJ207" s="206" t="s">
        <v>139</v>
      </c>
      <c r="AK207" s="353" t="s">
        <v>467</v>
      </c>
      <c r="AL207" s="206" t="s">
        <v>139</v>
      </c>
      <c r="AM207" s="349">
        <v>100.38314662068062</v>
      </c>
      <c r="AN207" s="354" t="s">
        <v>139</v>
      </c>
      <c r="AO207" s="355" t="s">
        <v>140</v>
      </c>
      <c r="AP207" s="206" t="s">
        <v>139</v>
      </c>
      <c r="AQ207" s="207">
        <v>0</v>
      </c>
      <c r="AR207" s="211"/>
      <c r="AS207" s="297">
        <f>+IF(Table1[[#This Row],[Column40]]="ok",Table1[[#This Row],[Column7]],0)</f>
        <v>1174.3800000000001</v>
      </c>
      <c r="AT207" s="295">
        <f>+IF(Table1[[#This Row],[Column40]]="No",Table1[[#This Row],[Column7]],0)</f>
        <v>0</v>
      </c>
      <c r="AU207" s="4" t="str">
        <f>+IF(LEFT(Table1[[#This Row],[Column42]],2)="DN",IF(Table1[[#This Row],[Column40]]="ok","(CA)",_xlfn.CONCAT("(CA)",CHAR(10),"FAIL")),"")</f>
        <v/>
      </c>
      <c r="AV207" s="154" t="str">
        <f>+IF(Table1[[#This Row],[Column6]]=0,"",_xlfn.CONCAT("Sem ",WEEKNUM(Table1[[#This Row],[Column6]],2)))</f>
        <v>Sem 11</v>
      </c>
      <c r="AW207" s="211"/>
    </row>
    <row r="208" spans="2:49" ht="19.5" customHeight="1" x14ac:dyDescent="0.3">
      <c r="B208" s="356" t="s">
        <v>471</v>
      </c>
      <c r="C208" s="331"/>
      <c r="D208" s="332" t="s">
        <v>132</v>
      </c>
      <c r="E208" s="332" t="s">
        <v>133</v>
      </c>
      <c r="F208" s="333"/>
      <c r="G208" s="334">
        <v>46092</v>
      </c>
      <c r="H208" s="335">
        <v>1235.8499999999999</v>
      </c>
      <c r="I208" s="336">
        <v>279.11</v>
      </c>
      <c r="J208" s="337">
        <v>2564.114</v>
      </c>
      <c r="K208" s="338" t="s">
        <v>253</v>
      </c>
      <c r="L208" s="339" t="s">
        <v>212</v>
      </c>
      <c r="M208" s="340">
        <v>30</v>
      </c>
      <c r="N208" s="341">
        <v>85462</v>
      </c>
      <c r="O208" s="332">
        <v>59.78</v>
      </c>
      <c r="P208" s="342">
        <v>10</v>
      </c>
      <c r="Q208" s="343">
        <v>10.538116591928247</v>
      </c>
      <c r="R208" s="344">
        <v>1.7927272727272725</v>
      </c>
      <c r="S208" s="344">
        <v>1.784</v>
      </c>
      <c r="T208" s="344">
        <v>1.972</v>
      </c>
      <c r="U208" s="344" t="s">
        <v>136</v>
      </c>
      <c r="V208" s="332" t="s">
        <v>137</v>
      </c>
      <c r="W208" s="345">
        <v>8</v>
      </c>
      <c r="X208" s="346">
        <v>4</v>
      </c>
      <c r="Y208" s="208">
        <v>2.8069999999999999</v>
      </c>
      <c r="Z208" s="332"/>
      <c r="AA208" s="342"/>
      <c r="AB208" s="342"/>
      <c r="AC208" s="342"/>
      <c r="AD208" s="347"/>
      <c r="AE208" s="348">
        <v>1.716</v>
      </c>
      <c r="AF208" s="349">
        <v>0</v>
      </c>
      <c r="AG208" s="350"/>
      <c r="AH208" s="351" t="s">
        <v>139</v>
      </c>
      <c r="AI208" s="352" t="s">
        <v>139</v>
      </c>
      <c r="AJ208" s="206" t="s">
        <v>139</v>
      </c>
      <c r="AK208" s="353" t="s">
        <v>467</v>
      </c>
      <c r="AL208" s="206" t="s">
        <v>139</v>
      </c>
      <c r="AM208" s="349">
        <v>104.4712862894681</v>
      </c>
      <c r="AN208" s="354" t="s">
        <v>139</v>
      </c>
      <c r="AO208" s="355" t="s">
        <v>140</v>
      </c>
      <c r="AP208" s="206" t="s">
        <v>139</v>
      </c>
      <c r="AQ208" s="207">
        <v>0</v>
      </c>
      <c r="AR208" s="211"/>
      <c r="AS208" s="297">
        <f>+IF(Table1[[#This Row],[Column40]]="ok",Table1[[#This Row],[Column7]],0)</f>
        <v>1235.8499999999999</v>
      </c>
      <c r="AT208" s="295">
        <f>+IF(Table1[[#This Row],[Column40]]="No",Table1[[#This Row],[Column7]],0)</f>
        <v>0</v>
      </c>
      <c r="AU208" s="4" t="str">
        <f>+IF(LEFT(Table1[[#This Row],[Column42]],2)="DN",IF(Table1[[#This Row],[Column40]]="ok","(CA)",_xlfn.CONCAT("(CA)",CHAR(10),"FAIL")),"")</f>
        <v/>
      </c>
      <c r="AV208" s="154" t="str">
        <f>+IF(Table1[[#This Row],[Column6]]=0,"",_xlfn.CONCAT("Sem ",WEEKNUM(Table1[[#This Row],[Column6]],2)))</f>
        <v>Sem 11</v>
      </c>
      <c r="AW208" s="211"/>
    </row>
    <row r="209" spans="2:49" ht="19.5" customHeight="1" x14ac:dyDescent="0.3">
      <c r="B209" s="356" t="s">
        <v>472</v>
      </c>
      <c r="C209" s="331"/>
      <c r="D209" s="332" t="s">
        <v>132</v>
      </c>
      <c r="E209" s="332" t="s">
        <v>133</v>
      </c>
      <c r="F209" s="333"/>
      <c r="G209" s="334">
        <v>46092</v>
      </c>
      <c r="H209" s="335">
        <v>1089.8499999999999</v>
      </c>
      <c r="I209" s="336">
        <v>413</v>
      </c>
      <c r="J209" s="337">
        <v>2525.663</v>
      </c>
      <c r="K209" s="338" t="s">
        <v>236</v>
      </c>
      <c r="L209" s="339" t="s">
        <v>249</v>
      </c>
      <c r="M209" s="340">
        <v>30</v>
      </c>
      <c r="N209" s="341">
        <v>85462</v>
      </c>
      <c r="O209" s="332">
        <v>59.78</v>
      </c>
      <c r="P209" s="342">
        <v>9.5</v>
      </c>
      <c r="Q209" s="343">
        <v>9.3495934959349611</v>
      </c>
      <c r="R209" s="344">
        <v>1.719634703196347</v>
      </c>
      <c r="S209" s="344">
        <v>1.722</v>
      </c>
      <c r="T209" s="344">
        <v>1.883</v>
      </c>
      <c r="U209" s="344" t="s">
        <v>136</v>
      </c>
      <c r="V209" s="332" t="s">
        <v>137</v>
      </c>
      <c r="W209" s="345">
        <v>8</v>
      </c>
      <c r="X209" s="346">
        <v>4</v>
      </c>
      <c r="Y209" s="208">
        <v>2.8069999999999999</v>
      </c>
      <c r="Z209" s="332"/>
      <c r="AA209" s="342"/>
      <c r="AB209" s="342"/>
      <c r="AC209" s="342"/>
      <c r="AD209" s="347"/>
      <c r="AE209" s="348">
        <v>1.716</v>
      </c>
      <c r="AF209" s="349">
        <v>0</v>
      </c>
      <c r="AG209" s="350"/>
      <c r="AH209" s="351" t="s">
        <v>139</v>
      </c>
      <c r="AI209" s="352" t="s">
        <v>139</v>
      </c>
      <c r="AJ209" s="206" t="s">
        <v>139</v>
      </c>
      <c r="AK209" s="353" t="s">
        <v>467</v>
      </c>
      <c r="AL209" s="206" t="s">
        <v>139</v>
      </c>
      <c r="AM209" s="349">
        <v>100.21181254057967</v>
      </c>
      <c r="AN209" s="354" t="s">
        <v>139</v>
      </c>
      <c r="AO209" s="355" t="s">
        <v>140</v>
      </c>
      <c r="AP209" s="206" t="s">
        <v>139</v>
      </c>
      <c r="AQ209" s="207">
        <v>0</v>
      </c>
      <c r="AR209" s="211"/>
      <c r="AS209" s="297">
        <f>+IF(Table1[[#This Row],[Column40]]="ok",Table1[[#This Row],[Column7]],0)</f>
        <v>1089.8499999999999</v>
      </c>
      <c r="AT209" s="295">
        <f>+IF(Table1[[#This Row],[Column40]]="No",Table1[[#This Row],[Column7]],0)</f>
        <v>0</v>
      </c>
      <c r="AU209" s="4" t="str">
        <f>+IF(LEFT(Table1[[#This Row],[Column42]],2)="DN",IF(Table1[[#This Row],[Column40]]="ok","(CA)",_xlfn.CONCAT("(CA)",CHAR(10),"FAIL")),"")</f>
        <v/>
      </c>
      <c r="AV209" s="154" t="str">
        <f>+IF(Table1[[#This Row],[Column6]]=0,"",_xlfn.CONCAT("Sem ",WEEKNUM(Table1[[#This Row],[Column6]],2)))</f>
        <v>Sem 11</v>
      </c>
      <c r="AW209" s="211"/>
    </row>
    <row r="210" spans="2:49" ht="19.5" customHeight="1" x14ac:dyDescent="0.3">
      <c r="B210" s="356" t="s">
        <v>473</v>
      </c>
      <c r="C210" s="331"/>
      <c r="D210" s="332" t="s">
        <v>132</v>
      </c>
      <c r="E210" s="332" t="s">
        <v>176</v>
      </c>
      <c r="F210" s="333"/>
      <c r="G210" s="334">
        <v>46092</v>
      </c>
      <c r="H210" s="335">
        <v>1079.55</v>
      </c>
      <c r="I210" s="336">
        <v>270.45</v>
      </c>
      <c r="J210" s="337">
        <v>2565.62</v>
      </c>
      <c r="K210" s="338" t="s">
        <v>236</v>
      </c>
      <c r="L210" s="339" t="s">
        <v>249</v>
      </c>
      <c r="M210" s="340">
        <v>30</v>
      </c>
      <c r="N210" s="341">
        <v>85462</v>
      </c>
      <c r="O210" s="332">
        <v>59.78</v>
      </c>
      <c r="P210" s="342">
        <v>8.6999999999999993</v>
      </c>
      <c r="Q210" s="343">
        <v>8.5778781038374774</v>
      </c>
      <c r="R210" s="344">
        <v>1.7700091996320146</v>
      </c>
      <c r="S210" s="344">
        <v>1.772</v>
      </c>
      <c r="T210" s="344">
        <v>1.9239999999999999</v>
      </c>
      <c r="U210" s="344" t="s">
        <v>136</v>
      </c>
      <c r="V210" s="332" t="s">
        <v>137</v>
      </c>
      <c r="W210" s="345">
        <v>8</v>
      </c>
      <c r="X210" s="346">
        <v>4</v>
      </c>
      <c r="Y210" s="208">
        <v>2.8069999999999999</v>
      </c>
      <c r="Z210" s="332"/>
      <c r="AA210" s="342"/>
      <c r="AB210" s="342"/>
      <c r="AC210" s="342"/>
      <c r="AD210" s="347"/>
      <c r="AE210" s="348">
        <v>1.716</v>
      </c>
      <c r="AF210" s="349">
        <v>0</v>
      </c>
      <c r="AG210" s="350"/>
      <c r="AH210" s="351" t="s">
        <v>139</v>
      </c>
      <c r="AI210" s="352" t="s">
        <v>139</v>
      </c>
      <c r="AJ210" s="206" t="s">
        <v>139</v>
      </c>
      <c r="AK210" s="353" t="s">
        <v>437</v>
      </c>
      <c r="AL210" s="206" t="s">
        <v>139</v>
      </c>
      <c r="AM210" s="349">
        <v>103.14738925594492</v>
      </c>
      <c r="AN210" s="354" t="s">
        <v>139</v>
      </c>
      <c r="AO210" s="355" t="s">
        <v>140</v>
      </c>
      <c r="AP210" s="206" t="s">
        <v>139</v>
      </c>
      <c r="AQ210" s="207">
        <v>0</v>
      </c>
      <c r="AR210" s="211"/>
      <c r="AS210" s="297">
        <f>+IF(Table1[[#This Row],[Column40]]="ok",Table1[[#This Row],[Column7]],0)</f>
        <v>1079.55</v>
      </c>
      <c r="AT210" s="295">
        <f>+IF(Table1[[#This Row],[Column40]]="No",Table1[[#This Row],[Column7]],0)</f>
        <v>0</v>
      </c>
      <c r="AU210" s="4" t="str">
        <f>+IF(LEFT(Table1[[#This Row],[Column42]],2)="DN",IF(Table1[[#This Row],[Column40]]="ok","(CA)",_xlfn.CONCAT("(CA)",CHAR(10),"FAIL")),"")</f>
        <v/>
      </c>
      <c r="AV210" s="154" t="str">
        <f>+IF(Table1[[#This Row],[Column6]]=0,"",_xlfn.CONCAT("Sem ",WEEKNUM(Table1[[#This Row],[Column6]],2)))</f>
        <v>Sem 11</v>
      </c>
      <c r="AW210" s="211"/>
    </row>
    <row r="211" spans="2:49" ht="19.5" customHeight="1" x14ac:dyDescent="0.3">
      <c r="B211" s="356" t="s">
        <v>474</v>
      </c>
      <c r="C211" s="331"/>
      <c r="D211" s="332" t="s">
        <v>132</v>
      </c>
      <c r="E211" s="332" t="s">
        <v>176</v>
      </c>
      <c r="F211" s="333"/>
      <c r="G211" s="334">
        <v>46092</v>
      </c>
      <c r="H211" s="335">
        <v>1025.69</v>
      </c>
      <c r="I211" s="336">
        <v>257.51</v>
      </c>
      <c r="J211" s="337">
        <v>2569.87</v>
      </c>
      <c r="K211" s="338" t="s">
        <v>236</v>
      </c>
      <c r="L211" s="339" t="s">
        <v>242</v>
      </c>
      <c r="M211" s="340">
        <v>30</v>
      </c>
      <c r="N211" s="341">
        <v>85462</v>
      </c>
      <c r="O211" s="332">
        <v>59.78</v>
      </c>
      <c r="P211" s="342">
        <v>10.299999999999999</v>
      </c>
      <c r="Q211" s="343">
        <v>9.7285067873303035</v>
      </c>
      <c r="R211" s="344">
        <v>1.7588395285584768</v>
      </c>
      <c r="S211" s="344">
        <v>1.768</v>
      </c>
      <c r="T211" s="344">
        <v>1.94</v>
      </c>
      <c r="U211" s="344" t="s">
        <v>136</v>
      </c>
      <c r="V211" s="332" t="s">
        <v>137</v>
      </c>
      <c r="W211" s="345">
        <v>8</v>
      </c>
      <c r="X211" s="346">
        <v>4</v>
      </c>
      <c r="Y211" s="208">
        <v>2.8069999999999999</v>
      </c>
      <c r="Z211" s="332"/>
      <c r="AA211" s="342"/>
      <c r="AB211" s="342"/>
      <c r="AC211" s="342"/>
      <c r="AD211" s="123"/>
      <c r="AE211" s="358">
        <v>1.716</v>
      </c>
      <c r="AF211" s="349">
        <v>0</v>
      </c>
      <c r="AG211" s="350"/>
      <c r="AH211" s="351" t="s">
        <v>139</v>
      </c>
      <c r="AI211" s="351" t="s">
        <v>139</v>
      </c>
      <c r="AJ211" s="206" t="s">
        <v>139</v>
      </c>
      <c r="AK211" s="353" t="s">
        <v>437</v>
      </c>
      <c r="AL211" s="206" t="s">
        <v>139</v>
      </c>
      <c r="AM211" s="349">
        <v>102.49647602322125</v>
      </c>
      <c r="AN211" s="354" t="s">
        <v>139</v>
      </c>
      <c r="AO211" s="355" t="s">
        <v>140</v>
      </c>
      <c r="AP211" s="206" t="s">
        <v>139</v>
      </c>
      <c r="AQ211" s="246">
        <v>0</v>
      </c>
      <c r="AR211" s="211"/>
      <c r="AS211" s="297">
        <f>+IF(Table1[[#This Row],[Column40]]="ok",Table1[[#This Row],[Column7]],0)</f>
        <v>1025.69</v>
      </c>
      <c r="AT211" s="295">
        <f>+IF(Table1[[#This Row],[Column40]]="No",Table1[[#This Row],[Column7]],0)</f>
        <v>0</v>
      </c>
      <c r="AU211" s="4" t="str">
        <f>+IF(LEFT(Table1[[#This Row],[Column42]],2)="DN",IF(Table1[[#This Row],[Column40]]="ok","(CA)",_xlfn.CONCAT("(CA)",CHAR(10),"FAIL")),"")</f>
        <v/>
      </c>
      <c r="AV211" s="154" t="str">
        <f>+IF(Table1[[#This Row],[Column6]]=0,"",_xlfn.CONCAT("Sem ",WEEKNUM(Table1[[#This Row],[Column6]],2)))</f>
        <v>Sem 11</v>
      </c>
      <c r="AW211" s="211"/>
    </row>
    <row r="212" spans="2:49" ht="19.5" customHeight="1" x14ac:dyDescent="0.3">
      <c r="B212" s="356" t="s">
        <v>475</v>
      </c>
      <c r="C212" s="331"/>
      <c r="D212" s="332" t="s">
        <v>132</v>
      </c>
      <c r="E212" s="332" t="s">
        <v>176</v>
      </c>
      <c r="F212" s="333"/>
      <c r="G212" s="334">
        <v>46092</v>
      </c>
      <c r="H212" s="335">
        <v>959.99</v>
      </c>
      <c r="I212" s="336">
        <v>247.06</v>
      </c>
      <c r="J212" s="337">
        <v>2572.5700000000002</v>
      </c>
      <c r="K212" s="338" t="s">
        <v>205</v>
      </c>
      <c r="L212" s="339" t="s">
        <v>280</v>
      </c>
      <c r="M212" s="340">
        <v>30</v>
      </c>
      <c r="N212" s="341">
        <v>85462</v>
      </c>
      <c r="O212" s="332">
        <v>59.78</v>
      </c>
      <c r="P212" s="342">
        <v>9.1999999999999993</v>
      </c>
      <c r="Q212" s="343">
        <v>10.43429216018048</v>
      </c>
      <c r="R212" s="344">
        <v>1.7930402930402929</v>
      </c>
      <c r="S212" s="344">
        <v>1.7729999999999999</v>
      </c>
      <c r="T212" s="344">
        <v>1.958</v>
      </c>
      <c r="U212" s="344" t="s">
        <v>136</v>
      </c>
      <c r="V212" s="332" t="s">
        <v>137</v>
      </c>
      <c r="W212" s="345">
        <v>8</v>
      </c>
      <c r="X212" s="346">
        <v>4</v>
      </c>
      <c r="Y212" s="208">
        <v>2.8069999999999999</v>
      </c>
      <c r="Z212" s="332"/>
      <c r="AA212" s="342"/>
      <c r="AB212" s="342"/>
      <c r="AC212" s="342"/>
      <c r="AD212" s="347"/>
      <c r="AE212" s="358">
        <v>1.716</v>
      </c>
      <c r="AF212" s="349" t="s">
        <v>139</v>
      </c>
      <c r="AG212" s="350"/>
      <c r="AH212" s="351" t="s">
        <v>139</v>
      </c>
      <c r="AI212" s="351" t="s">
        <v>139</v>
      </c>
      <c r="AJ212" s="206" t="s">
        <v>139</v>
      </c>
      <c r="AK212" s="353" t="s">
        <v>437</v>
      </c>
      <c r="AL212" s="206" t="s">
        <v>139</v>
      </c>
      <c r="AM212" s="349">
        <v>104.48952756645065</v>
      </c>
      <c r="AN212" s="354" t="s">
        <v>139</v>
      </c>
      <c r="AO212" s="355" t="s">
        <v>140</v>
      </c>
      <c r="AP212" s="206" t="s">
        <v>139</v>
      </c>
      <c r="AQ212" s="207">
        <v>0</v>
      </c>
      <c r="AR212" s="211"/>
      <c r="AS212" s="297">
        <f>+IF(Table1[[#This Row],[Column40]]="ok",Table1[[#This Row],[Column7]],0)</f>
        <v>959.99</v>
      </c>
      <c r="AT212" s="295">
        <f>+IF(Table1[[#This Row],[Column40]]="No",Table1[[#This Row],[Column7]],0)</f>
        <v>0</v>
      </c>
      <c r="AU212" s="4" t="str">
        <f>+IF(LEFT(Table1[[#This Row],[Column42]],2)="DN",IF(Table1[[#This Row],[Column40]]="ok","(CA)",_xlfn.CONCAT("(CA)",CHAR(10),"FAIL")),"")</f>
        <v/>
      </c>
      <c r="AV212" s="154" t="str">
        <f>+IF(Table1[[#This Row],[Column6]]=0,"",_xlfn.CONCAT("Sem ",WEEKNUM(Table1[[#This Row],[Column6]],2)))</f>
        <v>Sem 11</v>
      </c>
      <c r="AW212" s="211"/>
    </row>
    <row r="213" spans="2:49" ht="19.5" customHeight="1" x14ac:dyDescent="0.3">
      <c r="B213" s="356" t="s">
        <v>476</v>
      </c>
      <c r="C213" s="331"/>
      <c r="D213" s="332" t="s">
        <v>132</v>
      </c>
      <c r="E213" s="332" t="s">
        <v>176</v>
      </c>
      <c r="F213" s="333"/>
      <c r="G213" s="334">
        <v>46092</v>
      </c>
      <c r="H213" s="335">
        <v>951.17</v>
      </c>
      <c r="I213" s="336">
        <v>326.85000000000002</v>
      </c>
      <c r="J213" s="337">
        <v>2550.77</v>
      </c>
      <c r="K213" s="338" t="s">
        <v>236</v>
      </c>
      <c r="L213" s="339" t="s">
        <v>237</v>
      </c>
      <c r="M213" s="340">
        <v>30</v>
      </c>
      <c r="N213" s="341">
        <v>85462</v>
      </c>
      <c r="O213" s="332">
        <v>59.78</v>
      </c>
      <c r="P213" s="342">
        <v>9.6</v>
      </c>
      <c r="Q213" s="343">
        <v>8.6577571179546666</v>
      </c>
      <c r="R213" s="344">
        <v>1.7062043795620438</v>
      </c>
      <c r="S213" s="344">
        <v>1.7210000000000001</v>
      </c>
      <c r="T213" s="344">
        <v>1.87</v>
      </c>
      <c r="U213" s="344" t="s">
        <v>136</v>
      </c>
      <c r="V213" s="332" t="s">
        <v>137</v>
      </c>
      <c r="W213" s="345">
        <v>8</v>
      </c>
      <c r="X213" s="346">
        <v>4</v>
      </c>
      <c r="Y213" s="208">
        <v>2.8069999999999999</v>
      </c>
      <c r="Z213" s="332"/>
      <c r="AA213" s="342"/>
      <c r="AB213" s="342"/>
      <c r="AC213" s="342"/>
      <c r="AD213" s="347"/>
      <c r="AE213" s="358">
        <v>1.7210000000000001</v>
      </c>
      <c r="AF213" s="349">
        <v>16</v>
      </c>
      <c r="AG213" s="350"/>
      <c r="AH213" s="351">
        <v>1.720689655172414</v>
      </c>
      <c r="AI213" s="352">
        <v>1.996</v>
      </c>
      <c r="AJ213" s="206">
        <v>16</v>
      </c>
      <c r="AK213" s="353" t="s">
        <v>210</v>
      </c>
      <c r="AL213" s="206">
        <v>0</v>
      </c>
      <c r="AM213" s="349">
        <v>99.140289341199519</v>
      </c>
      <c r="AN213" s="354" t="s">
        <v>139</v>
      </c>
      <c r="AO213" s="355" t="s">
        <v>140</v>
      </c>
      <c r="AP213" s="206" t="s">
        <v>139</v>
      </c>
      <c r="AQ213" s="207" t="s">
        <v>477</v>
      </c>
      <c r="AR213" s="211"/>
      <c r="AS213" s="297">
        <f>+IF(Table1[[#This Row],[Column40]]="ok",Table1[[#This Row],[Column7]],0)</f>
        <v>951.17</v>
      </c>
      <c r="AT213" s="295">
        <f>+IF(Table1[[#This Row],[Column40]]="No",Table1[[#This Row],[Column7]],0)</f>
        <v>0</v>
      </c>
      <c r="AU213" s="4" t="str">
        <f>+IF(LEFT(Table1[[#This Row],[Column42]],2)="DN",IF(Table1[[#This Row],[Column40]]="ok","(CA)",_xlfn.CONCAT("(CA)",CHAR(10),"FAIL")),"")</f>
        <v/>
      </c>
      <c r="AV213" s="154" t="str">
        <f>+IF(Table1[[#This Row],[Column6]]=0,"",_xlfn.CONCAT("Sem ",WEEKNUM(Table1[[#This Row],[Column6]],2)))</f>
        <v>Sem 11</v>
      </c>
      <c r="AW213" s="211"/>
    </row>
    <row r="214" spans="2:49" ht="19.5" customHeight="1" x14ac:dyDescent="0.3">
      <c r="B214" s="356" t="s">
        <v>477</v>
      </c>
      <c r="C214" s="331"/>
      <c r="D214" s="332" t="s">
        <v>132</v>
      </c>
      <c r="E214" s="332" t="s">
        <v>176</v>
      </c>
      <c r="F214" s="333"/>
      <c r="G214" s="334">
        <v>46092</v>
      </c>
      <c r="H214" s="335">
        <v>951.17</v>
      </c>
      <c r="I214" s="336">
        <v>326.85000000000002</v>
      </c>
      <c r="J214" s="337">
        <v>2550.77</v>
      </c>
      <c r="K214" s="338" t="s">
        <v>236</v>
      </c>
      <c r="L214" s="339" t="s">
        <v>237</v>
      </c>
      <c r="M214" s="340">
        <v>15</v>
      </c>
      <c r="N214" s="341"/>
      <c r="O214" s="332"/>
      <c r="P214" s="342">
        <v>9.6178343949044738</v>
      </c>
      <c r="Q214" s="343"/>
      <c r="R214" s="344">
        <v>1.7140991187294208</v>
      </c>
      <c r="S214" s="344"/>
      <c r="T214" s="344">
        <v>1.8789583333333333</v>
      </c>
      <c r="U214" s="344" t="s">
        <v>142</v>
      </c>
      <c r="V214" s="332" t="s">
        <v>137</v>
      </c>
      <c r="W214" s="345">
        <v>6</v>
      </c>
      <c r="X214" s="346">
        <v>8</v>
      </c>
      <c r="Y214" s="208"/>
      <c r="Z214" s="332" t="s">
        <v>143</v>
      </c>
      <c r="AA214" s="342">
        <v>99.426751592356695</v>
      </c>
      <c r="AB214" s="342">
        <v>83.375796178343947</v>
      </c>
      <c r="AC214" s="342">
        <v>38.471337579617838</v>
      </c>
      <c r="AD214" s="347">
        <v>13.216560509554142</v>
      </c>
      <c r="AE214" s="358">
        <v>1.7210000000000001</v>
      </c>
      <c r="AF214" s="349">
        <v>16</v>
      </c>
      <c r="AG214" s="350" t="s">
        <v>210</v>
      </c>
      <c r="AH214" s="351">
        <v>1.7206037635059659</v>
      </c>
      <c r="AI214" s="351">
        <v>1.9957310565635005</v>
      </c>
      <c r="AJ214" s="206">
        <v>15.990159901599016</v>
      </c>
      <c r="AK214" s="353" t="s">
        <v>210</v>
      </c>
      <c r="AL214" s="206">
        <v>9.8400984009838766E-3</v>
      </c>
      <c r="AM214" s="349">
        <v>99.599019101070354</v>
      </c>
      <c r="AN214" s="354" t="s">
        <v>139</v>
      </c>
      <c r="AO214" s="355" t="s">
        <v>144</v>
      </c>
      <c r="AP214" s="206">
        <v>0</v>
      </c>
      <c r="AQ214" s="246" t="s">
        <v>476</v>
      </c>
      <c r="AR214" s="211"/>
      <c r="AS214" s="297">
        <f>+IF(Table1[[#This Row],[Column40]]="ok",Table1[[#This Row],[Column7]],0)</f>
        <v>951.17</v>
      </c>
      <c r="AT214" s="295">
        <f>+IF(Table1[[#This Row],[Column40]]="No",Table1[[#This Row],[Column7]],0)</f>
        <v>0</v>
      </c>
      <c r="AU214" s="4" t="str">
        <f>+IF(LEFT(Table1[[#This Row],[Column42]],2)="DN",IF(Table1[[#This Row],[Column40]]="ok","(CA)",_xlfn.CONCAT("(CA)",CHAR(10),"FAIL")),"")</f>
        <v>(CA)</v>
      </c>
      <c r="AV214" s="154" t="str">
        <f>+IF(Table1[[#This Row],[Column6]]=0,"",_xlfn.CONCAT("Sem ",WEEKNUM(Table1[[#This Row],[Column6]],2)))</f>
        <v>Sem 11</v>
      </c>
      <c r="AW214" s="211"/>
    </row>
    <row r="215" spans="2:49" ht="19.5" customHeight="1" x14ac:dyDescent="0.3">
      <c r="B215" s="356" t="s">
        <v>478</v>
      </c>
      <c r="C215" s="331"/>
      <c r="D215" s="332" t="s">
        <v>132</v>
      </c>
      <c r="E215" s="332" t="s">
        <v>176</v>
      </c>
      <c r="F215" s="333"/>
      <c r="G215" s="334">
        <v>46092</v>
      </c>
      <c r="H215" s="335">
        <v>1006.28</v>
      </c>
      <c r="I215" s="336">
        <v>345.91</v>
      </c>
      <c r="J215" s="337">
        <v>2546.62</v>
      </c>
      <c r="K215" s="338" t="s">
        <v>236</v>
      </c>
      <c r="L215" s="339" t="s">
        <v>242</v>
      </c>
      <c r="M215" s="340">
        <v>30</v>
      </c>
      <c r="N215" s="341">
        <v>85462</v>
      </c>
      <c r="O215" s="332">
        <v>59.78</v>
      </c>
      <c r="P215" s="342">
        <v>9.9</v>
      </c>
      <c r="Q215" s="343">
        <v>9.6420323325635096</v>
      </c>
      <c r="R215" s="344">
        <v>1.7279344858962693</v>
      </c>
      <c r="S215" s="344">
        <v>1.732</v>
      </c>
      <c r="T215" s="344">
        <v>1.899</v>
      </c>
      <c r="U215" s="344" t="s">
        <v>136</v>
      </c>
      <c r="V215" s="332" t="s">
        <v>137</v>
      </c>
      <c r="W215" s="345">
        <v>8</v>
      </c>
      <c r="X215" s="346">
        <v>4</v>
      </c>
      <c r="Y215" s="208">
        <v>2.8069999999999999</v>
      </c>
      <c r="Z215" s="332"/>
      <c r="AA215" s="342"/>
      <c r="AB215" s="342"/>
      <c r="AC215" s="342"/>
      <c r="AD215" s="347"/>
      <c r="AE215" s="358">
        <v>1.716</v>
      </c>
      <c r="AF215" s="349">
        <v>0</v>
      </c>
      <c r="AG215" s="350"/>
      <c r="AH215" s="351" t="s">
        <v>139</v>
      </c>
      <c r="AI215" s="351" t="s">
        <v>139</v>
      </c>
      <c r="AJ215" s="206" t="s">
        <v>139</v>
      </c>
      <c r="AK215" s="353" t="s">
        <v>437</v>
      </c>
      <c r="AL215" s="206" t="s">
        <v>139</v>
      </c>
      <c r="AM215" s="349">
        <v>100.69548286108795</v>
      </c>
      <c r="AN215" s="354" t="s">
        <v>139</v>
      </c>
      <c r="AO215" s="355" t="s">
        <v>140</v>
      </c>
      <c r="AP215" s="206" t="s">
        <v>139</v>
      </c>
      <c r="AQ215" s="246"/>
      <c r="AR215" s="211"/>
      <c r="AS215" s="297">
        <f>+IF(Table1[[#This Row],[Column40]]="ok",Table1[[#This Row],[Column7]],0)</f>
        <v>1006.28</v>
      </c>
      <c r="AT215" s="295">
        <f>+IF(Table1[[#This Row],[Column40]]="No",Table1[[#This Row],[Column7]],0)</f>
        <v>0</v>
      </c>
      <c r="AU215" s="4" t="str">
        <f>+IF(LEFT(Table1[[#This Row],[Column42]],2)="DN",IF(Table1[[#This Row],[Column40]]="ok","(CA)",_xlfn.CONCAT("(CA)",CHAR(10),"FAIL")),"")</f>
        <v/>
      </c>
      <c r="AV215" s="154" t="str">
        <f>+IF(Table1[[#This Row],[Column6]]=0,"",_xlfn.CONCAT("Sem ",WEEKNUM(Table1[[#This Row],[Column6]],2)))</f>
        <v>Sem 11</v>
      </c>
      <c r="AW215" s="211"/>
    </row>
    <row r="216" spans="2:49" ht="19.5" customHeight="1" x14ac:dyDescent="0.3">
      <c r="B216" s="356" t="s">
        <v>479</v>
      </c>
      <c r="C216" s="331"/>
      <c r="D216" s="332" t="s">
        <v>132</v>
      </c>
      <c r="E216" s="332" t="s">
        <v>176</v>
      </c>
      <c r="F216" s="333"/>
      <c r="G216" s="334">
        <v>46092</v>
      </c>
      <c r="H216" s="335">
        <v>1054.5899999999999</v>
      </c>
      <c r="I216" s="336">
        <v>353.69</v>
      </c>
      <c r="J216" s="337">
        <v>2544.19</v>
      </c>
      <c r="K216" s="338" t="s">
        <v>236</v>
      </c>
      <c r="L216" s="339" t="s">
        <v>245</v>
      </c>
      <c r="M216" s="340">
        <v>30</v>
      </c>
      <c r="N216" s="341">
        <v>85462</v>
      </c>
      <c r="O216" s="332">
        <v>59.78</v>
      </c>
      <c r="P216" s="342">
        <v>10.100000000000001</v>
      </c>
      <c r="Q216" s="343">
        <v>9.366236679753225</v>
      </c>
      <c r="R216" s="344">
        <v>1.771117166212534</v>
      </c>
      <c r="S216" s="344">
        <v>1.7829999999999999</v>
      </c>
      <c r="T216" s="344">
        <v>1.95</v>
      </c>
      <c r="U216" s="344" t="s">
        <v>136</v>
      </c>
      <c r="V216" s="332" t="s">
        <v>137</v>
      </c>
      <c r="W216" s="345">
        <v>8</v>
      </c>
      <c r="X216" s="346">
        <v>4</v>
      </c>
      <c r="Y216" s="208">
        <v>2.8069999999999999</v>
      </c>
      <c r="Z216" s="332"/>
      <c r="AA216" s="342"/>
      <c r="AB216" s="342"/>
      <c r="AC216" s="342"/>
      <c r="AD216" s="347"/>
      <c r="AE216" s="358">
        <v>1.716</v>
      </c>
      <c r="AF216" s="349">
        <v>0</v>
      </c>
      <c r="AG216" s="350"/>
      <c r="AH216" s="351" t="s">
        <v>139</v>
      </c>
      <c r="AI216" s="352" t="s">
        <v>139</v>
      </c>
      <c r="AJ216" s="206" t="s">
        <v>139</v>
      </c>
      <c r="AK216" s="353" t="s">
        <v>437</v>
      </c>
      <c r="AL216" s="206" t="s">
        <v>139</v>
      </c>
      <c r="AM216" s="349">
        <v>103.2119560729915</v>
      </c>
      <c r="AN216" s="354" t="s">
        <v>139</v>
      </c>
      <c r="AO216" s="355" t="s">
        <v>140</v>
      </c>
      <c r="AP216" s="206" t="s">
        <v>139</v>
      </c>
      <c r="AQ216" s="246"/>
      <c r="AR216" s="211"/>
      <c r="AS216" s="297">
        <f>+IF(Table1[[#This Row],[Column40]]="ok",Table1[[#This Row],[Column7]],0)</f>
        <v>1054.5899999999999</v>
      </c>
      <c r="AT216" s="295">
        <f>+IF(Table1[[#This Row],[Column40]]="No",Table1[[#This Row],[Column7]],0)</f>
        <v>0</v>
      </c>
      <c r="AU216" s="4" t="str">
        <f>+IF(LEFT(Table1[[#This Row],[Column42]],2)="DN",IF(Table1[[#This Row],[Column40]]="ok","(CA)",_xlfn.CONCAT("(CA)",CHAR(10),"FAIL")),"")</f>
        <v/>
      </c>
      <c r="AV216" s="154" t="str">
        <f>+IF(Table1[[#This Row],[Column6]]=0,"",_xlfn.CONCAT("Sem ",WEEKNUM(Table1[[#This Row],[Column6]],2)))</f>
        <v>Sem 11</v>
      </c>
      <c r="AW216" s="211"/>
    </row>
    <row r="217" spans="2:49" ht="19.5" customHeight="1" x14ac:dyDescent="0.3">
      <c r="B217" s="356" t="s">
        <v>480</v>
      </c>
      <c r="C217" s="331"/>
      <c r="D217" s="332" t="s">
        <v>132</v>
      </c>
      <c r="E217" s="332" t="s">
        <v>176</v>
      </c>
      <c r="F217" s="333"/>
      <c r="G217" s="334">
        <v>46092</v>
      </c>
      <c r="H217" s="335">
        <v>1036.4100000000001</v>
      </c>
      <c r="I217" s="336">
        <v>399.26</v>
      </c>
      <c r="J217" s="337">
        <v>2530.7600000000002</v>
      </c>
      <c r="K217" s="338" t="s">
        <v>236</v>
      </c>
      <c r="L217" s="339" t="s">
        <v>245</v>
      </c>
      <c r="M217" s="340">
        <v>30</v>
      </c>
      <c r="N217" s="341">
        <v>85462</v>
      </c>
      <c r="O217" s="332">
        <v>59.78</v>
      </c>
      <c r="P217" s="342">
        <v>9.9</v>
      </c>
      <c r="Q217" s="343">
        <v>9.254947613504072</v>
      </c>
      <c r="R217" s="344">
        <v>1.7079162875341221</v>
      </c>
      <c r="S217" s="344">
        <v>1.718</v>
      </c>
      <c r="T217" s="344">
        <v>1.877</v>
      </c>
      <c r="U217" s="344" t="s">
        <v>136</v>
      </c>
      <c r="V217" s="332" t="s">
        <v>137</v>
      </c>
      <c r="W217" s="345">
        <v>8</v>
      </c>
      <c r="X217" s="346">
        <v>4</v>
      </c>
      <c r="Y217" s="208">
        <v>2.8069999999999999</v>
      </c>
      <c r="Z217" s="332"/>
      <c r="AA217" s="342"/>
      <c r="AB217" s="342"/>
      <c r="AC217" s="342"/>
      <c r="AD217" s="347"/>
      <c r="AE217" s="358">
        <v>1.716</v>
      </c>
      <c r="AF217" s="349" t="s">
        <v>139</v>
      </c>
      <c r="AG217" s="350"/>
      <c r="AH217" s="351" t="s">
        <v>139</v>
      </c>
      <c r="AI217" s="351" t="s">
        <v>139</v>
      </c>
      <c r="AJ217" s="206" t="s">
        <v>139</v>
      </c>
      <c r="AK217" s="353" t="s">
        <v>437</v>
      </c>
      <c r="AL217" s="206" t="s">
        <v>139</v>
      </c>
      <c r="AM217" s="349">
        <v>99.528921184972148</v>
      </c>
      <c r="AN217" s="354" t="s">
        <v>139</v>
      </c>
      <c r="AO217" s="355" t="s">
        <v>140</v>
      </c>
      <c r="AP217" s="206" t="s">
        <v>139</v>
      </c>
      <c r="AQ217" s="246"/>
      <c r="AR217" s="211"/>
      <c r="AS217" s="297">
        <f>+IF(Table1[[#This Row],[Column40]]="ok",Table1[[#This Row],[Column7]],0)</f>
        <v>1036.4100000000001</v>
      </c>
      <c r="AT217" s="295">
        <f>+IF(Table1[[#This Row],[Column40]]="No",Table1[[#This Row],[Column7]],0)</f>
        <v>0</v>
      </c>
      <c r="AU217" s="4" t="str">
        <f>+IF(LEFT(Table1[[#This Row],[Column42]],2)="DN",IF(Table1[[#This Row],[Column40]]="ok","(CA)",_xlfn.CONCAT("(CA)",CHAR(10),"FAIL")),"")</f>
        <v/>
      </c>
      <c r="AV217" s="154" t="str">
        <f>+IF(Table1[[#This Row],[Column6]]=0,"",_xlfn.CONCAT("Sem ",WEEKNUM(Table1[[#This Row],[Column6]],2)))</f>
        <v>Sem 11</v>
      </c>
      <c r="AW217" s="211"/>
    </row>
    <row r="218" spans="2:49" ht="19.5" customHeight="1" x14ac:dyDescent="0.3">
      <c r="B218" s="356" t="s">
        <v>481</v>
      </c>
      <c r="C218" s="331"/>
      <c r="D218" s="332" t="s">
        <v>132</v>
      </c>
      <c r="E218" s="332" t="s">
        <v>176</v>
      </c>
      <c r="F218" s="333"/>
      <c r="G218" s="334">
        <v>46092</v>
      </c>
      <c r="H218" s="335">
        <v>1787.07</v>
      </c>
      <c r="I218" s="336">
        <v>-55.84</v>
      </c>
      <c r="J218" s="337">
        <v>2635.5</v>
      </c>
      <c r="K218" s="338" t="s">
        <v>134</v>
      </c>
      <c r="L218" s="339" t="s">
        <v>198</v>
      </c>
      <c r="M218" s="340">
        <v>30</v>
      </c>
      <c r="N218" s="341">
        <v>85462</v>
      </c>
      <c r="O218" s="332">
        <v>59.78</v>
      </c>
      <c r="P218" s="342">
        <v>6.3</v>
      </c>
      <c r="Q218" s="343">
        <v>10.360884749708955</v>
      </c>
      <c r="R218" s="344">
        <v>1.7836312323612418</v>
      </c>
      <c r="S218" s="344">
        <v>1.718</v>
      </c>
      <c r="T218" s="344">
        <v>1.8959999999999999</v>
      </c>
      <c r="U218" s="344" t="s">
        <v>136</v>
      </c>
      <c r="V218" s="332" t="s">
        <v>169</v>
      </c>
      <c r="W218" s="345">
        <v>4</v>
      </c>
      <c r="X218" s="346">
        <v>2</v>
      </c>
      <c r="Y218" s="208">
        <v>2.8069999999999999</v>
      </c>
      <c r="Z218" s="332"/>
      <c r="AA218" s="342"/>
      <c r="AB218" s="342"/>
      <c r="AC218" s="342"/>
      <c r="AD218" s="123"/>
      <c r="AE218" s="358">
        <v>1.716</v>
      </c>
      <c r="AF218" s="349">
        <v>0</v>
      </c>
      <c r="AG218" s="350"/>
      <c r="AH218" s="351" t="s">
        <v>139</v>
      </c>
      <c r="AI218" s="351" t="s">
        <v>139</v>
      </c>
      <c r="AJ218" s="206" t="s">
        <v>139</v>
      </c>
      <c r="AK218" s="353" t="s">
        <v>437</v>
      </c>
      <c r="AL218" s="206" t="s">
        <v>139</v>
      </c>
      <c r="AM218" s="349">
        <v>103.94121400706537</v>
      </c>
      <c r="AN218" s="354" t="s">
        <v>139</v>
      </c>
      <c r="AO218" s="355" t="s">
        <v>140</v>
      </c>
      <c r="AP218" s="206" t="s">
        <v>139</v>
      </c>
      <c r="AQ218" s="246"/>
      <c r="AR218" s="211"/>
      <c r="AS218" s="297">
        <f>+IF(Table1[[#This Row],[Column40]]="ok",Table1[[#This Row],[Column7]],0)</f>
        <v>1787.07</v>
      </c>
      <c r="AT218" s="295">
        <f>+IF(Table1[[#This Row],[Column40]]="No",Table1[[#This Row],[Column7]],0)</f>
        <v>0</v>
      </c>
      <c r="AU218" s="4" t="str">
        <f>+IF(LEFT(Table1[[#This Row],[Column42]],2)="DN",IF(Table1[[#This Row],[Column40]]="ok","(CA)",_xlfn.CONCAT("(CA)",CHAR(10),"FAIL")),"")</f>
        <v/>
      </c>
      <c r="AV218" s="154" t="str">
        <f>+IF(Table1[[#This Row],[Column6]]=0,"",_xlfn.CONCAT("Sem ",WEEKNUM(Table1[[#This Row],[Column6]],2)))</f>
        <v>Sem 11</v>
      </c>
      <c r="AW218" s="211"/>
    </row>
    <row r="219" spans="2:49" ht="19.5" customHeight="1" x14ac:dyDescent="0.3">
      <c r="B219" s="356" t="s">
        <v>482</v>
      </c>
      <c r="C219" s="331"/>
      <c r="D219" s="332" t="s">
        <v>132</v>
      </c>
      <c r="E219" s="332" t="s">
        <v>176</v>
      </c>
      <c r="F219" s="333"/>
      <c r="G219" s="334">
        <v>46092</v>
      </c>
      <c r="H219" s="335">
        <v>2050.34</v>
      </c>
      <c r="I219" s="336">
        <v>-219.98</v>
      </c>
      <c r="J219" s="337">
        <v>2635.6</v>
      </c>
      <c r="K219" s="338" t="s">
        <v>218</v>
      </c>
      <c r="L219" s="339" t="s">
        <v>193</v>
      </c>
      <c r="M219" s="340">
        <v>30</v>
      </c>
      <c r="N219" s="341">
        <v>85462</v>
      </c>
      <c r="O219" s="332">
        <v>59.78</v>
      </c>
      <c r="P219" s="342">
        <v>8.5</v>
      </c>
      <c r="Q219" s="343">
        <v>10.431235431235431</v>
      </c>
      <c r="R219" s="344">
        <v>1.7465437788018434</v>
      </c>
      <c r="S219" s="344">
        <v>1.716</v>
      </c>
      <c r="T219" s="344">
        <v>1.895</v>
      </c>
      <c r="U219" s="344" t="s">
        <v>136</v>
      </c>
      <c r="V219" s="332" t="s">
        <v>169</v>
      </c>
      <c r="W219" s="345">
        <v>4</v>
      </c>
      <c r="X219" s="346">
        <v>2</v>
      </c>
      <c r="Y219" s="208">
        <v>2.8069999999999999</v>
      </c>
      <c r="Z219" s="332"/>
      <c r="AA219" s="342"/>
      <c r="AB219" s="342"/>
      <c r="AC219" s="342"/>
      <c r="AD219" s="123"/>
      <c r="AE219" s="358">
        <v>1.706</v>
      </c>
      <c r="AF219" s="349">
        <v>0</v>
      </c>
      <c r="AG219" s="350"/>
      <c r="AH219" s="351" t="s">
        <v>139</v>
      </c>
      <c r="AI219" s="351" t="s">
        <v>139</v>
      </c>
      <c r="AJ219" s="206" t="s">
        <v>139</v>
      </c>
      <c r="AK219" s="353" t="s">
        <v>360</v>
      </c>
      <c r="AL219" s="206" t="s">
        <v>139</v>
      </c>
      <c r="AM219" s="349">
        <v>102.37654037525461</v>
      </c>
      <c r="AN219" s="354" t="s">
        <v>139</v>
      </c>
      <c r="AO219" s="355" t="s">
        <v>140</v>
      </c>
      <c r="AP219" s="206" t="s">
        <v>139</v>
      </c>
      <c r="AQ219" s="246"/>
      <c r="AR219" s="211"/>
      <c r="AS219" s="297">
        <f>+IF(Table1[[#This Row],[Column40]]="ok",Table1[[#This Row],[Column7]],0)</f>
        <v>2050.34</v>
      </c>
      <c r="AT219" s="295">
        <f>+IF(Table1[[#This Row],[Column40]]="No",Table1[[#This Row],[Column7]],0)</f>
        <v>0</v>
      </c>
      <c r="AU219" s="4" t="str">
        <f>+IF(LEFT(Table1[[#This Row],[Column42]],2)="DN",IF(Table1[[#This Row],[Column40]]="ok","(CA)",_xlfn.CONCAT("(CA)",CHAR(10),"FAIL")),"")</f>
        <v/>
      </c>
      <c r="AV219" s="154" t="str">
        <f>+IF(Table1[[#This Row],[Column6]]=0,"",_xlfn.CONCAT("Sem ",WEEKNUM(Table1[[#This Row],[Column6]],2)))</f>
        <v>Sem 11</v>
      </c>
      <c r="AW219" s="211"/>
    </row>
    <row r="220" spans="2:49" ht="19.5" customHeight="1" x14ac:dyDescent="0.3">
      <c r="B220" s="356" t="s">
        <v>483</v>
      </c>
      <c r="C220" s="331"/>
      <c r="D220" s="332" t="s">
        <v>132</v>
      </c>
      <c r="E220" s="332" t="s">
        <v>176</v>
      </c>
      <c r="F220" s="333"/>
      <c r="G220" s="334">
        <v>46092</v>
      </c>
      <c r="H220" s="335">
        <v>2125.81</v>
      </c>
      <c r="I220" s="336">
        <v>-71.47</v>
      </c>
      <c r="J220" s="337">
        <v>2603.0300000000002</v>
      </c>
      <c r="K220" s="338" t="s">
        <v>218</v>
      </c>
      <c r="L220" s="339" t="s">
        <v>215</v>
      </c>
      <c r="M220" s="340">
        <v>30</v>
      </c>
      <c r="N220" s="341">
        <v>85462</v>
      </c>
      <c r="O220" s="332">
        <v>59.78</v>
      </c>
      <c r="P220" s="342">
        <v>10.7</v>
      </c>
      <c r="Q220" s="343">
        <v>10.160734787600468</v>
      </c>
      <c r="R220" s="344">
        <v>1.7335140018066848</v>
      </c>
      <c r="S220" s="344">
        <v>1.742</v>
      </c>
      <c r="T220" s="344">
        <v>1.919</v>
      </c>
      <c r="U220" s="344" t="s">
        <v>136</v>
      </c>
      <c r="V220" s="332" t="s">
        <v>234</v>
      </c>
      <c r="W220" s="345">
        <v>6</v>
      </c>
      <c r="X220" s="346">
        <v>8</v>
      </c>
      <c r="Y220" s="208">
        <v>2.8069999999999999</v>
      </c>
      <c r="Z220" s="332"/>
      <c r="AA220" s="342"/>
      <c r="AB220" s="342"/>
      <c r="AC220" s="342"/>
      <c r="AD220" s="123"/>
      <c r="AE220" s="358">
        <v>1.706</v>
      </c>
      <c r="AF220" s="349">
        <v>0</v>
      </c>
      <c r="AG220" s="350"/>
      <c r="AH220" s="351" t="s">
        <v>139</v>
      </c>
      <c r="AI220" s="351" t="s">
        <v>139</v>
      </c>
      <c r="AJ220" s="206" t="s">
        <v>139</v>
      </c>
      <c r="AK220" s="353" t="s">
        <v>360</v>
      </c>
      <c r="AL220" s="206" t="s">
        <v>139</v>
      </c>
      <c r="AM220" s="349">
        <v>101.61277853497566</v>
      </c>
      <c r="AN220" s="354" t="s">
        <v>139</v>
      </c>
      <c r="AO220" s="355" t="s">
        <v>140</v>
      </c>
      <c r="AP220" s="206" t="s">
        <v>139</v>
      </c>
      <c r="AQ220" s="207"/>
      <c r="AR220" s="211"/>
      <c r="AS220" s="297">
        <f>+IF(Table1[[#This Row],[Column40]]="ok",Table1[[#This Row],[Column7]],0)</f>
        <v>2125.81</v>
      </c>
      <c r="AT220" s="295">
        <f>+IF(Table1[[#This Row],[Column40]]="No",Table1[[#This Row],[Column7]],0)</f>
        <v>0</v>
      </c>
      <c r="AU220" s="4" t="str">
        <f>+IF(LEFT(Table1[[#This Row],[Column42]],2)="DN",IF(Table1[[#This Row],[Column40]]="ok","(CA)",_xlfn.CONCAT("(CA)",CHAR(10),"FAIL")),"")</f>
        <v/>
      </c>
      <c r="AV220" s="154" t="str">
        <f>+IF(Table1[[#This Row],[Column6]]=0,"",_xlfn.CONCAT("Sem ",WEEKNUM(Table1[[#This Row],[Column6]],2)))</f>
        <v>Sem 11</v>
      </c>
      <c r="AW220" s="211"/>
    </row>
    <row r="221" spans="2:49" ht="19.5" customHeight="1" x14ac:dyDescent="0.3">
      <c r="B221" s="356" t="s">
        <v>484</v>
      </c>
      <c r="C221" s="331"/>
      <c r="D221" s="332" t="s">
        <v>132</v>
      </c>
      <c r="E221" s="332" t="s">
        <v>133</v>
      </c>
      <c r="F221" s="333"/>
      <c r="G221" s="334">
        <v>46093</v>
      </c>
      <c r="H221" s="335">
        <v>863.17</v>
      </c>
      <c r="I221" s="336">
        <v>44.4</v>
      </c>
      <c r="J221" s="337">
        <v>2631.88</v>
      </c>
      <c r="K221" s="338" t="s">
        <v>200</v>
      </c>
      <c r="L221" s="339" t="s">
        <v>302</v>
      </c>
      <c r="M221" s="340" t="s">
        <v>293</v>
      </c>
      <c r="N221" s="341" t="s">
        <v>293</v>
      </c>
      <c r="O221" s="332" t="s">
        <v>293</v>
      </c>
      <c r="P221" s="342" t="s">
        <v>293</v>
      </c>
      <c r="Q221" s="343" t="s">
        <v>293</v>
      </c>
      <c r="R221" s="344" t="s">
        <v>293</v>
      </c>
      <c r="S221" s="344" t="s">
        <v>293</v>
      </c>
      <c r="T221" s="344" t="s">
        <v>293</v>
      </c>
      <c r="U221" s="344" t="s">
        <v>294</v>
      </c>
      <c r="V221" s="332" t="s">
        <v>293</v>
      </c>
      <c r="W221" s="345" t="s">
        <v>293</v>
      </c>
      <c r="X221" s="346" t="s">
        <v>293</v>
      </c>
      <c r="Y221" s="208">
        <v>2.7280062392390843</v>
      </c>
      <c r="Z221" s="332" t="s">
        <v>227</v>
      </c>
      <c r="AA221" s="342">
        <v>98.590308370044056</v>
      </c>
      <c r="AB221" s="342">
        <v>75.418502202643168</v>
      </c>
      <c r="AC221" s="342">
        <v>33.788546255506617</v>
      </c>
      <c r="AD221" s="123">
        <v>9.7356828193832712</v>
      </c>
      <c r="AE221" s="358">
        <v>1.7041109539958228</v>
      </c>
      <c r="AF221" s="349">
        <v>16.110574767511871</v>
      </c>
      <c r="AG221" s="350" t="s">
        <v>484</v>
      </c>
      <c r="AH221" s="351" t="s">
        <v>293</v>
      </c>
      <c r="AI221" s="352" t="s">
        <v>293</v>
      </c>
      <c r="AJ221" s="206" t="s">
        <v>293</v>
      </c>
      <c r="AK221" s="353" t="s">
        <v>293</v>
      </c>
      <c r="AL221" s="206" t="s">
        <v>293</v>
      </c>
      <c r="AM221" s="349" t="s">
        <v>293</v>
      </c>
      <c r="AN221" s="354" t="s">
        <v>293</v>
      </c>
      <c r="AO221" s="355" t="s">
        <v>293</v>
      </c>
      <c r="AP221" s="206" t="s">
        <v>293</v>
      </c>
      <c r="AQ221" s="246" t="s">
        <v>295</v>
      </c>
      <c r="AR221" s="211"/>
      <c r="AS221" s="297">
        <f>+IF(Table1[[#This Row],[Column40]]="ok",Table1[[#This Row],[Column7]],0)</f>
        <v>0</v>
      </c>
      <c r="AT221" s="295">
        <f>+IF(Table1[[#This Row],[Column40]]="No",Table1[[#This Row],[Column7]],0)</f>
        <v>0</v>
      </c>
      <c r="AU221" s="4" t="str">
        <f>+IF(LEFT(Table1[[#This Row],[Column42]],2)="DN",IF(Table1[[#This Row],[Column40]]="ok","(CA)",_xlfn.CONCAT("(CA)",CHAR(10),"FAIL")),"")</f>
        <v/>
      </c>
      <c r="AV221" s="154" t="str">
        <f>+IF(Table1[[#This Row],[Column6]]=0,"",_xlfn.CONCAT("Sem ",WEEKNUM(Table1[[#This Row],[Column6]],2)))</f>
        <v>Sem 11</v>
      </c>
      <c r="AW221" s="211"/>
    </row>
    <row r="222" spans="2:49" ht="19.5" customHeight="1" x14ac:dyDescent="0.3">
      <c r="B222" s="356" t="s">
        <v>485</v>
      </c>
      <c r="C222" s="331"/>
      <c r="D222" s="332" t="s">
        <v>132</v>
      </c>
      <c r="E222" s="332" t="s">
        <v>133</v>
      </c>
      <c r="F222" s="333"/>
      <c r="G222" s="334">
        <v>46093</v>
      </c>
      <c r="H222" s="335">
        <v>1877.95</v>
      </c>
      <c r="I222" s="336">
        <v>-182.78</v>
      </c>
      <c r="J222" s="337">
        <v>2635.59</v>
      </c>
      <c r="K222" s="338" t="s">
        <v>134</v>
      </c>
      <c r="L222" s="339" t="s">
        <v>486</v>
      </c>
      <c r="M222" s="340">
        <v>30</v>
      </c>
      <c r="N222" s="341">
        <v>85462</v>
      </c>
      <c r="O222" s="332">
        <v>59.78</v>
      </c>
      <c r="P222" s="342">
        <v>16.2</v>
      </c>
      <c r="Q222" s="343">
        <v>14.310645724258286</v>
      </c>
      <c r="R222" s="344">
        <v>1.6910499139414803</v>
      </c>
      <c r="S222" s="344">
        <v>1.7190000000000001</v>
      </c>
      <c r="T222" s="344">
        <v>1.9650000000000001</v>
      </c>
      <c r="U222" s="344" t="s">
        <v>136</v>
      </c>
      <c r="V222" s="332" t="s">
        <v>191</v>
      </c>
      <c r="W222" s="345">
        <v>6</v>
      </c>
      <c r="X222" s="346">
        <v>3</v>
      </c>
      <c r="Y222" s="208">
        <v>2.8069999999999999</v>
      </c>
      <c r="Z222" s="332"/>
      <c r="AA222" s="342"/>
      <c r="AB222" s="342"/>
      <c r="AC222" s="342"/>
      <c r="AD222" s="123"/>
      <c r="AE222" s="358">
        <v>1.716</v>
      </c>
      <c r="AF222" s="349">
        <v>0</v>
      </c>
      <c r="AG222" s="350"/>
      <c r="AH222" s="351" t="s">
        <v>139</v>
      </c>
      <c r="AI222" s="351" t="s">
        <v>139</v>
      </c>
      <c r="AJ222" s="206" t="s">
        <v>139</v>
      </c>
      <c r="AK222" s="353" t="s">
        <v>437</v>
      </c>
      <c r="AL222" s="206" t="s">
        <v>139</v>
      </c>
      <c r="AM222" s="349">
        <v>98.546032280972057</v>
      </c>
      <c r="AN222" s="354" t="s">
        <v>139</v>
      </c>
      <c r="AO222" s="355" t="s">
        <v>140</v>
      </c>
      <c r="AP222" s="206" t="s">
        <v>139</v>
      </c>
      <c r="AQ222" s="246">
        <v>0</v>
      </c>
      <c r="AR222" s="211"/>
      <c r="AS222" s="297">
        <f>+IF(Table1[[#This Row],[Column40]]="ok",Table1[[#This Row],[Column7]],0)</f>
        <v>1877.95</v>
      </c>
      <c r="AT222" s="295">
        <f>+IF(Table1[[#This Row],[Column40]]="No",Table1[[#This Row],[Column7]],0)</f>
        <v>0</v>
      </c>
      <c r="AU222" s="4" t="str">
        <f>+IF(LEFT(Table1[[#This Row],[Column42]],2)="DN",IF(Table1[[#This Row],[Column40]]="ok","(CA)",_xlfn.CONCAT("(CA)",CHAR(10),"FAIL")),"")</f>
        <v/>
      </c>
      <c r="AV222" s="154" t="str">
        <f>+IF(Table1[[#This Row],[Column6]]=0,"",_xlfn.CONCAT("Sem ",WEEKNUM(Table1[[#This Row],[Column6]],2)))</f>
        <v>Sem 11</v>
      </c>
      <c r="AW222" s="211"/>
    </row>
    <row r="223" spans="2:49" ht="19.5" customHeight="1" x14ac:dyDescent="0.3">
      <c r="B223" s="356" t="s">
        <v>487</v>
      </c>
      <c r="C223" s="331"/>
      <c r="D223" s="332" t="s">
        <v>132</v>
      </c>
      <c r="E223" s="332" t="s">
        <v>133</v>
      </c>
      <c r="F223" s="333"/>
      <c r="G223" s="334">
        <v>46093</v>
      </c>
      <c r="H223" s="335">
        <v>1242.82</v>
      </c>
      <c r="I223" s="336">
        <v>422.09</v>
      </c>
      <c r="J223" s="337">
        <v>2522.66</v>
      </c>
      <c r="K223" s="338" t="s">
        <v>253</v>
      </c>
      <c r="L223" s="339" t="s">
        <v>212</v>
      </c>
      <c r="M223" s="340">
        <v>30</v>
      </c>
      <c r="N223" s="341">
        <v>85462</v>
      </c>
      <c r="O223" s="332">
        <v>59.78</v>
      </c>
      <c r="P223" s="342">
        <v>8.3000000000000007</v>
      </c>
      <c r="Q223" s="343">
        <v>8.5379464285714199</v>
      </c>
      <c r="R223" s="344">
        <v>1.795937211449677</v>
      </c>
      <c r="S223" s="344">
        <v>1.792</v>
      </c>
      <c r="T223" s="344">
        <v>1.9450000000000001</v>
      </c>
      <c r="U223" s="344" t="s">
        <v>136</v>
      </c>
      <c r="V223" s="332" t="s">
        <v>137</v>
      </c>
      <c r="W223" s="345">
        <v>8</v>
      </c>
      <c r="X223" s="346">
        <v>4</v>
      </c>
      <c r="Y223" s="208">
        <v>2.8069999999999999</v>
      </c>
      <c r="Z223" s="332"/>
      <c r="AA223" s="342"/>
      <c r="AB223" s="342"/>
      <c r="AC223" s="342"/>
      <c r="AD223" s="347"/>
      <c r="AE223" s="358">
        <v>1.716</v>
      </c>
      <c r="AF223" s="349">
        <v>0</v>
      </c>
      <c r="AG223" s="350"/>
      <c r="AH223" s="351" t="s">
        <v>139</v>
      </c>
      <c r="AI223" s="352" t="s">
        <v>139</v>
      </c>
      <c r="AJ223" s="206" t="s">
        <v>139</v>
      </c>
      <c r="AK223" s="353" t="s">
        <v>467</v>
      </c>
      <c r="AL223" s="206" t="s">
        <v>139</v>
      </c>
      <c r="AM223" s="349">
        <v>104.65834565557559</v>
      </c>
      <c r="AN223" s="354" t="s">
        <v>139</v>
      </c>
      <c r="AO223" s="355" t="s">
        <v>140</v>
      </c>
      <c r="AP223" s="206" t="s">
        <v>139</v>
      </c>
      <c r="AQ223" s="246">
        <v>0</v>
      </c>
      <c r="AR223" s="211"/>
      <c r="AS223" s="297">
        <f>+IF(Table1[[#This Row],[Column40]]="ok",Table1[[#This Row],[Column7]],0)</f>
        <v>1242.82</v>
      </c>
      <c r="AT223" s="295">
        <f>+IF(Table1[[#This Row],[Column40]]="No",Table1[[#This Row],[Column7]],0)</f>
        <v>0</v>
      </c>
      <c r="AU223" s="4" t="str">
        <f>+IF(LEFT(Table1[[#This Row],[Column42]],2)="DN",IF(Table1[[#This Row],[Column40]]="ok","(CA)",_xlfn.CONCAT("(CA)",CHAR(10),"FAIL")),"")</f>
        <v/>
      </c>
      <c r="AV223" s="154" t="str">
        <f>+IF(Table1[[#This Row],[Column6]]=0,"",_xlfn.CONCAT("Sem ",WEEKNUM(Table1[[#This Row],[Column6]],2)))</f>
        <v>Sem 11</v>
      </c>
      <c r="AW223" s="211"/>
    </row>
    <row r="224" spans="2:49" ht="19.5" customHeight="1" x14ac:dyDescent="0.3">
      <c r="B224" s="356" t="s">
        <v>488</v>
      </c>
      <c r="C224" s="331"/>
      <c r="D224" s="332" t="s">
        <v>132</v>
      </c>
      <c r="E224" s="332" t="s">
        <v>133</v>
      </c>
      <c r="F224" s="333"/>
      <c r="G224" s="334">
        <v>46093</v>
      </c>
      <c r="H224" s="335">
        <v>1169.46</v>
      </c>
      <c r="I224" s="336">
        <v>456.99</v>
      </c>
      <c r="J224" s="337">
        <v>2512.37</v>
      </c>
      <c r="K224" s="338" t="s">
        <v>253</v>
      </c>
      <c r="L224" s="339" t="s">
        <v>254</v>
      </c>
      <c r="M224" s="340">
        <v>30</v>
      </c>
      <c r="N224" s="341">
        <v>85462</v>
      </c>
      <c r="O224" s="332">
        <v>59.78</v>
      </c>
      <c r="P224" s="342">
        <v>9.3000000000000007</v>
      </c>
      <c r="Q224" s="343">
        <v>8.3863504916136478</v>
      </c>
      <c r="R224" s="344">
        <v>1.7145471180237879</v>
      </c>
      <c r="S224" s="344">
        <v>1.7290000000000001</v>
      </c>
      <c r="T224" s="344">
        <v>1.8740000000000001</v>
      </c>
      <c r="U224" s="344" t="s">
        <v>136</v>
      </c>
      <c r="V224" s="332" t="s">
        <v>137</v>
      </c>
      <c r="W224" s="345">
        <v>8</v>
      </c>
      <c r="X224" s="346">
        <v>4</v>
      </c>
      <c r="Y224" s="208">
        <v>2.8069999999999999</v>
      </c>
      <c r="Z224" s="332"/>
      <c r="AA224" s="342"/>
      <c r="AB224" s="342"/>
      <c r="AC224" s="342"/>
      <c r="AD224" s="347"/>
      <c r="AE224" s="358">
        <v>1.716</v>
      </c>
      <c r="AF224" s="349" t="s">
        <v>139</v>
      </c>
      <c r="AG224" s="350"/>
      <c r="AH224" s="351" t="s">
        <v>139</v>
      </c>
      <c r="AI224" s="352" t="s">
        <v>139</v>
      </c>
      <c r="AJ224" s="206" t="s">
        <v>139</v>
      </c>
      <c r="AK224" s="353" t="s">
        <v>467</v>
      </c>
      <c r="AL224" s="206" t="s">
        <v>139</v>
      </c>
      <c r="AM224" s="349">
        <v>99.915333218169451</v>
      </c>
      <c r="AN224" s="354" t="s">
        <v>139</v>
      </c>
      <c r="AO224" s="355" t="s">
        <v>140</v>
      </c>
      <c r="AP224" s="206" t="s">
        <v>139</v>
      </c>
      <c r="AQ224" s="246">
        <v>0</v>
      </c>
      <c r="AR224" s="211"/>
      <c r="AS224" s="297">
        <f>+IF(Table1[[#This Row],[Column40]]="ok",Table1[[#This Row],[Column7]],0)</f>
        <v>1169.46</v>
      </c>
      <c r="AT224" s="295">
        <f>+IF(Table1[[#This Row],[Column40]]="No",Table1[[#This Row],[Column7]],0)</f>
        <v>0</v>
      </c>
      <c r="AU224" s="4" t="str">
        <f>+IF(LEFT(Table1[[#This Row],[Column42]],2)="DN",IF(Table1[[#This Row],[Column40]]="ok","(CA)",_xlfn.CONCAT("(CA)",CHAR(10),"FAIL")),"")</f>
        <v/>
      </c>
      <c r="AV224" s="154" t="str">
        <f>+IF(Table1[[#This Row],[Column6]]=0,"",_xlfn.CONCAT("Sem ",WEEKNUM(Table1[[#This Row],[Column6]],2)))</f>
        <v>Sem 11</v>
      </c>
      <c r="AW224" s="211"/>
    </row>
    <row r="225" spans="2:49" ht="19.5" customHeight="1" x14ac:dyDescent="0.3">
      <c r="B225" s="356" t="s">
        <v>489</v>
      </c>
      <c r="C225" s="331"/>
      <c r="D225" s="332" t="s">
        <v>132</v>
      </c>
      <c r="E225" s="332" t="s">
        <v>133</v>
      </c>
      <c r="F225" s="333"/>
      <c r="G225" s="334">
        <v>46093</v>
      </c>
      <c r="H225" s="335">
        <v>1021.06</v>
      </c>
      <c r="I225" s="336">
        <v>449.63</v>
      </c>
      <c r="J225" s="337">
        <v>2515.2399999999998</v>
      </c>
      <c r="K225" s="338" t="s">
        <v>236</v>
      </c>
      <c r="L225" s="339" t="s">
        <v>242</v>
      </c>
      <c r="M225" s="340">
        <v>30</v>
      </c>
      <c r="N225" s="341">
        <v>85462</v>
      </c>
      <c r="O225" s="332">
        <v>59.78</v>
      </c>
      <c r="P225" s="342">
        <v>10.299999999999999</v>
      </c>
      <c r="Q225" s="343">
        <v>10.107284020327501</v>
      </c>
      <c r="R225" s="344">
        <v>1.7679057116953762</v>
      </c>
      <c r="S225" s="344">
        <v>1.7709999999999999</v>
      </c>
      <c r="T225" s="344">
        <v>1.95</v>
      </c>
      <c r="U225" s="344" t="s">
        <v>136</v>
      </c>
      <c r="V225" s="332" t="s">
        <v>137</v>
      </c>
      <c r="W225" s="345">
        <v>8</v>
      </c>
      <c r="X225" s="346">
        <v>4</v>
      </c>
      <c r="Y225" s="208">
        <v>2.8069999999999999</v>
      </c>
      <c r="Z225" s="332"/>
      <c r="AA225" s="342"/>
      <c r="AB225" s="342"/>
      <c r="AC225" s="342"/>
      <c r="AD225" s="347"/>
      <c r="AE225" s="358">
        <v>1.7156347341791021</v>
      </c>
      <c r="AF225" s="349">
        <v>16.634713793678323</v>
      </c>
      <c r="AG225" s="350"/>
      <c r="AH225" s="351">
        <v>1.7150214592274677</v>
      </c>
      <c r="AI225" s="352">
        <v>1.998</v>
      </c>
      <c r="AJ225" s="206">
        <v>16.5</v>
      </c>
      <c r="AK225" s="353" t="s">
        <v>467</v>
      </c>
      <c r="AL225" s="206">
        <v>0.1347137936783227</v>
      </c>
      <c r="AM225" s="349">
        <v>103.04674278708194</v>
      </c>
      <c r="AN225" s="354" t="s">
        <v>139</v>
      </c>
      <c r="AO225" s="355" t="s">
        <v>140</v>
      </c>
      <c r="AP225" s="206" t="s">
        <v>139</v>
      </c>
      <c r="AQ225" s="246" t="s">
        <v>490</v>
      </c>
      <c r="AR225" s="211"/>
      <c r="AS225" s="297">
        <f>+IF(Table1[[#This Row],[Column40]]="ok",Table1[[#This Row],[Column7]],0)</f>
        <v>1021.06</v>
      </c>
      <c r="AT225" s="295">
        <f>+IF(Table1[[#This Row],[Column40]]="No",Table1[[#This Row],[Column7]],0)</f>
        <v>0</v>
      </c>
      <c r="AU225" s="4" t="str">
        <f>+IF(LEFT(Table1[[#This Row],[Column42]],2)="DN",IF(Table1[[#This Row],[Column40]]="ok","(CA)",_xlfn.CONCAT("(CA)",CHAR(10),"FAIL")),"")</f>
        <v/>
      </c>
      <c r="AV225" s="154" t="str">
        <f>+IF(Table1[[#This Row],[Column6]]=0,"",_xlfn.CONCAT("Sem ",WEEKNUM(Table1[[#This Row],[Column6]],2)))</f>
        <v>Sem 11</v>
      </c>
      <c r="AW225" s="211"/>
    </row>
    <row r="226" spans="2:49" ht="19.5" customHeight="1" x14ac:dyDescent="0.3">
      <c r="B226" s="356" t="s">
        <v>490</v>
      </c>
      <c r="C226" s="331"/>
      <c r="D226" s="332" t="s">
        <v>132</v>
      </c>
      <c r="E226" s="332" t="s">
        <v>133</v>
      </c>
      <c r="F226" s="333"/>
      <c r="G226" s="334">
        <v>46093</v>
      </c>
      <c r="H226" s="335">
        <v>1021.06</v>
      </c>
      <c r="I226" s="336">
        <v>449.63</v>
      </c>
      <c r="J226" s="337">
        <v>2515.2399999999998</v>
      </c>
      <c r="K226" s="338" t="s">
        <v>236</v>
      </c>
      <c r="L226" s="339" t="s">
        <v>242</v>
      </c>
      <c r="M226" s="340">
        <v>15</v>
      </c>
      <c r="N226" s="341"/>
      <c r="O226" s="332"/>
      <c r="P226" s="342">
        <v>10.265087422447822</v>
      </c>
      <c r="Q226" s="343"/>
      <c r="R226" s="344">
        <v>1.746563761976224</v>
      </c>
      <c r="S226" s="344"/>
      <c r="T226" s="344">
        <v>1.925850059031877</v>
      </c>
      <c r="U226" s="344" t="s">
        <v>142</v>
      </c>
      <c r="V226" s="332" t="s">
        <v>137</v>
      </c>
      <c r="W226" s="345">
        <v>6</v>
      </c>
      <c r="X226" s="346">
        <v>8</v>
      </c>
      <c r="Y226" s="208"/>
      <c r="Z226" s="332" t="s">
        <v>143</v>
      </c>
      <c r="AA226" s="342">
        <v>99.041173152848273</v>
      </c>
      <c r="AB226" s="342">
        <v>77.80597856739989</v>
      </c>
      <c r="AC226" s="342">
        <v>36.266215454032718</v>
      </c>
      <c r="AD226" s="347">
        <v>12.746756909193465</v>
      </c>
      <c r="AE226" s="358">
        <v>1.716</v>
      </c>
      <c r="AF226" s="349">
        <v>16.600000000000001</v>
      </c>
      <c r="AG226" s="350" t="s">
        <v>467</v>
      </c>
      <c r="AH226" s="351">
        <v>1.7150926868752456</v>
      </c>
      <c r="AI226" s="352">
        <v>1.9982966038539338</v>
      </c>
      <c r="AJ226" s="206">
        <v>16.512455516014228</v>
      </c>
      <c r="AK226" s="353" t="s">
        <v>467</v>
      </c>
      <c r="AL226" s="206">
        <v>8.7544483985773525E-2</v>
      </c>
      <c r="AM226" s="349">
        <v>101.78110501026947</v>
      </c>
      <c r="AN226" s="354" t="s">
        <v>139</v>
      </c>
      <c r="AO226" s="355" t="s">
        <v>144</v>
      </c>
      <c r="AP226" s="206">
        <v>0</v>
      </c>
      <c r="AQ226" s="246" t="s">
        <v>489</v>
      </c>
      <c r="AR226" s="211"/>
      <c r="AS226" s="297">
        <f>+IF(Table1[[#This Row],[Column40]]="ok",Table1[[#This Row],[Column7]],0)</f>
        <v>1021.06</v>
      </c>
      <c r="AT226" s="295">
        <f>+IF(Table1[[#This Row],[Column40]]="No",Table1[[#This Row],[Column7]],0)</f>
        <v>0</v>
      </c>
      <c r="AU226" s="4" t="str">
        <f>+IF(LEFT(Table1[[#This Row],[Column42]],2)="DN",IF(Table1[[#This Row],[Column40]]="ok","(CA)",_xlfn.CONCAT("(CA)",CHAR(10),"FAIL")),"")</f>
        <v>(CA)</v>
      </c>
      <c r="AV226" s="154" t="str">
        <f>+IF(Table1[[#This Row],[Column6]]=0,"",_xlfn.CONCAT("Sem ",WEEKNUM(Table1[[#This Row],[Column6]],2)))</f>
        <v>Sem 11</v>
      </c>
      <c r="AW226" s="211"/>
    </row>
    <row r="227" spans="2:49" ht="19.5" customHeight="1" x14ac:dyDescent="0.3">
      <c r="B227" s="356" t="s">
        <v>491</v>
      </c>
      <c r="C227" s="331"/>
      <c r="D227" s="332" t="s">
        <v>132</v>
      </c>
      <c r="E227" s="332" t="s">
        <v>133</v>
      </c>
      <c r="F227" s="333"/>
      <c r="G227" s="334">
        <v>46093</v>
      </c>
      <c r="H227" s="335">
        <v>1097.83</v>
      </c>
      <c r="I227" s="336">
        <v>470.73</v>
      </c>
      <c r="J227" s="337">
        <v>2507.2800000000002</v>
      </c>
      <c r="K227" s="338" t="s">
        <v>236</v>
      </c>
      <c r="L227" s="339" t="s">
        <v>247</v>
      </c>
      <c r="M227" s="340">
        <v>30</v>
      </c>
      <c r="N227" s="341">
        <v>85462</v>
      </c>
      <c r="O227" s="332">
        <v>59.78</v>
      </c>
      <c r="P227" s="342">
        <v>8.7999999999999989</v>
      </c>
      <c r="Q227" s="343">
        <v>9.0856144437973185</v>
      </c>
      <c r="R227" s="344">
        <v>1.7215073529411764</v>
      </c>
      <c r="S227" s="344">
        <v>1.7170000000000001</v>
      </c>
      <c r="T227" s="344">
        <v>1.873</v>
      </c>
      <c r="U227" s="344" t="s">
        <v>136</v>
      </c>
      <c r="V227" s="332" t="s">
        <v>137</v>
      </c>
      <c r="W227" s="345">
        <v>8</v>
      </c>
      <c r="X227" s="346">
        <v>4</v>
      </c>
      <c r="Y227" s="208">
        <v>2.8069999999999999</v>
      </c>
      <c r="Z227" s="332"/>
      <c r="AA227" s="342"/>
      <c r="AB227" s="342"/>
      <c r="AC227" s="342"/>
      <c r="AD227" s="347"/>
      <c r="AE227" s="358">
        <v>1.716</v>
      </c>
      <c r="AF227" s="349">
        <v>0</v>
      </c>
      <c r="AG227" s="350"/>
      <c r="AH227" s="351" t="s">
        <v>139</v>
      </c>
      <c r="AI227" s="352" t="s">
        <v>139</v>
      </c>
      <c r="AJ227" s="206" t="s">
        <v>139</v>
      </c>
      <c r="AK227" s="353" t="s">
        <v>467</v>
      </c>
      <c r="AL227" s="206" t="s">
        <v>139</v>
      </c>
      <c r="AM227" s="349">
        <v>100.32094131358838</v>
      </c>
      <c r="AN227" s="354" t="s">
        <v>139</v>
      </c>
      <c r="AO227" s="355" t="s">
        <v>140</v>
      </c>
      <c r="AP227" s="206" t="s">
        <v>139</v>
      </c>
      <c r="AQ227" s="246">
        <v>0</v>
      </c>
      <c r="AR227" s="211"/>
      <c r="AS227" s="297">
        <f>+IF(Table1[[#This Row],[Column40]]="ok",Table1[[#This Row],[Column7]],0)</f>
        <v>1097.83</v>
      </c>
      <c r="AT227" s="295">
        <f>+IF(Table1[[#This Row],[Column40]]="No",Table1[[#This Row],[Column7]],0)</f>
        <v>0</v>
      </c>
      <c r="AU227" s="4" t="str">
        <f>+IF(LEFT(Table1[[#This Row],[Column42]],2)="DN",IF(Table1[[#This Row],[Column40]]="ok","(CA)",_xlfn.CONCAT("(CA)",CHAR(10),"FAIL")),"")</f>
        <v/>
      </c>
      <c r="AV227" s="154" t="str">
        <f>+IF(Table1[[#This Row],[Column6]]=0,"",_xlfn.CONCAT("Sem ",WEEKNUM(Table1[[#This Row],[Column6]],2)))</f>
        <v>Sem 11</v>
      </c>
      <c r="AW227" s="211"/>
    </row>
    <row r="228" spans="2:49" ht="19.5" customHeight="1" x14ac:dyDescent="0.3">
      <c r="B228" s="356" t="s">
        <v>492</v>
      </c>
      <c r="C228" s="331"/>
      <c r="D228" s="332" t="s">
        <v>132</v>
      </c>
      <c r="E228" s="332" t="s">
        <v>133</v>
      </c>
      <c r="F228" s="333"/>
      <c r="G228" s="334">
        <v>46093</v>
      </c>
      <c r="H228" s="335">
        <v>937.04</v>
      </c>
      <c r="I228" s="336">
        <v>426.81</v>
      </c>
      <c r="J228" s="337">
        <v>2521.56</v>
      </c>
      <c r="K228" s="338" t="s">
        <v>290</v>
      </c>
      <c r="L228" s="339" t="s">
        <v>237</v>
      </c>
      <c r="M228" s="340">
        <v>30</v>
      </c>
      <c r="N228" s="341">
        <v>85462</v>
      </c>
      <c r="O228" s="332">
        <v>59.78</v>
      </c>
      <c r="P228" s="342">
        <v>9.4</v>
      </c>
      <c r="Q228" s="343">
        <v>9.8744292237442863</v>
      </c>
      <c r="R228" s="344">
        <v>1.759597806215722</v>
      </c>
      <c r="S228" s="344">
        <v>1.752</v>
      </c>
      <c r="T228" s="344">
        <v>1.925</v>
      </c>
      <c r="U228" s="344" t="s">
        <v>136</v>
      </c>
      <c r="V228" s="332" t="s">
        <v>137</v>
      </c>
      <c r="W228" s="345">
        <v>8</v>
      </c>
      <c r="X228" s="346">
        <v>4</v>
      </c>
      <c r="Y228" s="208">
        <v>2.8069999999999999</v>
      </c>
      <c r="Z228" s="332"/>
      <c r="AA228" s="342"/>
      <c r="AB228" s="342"/>
      <c r="AC228" s="342"/>
      <c r="AD228" s="347"/>
      <c r="AE228" s="358">
        <v>1.716</v>
      </c>
      <c r="AF228" s="349">
        <v>0</v>
      </c>
      <c r="AG228" s="350"/>
      <c r="AH228" s="351" t="s">
        <v>139</v>
      </c>
      <c r="AI228" s="352" t="s">
        <v>139</v>
      </c>
      <c r="AJ228" s="206" t="s">
        <v>139</v>
      </c>
      <c r="AK228" s="353" t="s">
        <v>467</v>
      </c>
      <c r="AL228" s="206" t="s">
        <v>139</v>
      </c>
      <c r="AM228" s="349">
        <v>102.5406646978859</v>
      </c>
      <c r="AN228" s="354" t="s">
        <v>139</v>
      </c>
      <c r="AO228" s="355" t="s">
        <v>140</v>
      </c>
      <c r="AP228" s="206" t="s">
        <v>139</v>
      </c>
      <c r="AQ228" s="246">
        <v>0</v>
      </c>
      <c r="AR228" s="211"/>
      <c r="AS228" s="297">
        <f>+IF(Table1[[#This Row],[Column40]]="ok",Table1[[#This Row],[Column7]],0)</f>
        <v>937.04</v>
      </c>
      <c r="AT228" s="295">
        <f>+IF(Table1[[#This Row],[Column40]]="No",Table1[[#This Row],[Column7]],0)</f>
        <v>0</v>
      </c>
      <c r="AU228" s="4" t="str">
        <f>+IF(LEFT(Table1[[#This Row],[Column42]],2)="DN",IF(Table1[[#This Row],[Column40]]="ok","(CA)",_xlfn.CONCAT("(CA)",CHAR(10),"FAIL")),"")</f>
        <v/>
      </c>
      <c r="AV228" s="154" t="str">
        <f>+IF(Table1[[#This Row],[Column6]]=0,"",_xlfn.CONCAT("Sem ",WEEKNUM(Table1[[#This Row],[Column6]],2)))</f>
        <v>Sem 11</v>
      </c>
      <c r="AW228" s="211"/>
    </row>
    <row r="229" spans="2:49" ht="19.5" customHeight="1" x14ac:dyDescent="0.3">
      <c r="B229" s="356" t="s">
        <v>493</v>
      </c>
      <c r="C229" s="331"/>
      <c r="D229" s="332" t="s">
        <v>132</v>
      </c>
      <c r="E229" s="332" t="s">
        <v>133</v>
      </c>
      <c r="F229" s="333"/>
      <c r="G229" s="334">
        <v>46093</v>
      </c>
      <c r="H229" s="335">
        <v>928.36</v>
      </c>
      <c r="I229" s="336">
        <v>518.08000000000004</v>
      </c>
      <c r="J229" s="337">
        <v>2495.16</v>
      </c>
      <c r="K229" s="338" t="s">
        <v>240</v>
      </c>
      <c r="L229" s="339" t="s">
        <v>237</v>
      </c>
      <c r="M229" s="340">
        <v>30</v>
      </c>
      <c r="N229" s="341">
        <v>85462</v>
      </c>
      <c r="O229" s="332">
        <v>59.78</v>
      </c>
      <c r="P229" s="342">
        <v>9.4</v>
      </c>
      <c r="Q229" s="343">
        <v>9.2996555683122715</v>
      </c>
      <c r="R229" s="344">
        <v>1.7404021937842777</v>
      </c>
      <c r="S229" s="344">
        <v>1.742</v>
      </c>
      <c r="T229" s="344">
        <v>1.9039999999999999</v>
      </c>
      <c r="U229" s="344" t="s">
        <v>136</v>
      </c>
      <c r="V229" s="332" t="s">
        <v>137</v>
      </c>
      <c r="W229" s="345">
        <v>8</v>
      </c>
      <c r="X229" s="346">
        <v>4</v>
      </c>
      <c r="Y229" s="208">
        <v>2.8069999999999999</v>
      </c>
      <c r="Z229" s="332"/>
      <c r="AA229" s="342"/>
      <c r="AB229" s="342"/>
      <c r="AC229" s="342"/>
      <c r="AD229" s="347"/>
      <c r="AE229" s="358">
        <v>1.716</v>
      </c>
      <c r="AF229" s="349">
        <v>0</v>
      </c>
      <c r="AG229" s="350"/>
      <c r="AH229" s="351" t="s">
        <v>139</v>
      </c>
      <c r="AI229" s="352" t="s">
        <v>139</v>
      </c>
      <c r="AJ229" s="206" t="s">
        <v>139</v>
      </c>
      <c r="AK229" s="353" t="s">
        <v>467</v>
      </c>
      <c r="AL229" s="206" t="s">
        <v>139</v>
      </c>
      <c r="AM229" s="349">
        <v>101.42203926481805</v>
      </c>
      <c r="AN229" s="354" t="s">
        <v>139</v>
      </c>
      <c r="AO229" s="355" t="s">
        <v>140</v>
      </c>
      <c r="AP229" s="206" t="s">
        <v>139</v>
      </c>
      <c r="AQ229" s="246">
        <v>0</v>
      </c>
      <c r="AR229" s="211"/>
      <c r="AS229" s="297">
        <f>+IF(Table1[[#This Row],[Column40]]="ok",Table1[[#This Row],[Column7]],0)</f>
        <v>928.36</v>
      </c>
      <c r="AT229" s="295">
        <f>+IF(Table1[[#This Row],[Column40]]="No",Table1[[#This Row],[Column7]],0)</f>
        <v>0</v>
      </c>
      <c r="AU229" s="4" t="str">
        <f>+IF(LEFT(Table1[[#This Row],[Column42]],2)="DN",IF(Table1[[#This Row],[Column40]]="ok","(CA)",_xlfn.CONCAT("(CA)",CHAR(10),"FAIL")),"")</f>
        <v/>
      </c>
      <c r="AV229" s="154" t="str">
        <f>+IF(Table1[[#This Row],[Column6]]=0,"",_xlfn.CONCAT("Sem ",WEEKNUM(Table1[[#This Row],[Column6]],2)))</f>
        <v>Sem 11</v>
      </c>
      <c r="AW229" s="211"/>
    </row>
    <row r="230" spans="2:49" ht="19.5" customHeight="1" x14ac:dyDescent="0.3">
      <c r="B230" s="356" t="s">
        <v>494</v>
      </c>
      <c r="C230" s="331"/>
      <c r="D230" s="332" t="s">
        <v>132</v>
      </c>
      <c r="E230" s="332" t="s">
        <v>133</v>
      </c>
      <c r="F230" s="333"/>
      <c r="G230" s="334">
        <v>46093</v>
      </c>
      <c r="H230" s="335">
        <v>1012.08</v>
      </c>
      <c r="I230" s="336">
        <v>526.25</v>
      </c>
      <c r="J230" s="337">
        <v>2491.86</v>
      </c>
      <c r="K230" s="338" t="s">
        <v>244</v>
      </c>
      <c r="L230" s="339" t="s">
        <v>242</v>
      </c>
      <c r="M230" s="340">
        <v>30</v>
      </c>
      <c r="N230" s="341">
        <v>85462</v>
      </c>
      <c r="O230" s="332">
        <v>59.78</v>
      </c>
      <c r="P230" s="342">
        <v>10</v>
      </c>
      <c r="Q230" s="343">
        <v>9.3302804808242499</v>
      </c>
      <c r="R230" s="344">
        <v>1.7363636363636361</v>
      </c>
      <c r="S230" s="344">
        <v>1.7470000000000001</v>
      </c>
      <c r="T230" s="344">
        <v>1.91</v>
      </c>
      <c r="U230" s="344" t="s">
        <v>136</v>
      </c>
      <c r="V230" s="332" t="s">
        <v>137</v>
      </c>
      <c r="W230" s="345">
        <v>8</v>
      </c>
      <c r="X230" s="346">
        <v>4</v>
      </c>
      <c r="Y230" s="208">
        <v>2.8069999999999999</v>
      </c>
      <c r="Z230" s="332"/>
      <c r="AA230" s="342"/>
      <c r="AB230" s="342"/>
      <c r="AC230" s="342"/>
      <c r="AD230" s="347"/>
      <c r="AE230" s="358">
        <v>1.716</v>
      </c>
      <c r="AF230" s="349">
        <v>0</v>
      </c>
      <c r="AG230" s="350"/>
      <c r="AH230" s="351" t="s">
        <v>139</v>
      </c>
      <c r="AI230" s="352" t="s">
        <v>139</v>
      </c>
      <c r="AJ230" s="206" t="s">
        <v>139</v>
      </c>
      <c r="AK230" s="353" t="s">
        <v>467</v>
      </c>
      <c r="AL230" s="206" t="s">
        <v>139</v>
      </c>
      <c r="AM230" s="349">
        <v>101.18669209578299</v>
      </c>
      <c r="AN230" s="354" t="s">
        <v>139</v>
      </c>
      <c r="AO230" s="355" t="s">
        <v>140</v>
      </c>
      <c r="AP230" s="206" t="s">
        <v>139</v>
      </c>
      <c r="AQ230" s="246">
        <v>0</v>
      </c>
      <c r="AR230" s="211"/>
      <c r="AS230" s="297">
        <f>+IF(Table1[[#This Row],[Column40]]="ok",Table1[[#This Row],[Column7]],0)</f>
        <v>1012.08</v>
      </c>
      <c r="AT230" s="295">
        <f>+IF(Table1[[#This Row],[Column40]]="No",Table1[[#This Row],[Column7]],0)</f>
        <v>0</v>
      </c>
      <c r="AU230" s="4" t="str">
        <f>+IF(LEFT(Table1[[#This Row],[Column42]],2)="DN",IF(Table1[[#This Row],[Column40]]="ok","(CA)",_xlfn.CONCAT("(CA)",CHAR(10),"FAIL")),"")</f>
        <v/>
      </c>
      <c r="AV230" s="154" t="str">
        <f>+IF(Table1[[#This Row],[Column6]]=0,"",_xlfn.CONCAT("Sem ",WEEKNUM(Table1[[#This Row],[Column6]],2)))</f>
        <v>Sem 11</v>
      </c>
      <c r="AW230" s="211"/>
    </row>
    <row r="231" spans="2:49" ht="19.5" customHeight="1" x14ac:dyDescent="0.3">
      <c r="B231" s="356" t="s">
        <v>495</v>
      </c>
      <c r="C231" s="331"/>
      <c r="D231" s="332" t="s">
        <v>132</v>
      </c>
      <c r="E231" s="332" t="s">
        <v>133</v>
      </c>
      <c r="F231" s="333"/>
      <c r="G231" s="334">
        <v>46093</v>
      </c>
      <c r="H231" s="335">
        <v>1093.68</v>
      </c>
      <c r="I231" s="336">
        <v>569.37</v>
      </c>
      <c r="J231" s="337">
        <v>2478.0500000000002</v>
      </c>
      <c r="K231" s="338" t="s">
        <v>244</v>
      </c>
      <c r="L231" s="339" t="s">
        <v>249</v>
      </c>
      <c r="M231" s="340">
        <v>30</v>
      </c>
      <c r="N231" s="341">
        <v>85462</v>
      </c>
      <c r="O231" s="332">
        <v>59.78</v>
      </c>
      <c r="P231" s="342">
        <v>8.5</v>
      </c>
      <c r="Q231" s="343">
        <v>8.9430894308943021</v>
      </c>
      <c r="R231" s="344">
        <v>1.7290322580645161</v>
      </c>
      <c r="S231" s="344">
        <v>1.722</v>
      </c>
      <c r="T231" s="344">
        <v>1.8759999999999999</v>
      </c>
      <c r="U231" s="344" t="s">
        <v>136</v>
      </c>
      <c r="V231" s="332" t="s">
        <v>137</v>
      </c>
      <c r="W231" s="345">
        <v>8</v>
      </c>
      <c r="X231" s="346">
        <v>4</v>
      </c>
      <c r="Y231" s="208">
        <v>2.8069999999999999</v>
      </c>
      <c r="Z231" s="332"/>
      <c r="AA231" s="342"/>
      <c r="AB231" s="342"/>
      <c r="AC231" s="342"/>
      <c r="AD231" s="347"/>
      <c r="AE231" s="358">
        <v>1.716</v>
      </c>
      <c r="AF231" s="349">
        <v>0</v>
      </c>
      <c r="AG231" s="350"/>
      <c r="AH231" s="351" t="s">
        <v>139</v>
      </c>
      <c r="AI231" s="351" t="s">
        <v>139</v>
      </c>
      <c r="AJ231" s="206" t="s">
        <v>139</v>
      </c>
      <c r="AK231" s="353" t="s">
        <v>467</v>
      </c>
      <c r="AL231" s="206" t="s">
        <v>139</v>
      </c>
      <c r="AM231" s="349">
        <v>100.75945559816529</v>
      </c>
      <c r="AN231" s="354" t="s">
        <v>139</v>
      </c>
      <c r="AO231" s="355" t="s">
        <v>140</v>
      </c>
      <c r="AP231" s="206" t="s">
        <v>139</v>
      </c>
      <c r="AQ231" s="207">
        <v>0</v>
      </c>
      <c r="AR231" s="211"/>
      <c r="AS231" s="297">
        <f>+IF(Table1[[#This Row],[Column40]]="ok",Table1[[#This Row],[Column7]],0)</f>
        <v>1093.68</v>
      </c>
      <c r="AT231" s="295">
        <f>+IF(Table1[[#This Row],[Column40]]="No",Table1[[#This Row],[Column7]],0)</f>
        <v>0</v>
      </c>
      <c r="AU231" s="4" t="str">
        <f>+IF(LEFT(Table1[[#This Row],[Column42]],2)="DN",IF(Table1[[#This Row],[Column40]]="ok","(CA)",_xlfn.CONCAT("(CA)",CHAR(10),"FAIL")),"")</f>
        <v/>
      </c>
      <c r="AV231" s="154" t="str">
        <f>+IF(Table1[[#This Row],[Column6]]=0,"",_xlfn.CONCAT("Sem ",WEEKNUM(Table1[[#This Row],[Column6]],2)))</f>
        <v>Sem 11</v>
      </c>
      <c r="AW231" s="211"/>
    </row>
    <row r="232" spans="2:49" ht="19.5" customHeight="1" x14ac:dyDescent="0.3">
      <c r="B232" s="356" t="s">
        <v>496</v>
      </c>
      <c r="C232" s="331"/>
      <c r="D232" s="332" t="s">
        <v>132</v>
      </c>
      <c r="E232" s="332" t="s">
        <v>133</v>
      </c>
      <c r="F232" s="333"/>
      <c r="G232" s="334">
        <v>46093</v>
      </c>
      <c r="H232" s="335">
        <v>1164.51</v>
      </c>
      <c r="I232" s="336">
        <v>526.41</v>
      </c>
      <c r="J232" s="337">
        <v>2492.06</v>
      </c>
      <c r="K232" s="338" t="s">
        <v>257</v>
      </c>
      <c r="L232" s="339" t="s">
        <v>254</v>
      </c>
      <c r="M232" s="340">
        <v>30</v>
      </c>
      <c r="N232" s="341">
        <v>85462</v>
      </c>
      <c r="O232" s="332">
        <v>59.78</v>
      </c>
      <c r="P232" s="342">
        <v>8.9</v>
      </c>
      <c r="Q232" s="343">
        <v>8.2183908045976963</v>
      </c>
      <c r="R232" s="344">
        <v>1.7291092745638201</v>
      </c>
      <c r="S232" s="344">
        <v>1.74</v>
      </c>
      <c r="T232" s="344">
        <v>1.883</v>
      </c>
      <c r="U232" s="344" t="s">
        <v>136</v>
      </c>
      <c r="V232" s="332" t="s">
        <v>137</v>
      </c>
      <c r="W232" s="345">
        <v>8</v>
      </c>
      <c r="X232" s="346">
        <v>4</v>
      </c>
      <c r="Y232" s="208">
        <v>2.8069999999999999</v>
      </c>
      <c r="Z232" s="332"/>
      <c r="AA232" s="342"/>
      <c r="AB232" s="342"/>
      <c r="AC232" s="342"/>
      <c r="AD232" s="123"/>
      <c r="AE232" s="358">
        <v>1.716</v>
      </c>
      <c r="AF232" s="349">
        <v>0</v>
      </c>
      <c r="AG232" s="350"/>
      <c r="AH232" s="351" t="s">
        <v>139</v>
      </c>
      <c r="AI232" s="351" t="s">
        <v>139</v>
      </c>
      <c r="AJ232" s="206" t="s">
        <v>139</v>
      </c>
      <c r="AK232" s="353" t="s">
        <v>467</v>
      </c>
      <c r="AL232" s="206" t="s">
        <v>139</v>
      </c>
      <c r="AM232" s="349">
        <v>100.76394373915036</v>
      </c>
      <c r="AN232" s="354" t="s">
        <v>139</v>
      </c>
      <c r="AO232" s="355" t="s">
        <v>140</v>
      </c>
      <c r="AP232" s="206" t="s">
        <v>139</v>
      </c>
      <c r="AQ232" s="207">
        <v>0</v>
      </c>
      <c r="AR232" s="211"/>
      <c r="AS232" s="297">
        <f>+IF(Table1[[#This Row],[Column40]]="ok",Table1[[#This Row],[Column7]],0)</f>
        <v>1164.51</v>
      </c>
      <c r="AT232" s="295">
        <f>+IF(Table1[[#This Row],[Column40]]="No",Table1[[#This Row],[Column7]],0)</f>
        <v>0</v>
      </c>
      <c r="AU232" s="4" t="str">
        <f>+IF(LEFT(Table1[[#This Row],[Column42]],2)="DN",IF(Table1[[#This Row],[Column40]]="ok","(CA)",_xlfn.CONCAT("(CA)",CHAR(10),"FAIL")),"")</f>
        <v/>
      </c>
      <c r="AV232" s="154" t="str">
        <f>+IF(Table1[[#This Row],[Column6]]=0,"",_xlfn.CONCAT("Sem ",WEEKNUM(Table1[[#This Row],[Column6]],2)))</f>
        <v>Sem 11</v>
      </c>
      <c r="AW232" s="211"/>
    </row>
    <row r="233" spans="2:49" ht="19.5" customHeight="1" x14ac:dyDescent="0.3">
      <c r="B233" s="356" t="s">
        <v>497</v>
      </c>
      <c r="C233" s="331"/>
      <c r="D233" s="332" t="s">
        <v>132</v>
      </c>
      <c r="E233" s="332" t="s">
        <v>133</v>
      </c>
      <c r="F233" s="333"/>
      <c r="G233" s="334">
        <v>46093</v>
      </c>
      <c r="H233" s="335">
        <v>1236.55</v>
      </c>
      <c r="I233" s="336">
        <v>520.32000000000005</v>
      </c>
      <c r="J233" s="337">
        <v>2494.36</v>
      </c>
      <c r="K233" s="338" t="s">
        <v>257</v>
      </c>
      <c r="L233" s="339" t="s">
        <v>212</v>
      </c>
      <c r="M233" s="340">
        <v>30</v>
      </c>
      <c r="N233" s="341">
        <v>85462</v>
      </c>
      <c r="O233" s="332">
        <v>59.78</v>
      </c>
      <c r="P233" s="342">
        <v>9.6</v>
      </c>
      <c r="Q233" s="343">
        <v>8.333333333333325</v>
      </c>
      <c r="R233" s="344">
        <v>1.7554744525547443</v>
      </c>
      <c r="S233" s="344">
        <v>1.776</v>
      </c>
      <c r="T233" s="344">
        <v>1.9239999999999999</v>
      </c>
      <c r="U233" s="344" t="s">
        <v>136</v>
      </c>
      <c r="V233" s="332" t="s">
        <v>137</v>
      </c>
      <c r="W233" s="345">
        <v>8</v>
      </c>
      <c r="X233" s="346">
        <v>4</v>
      </c>
      <c r="Y233" s="208">
        <v>2.8069999999999999</v>
      </c>
      <c r="Z233" s="332"/>
      <c r="AA233" s="342"/>
      <c r="AB233" s="342"/>
      <c r="AC233" s="342"/>
      <c r="AD233" s="347"/>
      <c r="AE233" s="358">
        <v>1.716</v>
      </c>
      <c r="AF233" s="349">
        <v>0</v>
      </c>
      <c r="AG233" s="350"/>
      <c r="AH233" s="351" t="s">
        <v>139</v>
      </c>
      <c r="AI233" s="352" t="s">
        <v>139</v>
      </c>
      <c r="AJ233" s="206" t="s">
        <v>139</v>
      </c>
      <c r="AK233" s="353" t="s">
        <v>467</v>
      </c>
      <c r="AL233" s="206" t="s">
        <v>139</v>
      </c>
      <c r="AM233" s="349">
        <v>102.30037602300375</v>
      </c>
      <c r="AN233" s="354" t="s">
        <v>139</v>
      </c>
      <c r="AO233" s="355" t="s">
        <v>140</v>
      </c>
      <c r="AP233" s="206" t="s">
        <v>139</v>
      </c>
      <c r="AQ233" s="246">
        <v>0</v>
      </c>
      <c r="AR233" s="211"/>
      <c r="AS233" s="297">
        <f>+IF(Table1[[#This Row],[Column40]]="ok",Table1[[#This Row],[Column7]],0)</f>
        <v>1236.55</v>
      </c>
      <c r="AT233" s="295">
        <f>+IF(Table1[[#This Row],[Column40]]="No",Table1[[#This Row],[Column7]],0)</f>
        <v>0</v>
      </c>
      <c r="AU233" s="4" t="str">
        <f>+IF(LEFT(Table1[[#This Row],[Column42]],2)="DN",IF(Table1[[#This Row],[Column40]]="ok","(CA)",_xlfn.CONCAT("(CA)",CHAR(10),"FAIL")),"")</f>
        <v/>
      </c>
      <c r="AV233" s="154" t="str">
        <f>+IF(Table1[[#This Row],[Column6]]=0,"",_xlfn.CONCAT("Sem ",WEEKNUM(Table1[[#This Row],[Column6]],2)))</f>
        <v>Sem 11</v>
      </c>
      <c r="AW233" s="211"/>
    </row>
    <row r="234" spans="2:49" ht="19.5" customHeight="1" x14ac:dyDescent="0.3">
      <c r="B234" s="356" t="s">
        <v>498</v>
      </c>
      <c r="C234" s="331"/>
      <c r="D234" s="332" t="s">
        <v>132</v>
      </c>
      <c r="E234" s="332" t="s">
        <v>133</v>
      </c>
      <c r="F234" s="333"/>
      <c r="G234" s="334">
        <v>46093</v>
      </c>
      <c r="H234" s="335">
        <v>1185.01</v>
      </c>
      <c r="I234" s="336">
        <v>621.04</v>
      </c>
      <c r="J234" s="337">
        <v>2463.27</v>
      </c>
      <c r="K234" s="338" t="s">
        <v>257</v>
      </c>
      <c r="L234" s="339" t="s">
        <v>254</v>
      </c>
      <c r="M234" s="340">
        <v>30</v>
      </c>
      <c r="N234" s="341">
        <v>85462</v>
      </c>
      <c r="O234" s="332">
        <v>59.78</v>
      </c>
      <c r="P234" s="342">
        <v>7.3999999999999995</v>
      </c>
      <c r="Q234" s="343">
        <v>8.5514834205933745</v>
      </c>
      <c r="R234" s="344">
        <v>1.7374301675977653</v>
      </c>
      <c r="S234" s="344">
        <v>1.7190000000000001</v>
      </c>
      <c r="T234" s="344">
        <v>1.8660000000000001</v>
      </c>
      <c r="U234" s="344" t="s">
        <v>136</v>
      </c>
      <c r="V234" s="332" t="s">
        <v>137</v>
      </c>
      <c r="W234" s="345">
        <v>8</v>
      </c>
      <c r="X234" s="346">
        <v>4</v>
      </c>
      <c r="Y234" s="208">
        <v>2.8069999999999999</v>
      </c>
      <c r="Z234" s="332"/>
      <c r="AA234" s="342"/>
      <c r="AB234" s="342"/>
      <c r="AC234" s="342"/>
      <c r="AD234" s="347"/>
      <c r="AE234" s="358">
        <v>1.716</v>
      </c>
      <c r="AF234" s="349">
        <v>0</v>
      </c>
      <c r="AG234" s="350"/>
      <c r="AH234" s="351" t="s">
        <v>139</v>
      </c>
      <c r="AI234" s="351" t="s">
        <v>139</v>
      </c>
      <c r="AJ234" s="206" t="s">
        <v>139</v>
      </c>
      <c r="AK234" s="353" t="s">
        <v>467</v>
      </c>
      <c r="AL234" s="206" t="s">
        <v>139</v>
      </c>
      <c r="AM234" s="349">
        <v>101.24884426560403</v>
      </c>
      <c r="AN234" s="354" t="s">
        <v>139</v>
      </c>
      <c r="AO234" s="355" t="s">
        <v>140</v>
      </c>
      <c r="AP234" s="206" t="s">
        <v>139</v>
      </c>
      <c r="AQ234" s="246">
        <v>0</v>
      </c>
      <c r="AR234" s="211"/>
      <c r="AS234" s="297">
        <f>+IF(Table1[[#This Row],[Column40]]="ok",Table1[[#This Row],[Column7]],0)</f>
        <v>1185.01</v>
      </c>
      <c r="AT234" s="295">
        <f>+IF(Table1[[#This Row],[Column40]]="No",Table1[[#This Row],[Column7]],0)</f>
        <v>0</v>
      </c>
      <c r="AU234" s="4" t="str">
        <f>+IF(LEFT(Table1[[#This Row],[Column42]],2)="DN",IF(Table1[[#This Row],[Column40]]="ok","(CA)",_xlfn.CONCAT("(CA)",CHAR(10),"FAIL")),"")</f>
        <v/>
      </c>
      <c r="AV234" s="154" t="str">
        <f>+IF(Table1[[#This Row],[Column6]]=0,"",_xlfn.CONCAT("Sem ",WEEKNUM(Table1[[#This Row],[Column6]],2)))</f>
        <v>Sem 11</v>
      </c>
      <c r="AW234" s="211"/>
    </row>
    <row r="235" spans="2:49" ht="19.5" customHeight="1" x14ac:dyDescent="0.3">
      <c r="B235" s="356" t="s">
        <v>499</v>
      </c>
      <c r="C235" s="331"/>
      <c r="D235" s="332" t="s">
        <v>132</v>
      </c>
      <c r="E235" s="332" t="s">
        <v>133</v>
      </c>
      <c r="F235" s="333"/>
      <c r="G235" s="334">
        <v>46093</v>
      </c>
      <c r="H235" s="335">
        <v>1031.48</v>
      </c>
      <c r="I235" s="336">
        <v>607.79</v>
      </c>
      <c r="J235" s="337">
        <v>2469.73</v>
      </c>
      <c r="K235" s="338" t="s">
        <v>244</v>
      </c>
      <c r="L235" s="339" t="s">
        <v>245</v>
      </c>
      <c r="M235" s="340">
        <v>30</v>
      </c>
      <c r="N235" s="341">
        <v>85462</v>
      </c>
      <c r="O235" s="332">
        <v>59.78</v>
      </c>
      <c r="P235" s="342">
        <v>9.4</v>
      </c>
      <c r="Q235" s="343">
        <v>9.0277777777777679</v>
      </c>
      <c r="R235" s="344">
        <v>1.722120658135283</v>
      </c>
      <c r="S235" s="344">
        <v>1.728</v>
      </c>
      <c r="T235" s="344">
        <v>1.8839999999999999</v>
      </c>
      <c r="U235" s="344" t="s">
        <v>136</v>
      </c>
      <c r="V235" s="332" t="s">
        <v>137</v>
      </c>
      <c r="W235" s="345">
        <v>8</v>
      </c>
      <c r="X235" s="346">
        <v>4</v>
      </c>
      <c r="Y235" s="208">
        <v>2.8069999999999999</v>
      </c>
      <c r="Z235" s="332"/>
      <c r="AA235" s="342"/>
      <c r="AB235" s="342"/>
      <c r="AC235" s="342"/>
      <c r="AD235" s="347"/>
      <c r="AE235" s="358">
        <v>1.716</v>
      </c>
      <c r="AF235" s="349">
        <v>0</v>
      </c>
      <c r="AG235" s="350"/>
      <c r="AH235" s="351" t="s">
        <v>139</v>
      </c>
      <c r="AI235" s="351" t="s">
        <v>139</v>
      </c>
      <c r="AJ235" s="206" t="s">
        <v>139</v>
      </c>
      <c r="AK235" s="353" t="s">
        <v>467</v>
      </c>
      <c r="AL235" s="206" t="s">
        <v>139</v>
      </c>
      <c r="AM235" s="349">
        <v>100.35668170951533</v>
      </c>
      <c r="AN235" s="354" t="s">
        <v>139</v>
      </c>
      <c r="AO235" s="355" t="s">
        <v>140</v>
      </c>
      <c r="AP235" s="206" t="s">
        <v>139</v>
      </c>
      <c r="AQ235" s="246">
        <v>0</v>
      </c>
      <c r="AR235" s="211"/>
      <c r="AS235" s="297">
        <f>+IF(Table1[[#This Row],[Column40]]="ok",Table1[[#This Row],[Column7]],0)</f>
        <v>1031.48</v>
      </c>
      <c r="AT235" s="295">
        <f>+IF(Table1[[#This Row],[Column40]]="No",Table1[[#This Row],[Column7]],0)</f>
        <v>0</v>
      </c>
      <c r="AU235" s="4" t="str">
        <f>+IF(LEFT(Table1[[#This Row],[Column42]],2)="DN",IF(Table1[[#This Row],[Column40]]="ok","(CA)",_xlfn.CONCAT("(CA)",CHAR(10),"FAIL")),"")</f>
        <v/>
      </c>
      <c r="AV235" s="154" t="str">
        <f>+IF(Table1[[#This Row],[Column6]]=0,"",_xlfn.CONCAT("Sem ",WEEKNUM(Table1[[#This Row],[Column6]],2)))</f>
        <v>Sem 11</v>
      </c>
      <c r="AW235" s="211"/>
    </row>
    <row r="236" spans="2:49" ht="19.5" customHeight="1" x14ac:dyDescent="0.3">
      <c r="B236" s="356" t="s">
        <v>500</v>
      </c>
      <c r="C236" s="331"/>
      <c r="D236" s="332" t="s">
        <v>207</v>
      </c>
      <c r="E236" s="332" t="s">
        <v>176</v>
      </c>
      <c r="F236" s="333"/>
      <c r="G236" s="334">
        <v>46093</v>
      </c>
      <c r="H236" s="335">
        <v>754.68</v>
      </c>
      <c r="I236" s="336">
        <v>43</v>
      </c>
      <c r="J236" s="337">
        <v>2632.86</v>
      </c>
      <c r="K236" s="338" t="s">
        <v>167</v>
      </c>
      <c r="L236" s="339" t="s">
        <v>307</v>
      </c>
      <c r="M236" s="340">
        <v>30</v>
      </c>
      <c r="N236" s="341">
        <v>85462</v>
      </c>
      <c r="O236" s="332">
        <v>59.78</v>
      </c>
      <c r="P236" s="342">
        <v>9.5</v>
      </c>
      <c r="Q236" s="343">
        <v>10.395480225988706</v>
      </c>
      <c r="R236" s="344">
        <v>1.7844748858447488</v>
      </c>
      <c r="S236" s="344">
        <v>1.77</v>
      </c>
      <c r="T236" s="344">
        <v>1.954</v>
      </c>
      <c r="U236" s="344" t="s">
        <v>136</v>
      </c>
      <c r="V236" s="332" t="s">
        <v>137</v>
      </c>
      <c r="W236" s="345">
        <v>8</v>
      </c>
      <c r="X236" s="346">
        <v>4</v>
      </c>
      <c r="Y236" s="208">
        <v>2.8069999999999999</v>
      </c>
      <c r="Z236" s="332"/>
      <c r="AA236" s="342"/>
      <c r="AB236" s="342"/>
      <c r="AC236" s="342"/>
      <c r="AD236" s="347"/>
      <c r="AE236" s="358">
        <v>1.707717445579684</v>
      </c>
      <c r="AF236" s="349">
        <v>16.555434287810652</v>
      </c>
      <c r="AG236" s="350"/>
      <c r="AH236" s="351">
        <v>1.7074010327022375</v>
      </c>
      <c r="AI236" s="352">
        <v>1.984</v>
      </c>
      <c r="AJ236" s="206">
        <v>16.2</v>
      </c>
      <c r="AK236" s="353" t="s">
        <v>501</v>
      </c>
      <c r="AL236" s="206">
        <v>0.35543428781065245</v>
      </c>
      <c r="AM236" s="349">
        <v>104.49473889628207</v>
      </c>
      <c r="AN236" s="354" t="s">
        <v>139</v>
      </c>
      <c r="AO236" s="355" t="s">
        <v>140</v>
      </c>
      <c r="AP236" s="206" t="s">
        <v>139</v>
      </c>
      <c r="AQ236" s="246" t="s">
        <v>502</v>
      </c>
      <c r="AR236" s="211"/>
      <c r="AS236" s="297">
        <f>+IF(Table1[[#This Row],[Column40]]="ok",Table1[[#This Row],[Column7]],0)</f>
        <v>754.68</v>
      </c>
      <c r="AT236" s="295">
        <f>+IF(Table1[[#This Row],[Column40]]="No",Table1[[#This Row],[Column7]],0)</f>
        <v>0</v>
      </c>
      <c r="AU236" s="4" t="str">
        <f>+IF(LEFT(Table1[[#This Row],[Column42]],2)="DN",IF(Table1[[#This Row],[Column40]]="ok","(CA)",_xlfn.CONCAT("(CA)",CHAR(10),"FAIL")),"")</f>
        <v/>
      </c>
      <c r="AV236" s="154" t="str">
        <f>+IF(Table1[[#This Row],[Column6]]=0,"",_xlfn.CONCAT("Sem ",WEEKNUM(Table1[[#This Row],[Column6]],2)))</f>
        <v>Sem 11</v>
      </c>
      <c r="AW236" s="211"/>
    </row>
    <row r="237" spans="2:49" ht="19.5" customHeight="1" x14ac:dyDescent="0.3">
      <c r="B237" s="356" t="s">
        <v>502</v>
      </c>
      <c r="C237" s="331"/>
      <c r="D237" s="332" t="s">
        <v>207</v>
      </c>
      <c r="E237" s="332" t="s">
        <v>176</v>
      </c>
      <c r="F237" s="333"/>
      <c r="G237" s="334">
        <v>46093</v>
      </c>
      <c r="H237" s="335">
        <v>754.68</v>
      </c>
      <c r="I237" s="336">
        <v>43</v>
      </c>
      <c r="J237" s="337">
        <v>2632.86</v>
      </c>
      <c r="K237" s="338" t="s">
        <v>167</v>
      </c>
      <c r="L237" s="339" t="s">
        <v>307</v>
      </c>
      <c r="M237" s="340">
        <v>15</v>
      </c>
      <c r="N237" s="341"/>
      <c r="O237" s="332"/>
      <c r="P237" s="342">
        <v>9.5041322314049737</v>
      </c>
      <c r="Q237" s="343"/>
      <c r="R237" s="344">
        <v>1.7635457842617868</v>
      </c>
      <c r="S237" s="344"/>
      <c r="T237" s="344">
        <v>1.9311555075593949</v>
      </c>
      <c r="U237" s="344" t="s">
        <v>142</v>
      </c>
      <c r="V237" s="332" t="s">
        <v>137</v>
      </c>
      <c r="W237" s="345">
        <v>6</v>
      </c>
      <c r="X237" s="346">
        <v>8</v>
      </c>
      <c r="Y237" s="208"/>
      <c r="Z237" s="332" t="s">
        <v>143</v>
      </c>
      <c r="AA237" s="342">
        <v>98.789846517119244</v>
      </c>
      <c r="AB237" s="342">
        <v>76.800472255017709</v>
      </c>
      <c r="AC237" s="342">
        <v>34.887839433293962</v>
      </c>
      <c r="AD237" s="347">
        <v>12.278630460448625</v>
      </c>
      <c r="AE237" s="358">
        <v>1.707717445579684</v>
      </c>
      <c r="AF237" s="349">
        <v>16.555434287810652</v>
      </c>
      <c r="AG237" s="350" t="s">
        <v>501</v>
      </c>
      <c r="AH237" s="351">
        <v>1.7072847417020052</v>
      </c>
      <c r="AI237" s="352">
        <v>1.9839914621131269</v>
      </c>
      <c r="AJ237" s="206">
        <v>16.207414829659331</v>
      </c>
      <c r="AK237" s="353" t="s">
        <v>501</v>
      </c>
      <c r="AL237" s="206">
        <v>0.34801945815132029</v>
      </c>
      <c r="AM237" s="349">
        <v>103.26917891637231</v>
      </c>
      <c r="AN237" s="354" t="s">
        <v>139</v>
      </c>
      <c r="AO237" s="355" t="s">
        <v>144</v>
      </c>
      <c r="AP237" s="206">
        <v>0</v>
      </c>
      <c r="AQ237" s="246" t="s">
        <v>500</v>
      </c>
      <c r="AR237" s="211"/>
      <c r="AS237" s="297">
        <f>+IF(Table1[[#This Row],[Column40]]="ok",Table1[[#This Row],[Column7]],0)</f>
        <v>754.68</v>
      </c>
      <c r="AT237" s="295">
        <f>+IF(Table1[[#This Row],[Column40]]="No",Table1[[#This Row],[Column7]],0)</f>
        <v>0</v>
      </c>
      <c r="AU237" s="4" t="str">
        <f>+IF(LEFT(Table1[[#This Row],[Column42]],2)="DN",IF(Table1[[#This Row],[Column40]]="ok","(CA)",_xlfn.CONCAT("(CA)",CHAR(10),"FAIL")),"")</f>
        <v>(CA)</v>
      </c>
      <c r="AV237" s="154" t="str">
        <f>+IF(Table1[[#This Row],[Column6]]=0,"",_xlfn.CONCAT("Sem ",WEEKNUM(Table1[[#This Row],[Column6]],2)))</f>
        <v>Sem 11</v>
      </c>
      <c r="AW237" s="211"/>
    </row>
    <row r="238" spans="2:49" ht="19.5" customHeight="1" x14ac:dyDescent="0.3">
      <c r="B238" s="356" t="s">
        <v>503</v>
      </c>
      <c r="C238" s="331"/>
      <c r="D238" s="332" t="s">
        <v>207</v>
      </c>
      <c r="E238" s="332" t="s">
        <v>176</v>
      </c>
      <c r="F238" s="333"/>
      <c r="G238" s="334">
        <v>46093</v>
      </c>
      <c r="H238" s="335">
        <v>704.69</v>
      </c>
      <c r="I238" s="336">
        <v>77.44</v>
      </c>
      <c r="J238" s="337">
        <v>2631.43</v>
      </c>
      <c r="K238" s="338" t="s">
        <v>167</v>
      </c>
      <c r="L238" s="339" t="s">
        <v>504</v>
      </c>
      <c r="M238" s="340">
        <v>30</v>
      </c>
      <c r="N238" s="341">
        <v>85462</v>
      </c>
      <c r="O238" s="332">
        <v>59.78</v>
      </c>
      <c r="P238" s="342">
        <v>8.7999999999999989</v>
      </c>
      <c r="Q238" s="343">
        <v>10.492753623188399</v>
      </c>
      <c r="R238" s="344">
        <v>1.7518382352941175</v>
      </c>
      <c r="S238" s="344">
        <v>1.7250000000000001</v>
      </c>
      <c r="T238" s="344">
        <v>1.9059999999999999</v>
      </c>
      <c r="U238" s="344" t="s">
        <v>136</v>
      </c>
      <c r="V238" s="332" t="s">
        <v>137</v>
      </c>
      <c r="W238" s="345">
        <v>8</v>
      </c>
      <c r="X238" s="346">
        <v>4</v>
      </c>
      <c r="Y238" s="208">
        <v>2.8069999999999999</v>
      </c>
      <c r="Z238" s="332"/>
      <c r="AA238" s="342"/>
      <c r="AB238" s="342"/>
      <c r="AC238" s="342"/>
      <c r="AD238" s="347"/>
      <c r="AE238" s="358">
        <v>1.704</v>
      </c>
      <c r="AF238" s="349">
        <v>0</v>
      </c>
      <c r="AG238" s="350"/>
      <c r="AH238" s="351" t="s">
        <v>139</v>
      </c>
      <c r="AI238" s="352" t="s">
        <v>139</v>
      </c>
      <c r="AJ238" s="206" t="s">
        <v>139</v>
      </c>
      <c r="AK238" s="353" t="s">
        <v>484</v>
      </c>
      <c r="AL238" s="206" t="s">
        <v>139</v>
      </c>
      <c r="AM238" s="349">
        <v>102.80740817453741</v>
      </c>
      <c r="AN238" s="354" t="s">
        <v>139</v>
      </c>
      <c r="AO238" s="355" t="s">
        <v>140</v>
      </c>
      <c r="AP238" s="206" t="s">
        <v>139</v>
      </c>
      <c r="AQ238" s="246">
        <v>0</v>
      </c>
      <c r="AR238" s="211"/>
      <c r="AS238" s="297">
        <f>+IF(Table1[[#This Row],[Column40]]="ok",Table1[[#This Row],[Column7]],0)</f>
        <v>704.69</v>
      </c>
      <c r="AT238" s="295">
        <f>+IF(Table1[[#This Row],[Column40]]="No",Table1[[#This Row],[Column7]],0)</f>
        <v>0</v>
      </c>
      <c r="AU238" s="4" t="str">
        <f>+IF(LEFT(Table1[[#This Row],[Column42]],2)="DN",IF(Table1[[#This Row],[Column40]]="ok","(CA)",_xlfn.CONCAT("(CA)",CHAR(10),"FAIL")),"")</f>
        <v/>
      </c>
      <c r="AV238" s="154" t="str">
        <f>+IF(Table1[[#This Row],[Column6]]=0,"",_xlfn.CONCAT("Sem ",WEEKNUM(Table1[[#This Row],[Column6]],2)))</f>
        <v>Sem 11</v>
      </c>
      <c r="AW238" s="211"/>
    </row>
    <row r="239" spans="2:49" ht="19.5" customHeight="1" x14ac:dyDescent="0.3">
      <c r="B239" s="356" t="s">
        <v>505</v>
      </c>
      <c r="C239" s="331"/>
      <c r="D239" s="332" t="s">
        <v>207</v>
      </c>
      <c r="E239" s="332" t="s">
        <v>176</v>
      </c>
      <c r="F239" s="333"/>
      <c r="G239" s="334">
        <v>46093</v>
      </c>
      <c r="H239" s="335">
        <v>633.47</v>
      </c>
      <c r="I239" s="336">
        <v>121.54</v>
      </c>
      <c r="J239" s="337">
        <v>2627.25</v>
      </c>
      <c r="K239" s="338" t="s">
        <v>167</v>
      </c>
      <c r="L239" s="339" t="s">
        <v>324</v>
      </c>
      <c r="M239" s="340">
        <v>30</v>
      </c>
      <c r="N239" s="341">
        <v>85462</v>
      </c>
      <c r="O239" s="332">
        <v>59.78</v>
      </c>
      <c r="P239" s="342">
        <v>10.4</v>
      </c>
      <c r="Q239" s="343">
        <v>11.318553092182038</v>
      </c>
      <c r="R239" s="344">
        <v>1.7282608695652171</v>
      </c>
      <c r="S239" s="344">
        <v>1.714</v>
      </c>
      <c r="T239" s="344">
        <v>1.9079999999999999</v>
      </c>
      <c r="U239" s="344" t="s">
        <v>136</v>
      </c>
      <c r="V239" s="332" t="s">
        <v>137</v>
      </c>
      <c r="W239" s="345">
        <v>8</v>
      </c>
      <c r="X239" s="346">
        <v>4</v>
      </c>
      <c r="Y239" s="208">
        <v>2.8069999999999999</v>
      </c>
      <c r="Z239" s="332"/>
      <c r="AA239" s="342"/>
      <c r="AB239" s="342"/>
      <c r="AC239" s="342"/>
      <c r="AD239" s="347"/>
      <c r="AE239" s="358">
        <v>1.704</v>
      </c>
      <c r="AF239" s="349" t="s">
        <v>139</v>
      </c>
      <c r="AG239" s="350"/>
      <c r="AH239" s="351" t="s">
        <v>139</v>
      </c>
      <c r="AI239" s="351" t="s">
        <v>139</v>
      </c>
      <c r="AJ239" s="206" t="s">
        <v>139</v>
      </c>
      <c r="AK239" s="353" t="s">
        <v>484</v>
      </c>
      <c r="AL239" s="206" t="s">
        <v>139</v>
      </c>
      <c r="AM239" s="349">
        <v>101.42375995101038</v>
      </c>
      <c r="AN239" s="354" t="s">
        <v>139</v>
      </c>
      <c r="AO239" s="355" t="s">
        <v>140</v>
      </c>
      <c r="AP239" s="206" t="s">
        <v>139</v>
      </c>
      <c r="AQ239" s="246">
        <v>0</v>
      </c>
      <c r="AR239" s="211"/>
      <c r="AS239" s="297">
        <f>+IF(Table1[[#This Row],[Column40]]="ok",Table1[[#This Row],[Column7]],0)</f>
        <v>633.47</v>
      </c>
      <c r="AT239" s="295">
        <f>+IF(Table1[[#This Row],[Column40]]="No",Table1[[#This Row],[Column7]],0)</f>
        <v>0</v>
      </c>
      <c r="AU239" s="4" t="str">
        <f>+IF(LEFT(Table1[[#This Row],[Column42]],2)="DN",IF(Table1[[#This Row],[Column40]]="ok","(CA)",_xlfn.CONCAT("(CA)",CHAR(10),"FAIL")),"")</f>
        <v/>
      </c>
      <c r="AV239" s="154" t="str">
        <f>+IF(Table1[[#This Row],[Column6]]=0,"",_xlfn.CONCAT("Sem ",WEEKNUM(Table1[[#This Row],[Column6]],2)))</f>
        <v>Sem 11</v>
      </c>
      <c r="AW239" s="211"/>
    </row>
    <row r="240" spans="2:49" ht="19.5" customHeight="1" x14ac:dyDescent="0.3">
      <c r="B240" s="356" t="s">
        <v>506</v>
      </c>
      <c r="C240" s="331"/>
      <c r="D240" s="332" t="s">
        <v>207</v>
      </c>
      <c r="E240" s="332" t="s">
        <v>176</v>
      </c>
      <c r="F240" s="333"/>
      <c r="G240" s="334">
        <v>46093</v>
      </c>
      <c r="H240" s="335">
        <v>717.71</v>
      </c>
      <c r="I240" s="336">
        <v>153.59</v>
      </c>
      <c r="J240" s="337">
        <v>2611.44</v>
      </c>
      <c r="K240" s="338" t="s">
        <v>167</v>
      </c>
      <c r="L240" s="339" t="s">
        <v>504</v>
      </c>
      <c r="M240" s="340">
        <v>30</v>
      </c>
      <c r="N240" s="341">
        <v>85462</v>
      </c>
      <c r="O240" s="332">
        <v>59.78</v>
      </c>
      <c r="P240" s="342">
        <v>10.6</v>
      </c>
      <c r="Q240" s="343">
        <v>10.992108229988728</v>
      </c>
      <c r="R240" s="344">
        <v>1.7802893309222423</v>
      </c>
      <c r="S240" s="344">
        <v>1.774</v>
      </c>
      <c r="T240" s="344">
        <v>1.9690000000000001</v>
      </c>
      <c r="U240" s="344" t="s">
        <v>136</v>
      </c>
      <c r="V240" s="332" t="s">
        <v>137</v>
      </c>
      <c r="W240" s="345">
        <v>8</v>
      </c>
      <c r="X240" s="346">
        <v>4</v>
      </c>
      <c r="Y240" s="208">
        <v>2.8069999999999999</v>
      </c>
      <c r="Z240" s="332"/>
      <c r="AA240" s="342"/>
      <c r="AB240" s="342"/>
      <c r="AC240" s="342"/>
      <c r="AD240" s="347"/>
      <c r="AE240" s="358">
        <v>1.704</v>
      </c>
      <c r="AF240" s="349">
        <v>0</v>
      </c>
      <c r="AG240" s="350"/>
      <c r="AH240" s="351" t="s">
        <v>139</v>
      </c>
      <c r="AI240" s="352" t="s">
        <v>139</v>
      </c>
      <c r="AJ240" s="206" t="s">
        <v>139</v>
      </c>
      <c r="AK240" s="353" t="s">
        <v>484</v>
      </c>
      <c r="AL240" s="206" t="s">
        <v>139</v>
      </c>
      <c r="AM240" s="349">
        <v>104.47707341092971</v>
      </c>
      <c r="AN240" s="354" t="s">
        <v>139</v>
      </c>
      <c r="AO240" s="355" t="s">
        <v>140</v>
      </c>
      <c r="AP240" s="206" t="s">
        <v>139</v>
      </c>
      <c r="AQ240" s="246">
        <v>0</v>
      </c>
      <c r="AR240" s="211"/>
      <c r="AS240" s="297">
        <f>+IF(Table1[[#This Row],[Column40]]="ok",Table1[[#This Row],[Column7]],0)</f>
        <v>717.71</v>
      </c>
      <c r="AT240" s="295">
        <f>+IF(Table1[[#This Row],[Column40]]="No",Table1[[#This Row],[Column7]],0)</f>
        <v>0</v>
      </c>
      <c r="AU240" s="4" t="str">
        <f>+IF(LEFT(Table1[[#This Row],[Column42]],2)="DN",IF(Table1[[#This Row],[Column40]]="ok","(CA)",_xlfn.CONCAT("(CA)",CHAR(10),"FAIL")),"")</f>
        <v/>
      </c>
      <c r="AV240" s="154" t="str">
        <f>+IF(Table1[[#This Row],[Column6]]=0,"",_xlfn.CONCAT("Sem ",WEEKNUM(Table1[[#This Row],[Column6]],2)))</f>
        <v>Sem 11</v>
      </c>
      <c r="AW240" s="211"/>
    </row>
    <row r="241" spans="2:49" ht="19.5" customHeight="1" x14ac:dyDescent="0.3">
      <c r="B241" s="356" t="s">
        <v>507</v>
      </c>
      <c r="C241" s="331"/>
      <c r="D241" s="332" t="s">
        <v>207</v>
      </c>
      <c r="E241" s="332" t="s">
        <v>176</v>
      </c>
      <c r="F241" s="333"/>
      <c r="G241" s="334">
        <v>46093</v>
      </c>
      <c r="H241" s="335">
        <v>803.52</v>
      </c>
      <c r="I241" s="336">
        <v>66.11</v>
      </c>
      <c r="J241" s="337">
        <v>2626.22</v>
      </c>
      <c r="K241" s="338" t="s">
        <v>200</v>
      </c>
      <c r="L241" s="339" t="s">
        <v>304</v>
      </c>
      <c r="M241" s="340">
        <v>30</v>
      </c>
      <c r="N241" s="341">
        <v>85462</v>
      </c>
      <c r="O241" s="332">
        <v>59.78</v>
      </c>
      <c r="P241" s="342">
        <v>10.100000000000001</v>
      </c>
      <c r="Q241" s="343">
        <v>11.14318706697459</v>
      </c>
      <c r="R241" s="344">
        <v>1.7484105358764761</v>
      </c>
      <c r="S241" s="344">
        <v>1.732</v>
      </c>
      <c r="T241" s="344">
        <v>1.925</v>
      </c>
      <c r="U241" s="344" t="s">
        <v>136</v>
      </c>
      <c r="V241" s="332" t="s">
        <v>137</v>
      </c>
      <c r="W241" s="345">
        <v>8</v>
      </c>
      <c r="X241" s="346">
        <v>4</v>
      </c>
      <c r="Y241" s="208">
        <v>2.8069999999999999</v>
      </c>
      <c r="Z241" s="332"/>
      <c r="AA241" s="342"/>
      <c r="AB241" s="342"/>
      <c r="AC241" s="342"/>
      <c r="AD241" s="347"/>
      <c r="AE241" s="358">
        <v>1.704</v>
      </c>
      <c r="AF241" s="349">
        <v>0</v>
      </c>
      <c r="AG241" s="350"/>
      <c r="AH241" s="351" t="s">
        <v>139</v>
      </c>
      <c r="AI241" s="351" t="s">
        <v>139</v>
      </c>
      <c r="AJ241" s="206" t="s">
        <v>139</v>
      </c>
      <c r="AK241" s="353" t="s">
        <v>484</v>
      </c>
      <c r="AL241" s="206" t="s">
        <v>139</v>
      </c>
      <c r="AM241" s="349">
        <v>102.606252105427</v>
      </c>
      <c r="AN241" s="354" t="s">
        <v>139</v>
      </c>
      <c r="AO241" s="355" t="s">
        <v>140</v>
      </c>
      <c r="AP241" s="206" t="s">
        <v>139</v>
      </c>
      <c r="AQ241" s="246">
        <v>0</v>
      </c>
      <c r="AR241" s="211"/>
      <c r="AS241" s="297">
        <f>+IF(Table1[[#This Row],[Column40]]="ok",Table1[[#This Row],[Column7]],0)</f>
        <v>803.52</v>
      </c>
      <c r="AT241" s="295">
        <f>+IF(Table1[[#This Row],[Column40]]="No",Table1[[#This Row],[Column7]],0)</f>
        <v>0</v>
      </c>
      <c r="AU241" s="4" t="str">
        <f>+IF(LEFT(Table1[[#This Row],[Column42]],2)="DN",IF(Table1[[#This Row],[Column40]]="ok","(CA)",_xlfn.CONCAT("(CA)",CHAR(10),"FAIL")),"")</f>
        <v/>
      </c>
      <c r="AV241" s="154" t="str">
        <f>+IF(Table1[[#This Row],[Column6]]=0,"",_xlfn.CONCAT("Sem ",WEEKNUM(Table1[[#This Row],[Column6]],2)))</f>
        <v>Sem 11</v>
      </c>
      <c r="AW241" s="211"/>
    </row>
    <row r="242" spans="2:49" ht="19.5" customHeight="1" x14ac:dyDescent="0.3">
      <c r="B242" s="356" t="s">
        <v>508</v>
      </c>
      <c r="C242" s="331"/>
      <c r="D242" s="332" t="s">
        <v>207</v>
      </c>
      <c r="E242" s="332" t="s">
        <v>176</v>
      </c>
      <c r="F242" s="333"/>
      <c r="G242" s="334">
        <v>46093</v>
      </c>
      <c r="H242" s="335">
        <v>875.63</v>
      </c>
      <c r="I242" s="336">
        <v>70.760000000000005</v>
      </c>
      <c r="J242" s="337">
        <v>2623.36</v>
      </c>
      <c r="K242" s="338" t="s">
        <v>200</v>
      </c>
      <c r="L242" s="339" t="s">
        <v>302</v>
      </c>
      <c r="M242" s="340">
        <v>30</v>
      </c>
      <c r="N242" s="341">
        <v>85462</v>
      </c>
      <c r="O242" s="332">
        <v>59.78</v>
      </c>
      <c r="P242" s="342">
        <v>11.200000000000001</v>
      </c>
      <c r="Q242" s="343">
        <v>10.90594345066358</v>
      </c>
      <c r="R242" s="344">
        <v>1.72841726618705</v>
      </c>
      <c r="S242" s="344">
        <v>1.7330000000000001</v>
      </c>
      <c r="T242" s="344">
        <v>1.9219999999999999</v>
      </c>
      <c r="U242" s="344" t="s">
        <v>136</v>
      </c>
      <c r="V242" s="332" t="s">
        <v>137</v>
      </c>
      <c r="W242" s="345">
        <v>8</v>
      </c>
      <c r="X242" s="346">
        <v>4</v>
      </c>
      <c r="Y242" s="208">
        <v>2.8069999999999999</v>
      </c>
      <c r="Z242" s="332"/>
      <c r="AA242" s="342"/>
      <c r="AB242" s="342"/>
      <c r="AC242" s="342"/>
      <c r="AD242" s="347"/>
      <c r="AE242" s="358">
        <v>1.704</v>
      </c>
      <c r="AF242" s="349">
        <v>0</v>
      </c>
      <c r="AG242" s="350"/>
      <c r="AH242" s="351" t="s">
        <v>139</v>
      </c>
      <c r="AI242" s="351" t="s">
        <v>139</v>
      </c>
      <c r="AJ242" s="206" t="s">
        <v>139</v>
      </c>
      <c r="AK242" s="353" t="s">
        <v>484</v>
      </c>
      <c r="AL242" s="206" t="s">
        <v>139</v>
      </c>
      <c r="AM242" s="349">
        <v>101.43293815651701</v>
      </c>
      <c r="AN242" s="354" t="s">
        <v>139</v>
      </c>
      <c r="AO242" s="355" t="s">
        <v>140</v>
      </c>
      <c r="AP242" s="206" t="s">
        <v>139</v>
      </c>
      <c r="AQ242" s="207">
        <v>0</v>
      </c>
      <c r="AR242" s="211"/>
      <c r="AS242" s="297">
        <f>+IF(Table1[[#This Row],[Column40]]="ok",Table1[[#This Row],[Column7]],0)</f>
        <v>875.63</v>
      </c>
      <c r="AT242" s="295">
        <f>+IF(Table1[[#This Row],[Column40]]="No",Table1[[#This Row],[Column7]],0)</f>
        <v>0</v>
      </c>
      <c r="AU242" s="4" t="str">
        <f>+IF(LEFT(Table1[[#This Row],[Column42]],2)="DN",IF(Table1[[#This Row],[Column40]]="ok","(CA)",_xlfn.CONCAT("(CA)",CHAR(10),"FAIL")),"")</f>
        <v/>
      </c>
      <c r="AV242" s="154" t="str">
        <f>+IF(Table1[[#This Row],[Column6]]=0,"",_xlfn.CONCAT("Sem ",WEEKNUM(Table1[[#This Row],[Column6]],2)))</f>
        <v>Sem 11</v>
      </c>
      <c r="AW242" s="211"/>
    </row>
    <row r="243" spans="2:49" ht="19.5" customHeight="1" x14ac:dyDescent="0.3">
      <c r="B243" s="356" t="s">
        <v>509</v>
      </c>
      <c r="C243" s="331"/>
      <c r="D243" s="332" t="s">
        <v>207</v>
      </c>
      <c r="E243" s="332" t="s">
        <v>176</v>
      </c>
      <c r="F243" s="333"/>
      <c r="G243" s="334">
        <v>46093</v>
      </c>
      <c r="H243" s="335">
        <v>982.19</v>
      </c>
      <c r="I243" s="336">
        <v>52.74</v>
      </c>
      <c r="J243" s="337">
        <v>2628.65</v>
      </c>
      <c r="K243" s="338" t="s">
        <v>205</v>
      </c>
      <c r="L243" s="339" t="s">
        <v>280</v>
      </c>
      <c r="M243" s="340">
        <v>30</v>
      </c>
      <c r="N243" s="341">
        <v>85462</v>
      </c>
      <c r="O243" s="332">
        <v>59.78</v>
      </c>
      <c r="P243" s="342">
        <v>15.1</v>
      </c>
      <c r="Q243" s="343">
        <v>12.429057888762785</v>
      </c>
      <c r="R243" s="344">
        <v>1.7211120764552563</v>
      </c>
      <c r="S243" s="344">
        <v>1.762</v>
      </c>
      <c r="T243" s="344">
        <v>1.9810000000000001</v>
      </c>
      <c r="U243" s="344" t="s">
        <v>136</v>
      </c>
      <c r="V243" s="332" t="s">
        <v>137</v>
      </c>
      <c r="W243" s="345">
        <v>8</v>
      </c>
      <c r="X243" s="346">
        <v>4</v>
      </c>
      <c r="Y243" s="208">
        <v>2.8069999999999999</v>
      </c>
      <c r="Z243" s="332"/>
      <c r="AA243" s="342"/>
      <c r="AB243" s="342"/>
      <c r="AC243" s="342"/>
      <c r="AD243" s="123"/>
      <c r="AE243" s="358">
        <v>1.704</v>
      </c>
      <c r="AF243" s="349">
        <v>0</v>
      </c>
      <c r="AG243" s="350"/>
      <c r="AH243" s="351" t="s">
        <v>139</v>
      </c>
      <c r="AI243" s="351" t="s">
        <v>139</v>
      </c>
      <c r="AJ243" s="206" t="s">
        <v>139</v>
      </c>
      <c r="AK243" s="353" t="s">
        <v>484</v>
      </c>
      <c r="AL243" s="206" t="s">
        <v>139</v>
      </c>
      <c r="AM243" s="349">
        <v>101.00422983892349</v>
      </c>
      <c r="AN243" s="354" t="s">
        <v>139</v>
      </c>
      <c r="AO243" s="355" t="s">
        <v>140</v>
      </c>
      <c r="AP243" s="206" t="s">
        <v>139</v>
      </c>
      <c r="AQ243" s="207">
        <v>0</v>
      </c>
      <c r="AR243" s="211"/>
      <c r="AS243" s="297">
        <f>+IF(Table1[[#This Row],[Column40]]="ok",Table1[[#This Row],[Column7]],0)</f>
        <v>982.19</v>
      </c>
      <c r="AT243" s="295">
        <f>+IF(Table1[[#This Row],[Column40]]="No",Table1[[#This Row],[Column7]],0)</f>
        <v>0</v>
      </c>
      <c r="AU243" s="4" t="str">
        <f>+IF(LEFT(Table1[[#This Row],[Column42]],2)="DN",IF(Table1[[#This Row],[Column40]]="ok","(CA)",_xlfn.CONCAT("(CA)",CHAR(10),"FAIL")),"")</f>
        <v/>
      </c>
      <c r="AV243" s="154" t="str">
        <f>+IF(Table1[[#This Row],[Column6]]=0,"",_xlfn.CONCAT("Sem ",WEEKNUM(Table1[[#This Row],[Column6]],2)))</f>
        <v>Sem 11</v>
      </c>
      <c r="AW243" s="211"/>
    </row>
    <row r="244" spans="2:49" ht="19.5" customHeight="1" x14ac:dyDescent="0.3">
      <c r="B244" s="356" t="s">
        <v>510</v>
      </c>
      <c r="C244" s="331"/>
      <c r="D244" s="332" t="s">
        <v>207</v>
      </c>
      <c r="E244" s="332" t="s">
        <v>176</v>
      </c>
      <c r="F244" s="333"/>
      <c r="G244" s="334">
        <v>46093</v>
      </c>
      <c r="H244" s="335">
        <v>1725.54</v>
      </c>
      <c r="I244" s="336">
        <v>-10.54</v>
      </c>
      <c r="J244" s="337">
        <v>2635.6</v>
      </c>
      <c r="K244" s="338" t="s">
        <v>149</v>
      </c>
      <c r="L244" s="339" t="s">
        <v>511</v>
      </c>
      <c r="M244" s="340">
        <v>30</v>
      </c>
      <c r="N244" s="341">
        <v>85462</v>
      </c>
      <c r="O244" s="332">
        <v>59.78</v>
      </c>
      <c r="P244" s="342">
        <v>10</v>
      </c>
      <c r="Q244" s="343">
        <v>10.322952710495969</v>
      </c>
      <c r="R244" s="344">
        <v>1.739090909090909</v>
      </c>
      <c r="S244" s="344">
        <v>1.734</v>
      </c>
      <c r="T244" s="344">
        <v>1.913</v>
      </c>
      <c r="U244" s="344" t="s">
        <v>136</v>
      </c>
      <c r="V244" s="332" t="s">
        <v>191</v>
      </c>
      <c r="W244" s="345">
        <v>6</v>
      </c>
      <c r="X244" s="346">
        <v>3</v>
      </c>
      <c r="Y244" s="208">
        <v>2.8069999999999999</v>
      </c>
      <c r="Z244" s="332"/>
      <c r="AA244" s="342"/>
      <c r="AB244" s="342"/>
      <c r="AC244" s="342"/>
      <c r="AD244" s="347"/>
      <c r="AE244" s="358">
        <v>1.716</v>
      </c>
      <c r="AF244" s="349">
        <v>0</v>
      </c>
      <c r="AG244" s="350"/>
      <c r="AH244" s="351" t="s">
        <v>139</v>
      </c>
      <c r="AI244" s="352" t="s">
        <v>139</v>
      </c>
      <c r="AJ244" s="206" t="s">
        <v>139</v>
      </c>
      <c r="AK244" s="353" t="s">
        <v>437</v>
      </c>
      <c r="AL244" s="206" t="s">
        <v>139</v>
      </c>
      <c r="AM244" s="349">
        <v>101.3456240728968</v>
      </c>
      <c r="AN244" s="354" t="s">
        <v>139</v>
      </c>
      <c r="AO244" s="355" t="s">
        <v>140</v>
      </c>
      <c r="AP244" s="206" t="s">
        <v>139</v>
      </c>
      <c r="AQ244" s="246">
        <v>0</v>
      </c>
      <c r="AR244" s="211"/>
      <c r="AS244" s="297">
        <f>+IF(Table1[[#This Row],[Column40]]="ok",Table1[[#This Row],[Column7]],0)</f>
        <v>1725.54</v>
      </c>
      <c r="AT244" s="295">
        <f>+IF(Table1[[#This Row],[Column40]]="No",Table1[[#This Row],[Column7]],0)</f>
        <v>0</v>
      </c>
      <c r="AU244" s="4" t="str">
        <f>+IF(LEFT(Table1[[#This Row],[Column42]],2)="DN",IF(Table1[[#This Row],[Column40]]="ok","(CA)",_xlfn.CONCAT("(CA)",CHAR(10),"FAIL")),"")</f>
        <v/>
      </c>
      <c r="AV244" s="154" t="str">
        <f>+IF(Table1[[#This Row],[Column6]]=0,"",_xlfn.CONCAT("Sem ",WEEKNUM(Table1[[#This Row],[Column6]],2)))</f>
        <v>Sem 11</v>
      </c>
      <c r="AW244" s="211"/>
    </row>
    <row r="245" spans="2:49" ht="19.5" customHeight="1" x14ac:dyDescent="0.3">
      <c r="B245" s="356" t="s">
        <v>512</v>
      </c>
      <c r="C245" s="364"/>
      <c r="D245" s="332" t="s">
        <v>207</v>
      </c>
      <c r="E245" s="332" t="s">
        <v>133</v>
      </c>
      <c r="F245" s="332"/>
      <c r="G245" s="334">
        <v>46094</v>
      </c>
      <c r="H245" s="335">
        <v>916.34</v>
      </c>
      <c r="I245" s="336">
        <v>470.43</v>
      </c>
      <c r="J245" s="337">
        <v>2509.06</v>
      </c>
      <c r="K245" s="338" t="s">
        <v>290</v>
      </c>
      <c r="L245" s="339" t="s">
        <v>311</v>
      </c>
      <c r="M245" s="340">
        <v>30</v>
      </c>
      <c r="N245" s="341">
        <v>85462</v>
      </c>
      <c r="O245" s="332">
        <v>59.78</v>
      </c>
      <c r="P245" s="342">
        <v>12.9</v>
      </c>
      <c r="Q245" s="343">
        <v>12.042175360710328</v>
      </c>
      <c r="R245" s="344">
        <v>1.7883082373782109</v>
      </c>
      <c r="S245" s="344">
        <v>1.802</v>
      </c>
      <c r="T245" s="344">
        <v>2.0190000000000001</v>
      </c>
      <c r="U245" s="344" t="s">
        <v>136</v>
      </c>
      <c r="V245" s="332" t="s">
        <v>137</v>
      </c>
      <c r="W245" s="345">
        <v>8</v>
      </c>
      <c r="X245" s="346">
        <v>4</v>
      </c>
      <c r="Y245" s="208">
        <v>2.8069999999999999</v>
      </c>
      <c r="Z245" s="332"/>
      <c r="AA245" s="342"/>
      <c r="AB245" s="342"/>
      <c r="AC245" s="342"/>
      <c r="AD245" s="347"/>
      <c r="AE245" s="358">
        <v>1.742</v>
      </c>
      <c r="AF245" s="349">
        <v>0</v>
      </c>
      <c r="AG245" s="350"/>
      <c r="AH245" s="351" t="s">
        <v>139</v>
      </c>
      <c r="AI245" s="352" t="s">
        <v>139</v>
      </c>
      <c r="AJ245" s="206" t="s">
        <v>139</v>
      </c>
      <c r="AK245" s="353" t="s">
        <v>513</v>
      </c>
      <c r="AL245" s="206" t="s">
        <v>139</v>
      </c>
      <c r="AM245" s="349">
        <v>102.65833739254941</v>
      </c>
      <c r="AN245" s="354" t="s">
        <v>139</v>
      </c>
      <c r="AO245" s="355" t="s">
        <v>140</v>
      </c>
      <c r="AP245" s="206" t="s">
        <v>139</v>
      </c>
      <c r="AQ245" s="246">
        <v>0</v>
      </c>
      <c r="AR245" s="211"/>
      <c r="AS245" s="297">
        <f>+IF(Table1[[#This Row],[Column40]]="ok",Table1[[#This Row],[Column7]],0)</f>
        <v>916.34</v>
      </c>
      <c r="AT245" s="295">
        <f>+IF(Table1[[#This Row],[Column40]]="No",Table1[[#This Row],[Column7]],0)</f>
        <v>0</v>
      </c>
      <c r="AU245" s="4" t="str">
        <f>+IF(LEFT(Table1[[#This Row],[Column42]],2)="DN",IF(Table1[[#This Row],[Column40]]="ok","(CA)",_xlfn.CONCAT("(CA)",CHAR(10),"FAIL")),"")</f>
        <v/>
      </c>
      <c r="AV245" s="154" t="str">
        <f>+IF(Table1[[#This Row],[Column6]]=0,"",_xlfn.CONCAT("Sem ",WEEKNUM(Table1[[#This Row],[Column6]],2)))</f>
        <v>Sem 11</v>
      </c>
      <c r="AW245" s="211"/>
    </row>
    <row r="246" spans="2:49" ht="19.5" customHeight="1" x14ac:dyDescent="0.3">
      <c r="B246" s="356" t="s">
        <v>514</v>
      </c>
      <c r="C246" s="364"/>
      <c r="D246" s="332" t="s">
        <v>207</v>
      </c>
      <c r="E246" s="332" t="s">
        <v>133</v>
      </c>
      <c r="F246" s="332"/>
      <c r="G246" s="334">
        <v>46094</v>
      </c>
      <c r="H246" s="335">
        <v>843.68</v>
      </c>
      <c r="I246" s="336">
        <v>413.55</v>
      </c>
      <c r="J246" s="337">
        <v>2529.39</v>
      </c>
      <c r="K246" s="338" t="s">
        <v>290</v>
      </c>
      <c r="L246" s="339" t="s">
        <v>313</v>
      </c>
      <c r="M246" s="340">
        <v>30</v>
      </c>
      <c r="N246" s="341">
        <v>85462</v>
      </c>
      <c r="O246" s="332">
        <v>59.78</v>
      </c>
      <c r="P246" s="342">
        <v>13.8</v>
      </c>
      <c r="Q246" s="343">
        <v>12.341597796143255</v>
      </c>
      <c r="R246" s="344">
        <v>1.7917398945518457</v>
      </c>
      <c r="S246" s="344">
        <v>1.8149999999999999</v>
      </c>
      <c r="T246" s="344">
        <v>2.0390000000000001</v>
      </c>
      <c r="U246" s="344" t="s">
        <v>136</v>
      </c>
      <c r="V246" s="332" t="s">
        <v>137</v>
      </c>
      <c r="W246" s="345">
        <v>8</v>
      </c>
      <c r="X246" s="346">
        <v>4</v>
      </c>
      <c r="Y246" s="208">
        <v>2.8069999999999999</v>
      </c>
      <c r="Z246" s="332"/>
      <c r="AA246" s="342"/>
      <c r="AB246" s="342"/>
      <c r="AC246" s="342"/>
      <c r="AD246" s="347"/>
      <c r="AE246" s="358">
        <v>1.742</v>
      </c>
      <c r="AF246" s="349">
        <v>0</v>
      </c>
      <c r="AG246" s="350"/>
      <c r="AH246" s="351" t="s">
        <v>139</v>
      </c>
      <c r="AI246" s="352" t="s">
        <v>139</v>
      </c>
      <c r="AJ246" s="206" t="s">
        <v>139</v>
      </c>
      <c r="AK246" s="353" t="s">
        <v>513</v>
      </c>
      <c r="AL246" s="206" t="s">
        <v>139</v>
      </c>
      <c r="AM246" s="349">
        <v>102.85533263787863</v>
      </c>
      <c r="AN246" s="354" t="s">
        <v>139</v>
      </c>
      <c r="AO246" s="355" t="s">
        <v>140</v>
      </c>
      <c r="AP246" s="206" t="s">
        <v>139</v>
      </c>
      <c r="AQ246" s="246">
        <v>0</v>
      </c>
      <c r="AR246" s="211"/>
      <c r="AS246" s="297">
        <f>+IF(Table1[[#This Row],[Column40]]="ok",Table1[[#This Row],[Column7]],0)</f>
        <v>843.68</v>
      </c>
      <c r="AT246" s="295">
        <f>+IF(Table1[[#This Row],[Column40]]="No",Table1[[#This Row],[Column7]],0)</f>
        <v>0</v>
      </c>
      <c r="AU246" s="4" t="str">
        <f>+IF(LEFT(Table1[[#This Row],[Column42]],2)="DN",IF(Table1[[#This Row],[Column40]]="ok","(CA)",_xlfn.CONCAT("(CA)",CHAR(10),"FAIL")),"")</f>
        <v/>
      </c>
      <c r="AV246" s="154" t="str">
        <f>+IF(Table1[[#This Row],[Column6]]=0,"",_xlfn.CONCAT("Sem ",WEEKNUM(Table1[[#This Row],[Column6]],2)))</f>
        <v>Sem 11</v>
      </c>
      <c r="AW246" s="211"/>
    </row>
    <row r="247" spans="2:49" ht="19.5" customHeight="1" x14ac:dyDescent="0.3">
      <c r="B247" s="356" t="s">
        <v>515</v>
      </c>
      <c r="C247" s="364"/>
      <c r="D247" s="332" t="s">
        <v>207</v>
      </c>
      <c r="E247" s="332" t="s">
        <v>133</v>
      </c>
      <c r="F247" s="332"/>
      <c r="G247" s="334">
        <v>46094</v>
      </c>
      <c r="H247" s="335">
        <v>827.83</v>
      </c>
      <c r="I247" s="336">
        <v>593.96</v>
      </c>
      <c r="J247" s="337">
        <v>2482.25</v>
      </c>
      <c r="K247" s="338" t="s">
        <v>240</v>
      </c>
      <c r="L247" s="339" t="s">
        <v>313</v>
      </c>
      <c r="M247" s="340">
        <v>30</v>
      </c>
      <c r="N247" s="341">
        <v>85462</v>
      </c>
      <c r="O247" s="332">
        <v>59.78</v>
      </c>
      <c r="P247" s="342">
        <v>12.6</v>
      </c>
      <c r="Q247" s="343">
        <v>10.499999999999998</v>
      </c>
      <c r="R247" s="344">
        <v>1.7664298401420961</v>
      </c>
      <c r="S247" s="344">
        <v>1.8</v>
      </c>
      <c r="T247" s="344">
        <v>1.9890000000000001</v>
      </c>
      <c r="U247" s="344" t="s">
        <v>136</v>
      </c>
      <c r="V247" s="332" t="s">
        <v>137</v>
      </c>
      <c r="W247" s="345">
        <v>8</v>
      </c>
      <c r="X247" s="346">
        <v>4</v>
      </c>
      <c r="Y247" s="208">
        <v>2.8069999999999999</v>
      </c>
      <c r="Z247" s="332"/>
      <c r="AA247" s="342"/>
      <c r="AB247" s="342"/>
      <c r="AC247" s="342"/>
      <c r="AD247" s="347"/>
      <c r="AE247" s="358">
        <v>1.7692807707944755</v>
      </c>
      <c r="AF247" s="349">
        <v>16.242786318319752</v>
      </c>
      <c r="AG247" s="350"/>
      <c r="AH247" s="351">
        <v>1.7469879518072289</v>
      </c>
      <c r="AI247" s="351">
        <v>2.0299999999999998</v>
      </c>
      <c r="AJ247" s="206">
        <v>16.2</v>
      </c>
      <c r="AK247" s="353" t="s">
        <v>277</v>
      </c>
      <c r="AL247" s="206">
        <v>4.2786318319752326E-2</v>
      </c>
      <c r="AM247" s="349">
        <v>99.838864995345006</v>
      </c>
      <c r="AN247" s="354" t="s">
        <v>139</v>
      </c>
      <c r="AO247" s="355" t="s">
        <v>140</v>
      </c>
      <c r="AP247" s="206" t="s">
        <v>139</v>
      </c>
      <c r="AQ247" s="246" t="s">
        <v>516</v>
      </c>
      <c r="AR247" s="211"/>
      <c r="AS247" s="297">
        <f>+IF(Table1[[#This Row],[Column40]]="ok",Table1[[#This Row],[Column7]],0)</f>
        <v>827.83</v>
      </c>
      <c r="AT247" s="295">
        <f>+IF(Table1[[#This Row],[Column40]]="No",Table1[[#This Row],[Column7]],0)</f>
        <v>0</v>
      </c>
      <c r="AU247" s="4" t="str">
        <f>+IF(LEFT(Table1[[#This Row],[Column42]],2)="DN",IF(Table1[[#This Row],[Column40]]="ok","(CA)",_xlfn.CONCAT("(CA)",CHAR(10),"FAIL")),"")</f>
        <v/>
      </c>
      <c r="AV247" s="154" t="str">
        <f>+IF(Table1[[#This Row],[Column6]]=0,"",_xlfn.CONCAT("Sem ",WEEKNUM(Table1[[#This Row],[Column6]],2)))</f>
        <v>Sem 11</v>
      </c>
      <c r="AW247" s="211"/>
    </row>
    <row r="248" spans="2:49" ht="19.5" customHeight="1" x14ac:dyDescent="0.3">
      <c r="B248" s="356" t="s">
        <v>516</v>
      </c>
      <c r="C248" s="331"/>
      <c r="D248" s="332" t="s">
        <v>207</v>
      </c>
      <c r="E248" s="332" t="s">
        <v>133</v>
      </c>
      <c r="F248" s="333"/>
      <c r="G248" s="334">
        <v>46094</v>
      </c>
      <c r="H248" s="335">
        <v>827.83</v>
      </c>
      <c r="I248" s="336">
        <v>593.96</v>
      </c>
      <c r="J248" s="337">
        <v>2482.25</v>
      </c>
      <c r="K248" s="338" t="s">
        <v>240</v>
      </c>
      <c r="L248" s="339" t="s">
        <v>313</v>
      </c>
      <c r="M248" s="340">
        <v>15</v>
      </c>
      <c r="N248" s="341"/>
      <c r="O248" s="332"/>
      <c r="P248" s="342">
        <v>12.555584619408853</v>
      </c>
      <c r="Q248" s="343"/>
      <c r="R248" s="344">
        <v>1.7699794778543494</v>
      </c>
      <c r="S248" s="344"/>
      <c r="T248" s="344">
        <v>1.9922107489425229</v>
      </c>
      <c r="U248" s="344" t="s">
        <v>142</v>
      </c>
      <c r="V248" s="332" t="s">
        <v>137</v>
      </c>
      <c r="W248" s="345">
        <v>6</v>
      </c>
      <c r="X248" s="346">
        <v>8</v>
      </c>
      <c r="Y248" s="208"/>
      <c r="Z248" s="332" t="s">
        <v>143</v>
      </c>
      <c r="AA248" s="342">
        <v>98.715790810142238</v>
      </c>
      <c r="AB248" s="342">
        <v>75.97458640641095</v>
      </c>
      <c r="AC248" s="342">
        <v>34.58559439162002</v>
      </c>
      <c r="AD248" s="123">
        <v>11.068513602349668</v>
      </c>
      <c r="AE248" s="358">
        <v>1.7692807707944755</v>
      </c>
      <c r="AF248" s="349">
        <v>16.242786318319752</v>
      </c>
      <c r="AG248" s="350" t="s">
        <v>277</v>
      </c>
      <c r="AH248" s="351">
        <v>1.7473111862455812</v>
      </c>
      <c r="AI248" s="351">
        <v>2.0296619179247291</v>
      </c>
      <c r="AJ248" s="206">
        <v>16.159155501421012</v>
      </c>
      <c r="AK248" s="353" t="s">
        <v>277</v>
      </c>
      <c r="AL248" s="206">
        <v>8.3630816898740079E-2</v>
      </c>
      <c r="AM248" s="349">
        <v>100.03949102208125</v>
      </c>
      <c r="AN248" s="354" t="s">
        <v>139</v>
      </c>
      <c r="AO248" s="355" t="s">
        <v>144</v>
      </c>
      <c r="AP248" s="206">
        <v>0</v>
      </c>
      <c r="AQ248" s="246" t="s">
        <v>515</v>
      </c>
      <c r="AR248" s="211"/>
      <c r="AS248" s="297">
        <f>+IF(Table1[[#This Row],[Column40]]="ok",Table1[[#This Row],[Column7]],0)</f>
        <v>827.83</v>
      </c>
      <c r="AT248" s="295">
        <f>+IF(Table1[[#This Row],[Column40]]="No",Table1[[#This Row],[Column7]],0)</f>
        <v>0</v>
      </c>
      <c r="AU248" s="4" t="str">
        <f>+IF(LEFT(Table1[[#This Row],[Column42]],2)="DN",IF(Table1[[#This Row],[Column40]]="ok","(CA)",_xlfn.CONCAT("(CA)",CHAR(10),"FAIL")),"")</f>
        <v>(CA)</v>
      </c>
      <c r="AV248" s="154" t="str">
        <f>+IF(Table1[[#This Row],[Column6]]=0,"",_xlfn.CONCAT("Sem ",WEEKNUM(Table1[[#This Row],[Column6]],2)))</f>
        <v>Sem 11</v>
      </c>
      <c r="AW248" s="211"/>
    </row>
    <row r="249" spans="2:49" ht="19.5" customHeight="1" x14ac:dyDescent="0.3">
      <c r="B249" s="356" t="s">
        <v>517</v>
      </c>
      <c r="C249" s="331"/>
      <c r="D249" s="332" t="s">
        <v>207</v>
      </c>
      <c r="E249" s="332" t="s">
        <v>133</v>
      </c>
      <c r="F249" s="333"/>
      <c r="G249" s="334">
        <v>46094</v>
      </c>
      <c r="H249" s="335">
        <v>787.05</v>
      </c>
      <c r="I249" s="336">
        <v>390.33</v>
      </c>
      <c r="J249" s="337">
        <v>2540.9100000000003</v>
      </c>
      <c r="K249" s="338" t="s">
        <v>290</v>
      </c>
      <c r="L249" s="339" t="s">
        <v>354</v>
      </c>
      <c r="M249" s="340">
        <v>30</v>
      </c>
      <c r="N249" s="341">
        <v>85462</v>
      </c>
      <c r="O249" s="332">
        <v>59.78</v>
      </c>
      <c r="P249" s="342">
        <v>13.4</v>
      </c>
      <c r="Q249" s="343">
        <v>10.63360881542701</v>
      </c>
      <c r="R249" s="344">
        <v>1.7707231040564375</v>
      </c>
      <c r="S249" s="344">
        <v>1.8149999999999999</v>
      </c>
      <c r="T249" s="344">
        <v>2.008</v>
      </c>
      <c r="U249" s="344" t="s">
        <v>136</v>
      </c>
      <c r="V249" s="332" t="s">
        <v>137</v>
      </c>
      <c r="W249" s="345">
        <v>8</v>
      </c>
      <c r="X249" s="346">
        <v>4</v>
      </c>
      <c r="Y249" s="208">
        <v>2.8069999999999999</v>
      </c>
      <c r="Z249" s="332"/>
      <c r="AA249" s="342"/>
      <c r="AB249" s="342"/>
      <c r="AC249" s="342"/>
      <c r="AD249" s="347"/>
      <c r="AE249" s="358">
        <v>1.742</v>
      </c>
      <c r="AF249" s="349">
        <v>0</v>
      </c>
      <c r="AG249" s="350"/>
      <c r="AH249" s="351" t="s">
        <v>139</v>
      </c>
      <c r="AI249" s="352" t="s">
        <v>139</v>
      </c>
      <c r="AJ249" s="206" t="s">
        <v>139</v>
      </c>
      <c r="AK249" s="353" t="s">
        <v>513</v>
      </c>
      <c r="AL249" s="206" t="s">
        <v>139</v>
      </c>
      <c r="AM249" s="349">
        <v>101.64885786776334</v>
      </c>
      <c r="AN249" s="354" t="s">
        <v>139</v>
      </c>
      <c r="AO249" s="355" t="s">
        <v>140</v>
      </c>
      <c r="AP249" s="206" t="s">
        <v>139</v>
      </c>
      <c r="AQ249" s="246">
        <v>0</v>
      </c>
      <c r="AR249" s="211"/>
      <c r="AS249" s="297">
        <f>+IF(Table1[[#This Row],[Column40]]="ok",Table1[[#This Row],[Column7]],0)</f>
        <v>787.05</v>
      </c>
      <c r="AT249" s="295">
        <f>+IF(Table1[[#This Row],[Column40]]="No",Table1[[#This Row],[Column7]],0)</f>
        <v>0</v>
      </c>
      <c r="AU249" s="4" t="str">
        <f>+IF(LEFT(Table1[[#This Row],[Column42]],2)="DN",IF(Table1[[#This Row],[Column40]]="ok","(CA)",_xlfn.CONCAT("(CA)",CHAR(10),"FAIL")),"")</f>
        <v/>
      </c>
      <c r="AV249" s="154" t="str">
        <f>+IF(Table1[[#This Row],[Column6]]=0,"",_xlfn.CONCAT("Sem ",WEEKNUM(Table1[[#This Row],[Column6]],2)))</f>
        <v>Sem 11</v>
      </c>
      <c r="AW249" s="211"/>
    </row>
    <row r="250" spans="2:49" ht="19.5" customHeight="1" x14ac:dyDescent="0.3">
      <c r="B250" s="356" t="s">
        <v>518</v>
      </c>
      <c r="C250" s="331"/>
      <c r="D250" s="332" t="s">
        <v>207</v>
      </c>
      <c r="E250" s="332" t="s">
        <v>133</v>
      </c>
      <c r="F250" s="333"/>
      <c r="G250" s="334">
        <v>46094</v>
      </c>
      <c r="H250" s="335">
        <v>863.52</v>
      </c>
      <c r="I250" s="336">
        <v>508.43</v>
      </c>
      <c r="J250" s="337">
        <v>2501.4700000000003</v>
      </c>
      <c r="K250" s="338" t="s">
        <v>240</v>
      </c>
      <c r="L250" s="339" t="s">
        <v>302</v>
      </c>
      <c r="M250" s="340">
        <v>30</v>
      </c>
      <c r="N250" s="341">
        <v>85462</v>
      </c>
      <c r="O250" s="332">
        <v>59.78</v>
      </c>
      <c r="P250" s="342">
        <v>14.299999999999999</v>
      </c>
      <c r="Q250" s="343">
        <v>11.719181868435591</v>
      </c>
      <c r="R250" s="344">
        <v>1.7681539807524058</v>
      </c>
      <c r="S250" s="344">
        <v>1.8089999999999999</v>
      </c>
      <c r="T250" s="344">
        <v>2.0209999999999999</v>
      </c>
      <c r="U250" s="344" t="s">
        <v>136</v>
      </c>
      <c r="V250" s="332" t="s">
        <v>137</v>
      </c>
      <c r="W250" s="345">
        <v>8</v>
      </c>
      <c r="X250" s="346">
        <v>4</v>
      </c>
      <c r="Y250" s="208">
        <v>2.8069999999999999</v>
      </c>
      <c r="Z250" s="332"/>
      <c r="AA250" s="342"/>
      <c r="AB250" s="342"/>
      <c r="AC250" s="342"/>
      <c r="AD250" s="347"/>
      <c r="AE250" s="358">
        <v>1.742</v>
      </c>
      <c r="AF250" s="349">
        <v>0</v>
      </c>
      <c r="AG250" s="350"/>
      <c r="AH250" s="351" t="s">
        <v>139</v>
      </c>
      <c r="AI250" s="352" t="s">
        <v>139</v>
      </c>
      <c r="AJ250" s="206" t="s">
        <v>139</v>
      </c>
      <c r="AK250" s="353" t="s">
        <v>513</v>
      </c>
      <c r="AL250" s="206" t="s">
        <v>139</v>
      </c>
      <c r="AM250" s="349">
        <v>101.50137662183731</v>
      </c>
      <c r="AN250" s="354" t="s">
        <v>139</v>
      </c>
      <c r="AO250" s="355" t="s">
        <v>140</v>
      </c>
      <c r="AP250" s="206" t="s">
        <v>139</v>
      </c>
      <c r="AQ250" s="246">
        <v>0</v>
      </c>
      <c r="AR250" s="211"/>
      <c r="AS250" s="297">
        <f>+IF(Table1[[#This Row],[Column40]]="ok",Table1[[#This Row],[Column7]],0)</f>
        <v>863.52</v>
      </c>
      <c r="AT250" s="295">
        <f>+IF(Table1[[#This Row],[Column40]]="No",Table1[[#This Row],[Column7]],0)</f>
        <v>0</v>
      </c>
      <c r="AU250" s="4" t="str">
        <f>+IF(LEFT(Table1[[#This Row],[Column42]],2)="DN",IF(Table1[[#This Row],[Column40]]="ok","(CA)",_xlfn.CONCAT("(CA)",CHAR(10),"FAIL")),"")</f>
        <v/>
      </c>
      <c r="AV250" s="154" t="str">
        <f>+IF(Table1[[#This Row],[Column6]]=0,"",_xlfn.CONCAT("Sem ",WEEKNUM(Table1[[#This Row],[Column6]],2)))</f>
        <v>Sem 11</v>
      </c>
      <c r="AW250" s="211"/>
    </row>
    <row r="251" spans="2:49" ht="19.5" customHeight="1" x14ac:dyDescent="0.3">
      <c r="B251" s="356" t="s">
        <v>519</v>
      </c>
      <c r="C251" s="331"/>
      <c r="D251" s="332" t="s">
        <v>207</v>
      </c>
      <c r="E251" s="332" t="s">
        <v>133</v>
      </c>
      <c r="F251" s="333"/>
      <c r="G251" s="334">
        <v>46094</v>
      </c>
      <c r="H251" s="335">
        <v>789.28</v>
      </c>
      <c r="I251" s="336">
        <v>529.74</v>
      </c>
      <c r="J251" s="337">
        <v>2502.46</v>
      </c>
      <c r="K251" s="338" t="s">
        <v>240</v>
      </c>
      <c r="L251" s="339" t="s">
        <v>354</v>
      </c>
      <c r="M251" s="340">
        <v>30</v>
      </c>
      <c r="N251" s="341">
        <v>85462</v>
      </c>
      <c r="O251" s="332">
        <v>59.78</v>
      </c>
      <c r="P251" s="342">
        <v>12.3</v>
      </c>
      <c r="Q251" s="343">
        <v>10.935738444193909</v>
      </c>
      <c r="R251" s="344">
        <v>1.7524487978628673</v>
      </c>
      <c r="S251" s="344">
        <v>1.774</v>
      </c>
      <c r="T251" s="344">
        <v>1.968</v>
      </c>
      <c r="U251" s="344" t="s">
        <v>136</v>
      </c>
      <c r="V251" s="332" t="s">
        <v>137</v>
      </c>
      <c r="W251" s="345">
        <v>8</v>
      </c>
      <c r="X251" s="346">
        <v>4</v>
      </c>
      <c r="Y251" s="208">
        <v>2.8069999999999999</v>
      </c>
      <c r="Z251" s="332"/>
      <c r="AA251" s="342"/>
      <c r="AB251" s="342"/>
      <c r="AC251" s="342"/>
      <c r="AD251" s="347"/>
      <c r="AE251" s="358">
        <v>1.742</v>
      </c>
      <c r="AF251" s="349">
        <v>0</v>
      </c>
      <c r="AG251" s="350"/>
      <c r="AH251" s="351" t="s">
        <v>139</v>
      </c>
      <c r="AI251" s="352" t="s">
        <v>139</v>
      </c>
      <c r="AJ251" s="206" t="s">
        <v>139</v>
      </c>
      <c r="AK251" s="353" t="s">
        <v>513</v>
      </c>
      <c r="AL251" s="206" t="s">
        <v>139</v>
      </c>
      <c r="AM251" s="349">
        <v>100.59981618041718</v>
      </c>
      <c r="AN251" s="354" t="s">
        <v>139</v>
      </c>
      <c r="AO251" s="355" t="s">
        <v>140</v>
      </c>
      <c r="AP251" s="206" t="s">
        <v>139</v>
      </c>
      <c r="AQ251" s="246">
        <v>0</v>
      </c>
      <c r="AR251" s="211"/>
      <c r="AS251" s="297">
        <f>+IF(Table1[[#This Row],[Column40]]="ok",Table1[[#This Row],[Column7]],0)</f>
        <v>789.28</v>
      </c>
      <c r="AT251" s="295">
        <f>+IF(Table1[[#This Row],[Column40]]="No",Table1[[#This Row],[Column7]],0)</f>
        <v>0</v>
      </c>
      <c r="AU251" s="4" t="str">
        <f>+IF(LEFT(Table1[[#This Row],[Column42]],2)="DN",IF(Table1[[#This Row],[Column40]]="ok","(CA)",_xlfn.CONCAT("(CA)",CHAR(10),"FAIL")),"")</f>
        <v/>
      </c>
      <c r="AV251" s="154" t="str">
        <f>+IF(Table1[[#This Row],[Column6]]=0,"",_xlfn.CONCAT("Sem ",WEEKNUM(Table1[[#This Row],[Column6]],2)))</f>
        <v>Sem 11</v>
      </c>
      <c r="AW251" s="211"/>
    </row>
    <row r="252" spans="2:49" ht="19.5" customHeight="1" x14ac:dyDescent="0.3">
      <c r="B252" s="356" t="s">
        <v>520</v>
      </c>
      <c r="C252" s="331"/>
      <c r="D252" s="332" t="s">
        <v>207</v>
      </c>
      <c r="E252" s="332" t="s">
        <v>133</v>
      </c>
      <c r="F252" s="333"/>
      <c r="G252" s="334">
        <v>46094</v>
      </c>
      <c r="H252" s="335">
        <v>755.08</v>
      </c>
      <c r="I252" s="336">
        <v>566.95000000000005</v>
      </c>
      <c r="J252" s="337">
        <v>2497.36</v>
      </c>
      <c r="K252" s="338" t="s">
        <v>326</v>
      </c>
      <c r="L252" s="339" t="s">
        <v>307</v>
      </c>
      <c r="M252" s="340">
        <v>30</v>
      </c>
      <c r="N252" s="341">
        <v>85462</v>
      </c>
      <c r="O252" s="332">
        <v>59.78</v>
      </c>
      <c r="P252" s="342">
        <v>14.099999999999998</v>
      </c>
      <c r="Q252" s="343">
        <v>11.254924029262803</v>
      </c>
      <c r="R252" s="344">
        <v>1.7326906222611744</v>
      </c>
      <c r="S252" s="344">
        <v>1.7769999999999999</v>
      </c>
      <c r="T252" s="344">
        <v>1.9770000000000001</v>
      </c>
      <c r="U252" s="344" t="s">
        <v>136</v>
      </c>
      <c r="V252" s="332" t="s">
        <v>137</v>
      </c>
      <c r="W252" s="345">
        <v>8</v>
      </c>
      <c r="X252" s="346">
        <v>4</v>
      </c>
      <c r="Y252" s="208">
        <v>2.8069999999999999</v>
      </c>
      <c r="Z252" s="332"/>
      <c r="AA252" s="342"/>
      <c r="AB252" s="342"/>
      <c r="AC252" s="342"/>
      <c r="AD252" s="347"/>
      <c r="AE252" s="358">
        <v>1.742</v>
      </c>
      <c r="AF252" s="349">
        <v>0</v>
      </c>
      <c r="AG252" s="350"/>
      <c r="AH252" s="351" t="s">
        <v>139</v>
      </c>
      <c r="AI252" s="352" t="s">
        <v>139</v>
      </c>
      <c r="AJ252" s="206" t="s">
        <v>139</v>
      </c>
      <c r="AK252" s="353" t="s">
        <v>513</v>
      </c>
      <c r="AL252" s="206" t="s">
        <v>139</v>
      </c>
      <c r="AM252" s="349">
        <v>99.465592552306219</v>
      </c>
      <c r="AN252" s="354" t="s">
        <v>139</v>
      </c>
      <c r="AO252" s="355" t="s">
        <v>140</v>
      </c>
      <c r="AP252" s="206" t="s">
        <v>139</v>
      </c>
      <c r="AQ252" s="246">
        <v>0</v>
      </c>
      <c r="AR252" s="211"/>
      <c r="AS252" s="297">
        <f>+IF(Table1[[#This Row],[Column40]]="ok",Table1[[#This Row],[Column7]],0)</f>
        <v>755.08</v>
      </c>
      <c r="AT252" s="295">
        <f>+IF(Table1[[#This Row],[Column40]]="No",Table1[[#This Row],[Column7]],0)</f>
        <v>0</v>
      </c>
      <c r="AU252" s="4" t="str">
        <f>+IF(LEFT(Table1[[#This Row],[Column42]],2)="DN",IF(Table1[[#This Row],[Column40]]="ok","(CA)",_xlfn.CONCAT("(CA)",CHAR(10),"FAIL")),"")</f>
        <v/>
      </c>
      <c r="AV252" s="154" t="str">
        <f>+IF(Table1[[#This Row],[Column6]]=0,"",_xlfn.CONCAT("Sem ",WEEKNUM(Table1[[#This Row],[Column6]],2)))</f>
        <v>Sem 11</v>
      </c>
      <c r="AW252" s="211"/>
    </row>
    <row r="253" spans="2:49" ht="19.5" customHeight="1" x14ac:dyDescent="0.3">
      <c r="B253" s="356" t="s">
        <v>521</v>
      </c>
      <c r="C253" s="331"/>
      <c r="D253" s="332" t="s">
        <v>207</v>
      </c>
      <c r="E253" s="332" t="s">
        <v>133</v>
      </c>
      <c r="F253" s="333"/>
      <c r="G253" s="334">
        <v>46094</v>
      </c>
      <c r="H253" s="335">
        <v>680.01</v>
      </c>
      <c r="I253" s="336">
        <v>414.22</v>
      </c>
      <c r="J253" s="337">
        <v>2542.73</v>
      </c>
      <c r="K253" s="338" t="s">
        <v>306</v>
      </c>
      <c r="L253" s="339" t="s">
        <v>347</v>
      </c>
      <c r="M253" s="340">
        <v>30</v>
      </c>
      <c r="N253" s="341">
        <v>85462</v>
      </c>
      <c r="O253" s="332">
        <v>59.78</v>
      </c>
      <c r="P253" s="342">
        <v>13.3</v>
      </c>
      <c r="Q253" s="343">
        <v>11.977715877437323</v>
      </c>
      <c r="R253" s="344">
        <v>1.7740511915269195</v>
      </c>
      <c r="S253" s="344">
        <v>1.7949999999999999</v>
      </c>
      <c r="T253" s="344">
        <v>2.0099999999999998</v>
      </c>
      <c r="U253" s="344" t="s">
        <v>136</v>
      </c>
      <c r="V253" s="332" t="s">
        <v>137</v>
      </c>
      <c r="W253" s="345">
        <v>8</v>
      </c>
      <c r="X253" s="346">
        <v>4</v>
      </c>
      <c r="Y253" s="208">
        <v>2.8069999999999999</v>
      </c>
      <c r="Z253" s="332"/>
      <c r="AA253" s="342"/>
      <c r="AB253" s="342"/>
      <c r="AC253" s="342"/>
      <c r="AD253" s="347"/>
      <c r="AE253" s="358">
        <v>1.742</v>
      </c>
      <c r="AF253" s="349">
        <v>0</v>
      </c>
      <c r="AG253" s="350"/>
      <c r="AH253" s="351" t="s">
        <v>139</v>
      </c>
      <c r="AI253" s="352" t="s">
        <v>139</v>
      </c>
      <c r="AJ253" s="206" t="s">
        <v>139</v>
      </c>
      <c r="AK253" s="353" t="s">
        <v>513</v>
      </c>
      <c r="AL253" s="206" t="s">
        <v>139</v>
      </c>
      <c r="AM253" s="349">
        <v>101.83990766515036</v>
      </c>
      <c r="AN253" s="354" t="s">
        <v>139</v>
      </c>
      <c r="AO253" s="355" t="s">
        <v>140</v>
      </c>
      <c r="AP253" s="206" t="s">
        <v>139</v>
      </c>
      <c r="AQ253" s="246">
        <v>0</v>
      </c>
      <c r="AR253" s="211"/>
      <c r="AS253" s="297">
        <f>+IF(Table1[[#This Row],[Column40]]="ok",Table1[[#This Row],[Column7]],0)</f>
        <v>680.01</v>
      </c>
      <c r="AT253" s="295">
        <f>+IF(Table1[[#This Row],[Column40]]="No",Table1[[#This Row],[Column7]],0)</f>
        <v>0</v>
      </c>
      <c r="AU253" s="4" t="str">
        <f>+IF(LEFT(Table1[[#This Row],[Column42]],2)="DN",IF(Table1[[#This Row],[Column40]]="ok","(CA)",_xlfn.CONCAT("(CA)",CHAR(10),"FAIL")),"")</f>
        <v/>
      </c>
      <c r="AV253" s="154" t="str">
        <f>+IF(Table1[[#This Row],[Column6]]=0,"",_xlfn.CONCAT("Sem ",WEEKNUM(Table1[[#This Row],[Column6]],2)))</f>
        <v>Sem 11</v>
      </c>
      <c r="AW253" s="211"/>
    </row>
    <row r="254" spans="2:49" ht="19.5" customHeight="1" x14ac:dyDescent="0.3">
      <c r="B254" s="356" t="s">
        <v>522</v>
      </c>
      <c r="C254" s="332"/>
      <c r="D254" s="332" t="s">
        <v>207</v>
      </c>
      <c r="E254" s="332" t="s">
        <v>133</v>
      </c>
      <c r="F254" s="336"/>
      <c r="G254" s="334">
        <v>46094</v>
      </c>
      <c r="H254" s="335">
        <v>690.81</v>
      </c>
      <c r="I254" s="336">
        <v>538.19000000000005</v>
      </c>
      <c r="J254" s="342">
        <v>2509.31</v>
      </c>
      <c r="K254" s="344" t="s">
        <v>326</v>
      </c>
      <c r="L254" s="348" t="s">
        <v>347</v>
      </c>
      <c r="M254" s="359">
        <v>30</v>
      </c>
      <c r="N254" s="349">
        <v>85462</v>
      </c>
      <c r="O254" s="354">
        <v>59.78</v>
      </c>
      <c r="P254" s="342">
        <v>12.7</v>
      </c>
      <c r="Q254" s="344">
        <v>11.911514463981865</v>
      </c>
      <c r="R254" s="358">
        <v>1.7506654835847384</v>
      </c>
      <c r="S254" s="344">
        <v>1.7629999999999999</v>
      </c>
      <c r="T254" s="344">
        <v>1.9730000000000001</v>
      </c>
      <c r="U254" s="344" t="s">
        <v>136</v>
      </c>
      <c r="V254" s="332" t="s">
        <v>137</v>
      </c>
      <c r="W254" s="345">
        <v>8</v>
      </c>
      <c r="X254" s="346">
        <v>4</v>
      </c>
      <c r="Y254" s="208">
        <v>2.8069999999999999</v>
      </c>
      <c r="Z254" s="332"/>
      <c r="AA254" s="342"/>
      <c r="AB254" s="342"/>
      <c r="AC254" s="342"/>
      <c r="AD254" s="347"/>
      <c r="AE254" s="358">
        <v>1.742</v>
      </c>
      <c r="AF254" s="349">
        <v>0</v>
      </c>
      <c r="AG254" s="350"/>
      <c r="AH254" s="351" t="s">
        <v>139</v>
      </c>
      <c r="AI254" s="351" t="s">
        <v>139</v>
      </c>
      <c r="AJ254" s="206" t="s">
        <v>139</v>
      </c>
      <c r="AK254" s="353" t="s">
        <v>513</v>
      </c>
      <c r="AL254" s="206" t="s">
        <v>139</v>
      </c>
      <c r="AM254" s="349">
        <v>100.49744452266007</v>
      </c>
      <c r="AN254" s="354" t="s">
        <v>139</v>
      </c>
      <c r="AO254" s="355" t="s">
        <v>140</v>
      </c>
      <c r="AP254" s="206" t="s">
        <v>139</v>
      </c>
      <c r="AQ254" s="246">
        <v>0</v>
      </c>
      <c r="AR254" s="211"/>
      <c r="AS254" s="297">
        <f>+IF(Table1[[#This Row],[Column40]]="ok",Table1[[#This Row],[Column7]],0)</f>
        <v>690.81</v>
      </c>
      <c r="AT254" s="295">
        <f>+IF(Table1[[#This Row],[Column40]]="No",Table1[[#This Row],[Column7]],0)</f>
        <v>0</v>
      </c>
      <c r="AU254" s="4" t="str">
        <f>+IF(LEFT(Table1[[#This Row],[Column42]],2)="DN",IF(Table1[[#This Row],[Column40]]="ok","(CA)",_xlfn.CONCAT("(CA)",CHAR(10),"FAIL")),"")</f>
        <v/>
      </c>
      <c r="AV254" s="154" t="str">
        <f>+IF(Table1[[#This Row],[Column6]]=0,"",_xlfn.CONCAT("Sem ",WEEKNUM(Table1[[#This Row],[Column6]],2)))</f>
        <v>Sem 11</v>
      </c>
      <c r="AW254" s="211"/>
    </row>
    <row r="255" spans="2:49" ht="19.5" customHeight="1" x14ac:dyDescent="0.3">
      <c r="B255" s="356" t="s">
        <v>513</v>
      </c>
      <c r="C255" s="360"/>
      <c r="D255" s="332" t="s">
        <v>207</v>
      </c>
      <c r="E255" s="332" t="s">
        <v>133</v>
      </c>
      <c r="F255" s="332"/>
      <c r="G255" s="334">
        <v>46094</v>
      </c>
      <c r="H255" s="335">
        <v>675.18</v>
      </c>
      <c r="I255" s="336">
        <v>477.8</v>
      </c>
      <c r="J255" s="337">
        <v>2607.7399999999998</v>
      </c>
      <c r="K255" s="338" t="s">
        <v>306</v>
      </c>
      <c r="L255" s="361" t="s">
        <v>347</v>
      </c>
      <c r="M255" s="362" t="s">
        <v>293</v>
      </c>
      <c r="N255" s="341" t="s">
        <v>293</v>
      </c>
      <c r="O255" s="343" t="s">
        <v>293</v>
      </c>
      <c r="P255" s="342" t="s">
        <v>293</v>
      </c>
      <c r="Q255" s="343" t="s">
        <v>293</v>
      </c>
      <c r="R255" s="344" t="s">
        <v>293</v>
      </c>
      <c r="S255" s="344" t="s">
        <v>293</v>
      </c>
      <c r="T255" s="344" t="s">
        <v>293</v>
      </c>
      <c r="U255" s="344" t="s">
        <v>294</v>
      </c>
      <c r="V255" s="332" t="s">
        <v>293</v>
      </c>
      <c r="W255" s="345" t="s">
        <v>293</v>
      </c>
      <c r="X255" s="346" t="s">
        <v>293</v>
      </c>
      <c r="Y255" s="208">
        <v>2.8218819840429434</v>
      </c>
      <c r="Z255" s="332" t="s">
        <v>143</v>
      </c>
      <c r="AA255" s="342">
        <v>99.005108900242007</v>
      </c>
      <c r="AB255" s="342">
        <v>77.816617370260829</v>
      </c>
      <c r="AC255" s="342">
        <v>35.036300080666877</v>
      </c>
      <c r="AD255" s="123">
        <v>12.718472707717169</v>
      </c>
      <c r="AE255" s="358">
        <v>1.7418123034423978</v>
      </c>
      <c r="AF255" s="349">
        <v>16.307953049274118</v>
      </c>
      <c r="AG255" s="350" t="s">
        <v>513</v>
      </c>
      <c r="AH255" s="351" t="s">
        <v>293</v>
      </c>
      <c r="AI255" s="351" t="s">
        <v>293</v>
      </c>
      <c r="AJ255" s="206" t="s">
        <v>293</v>
      </c>
      <c r="AK255" s="353" t="s">
        <v>293</v>
      </c>
      <c r="AL255" s="206" t="s">
        <v>293</v>
      </c>
      <c r="AM255" s="349" t="s">
        <v>293</v>
      </c>
      <c r="AN255" s="354" t="s">
        <v>293</v>
      </c>
      <c r="AO255" s="355" t="s">
        <v>293</v>
      </c>
      <c r="AP255" s="206" t="s">
        <v>293</v>
      </c>
      <c r="AQ255" s="207" t="s">
        <v>295</v>
      </c>
      <c r="AR255" s="211"/>
      <c r="AS255" s="297">
        <f>+IF(Table1[[#This Row],[Column40]]="ok",Table1[[#This Row],[Column7]],0)</f>
        <v>0</v>
      </c>
      <c r="AT255" s="295">
        <f>+IF(Table1[[#This Row],[Column40]]="No",Table1[[#This Row],[Column7]],0)</f>
        <v>0</v>
      </c>
      <c r="AU255" s="4" t="str">
        <f>+IF(LEFT(Table1[[#This Row],[Column42]],2)="DN",IF(Table1[[#This Row],[Column40]]="ok","(CA)",_xlfn.CONCAT("(CA)",CHAR(10),"FAIL")),"")</f>
        <v/>
      </c>
      <c r="AV255" s="154" t="str">
        <f>+IF(Table1[[#This Row],[Column6]]=0,"",_xlfn.CONCAT("Sem ",WEEKNUM(Table1[[#This Row],[Column6]],2)))</f>
        <v>Sem 11</v>
      </c>
      <c r="AW255" s="211"/>
    </row>
    <row r="256" spans="2:49" ht="19.5" customHeight="1" x14ac:dyDescent="0.3">
      <c r="B256" s="356" t="s">
        <v>523</v>
      </c>
      <c r="C256" s="331"/>
      <c r="D256" s="332" t="s">
        <v>207</v>
      </c>
      <c r="E256" s="332" t="s">
        <v>176</v>
      </c>
      <c r="F256" s="333"/>
      <c r="G256" s="334">
        <v>46094</v>
      </c>
      <c r="H256" s="335">
        <v>615.75</v>
      </c>
      <c r="I256" s="336">
        <v>396.95</v>
      </c>
      <c r="J256" s="337">
        <v>2549.73</v>
      </c>
      <c r="K256" s="338" t="s">
        <v>306</v>
      </c>
      <c r="L256" s="339" t="s">
        <v>324</v>
      </c>
      <c r="M256" s="340">
        <v>30</v>
      </c>
      <c r="N256" s="341">
        <v>88653</v>
      </c>
      <c r="O256" s="332">
        <v>58</v>
      </c>
      <c r="P256" s="342">
        <v>10.5</v>
      </c>
      <c r="Q256" s="343">
        <v>10.423825887743421</v>
      </c>
      <c r="R256" s="344">
        <v>1.7447963800904978</v>
      </c>
      <c r="S256" s="344">
        <v>1.746</v>
      </c>
      <c r="T256" s="344">
        <v>1.9279999999999999</v>
      </c>
      <c r="U256" s="344" t="s">
        <v>136</v>
      </c>
      <c r="V256" s="332" t="s">
        <v>137</v>
      </c>
      <c r="W256" s="345">
        <v>8</v>
      </c>
      <c r="X256" s="346">
        <v>4</v>
      </c>
      <c r="Y256" s="208">
        <v>2.8069999999999999</v>
      </c>
      <c r="Z256" s="332"/>
      <c r="AA256" s="342"/>
      <c r="AB256" s="342"/>
      <c r="AC256" s="342"/>
      <c r="AD256" s="347"/>
      <c r="AE256" s="358">
        <v>1.742</v>
      </c>
      <c r="AF256" s="349">
        <v>0</v>
      </c>
      <c r="AG256" s="350"/>
      <c r="AH256" s="351" t="s">
        <v>139</v>
      </c>
      <c r="AI256" s="352" t="s">
        <v>139</v>
      </c>
      <c r="AJ256" s="206" t="s">
        <v>139</v>
      </c>
      <c r="AK256" s="353" t="s">
        <v>513</v>
      </c>
      <c r="AL256" s="206" t="s">
        <v>139</v>
      </c>
      <c r="AM256" s="349">
        <v>100.16052698567725</v>
      </c>
      <c r="AN256" s="354" t="s">
        <v>139</v>
      </c>
      <c r="AO256" s="355" t="s">
        <v>140</v>
      </c>
      <c r="AP256" s="206" t="s">
        <v>139</v>
      </c>
      <c r="AQ256" s="246">
        <v>0</v>
      </c>
      <c r="AR256" s="211"/>
      <c r="AS256" s="297">
        <f>+IF(Table1[[#This Row],[Column40]]="ok",Table1[[#This Row],[Column7]],0)</f>
        <v>615.75</v>
      </c>
      <c r="AT256" s="295">
        <f>+IF(Table1[[#This Row],[Column40]]="No",Table1[[#This Row],[Column7]],0)</f>
        <v>0</v>
      </c>
      <c r="AU256" s="4" t="str">
        <f>+IF(LEFT(Table1[[#This Row],[Column42]],2)="DN",IF(Table1[[#This Row],[Column40]]="ok","(CA)",_xlfn.CONCAT("(CA)",CHAR(10),"FAIL")),"")</f>
        <v/>
      </c>
      <c r="AV256" s="154" t="str">
        <f>+IF(Table1[[#This Row],[Column6]]=0,"",_xlfn.CONCAT("Sem ",WEEKNUM(Table1[[#This Row],[Column6]],2)))</f>
        <v>Sem 11</v>
      </c>
      <c r="AW256" s="211"/>
    </row>
    <row r="257" spans="2:49" ht="19.5" customHeight="1" x14ac:dyDescent="0.3">
      <c r="B257" s="356" t="s">
        <v>524</v>
      </c>
      <c r="C257" s="332"/>
      <c r="D257" s="332" t="s">
        <v>207</v>
      </c>
      <c r="E257" s="332" t="s">
        <v>176</v>
      </c>
      <c r="F257" s="336"/>
      <c r="G257" s="334">
        <v>46094</v>
      </c>
      <c r="H257" s="335">
        <v>909.66</v>
      </c>
      <c r="I257" s="336">
        <v>258.5</v>
      </c>
      <c r="J257" s="337">
        <v>2568.27</v>
      </c>
      <c r="K257" s="338" t="s">
        <v>290</v>
      </c>
      <c r="L257" s="339" t="s">
        <v>311</v>
      </c>
      <c r="M257" s="342">
        <v>30</v>
      </c>
      <c r="N257" s="344">
        <v>88653</v>
      </c>
      <c r="O257" s="358">
        <v>58</v>
      </c>
      <c r="P257" s="359">
        <v>12.5</v>
      </c>
      <c r="Q257" s="349">
        <v>10.540838852097135</v>
      </c>
      <c r="R257" s="363">
        <v>1.7804444444444445</v>
      </c>
      <c r="S257" s="350">
        <v>1.8120000000000001</v>
      </c>
      <c r="T257" s="206">
        <v>2.0030000000000001</v>
      </c>
      <c r="U257" s="207" t="s">
        <v>136</v>
      </c>
      <c r="V257" s="332" t="s">
        <v>137</v>
      </c>
      <c r="W257" s="345">
        <v>8</v>
      </c>
      <c r="X257" s="346">
        <v>4</v>
      </c>
      <c r="Y257" s="208">
        <v>2.8069999999999999</v>
      </c>
      <c r="Z257" s="332"/>
      <c r="AA257" s="342"/>
      <c r="AB257" s="342"/>
      <c r="AC257" s="342"/>
      <c r="AD257" s="347"/>
      <c r="AE257" s="358">
        <v>1.742</v>
      </c>
      <c r="AF257" s="349">
        <v>0</v>
      </c>
      <c r="AG257" s="350"/>
      <c r="AH257" s="351" t="s">
        <v>139</v>
      </c>
      <c r="AI257" s="352" t="s">
        <v>139</v>
      </c>
      <c r="AJ257" s="206" t="s">
        <v>139</v>
      </c>
      <c r="AK257" s="353" t="s">
        <v>513</v>
      </c>
      <c r="AL257" s="206" t="s">
        <v>139</v>
      </c>
      <c r="AM257" s="349">
        <v>102.20691414721266</v>
      </c>
      <c r="AN257" s="354" t="s">
        <v>139</v>
      </c>
      <c r="AO257" s="355" t="s">
        <v>140</v>
      </c>
      <c r="AP257" s="206" t="s">
        <v>139</v>
      </c>
      <c r="AQ257" s="246">
        <v>0</v>
      </c>
      <c r="AR257" s="211"/>
      <c r="AS257" s="297">
        <f>+IF(Table1[[#This Row],[Column40]]="ok",Table1[[#This Row],[Column7]],0)</f>
        <v>909.66</v>
      </c>
      <c r="AT257" s="295">
        <f>+IF(Table1[[#This Row],[Column40]]="No",Table1[[#This Row],[Column7]],0)</f>
        <v>0</v>
      </c>
      <c r="AU257" s="4" t="str">
        <f>+IF(LEFT(Table1[[#This Row],[Column42]],2)="DN",IF(Table1[[#This Row],[Column40]]="ok","(CA)",_xlfn.CONCAT("(CA)",CHAR(10),"FAIL")),"")</f>
        <v/>
      </c>
      <c r="AV257" s="154" t="str">
        <f>+IF(Table1[[#This Row],[Column6]]=0,"",_xlfn.CONCAT("Sem ",WEEKNUM(Table1[[#This Row],[Column6]],2)))</f>
        <v>Sem 11</v>
      </c>
      <c r="AW257" s="211"/>
    </row>
    <row r="258" spans="2:49" ht="19.5" customHeight="1" x14ac:dyDescent="0.3">
      <c r="B258" s="356" t="s">
        <v>525</v>
      </c>
      <c r="C258" s="331"/>
      <c r="D258" s="332" t="s">
        <v>207</v>
      </c>
      <c r="E258" s="332" t="s">
        <v>176</v>
      </c>
      <c r="F258" s="333"/>
      <c r="G258" s="334">
        <v>46094</v>
      </c>
      <c r="H258" s="335">
        <v>838.07</v>
      </c>
      <c r="I258" s="336">
        <v>231.5</v>
      </c>
      <c r="J258" s="337">
        <v>2578.16</v>
      </c>
      <c r="K258" s="338" t="s">
        <v>200</v>
      </c>
      <c r="L258" s="339" t="s">
        <v>313</v>
      </c>
      <c r="M258" s="340">
        <v>30</v>
      </c>
      <c r="N258" s="341">
        <v>88653</v>
      </c>
      <c r="O258" s="332">
        <v>58</v>
      </c>
      <c r="P258" s="342">
        <v>14.899999999999999</v>
      </c>
      <c r="Q258" s="343">
        <v>11.671232876712324</v>
      </c>
      <c r="R258" s="344">
        <v>1.7737162750217579</v>
      </c>
      <c r="S258" s="344">
        <v>1.825</v>
      </c>
      <c r="T258" s="344">
        <v>2.0379999999999998</v>
      </c>
      <c r="U258" s="344" t="s">
        <v>136</v>
      </c>
      <c r="V258" s="332" t="s">
        <v>137</v>
      </c>
      <c r="W258" s="345">
        <v>8</v>
      </c>
      <c r="X258" s="346">
        <v>4</v>
      </c>
      <c r="Y258" s="208">
        <v>2.8069999999999999</v>
      </c>
      <c r="Z258" s="332"/>
      <c r="AA258" s="342"/>
      <c r="AB258" s="342"/>
      <c r="AC258" s="342"/>
      <c r="AD258" s="347"/>
      <c r="AE258" s="358">
        <v>1.742</v>
      </c>
      <c r="AF258" s="349">
        <v>0</v>
      </c>
      <c r="AG258" s="350"/>
      <c r="AH258" s="351" t="s">
        <v>139</v>
      </c>
      <c r="AI258" s="352" t="s">
        <v>139</v>
      </c>
      <c r="AJ258" s="206" t="s">
        <v>139</v>
      </c>
      <c r="AK258" s="353" t="s">
        <v>277</v>
      </c>
      <c r="AL258" s="206" t="s">
        <v>139</v>
      </c>
      <c r="AM258" s="349">
        <v>101.8206816889643</v>
      </c>
      <c r="AN258" s="354" t="s">
        <v>139</v>
      </c>
      <c r="AO258" s="355" t="s">
        <v>140</v>
      </c>
      <c r="AP258" s="206" t="s">
        <v>139</v>
      </c>
      <c r="AQ258" s="246">
        <v>0</v>
      </c>
      <c r="AR258" s="211"/>
      <c r="AS258" s="297">
        <f>+IF(Table1[[#This Row],[Column40]]="ok",Table1[[#This Row],[Column7]],0)</f>
        <v>838.07</v>
      </c>
      <c r="AT258" s="295">
        <f>+IF(Table1[[#This Row],[Column40]]="No",Table1[[#This Row],[Column7]],0)</f>
        <v>0</v>
      </c>
      <c r="AU258" s="4" t="str">
        <f>+IF(LEFT(Table1[[#This Row],[Column42]],2)="DN",IF(Table1[[#This Row],[Column40]]="ok","(CA)",_xlfn.CONCAT("(CA)",CHAR(10),"FAIL")),"")</f>
        <v/>
      </c>
      <c r="AV258" s="154" t="str">
        <f>+IF(Table1[[#This Row],[Column6]]=0,"",_xlfn.CONCAT("Sem ",WEEKNUM(Table1[[#This Row],[Column6]],2)))</f>
        <v>Sem 11</v>
      </c>
      <c r="AW258" s="211"/>
    </row>
    <row r="259" spans="2:49" ht="19.5" customHeight="1" x14ac:dyDescent="0.3">
      <c r="B259" s="356" t="s">
        <v>526</v>
      </c>
      <c r="C259" s="331"/>
      <c r="D259" s="332" t="s">
        <v>207</v>
      </c>
      <c r="E259" s="332" t="s">
        <v>176</v>
      </c>
      <c r="F259" s="333"/>
      <c r="G259" s="334">
        <v>46094</v>
      </c>
      <c r="H259" s="335">
        <v>773.89</v>
      </c>
      <c r="I259" s="336">
        <v>237.27</v>
      </c>
      <c r="J259" s="337">
        <v>2581.8200000000002</v>
      </c>
      <c r="K259" s="338" t="s">
        <v>167</v>
      </c>
      <c r="L259" s="339" t="s">
        <v>354</v>
      </c>
      <c r="M259" s="340">
        <v>30</v>
      </c>
      <c r="N259" s="341">
        <v>88653</v>
      </c>
      <c r="O259" s="332">
        <v>58</v>
      </c>
      <c r="P259" s="342">
        <v>13.4</v>
      </c>
      <c r="Q259" s="343">
        <v>11.580775911986096</v>
      </c>
      <c r="R259" s="344">
        <v>1.6992945326278661</v>
      </c>
      <c r="S259" s="344">
        <v>1.7270000000000001</v>
      </c>
      <c r="T259" s="344">
        <v>1.927</v>
      </c>
      <c r="U259" s="344" t="s">
        <v>136</v>
      </c>
      <c r="V259" s="332" t="s">
        <v>137</v>
      </c>
      <c r="W259" s="345">
        <v>8</v>
      </c>
      <c r="X259" s="346">
        <v>4</v>
      </c>
      <c r="Y259" s="208">
        <v>2.8069999999999999</v>
      </c>
      <c r="Z259" s="332"/>
      <c r="AA259" s="342"/>
      <c r="AB259" s="342"/>
      <c r="AC259" s="342"/>
      <c r="AD259" s="347"/>
      <c r="AE259" s="358">
        <v>1.704</v>
      </c>
      <c r="AF259" s="349">
        <v>16.100000000000001</v>
      </c>
      <c r="AG259" s="350"/>
      <c r="AH259" s="351">
        <v>1.7002583979328165</v>
      </c>
      <c r="AI259" s="351">
        <v>1.974</v>
      </c>
      <c r="AJ259" s="206">
        <v>16.100000000000001</v>
      </c>
      <c r="AK259" s="353" t="s">
        <v>484</v>
      </c>
      <c r="AL259" s="206">
        <v>0</v>
      </c>
      <c r="AM259" s="349">
        <v>99.723857548583695</v>
      </c>
      <c r="AN259" s="354" t="s">
        <v>139</v>
      </c>
      <c r="AO259" s="355" t="s">
        <v>140</v>
      </c>
      <c r="AP259" s="206" t="s">
        <v>139</v>
      </c>
      <c r="AQ259" s="246" t="s">
        <v>527</v>
      </c>
      <c r="AR259" s="211"/>
      <c r="AS259" s="297">
        <f>+IF(Table1[[#This Row],[Column40]]="ok",Table1[[#This Row],[Column7]],0)</f>
        <v>773.89</v>
      </c>
      <c r="AT259" s="295">
        <f>+IF(Table1[[#This Row],[Column40]]="No",Table1[[#This Row],[Column7]],0)</f>
        <v>0</v>
      </c>
      <c r="AU259" s="4" t="str">
        <f>+IF(LEFT(Table1[[#This Row],[Column42]],2)="DN",IF(Table1[[#This Row],[Column40]]="ok","(CA)",_xlfn.CONCAT("(CA)",CHAR(10),"FAIL")),"")</f>
        <v/>
      </c>
      <c r="AV259" s="154" t="str">
        <f>+IF(Table1[[#This Row],[Column6]]=0,"",_xlfn.CONCAT("Sem ",WEEKNUM(Table1[[#This Row],[Column6]],2)))</f>
        <v>Sem 11</v>
      </c>
      <c r="AW259" s="211"/>
    </row>
    <row r="260" spans="2:49" ht="19.5" customHeight="1" x14ac:dyDescent="0.3">
      <c r="B260" s="356" t="s">
        <v>527</v>
      </c>
      <c r="C260" s="331"/>
      <c r="D260" s="332" t="s">
        <v>207</v>
      </c>
      <c r="E260" s="332" t="s">
        <v>176</v>
      </c>
      <c r="F260" s="333"/>
      <c r="G260" s="334">
        <v>46094</v>
      </c>
      <c r="H260" s="335">
        <v>773.89</v>
      </c>
      <c r="I260" s="336">
        <v>237.27</v>
      </c>
      <c r="J260" s="337">
        <v>2581.8200000000002</v>
      </c>
      <c r="K260" s="338" t="s">
        <v>167</v>
      </c>
      <c r="L260" s="339" t="s">
        <v>354</v>
      </c>
      <c r="M260" s="340">
        <v>15</v>
      </c>
      <c r="N260" s="341"/>
      <c r="O260" s="332"/>
      <c r="P260" s="342">
        <v>13.383838383838356</v>
      </c>
      <c r="Q260" s="343"/>
      <c r="R260" s="344">
        <v>1.6867817621061971</v>
      </c>
      <c r="S260" s="344"/>
      <c r="T260" s="344">
        <v>1.9125379070345514</v>
      </c>
      <c r="U260" s="344" t="s">
        <v>142</v>
      </c>
      <c r="V260" s="332" t="s">
        <v>137</v>
      </c>
      <c r="W260" s="345">
        <v>6</v>
      </c>
      <c r="X260" s="346">
        <v>8</v>
      </c>
      <c r="Y260" s="208"/>
      <c r="Z260" s="332" t="s">
        <v>227</v>
      </c>
      <c r="AA260" s="342">
        <v>99.015480419243076</v>
      </c>
      <c r="AB260" s="342">
        <v>79.776326945284978</v>
      </c>
      <c r="AC260" s="342">
        <v>36.29337879518777</v>
      </c>
      <c r="AD260" s="123">
        <v>12.193159891242388</v>
      </c>
      <c r="AE260" s="358">
        <v>1.704</v>
      </c>
      <c r="AF260" s="349">
        <v>16.100000000000001</v>
      </c>
      <c r="AG260" s="350" t="s">
        <v>484</v>
      </c>
      <c r="AH260" s="351">
        <v>1.6995118471309421</v>
      </c>
      <c r="AI260" s="351">
        <v>1.973810284254232</v>
      </c>
      <c r="AJ260" s="206">
        <v>16.139836717605192</v>
      </c>
      <c r="AK260" s="353" t="s">
        <v>484</v>
      </c>
      <c r="AL260" s="206">
        <v>-3.9836717605190586E-2</v>
      </c>
      <c r="AM260" s="349">
        <v>98.989540029706404</v>
      </c>
      <c r="AN260" s="354" t="s">
        <v>139</v>
      </c>
      <c r="AO260" s="355" t="s">
        <v>144</v>
      </c>
      <c r="AP260" s="206">
        <v>0</v>
      </c>
      <c r="AQ260" s="207" t="s">
        <v>526</v>
      </c>
      <c r="AR260" s="211"/>
      <c r="AS260" s="297">
        <f>+IF(Table1[[#This Row],[Column40]]="ok",Table1[[#This Row],[Column7]],0)</f>
        <v>773.89</v>
      </c>
      <c r="AT260" s="295">
        <f>+IF(Table1[[#This Row],[Column40]]="No",Table1[[#This Row],[Column7]],0)</f>
        <v>0</v>
      </c>
      <c r="AU260" s="4" t="str">
        <f>+IF(LEFT(Table1[[#This Row],[Column42]],2)="DN",IF(Table1[[#This Row],[Column40]]="ok","(CA)",_xlfn.CONCAT("(CA)",CHAR(10),"FAIL")),"")</f>
        <v>(CA)</v>
      </c>
      <c r="AV260" s="154" t="str">
        <f>+IF(Table1[[#This Row],[Column6]]=0,"",_xlfn.CONCAT("Sem ",WEEKNUM(Table1[[#This Row],[Column6]],2)))</f>
        <v>Sem 11</v>
      </c>
      <c r="AW260" s="211"/>
    </row>
    <row r="261" spans="2:49" ht="19.5" customHeight="1" x14ac:dyDescent="0.3">
      <c r="B261" s="356" t="s">
        <v>528</v>
      </c>
      <c r="C261" s="331"/>
      <c r="D261" s="332" t="s">
        <v>207</v>
      </c>
      <c r="E261" s="332" t="s">
        <v>176</v>
      </c>
      <c r="F261" s="333"/>
      <c r="G261" s="334">
        <v>46094</v>
      </c>
      <c r="H261" s="335">
        <v>843.96</v>
      </c>
      <c r="I261" s="336">
        <v>296.44</v>
      </c>
      <c r="J261" s="337">
        <v>2560.9699999999998</v>
      </c>
      <c r="K261" s="338" t="s">
        <v>290</v>
      </c>
      <c r="L261" s="339" t="s">
        <v>313</v>
      </c>
      <c r="M261" s="340">
        <v>30</v>
      </c>
      <c r="N261" s="341">
        <v>88653</v>
      </c>
      <c r="O261" s="332">
        <v>58</v>
      </c>
      <c r="P261" s="342">
        <v>14.6</v>
      </c>
      <c r="Q261" s="343">
        <v>12.134583563154999</v>
      </c>
      <c r="R261" s="344">
        <v>1.7739965095986039</v>
      </c>
      <c r="S261" s="344">
        <v>1.8129999999999999</v>
      </c>
      <c r="T261" s="344">
        <v>2.0329999999999999</v>
      </c>
      <c r="U261" s="344" t="s">
        <v>136</v>
      </c>
      <c r="V261" s="332" t="s">
        <v>137</v>
      </c>
      <c r="W261" s="345">
        <v>8</v>
      </c>
      <c r="X261" s="346">
        <v>4</v>
      </c>
      <c r="Y261" s="208">
        <v>2.8069999999999999</v>
      </c>
      <c r="Z261" s="332"/>
      <c r="AA261" s="342"/>
      <c r="AB261" s="342"/>
      <c r="AC261" s="342"/>
      <c r="AD261" s="347"/>
      <c r="AE261" s="358">
        <v>1.742</v>
      </c>
      <c r="AF261" s="349">
        <v>0</v>
      </c>
      <c r="AG261" s="350"/>
      <c r="AH261" s="351" t="s">
        <v>139</v>
      </c>
      <c r="AI261" s="352" t="s">
        <v>139</v>
      </c>
      <c r="AJ261" s="206" t="s">
        <v>139</v>
      </c>
      <c r="AK261" s="353" t="s">
        <v>513</v>
      </c>
      <c r="AL261" s="206" t="s">
        <v>139</v>
      </c>
      <c r="AM261" s="349">
        <v>101.83676863367417</v>
      </c>
      <c r="AN261" s="354" t="s">
        <v>139</v>
      </c>
      <c r="AO261" s="355" t="s">
        <v>140</v>
      </c>
      <c r="AP261" s="206" t="s">
        <v>139</v>
      </c>
      <c r="AQ261" s="246">
        <v>0</v>
      </c>
      <c r="AR261" s="211"/>
      <c r="AS261" s="297">
        <f>+IF(Table1[[#This Row],[Column40]]="ok",Table1[[#This Row],[Column7]],0)</f>
        <v>843.96</v>
      </c>
      <c r="AT261" s="295">
        <f>+IF(Table1[[#This Row],[Column40]]="No",Table1[[#This Row],[Column7]],0)</f>
        <v>0</v>
      </c>
      <c r="AU261" s="4" t="str">
        <f>+IF(LEFT(Table1[[#This Row],[Column42]],2)="DN",IF(Table1[[#This Row],[Column40]]="ok","(CA)",_xlfn.CONCAT("(CA)",CHAR(10),"FAIL")),"")</f>
        <v/>
      </c>
      <c r="AV261" s="154" t="str">
        <f>+IF(Table1[[#This Row],[Column6]]=0,"",_xlfn.CONCAT("Sem ",WEEKNUM(Table1[[#This Row],[Column6]],2)))</f>
        <v>Sem 11</v>
      </c>
      <c r="AW261" s="211"/>
    </row>
    <row r="262" spans="2:49" ht="19.5" customHeight="1" x14ac:dyDescent="0.3">
      <c r="B262" s="356" t="s">
        <v>529</v>
      </c>
      <c r="C262" s="331"/>
      <c r="D262" s="332" t="s">
        <v>207</v>
      </c>
      <c r="E262" s="332" t="s">
        <v>176</v>
      </c>
      <c r="F262" s="333"/>
      <c r="G262" s="334">
        <v>46094</v>
      </c>
      <c r="H262" s="335">
        <v>921</v>
      </c>
      <c r="I262" s="336">
        <v>337.52</v>
      </c>
      <c r="J262" s="337">
        <v>2547.2199999999998</v>
      </c>
      <c r="K262" s="338" t="s">
        <v>290</v>
      </c>
      <c r="L262" s="339" t="s">
        <v>311</v>
      </c>
      <c r="M262" s="340">
        <v>30</v>
      </c>
      <c r="N262" s="341">
        <v>88653</v>
      </c>
      <c r="O262" s="332">
        <v>58</v>
      </c>
      <c r="P262" s="342">
        <v>9.1</v>
      </c>
      <c r="Q262" s="343">
        <v>9.9120234604105573</v>
      </c>
      <c r="R262" s="344">
        <v>1.7176901924839598</v>
      </c>
      <c r="S262" s="344">
        <v>1.7050000000000001</v>
      </c>
      <c r="T262" s="344">
        <v>1.8740000000000001</v>
      </c>
      <c r="U262" s="344" t="s">
        <v>136</v>
      </c>
      <c r="V262" s="332" t="s">
        <v>137</v>
      </c>
      <c r="W262" s="345">
        <v>8</v>
      </c>
      <c r="X262" s="346">
        <v>4</v>
      </c>
      <c r="Y262" s="208">
        <v>2.8069999999999999</v>
      </c>
      <c r="Z262" s="332"/>
      <c r="AA262" s="342"/>
      <c r="AB262" s="342"/>
      <c r="AC262" s="342"/>
      <c r="AD262" s="347"/>
      <c r="AE262" s="358">
        <v>1.7090000000000001</v>
      </c>
      <c r="AF262" s="349">
        <v>17.100000000000001</v>
      </c>
      <c r="AG262" s="350"/>
      <c r="AH262" s="351">
        <v>1.7057808455565142</v>
      </c>
      <c r="AI262" s="351">
        <v>1.9770000000000001</v>
      </c>
      <c r="AJ262" s="206">
        <v>15.9</v>
      </c>
      <c r="AK262" s="353" t="s">
        <v>250</v>
      </c>
      <c r="AL262" s="206">
        <v>1.2000000000000011</v>
      </c>
      <c r="AM262" s="349">
        <v>100.50849575681448</v>
      </c>
      <c r="AN262" s="354" t="s">
        <v>139</v>
      </c>
      <c r="AO262" s="355" t="s">
        <v>140</v>
      </c>
      <c r="AP262" s="206" t="s">
        <v>139</v>
      </c>
      <c r="AQ262" s="246">
        <v>0</v>
      </c>
      <c r="AR262" s="211"/>
      <c r="AS262" s="297">
        <f>+IF(Table1[[#This Row],[Column40]]="ok",Table1[[#This Row],[Column7]],0)</f>
        <v>921</v>
      </c>
      <c r="AT262" s="295">
        <f>+IF(Table1[[#This Row],[Column40]]="No",Table1[[#This Row],[Column7]],0)</f>
        <v>0</v>
      </c>
      <c r="AU262" s="4" t="str">
        <f>+IF(LEFT(Table1[[#This Row],[Column42]],2)="DN",IF(Table1[[#This Row],[Column40]]="ok","(CA)",_xlfn.CONCAT("(CA)",CHAR(10),"FAIL")),"")</f>
        <v/>
      </c>
      <c r="AV262" s="154" t="str">
        <f>+IF(Table1[[#This Row],[Column6]]=0,"",_xlfn.CONCAT("Sem ",WEEKNUM(Table1[[#This Row],[Column6]],2)))</f>
        <v>Sem 11</v>
      </c>
      <c r="AW262" s="211"/>
    </row>
    <row r="263" spans="2:49" ht="19.5" customHeight="1" x14ac:dyDescent="0.3">
      <c r="B263" s="356" t="s">
        <v>530</v>
      </c>
      <c r="C263" s="331"/>
      <c r="D263" s="332" t="s">
        <v>207</v>
      </c>
      <c r="E263" s="332" t="s">
        <v>176</v>
      </c>
      <c r="F263" s="333"/>
      <c r="G263" s="334">
        <v>46094</v>
      </c>
      <c r="H263" s="335">
        <v>852.96</v>
      </c>
      <c r="I263" s="336">
        <v>365.38</v>
      </c>
      <c r="J263" s="337">
        <v>2542.7399999999998</v>
      </c>
      <c r="K263" s="338" t="s">
        <v>290</v>
      </c>
      <c r="L263" s="339" t="s">
        <v>313</v>
      </c>
      <c r="M263" s="340">
        <v>30</v>
      </c>
      <c r="N263" s="341">
        <v>88653</v>
      </c>
      <c r="O263" s="332">
        <v>58</v>
      </c>
      <c r="P263" s="342">
        <v>15</v>
      </c>
      <c r="Q263" s="343">
        <v>13.287904599659296</v>
      </c>
      <c r="R263" s="344">
        <v>1.7347826086956524</v>
      </c>
      <c r="S263" s="344">
        <v>1.7609999999999999</v>
      </c>
      <c r="T263" s="344">
        <v>1.9950000000000001</v>
      </c>
      <c r="U263" s="344" t="s">
        <v>136</v>
      </c>
      <c r="V263" s="332" t="s">
        <v>137</v>
      </c>
      <c r="W263" s="345">
        <v>8</v>
      </c>
      <c r="X263" s="346">
        <v>4</v>
      </c>
      <c r="Y263" s="208">
        <v>2.8069999999999999</v>
      </c>
      <c r="Z263" s="332"/>
      <c r="AA263" s="342"/>
      <c r="AB263" s="342"/>
      <c r="AC263" s="342"/>
      <c r="AD263" s="347"/>
      <c r="AE263" s="358">
        <v>1.742</v>
      </c>
      <c r="AF263" s="349">
        <v>0</v>
      </c>
      <c r="AG263" s="350"/>
      <c r="AH263" s="351" t="s">
        <v>139</v>
      </c>
      <c r="AI263" s="352" t="s">
        <v>139</v>
      </c>
      <c r="AJ263" s="206" t="s">
        <v>139</v>
      </c>
      <c r="AK263" s="353" t="s">
        <v>513</v>
      </c>
      <c r="AL263" s="206" t="s">
        <v>139</v>
      </c>
      <c r="AM263" s="349">
        <v>99.585683622023666</v>
      </c>
      <c r="AN263" s="354" t="s">
        <v>139</v>
      </c>
      <c r="AO263" s="355" t="s">
        <v>140</v>
      </c>
      <c r="AP263" s="206" t="s">
        <v>139</v>
      </c>
      <c r="AQ263" s="246">
        <v>0</v>
      </c>
      <c r="AR263" s="211"/>
      <c r="AS263" s="297">
        <f>+IF(Table1[[#This Row],[Column40]]="ok",Table1[[#This Row],[Column7]],0)</f>
        <v>852.96</v>
      </c>
      <c r="AT263" s="295">
        <f>+IF(Table1[[#This Row],[Column40]]="No",Table1[[#This Row],[Column7]],0)</f>
        <v>0</v>
      </c>
      <c r="AU263" s="4" t="str">
        <f>+IF(LEFT(Table1[[#This Row],[Column42]],2)="DN",IF(Table1[[#This Row],[Column40]]="ok","(CA)",_xlfn.CONCAT("(CA)",CHAR(10),"FAIL")),"")</f>
        <v/>
      </c>
      <c r="AV263" s="154" t="str">
        <f>+IF(Table1[[#This Row],[Column6]]=0,"",_xlfn.CONCAT("Sem ",WEEKNUM(Table1[[#This Row],[Column6]],2)))</f>
        <v>Sem 11</v>
      </c>
      <c r="AW263" s="211"/>
    </row>
    <row r="264" spans="2:49" ht="19.5" customHeight="1" x14ac:dyDescent="0.3">
      <c r="B264" s="356" t="s">
        <v>531</v>
      </c>
      <c r="C264" s="331"/>
      <c r="D264" s="332" t="s">
        <v>207</v>
      </c>
      <c r="E264" s="332" t="s">
        <v>133</v>
      </c>
      <c r="F264" s="333"/>
      <c r="G264" s="334">
        <v>46095</v>
      </c>
      <c r="H264" s="335">
        <v>774.13</v>
      </c>
      <c r="I264" s="336">
        <v>337.41</v>
      </c>
      <c r="J264" s="337">
        <v>2555.84</v>
      </c>
      <c r="K264" s="338" t="s">
        <v>306</v>
      </c>
      <c r="L264" s="339" t="s">
        <v>354</v>
      </c>
      <c r="M264" s="340">
        <v>30</v>
      </c>
      <c r="N264" s="341">
        <v>85462</v>
      </c>
      <c r="O264" s="332">
        <v>59.78</v>
      </c>
      <c r="P264" s="342">
        <v>7.8</v>
      </c>
      <c r="Q264" s="343">
        <v>9.683203825463238</v>
      </c>
      <c r="R264" s="344">
        <v>1.7022263450834878</v>
      </c>
      <c r="S264" s="344">
        <v>1.673</v>
      </c>
      <c r="T264" s="344">
        <v>1.835</v>
      </c>
      <c r="U264" s="344" t="s">
        <v>136</v>
      </c>
      <c r="V264" s="332" t="s">
        <v>137</v>
      </c>
      <c r="W264" s="345">
        <v>8</v>
      </c>
      <c r="X264" s="346">
        <v>4</v>
      </c>
      <c r="Y264" s="208">
        <v>2.8069999999999999</v>
      </c>
      <c r="Z264" s="332"/>
      <c r="AA264" s="342"/>
      <c r="AB264" s="342"/>
      <c r="AC264" s="342"/>
      <c r="AD264" s="347"/>
      <c r="AE264" s="358">
        <v>1.709379825755752</v>
      </c>
      <c r="AF264" s="349">
        <v>17.146040795525575</v>
      </c>
      <c r="AG264" s="350"/>
      <c r="AH264" s="351">
        <v>1.7085124677558039</v>
      </c>
      <c r="AI264" s="351">
        <v>1.9870000000000001</v>
      </c>
      <c r="AJ264" s="206">
        <v>16.3</v>
      </c>
      <c r="AK264" s="353" t="s">
        <v>250</v>
      </c>
      <c r="AL264" s="206">
        <v>0.84604079552557465</v>
      </c>
      <c r="AM264" s="349">
        <v>99.581516023268762</v>
      </c>
      <c r="AN264" s="354" t="s">
        <v>139</v>
      </c>
      <c r="AO264" s="355" t="s">
        <v>140</v>
      </c>
      <c r="AP264" s="206" t="s">
        <v>139</v>
      </c>
      <c r="AQ264" s="246">
        <v>0</v>
      </c>
      <c r="AR264" s="211"/>
      <c r="AS264" s="297">
        <f>+IF(Table1[[#This Row],[Column40]]="ok",Table1[[#This Row],[Column7]],0)</f>
        <v>774.13</v>
      </c>
      <c r="AT264" s="295">
        <f>+IF(Table1[[#This Row],[Column40]]="No",Table1[[#This Row],[Column7]],0)</f>
        <v>0</v>
      </c>
      <c r="AU264" s="4" t="str">
        <f>+IF(LEFT(Table1[[#This Row],[Column42]],2)="DN",IF(Table1[[#This Row],[Column40]]="ok","(CA)",_xlfn.CONCAT("(CA)",CHAR(10),"FAIL")),"")</f>
        <v/>
      </c>
      <c r="AV264" s="154" t="str">
        <f>+IF(Table1[[#This Row],[Column6]]=0,"",_xlfn.CONCAT("Sem ",WEEKNUM(Table1[[#This Row],[Column6]],2)))</f>
        <v>Sem 11</v>
      </c>
      <c r="AW264" s="211"/>
    </row>
    <row r="265" spans="2:49" ht="19.5" customHeight="1" x14ac:dyDescent="0.3">
      <c r="B265" s="356" t="s">
        <v>532</v>
      </c>
      <c r="C265" s="331"/>
      <c r="D265" s="332" t="s">
        <v>207</v>
      </c>
      <c r="E265" s="332" t="s">
        <v>133</v>
      </c>
      <c r="F265" s="333"/>
      <c r="G265" s="334">
        <v>46095</v>
      </c>
      <c r="H265" s="335">
        <v>736.54</v>
      </c>
      <c r="I265" s="336">
        <v>269.42</v>
      </c>
      <c r="J265" s="337">
        <v>2576.98</v>
      </c>
      <c r="K265" s="338" t="s">
        <v>306</v>
      </c>
      <c r="L265" s="339" t="s">
        <v>307</v>
      </c>
      <c r="M265" s="340">
        <v>30</v>
      </c>
      <c r="N265" s="341">
        <v>85462</v>
      </c>
      <c r="O265" s="332">
        <v>59.78</v>
      </c>
      <c r="P265" s="342">
        <v>9.7000000000000011</v>
      </c>
      <c r="Q265" s="343">
        <v>10.028653295128919</v>
      </c>
      <c r="R265" s="344">
        <v>1.7502278942570646</v>
      </c>
      <c r="S265" s="344">
        <v>1.7450000000000001</v>
      </c>
      <c r="T265" s="344">
        <v>1.92</v>
      </c>
      <c r="U265" s="344" t="s">
        <v>136</v>
      </c>
      <c r="V265" s="332" t="s">
        <v>137</v>
      </c>
      <c r="W265" s="345">
        <v>8</v>
      </c>
      <c r="X265" s="346">
        <v>4</v>
      </c>
      <c r="Y265" s="208">
        <v>2.8069999999999999</v>
      </c>
      <c r="Z265" s="332"/>
      <c r="AA265" s="342"/>
      <c r="AB265" s="342"/>
      <c r="AC265" s="342"/>
      <c r="AD265" s="347"/>
      <c r="AE265" s="358">
        <v>1.742</v>
      </c>
      <c r="AF265" s="349">
        <v>0</v>
      </c>
      <c r="AG265" s="350"/>
      <c r="AH265" s="351" t="s">
        <v>139</v>
      </c>
      <c r="AI265" s="352" t="s">
        <v>139</v>
      </c>
      <c r="AJ265" s="206" t="s">
        <v>139</v>
      </c>
      <c r="AK265" s="353" t="s">
        <v>513</v>
      </c>
      <c r="AL265" s="206" t="s">
        <v>139</v>
      </c>
      <c r="AM265" s="349">
        <v>100.47232458421726</v>
      </c>
      <c r="AN265" s="354" t="s">
        <v>139</v>
      </c>
      <c r="AO265" s="355" t="s">
        <v>140</v>
      </c>
      <c r="AP265" s="206" t="s">
        <v>139</v>
      </c>
      <c r="AQ265" s="246">
        <v>0</v>
      </c>
      <c r="AR265" s="211"/>
      <c r="AS265" s="297">
        <f>+IF(Table1[[#This Row],[Column40]]="ok",Table1[[#This Row],[Column7]],0)</f>
        <v>736.54</v>
      </c>
      <c r="AT265" s="295">
        <f>+IF(Table1[[#This Row],[Column40]]="No",Table1[[#This Row],[Column7]],0)</f>
        <v>0</v>
      </c>
      <c r="AU265" s="4" t="str">
        <f>+IF(LEFT(Table1[[#This Row],[Column42]],2)="DN",IF(Table1[[#This Row],[Column40]]="ok","(CA)",_xlfn.CONCAT("(CA)",CHAR(10),"FAIL")),"")</f>
        <v/>
      </c>
      <c r="AV265" s="154" t="str">
        <f>+IF(Table1[[#This Row],[Column6]]=0,"",_xlfn.CONCAT("Sem ",WEEKNUM(Table1[[#This Row],[Column6]],2)))</f>
        <v>Sem 11</v>
      </c>
      <c r="AW265" s="211"/>
    </row>
    <row r="266" spans="2:49" ht="19.5" customHeight="1" x14ac:dyDescent="0.3">
      <c r="B266" s="356" t="s">
        <v>533</v>
      </c>
      <c r="C266" s="331"/>
      <c r="D266" s="332" t="s">
        <v>207</v>
      </c>
      <c r="E266" s="332" t="s">
        <v>133</v>
      </c>
      <c r="F266" s="333"/>
      <c r="G266" s="334">
        <v>46095</v>
      </c>
      <c r="H266" s="335">
        <v>675.99</v>
      </c>
      <c r="I266" s="336">
        <v>250.35</v>
      </c>
      <c r="J266" s="337">
        <v>2588.9899999999998</v>
      </c>
      <c r="K266" s="338" t="s">
        <v>306</v>
      </c>
      <c r="L266" s="339" t="s">
        <v>347</v>
      </c>
      <c r="M266" s="340">
        <v>30</v>
      </c>
      <c r="N266" s="341">
        <v>85462</v>
      </c>
      <c r="O266" s="332">
        <v>59.78</v>
      </c>
      <c r="P266" s="342">
        <v>10.100000000000001</v>
      </c>
      <c r="Q266" s="343">
        <v>10.236220472440948</v>
      </c>
      <c r="R266" s="344">
        <v>1.7801998183469574</v>
      </c>
      <c r="S266" s="344">
        <v>1.778</v>
      </c>
      <c r="T266" s="344">
        <v>1.96</v>
      </c>
      <c r="U266" s="344" t="s">
        <v>136</v>
      </c>
      <c r="V266" s="332" t="s">
        <v>137</v>
      </c>
      <c r="W266" s="345">
        <v>8</v>
      </c>
      <c r="X266" s="346">
        <v>4</v>
      </c>
      <c r="Y266" s="208">
        <v>2.8069999999999999</v>
      </c>
      <c r="Z266" s="332"/>
      <c r="AA266" s="342"/>
      <c r="AB266" s="342"/>
      <c r="AC266" s="342"/>
      <c r="AD266" s="347"/>
      <c r="AE266" s="358">
        <v>1.742</v>
      </c>
      <c r="AF266" s="349">
        <v>0</v>
      </c>
      <c r="AG266" s="350"/>
      <c r="AH266" s="351" t="s">
        <v>139</v>
      </c>
      <c r="AI266" s="351" t="s">
        <v>139</v>
      </c>
      <c r="AJ266" s="206" t="s">
        <v>139</v>
      </c>
      <c r="AK266" s="353" t="s">
        <v>513</v>
      </c>
      <c r="AL266" s="206" t="s">
        <v>139</v>
      </c>
      <c r="AM266" s="349">
        <v>102.19287131727654</v>
      </c>
      <c r="AN266" s="354" t="s">
        <v>139</v>
      </c>
      <c r="AO266" s="355" t="s">
        <v>140</v>
      </c>
      <c r="AP266" s="206" t="s">
        <v>139</v>
      </c>
      <c r="AQ266" s="246">
        <v>0</v>
      </c>
      <c r="AR266" s="211"/>
      <c r="AS266" s="297">
        <f>+IF(Table1[[#This Row],[Column40]]="ok",Table1[[#This Row],[Column7]],0)</f>
        <v>675.99</v>
      </c>
      <c r="AT266" s="295">
        <f>+IF(Table1[[#This Row],[Column40]]="No",Table1[[#This Row],[Column7]],0)</f>
        <v>0</v>
      </c>
      <c r="AU266" s="4" t="str">
        <f>+IF(LEFT(Table1[[#This Row],[Column42]],2)="DN",IF(Table1[[#This Row],[Column40]]="ok","(CA)",_xlfn.CONCAT("(CA)",CHAR(10),"FAIL")),"")</f>
        <v/>
      </c>
      <c r="AV266" s="154" t="str">
        <f>+IF(Table1[[#This Row],[Column6]]=0,"",_xlfn.CONCAT("Sem ",WEEKNUM(Table1[[#This Row],[Column6]],2)))</f>
        <v>Sem 11</v>
      </c>
      <c r="AW266" s="211"/>
    </row>
    <row r="267" spans="2:49" ht="19.5" customHeight="1" x14ac:dyDescent="0.3">
      <c r="B267" s="356" t="s">
        <v>534</v>
      </c>
      <c r="C267" s="331"/>
      <c r="D267" s="332" t="s">
        <v>207</v>
      </c>
      <c r="E267" s="332" t="s">
        <v>133</v>
      </c>
      <c r="F267" s="333"/>
      <c r="G267" s="334">
        <v>46095</v>
      </c>
      <c r="H267" s="335">
        <v>605.45000000000005</v>
      </c>
      <c r="I267" s="336">
        <v>212.3</v>
      </c>
      <c r="J267" s="337">
        <v>2602.62</v>
      </c>
      <c r="K267" s="338" t="s">
        <v>167</v>
      </c>
      <c r="L267" s="339" t="s">
        <v>340</v>
      </c>
      <c r="M267" s="340">
        <v>30</v>
      </c>
      <c r="N267" s="341">
        <v>85462</v>
      </c>
      <c r="O267" s="332">
        <v>59.78</v>
      </c>
      <c r="P267" s="342">
        <v>10</v>
      </c>
      <c r="Q267" s="343">
        <v>10.613884107859995</v>
      </c>
      <c r="R267" s="344">
        <v>1.7527272727272725</v>
      </c>
      <c r="S267" s="344">
        <v>1.7430000000000001</v>
      </c>
      <c r="T267" s="344">
        <v>1.9279999999999999</v>
      </c>
      <c r="U267" s="344" t="s">
        <v>136</v>
      </c>
      <c r="V267" s="332" t="s">
        <v>137</v>
      </c>
      <c r="W267" s="345">
        <v>8</v>
      </c>
      <c r="X267" s="346">
        <v>4</v>
      </c>
      <c r="Y267" s="208">
        <v>2.8069999999999999</v>
      </c>
      <c r="Z267" s="332"/>
      <c r="AA267" s="342"/>
      <c r="AB267" s="342"/>
      <c r="AC267" s="342"/>
      <c r="AD267" s="123"/>
      <c r="AE267" s="358">
        <v>1.742</v>
      </c>
      <c r="AF267" s="349">
        <v>0</v>
      </c>
      <c r="AG267" s="350"/>
      <c r="AH267" s="351" t="s">
        <v>139</v>
      </c>
      <c r="AI267" s="351" t="s">
        <v>139</v>
      </c>
      <c r="AJ267" s="206" t="s">
        <v>139</v>
      </c>
      <c r="AK267" s="353" t="s">
        <v>513</v>
      </c>
      <c r="AL267" s="206" t="s">
        <v>139</v>
      </c>
      <c r="AM267" s="349">
        <v>100.61580210833941</v>
      </c>
      <c r="AN267" s="354" t="s">
        <v>139</v>
      </c>
      <c r="AO267" s="355" t="s">
        <v>140</v>
      </c>
      <c r="AP267" s="206" t="s">
        <v>139</v>
      </c>
      <c r="AQ267" s="246">
        <v>0</v>
      </c>
      <c r="AR267" s="211"/>
      <c r="AS267" s="297">
        <f>+IF(Table1[[#This Row],[Column40]]="ok",Table1[[#This Row],[Column7]],0)</f>
        <v>605.45000000000005</v>
      </c>
      <c r="AT267" s="295">
        <f>+IF(Table1[[#This Row],[Column40]]="No",Table1[[#This Row],[Column7]],0)</f>
        <v>0</v>
      </c>
      <c r="AU267" s="4" t="str">
        <f>+IF(LEFT(Table1[[#This Row],[Column42]],2)="DN",IF(Table1[[#This Row],[Column40]]="ok","(CA)",_xlfn.CONCAT("(CA)",CHAR(10),"FAIL")),"")</f>
        <v/>
      </c>
      <c r="AV267" s="154" t="str">
        <f>+IF(Table1[[#This Row],[Column6]]=0,"",_xlfn.CONCAT("Sem ",WEEKNUM(Table1[[#This Row],[Column6]],2)))</f>
        <v>Sem 11</v>
      </c>
      <c r="AW267" s="211"/>
    </row>
    <row r="268" spans="2:49" ht="19.5" customHeight="1" x14ac:dyDescent="0.3">
      <c r="B268" s="356" t="s">
        <v>535</v>
      </c>
      <c r="C268" s="331"/>
      <c r="D268" s="332" t="s">
        <v>207</v>
      </c>
      <c r="E268" s="332" t="s">
        <v>133</v>
      </c>
      <c r="F268" s="333"/>
      <c r="G268" s="334">
        <v>46095</v>
      </c>
      <c r="H268" s="335">
        <v>597.48</v>
      </c>
      <c r="I268" s="336">
        <v>346.49</v>
      </c>
      <c r="J268" s="337">
        <v>2564.46</v>
      </c>
      <c r="K268" s="338" t="s">
        <v>331</v>
      </c>
      <c r="L268" s="339" t="s">
        <v>340</v>
      </c>
      <c r="M268" s="340">
        <v>30</v>
      </c>
      <c r="N268" s="341">
        <v>85462</v>
      </c>
      <c r="O268" s="332">
        <v>59.78</v>
      </c>
      <c r="P268" s="342">
        <v>11.899999999999999</v>
      </c>
      <c r="Q268" s="343">
        <v>11.506392440244561</v>
      </c>
      <c r="R268" s="344">
        <v>1.7926720285969613</v>
      </c>
      <c r="S268" s="344">
        <v>1.7989999999999999</v>
      </c>
      <c r="T268" s="344">
        <v>2.0059999999999998</v>
      </c>
      <c r="U268" s="344" t="s">
        <v>136</v>
      </c>
      <c r="V268" s="332" t="s">
        <v>137</v>
      </c>
      <c r="W268" s="345">
        <v>8</v>
      </c>
      <c r="X268" s="346">
        <v>4</v>
      </c>
      <c r="Y268" s="208">
        <v>2.8069999999999999</v>
      </c>
      <c r="Z268" s="332"/>
      <c r="AA268" s="342"/>
      <c r="AB268" s="342"/>
      <c r="AC268" s="342"/>
      <c r="AD268" s="347"/>
      <c r="AE268" s="358">
        <v>1.742</v>
      </c>
      <c r="AF268" s="349">
        <v>0</v>
      </c>
      <c r="AG268" s="350"/>
      <c r="AH268" s="351" t="s">
        <v>139</v>
      </c>
      <c r="AI268" s="351" t="s">
        <v>139</v>
      </c>
      <c r="AJ268" s="206" t="s">
        <v>139</v>
      </c>
      <c r="AK268" s="353" t="s">
        <v>513</v>
      </c>
      <c r="AL268" s="206" t="s">
        <v>139</v>
      </c>
      <c r="AM268" s="349">
        <v>102.90884205493462</v>
      </c>
      <c r="AN268" s="354" t="s">
        <v>139</v>
      </c>
      <c r="AO268" s="355" t="s">
        <v>140</v>
      </c>
      <c r="AP268" s="206" t="s">
        <v>139</v>
      </c>
      <c r="AQ268" s="246">
        <v>0</v>
      </c>
      <c r="AR268" s="211"/>
      <c r="AS268" s="297">
        <f>+IF(Table1[[#This Row],[Column40]]="ok",Table1[[#This Row],[Column7]],0)</f>
        <v>597.48</v>
      </c>
      <c r="AT268" s="295">
        <f>+IF(Table1[[#This Row],[Column40]]="No",Table1[[#This Row],[Column7]],0)</f>
        <v>0</v>
      </c>
      <c r="AU268" s="4" t="str">
        <f>+IF(LEFT(Table1[[#This Row],[Column42]],2)="DN",IF(Table1[[#This Row],[Column40]]="ok","(CA)",_xlfn.CONCAT("(CA)",CHAR(10),"FAIL")),"")</f>
        <v/>
      </c>
      <c r="AV268" s="154" t="str">
        <f>+IF(Table1[[#This Row],[Column6]]=0,"",_xlfn.CONCAT("Sem ",WEEKNUM(Table1[[#This Row],[Column6]],2)))</f>
        <v>Sem 11</v>
      </c>
      <c r="AW268" s="211"/>
    </row>
    <row r="269" spans="2:49" ht="19.5" customHeight="1" x14ac:dyDescent="0.3">
      <c r="B269" s="356" t="s">
        <v>536</v>
      </c>
      <c r="C269" s="331"/>
      <c r="D269" s="332" t="s">
        <v>207</v>
      </c>
      <c r="E269" s="332" t="s">
        <v>133</v>
      </c>
      <c r="F269" s="333"/>
      <c r="G269" s="334">
        <v>46095</v>
      </c>
      <c r="H269" s="335">
        <v>650.99</v>
      </c>
      <c r="I269" s="336">
        <v>372.96</v>
      </c>
      <c r="J269" s="337">
        <v>2556.62</v>
      </c>
      <c r="K269" s="338" t="s">
        <v>306</v>
      </c>
      <c r="L269" s="339" t="s">
        <v>322</v>
      </c>
      <c r="M269" s="340">
        <v>30</v>
      </c>
      <c r="N269" s="341">
        <v>85462</v>
      </c>
      <c r="O269" s="332">
        <v>59.78</v>
      </c>
      <c r="P269" s="342">
        <v>11.700000000000001</v>
      </c>
      <c r="Q269" s="343">
        <v>10.792192881745111</v>
      </c>
      <c r="R269" s="344">
        <v>1.7278424350940018</v>
      </c>
      <c r="S269" s="344">
        <v>1.742</v>
      </c>
      <c r="T269" s="344">
        <v>1.93</v>
      </c>
      <c r="U269" s="344" t="s">
        <v>136</v>
      </c>
      <c r="V269" s="332" t="s">
        <v>137</v>
      </c>
      <c r="W269" s="345">
        <v>8</v>
      </c>
      <c r="X269" s="346">
        <v>4</v>
      </c>
      <c r="Y269" s="208">
        <v>2.8069999999999999</v>
      </c>
      <c r="Z269" s="332"/>
      <c r="AA269" s="342"/>
      <c r="AB269" s="342"/>
      <c r="AC269" s="342"/>
      <c r="AD269" s="123"/>
      <c r="AE269" s="358">
        <v>1.742</v>
      </c>
      <c r="AF269" s="349">
        <v>0</v>
      </c>
      <c r="AG269" s="350"/>
      <c r="AH269" s="351" t="s">
        <v>139</v>
      </c>
      <c r="AI269" s="351" t="s">
        <v>139</v>
      </c>
      <c r="AJ269" s="206" t="s">
        <v>139</v>
      </c>
      <c r="AK269" s="353" t="s">
        <v>513</v>
      </c>
      <c r="AL269" s="206" t="s">
        <v>139</v>
      </c>
      <c r="AM269" s="349">
        <v>99.187281004248092</v>
      </c>
      <c r="AN269" s="354" t="s">
        <v>139</v>
      </c>
      <c r="AO269" s="355" t="s">
        <v>140</v>
      </c>
      <c r="AP269" s="206" t="s">
        <v>139</v>
      </c>
      <c r="AQ269" s="246">
        <v>0</v>
      </c>
      <c r="AR269" s="211"/>
      <c r="AS269" s="297">
        <f>+IF(Table1[[#This Row],[Column40]]="ok",Table1[[#This Row],[Column7]],0)</f>
        <v>650.99</v>
      </c>
      <c r="AT269" s="295">
        <f>+IF(Table1[[#This Row],[Column40]]="No",Table1[[#This Row],[Column7]],0)</f>
        <v>0</v>
      </c>
      <c r="AU269" s="4" t="str">
        <f>+IF(LEFT(Table1[[#This Row],[Column42]],2)="DN",IF(Table1[[#This Row],[Column40]]="ok","(CA)",_xlfn.CONCAT("(CA)",CHAR(10),"FAIL")),"")</f>
        <v/>
      </c>
      <c r="AV269" s="154" t="str">
        <f>+IF(Table1[[#This Row],[Column6]]=0,"",_xlfn.CONCAT("Sem ",WEEKNUM(Table1[[#This Row],[Column6]],2)))</f>
        <v>Sem 11</v>
      </c>
      <c r="AW269" s="211"/>
    </row>
    <row r="270" spans="2:49" ht="19.5" customHeight="1" x14ac:dyDescent="0.3">
      <c r="B270" s="356" t="s">
        <v>537</v>
      </c>
      <c r="C270" s="331"/>
      <c r="D270" s="332" t="s">
        <v>207</v>
      </c>
      <c r="E270" s="332" t="s">
        <v>133</v>
      </c>
      <c r="F270" s="333"/>
      <c r="G270" s="334">
        <v>46095</v>
      </c>
      <c r="H270" s="335">
        <v>697.41</v>
      </c>
      <c r="I270" s="336">
        <v>328.28</v>
      </c>
      <c r="J270" s="337">
        <v>2567.3200000000002</v>
      </c>
      <c r="K270" s="338" t="s">
        <v>306</v>
      </c>
      <c r="L270" s="339" t="s">
        <v>347</v>
      </c>
      <c r="M270" s="340">
        <v>30</v>
      </c>
      <c r="N270" s="341">
        <v>85462</v>
      </c>
      <c r="O270" s="332">
        <v>59.78</v>
      </c>
      <c r="P270" s="342">
        <v>11.1</v>
      </c>
      <c r="Q270" s="343">
        <v>10.510863182618891</v>
      </c>
      <c r="R270" s="344">
        <v>1.6939693969396938</v>
      </c>
      <c r="S270" s="344">
        <v>1.7030000000000001</v>
      </c>
      <c r="T270" s="344">
        <v>1.8819999999999999</v>
      </c>
      <c r="U270" s="344" t="s">
        <v>136</v>
      </c>
      <c r="V270" s="332" t="s">
        <v>137</v>
      </c>
      <c r="W270" s="345">
        <v>8</v>
      </c>
      <c r="X270" s="346">
        <v>4</v>
      </c>
      <c r="Y270" s="208">
        <v>2.8069999999999999</v>
      </c>
      <c r="Z270" s="332"/>
      <c r="AA270" s="342"/>
      <c r="AB270" s="342"/>
      <c r="AC270" s="342"/>
      <c r="AD270" s="347"/>
      <c r="AE270" s="358">
        <v>1.7212255868741</v>
      </c>
      <c r="AF270" s="349">
        <v>16.004057014383466</v>
      </c>
      <c r="AG270" s="350"/>
      <c r="AH270" s="351">
        <v>1.7188306104901119</v>
      </c>
      <c r="AI270" s="351">
        <v>1.9990000000000001</v>
      </c>
      <c r="AJ270" s="206">
        <v>16.3</v>
      </c>
      <c r="AK270" s="353" t="s">
        <v>210</v>
      </c>
      <c r="AL270" s="206">
        <v>-0.29594298561653432</v>
      </c>
      <c r="AM270" s="349">
        <v>98.416466142366275</v>
      </c>
      <c r="AN270" s="354" t="s">
        <v>139</v>
      </c>
      <c r="AO270" s="355" t="s">
        <v>140</v>
      </c>
      <c r="AP270" s="206" t="s">
        <v>139</v>
      </c>
      <c r="AQ270" s="246" t="s">
        <v>538</v>
      </c>
      <c r="AR270" s="211"/>
      <c r="AS270" s="297">
        <f>+IF(Table1[[#This Row],[Column40]]="ok",Table1[[#This Row],[Column7]],0)</f>
        <v>697.41</v>
      </c>
      <c r="AT270" s="295">
        <f>+IF(Table1[[#This Row],[Column40]]="No",Table1[[#This Row],[Column7]],0)</f>
        <v>0</v>
      </c>
      <c r="AU270" s="4" t="str">
        <f>+IF(LEFT(Table1[[#This Row],[Column42]],2)="DN",IF(Table1[[#This Row],[Column40]]="ok","(CA)",_xlfn.CONCAT("(CA)",CHAR(10),"FAIL")),"")</f>
        <v/>
      </c>
      <c r="AV270" s="154" t="str">
        <f>+IF(Table1[[#This Row],[Column6]]=0,"",_xlfn.CONCAT("Sem ",WEEKNUM(Table1[[#This Row],[Column6]],2)))</f>
        <v>Sem 11</v>
      </c>
      <c r="AW270" s="211"/>
    </row>
    <row r="271" spans="2:49" ht="19.5" customHeight="1" x14ac:dyDescent="0.3">
      <c r="B271" s="356" t="s">
        <v>538</v>
      </c>
      <c r="C271" s="331"/>
      <c r="D271" s="332" t="s">
        <v>207</v>
      </c>
      <c r="E271" s="332" t="s">
        <v>133</v>
      </c>
      <c r="F271" s="333"/>
      <c r="G271" s="334">
        <v>46095</v>
      </c>
      <c r="H271" s="335">
        <v>697.41</v>
      </c>
      <c r="I271" s="336">
        <v>328.28</v>
      </c>
      <c r="J271" s="337">
        <v>2567.3200000000002</v>
      </c>
      <c r="K271" s="338" t="s">
        <v>306</v>
      </c>
      <c r="L271" s="339" t="s">
        <v>347</v>
      </c>
      <c r="M271" s="340">
        <v>15</v>
      </c>
      <c r="N271" s="341"/>
      <c r="O271" s="332"/>
      <c r="P271" s="342">
        <v>11.114413075780101</v>
      </c>
      <c r="Q271" s="343"/>
      <c r="R271" s="344">
        <v>1.7371269780408083</v>
      </c>
      <c r="S271" s="344"/>
      <c r="T271" s="344">
        <v>1.9301984460310795</v>
      </c>
      <c r="U271" s="344" t="s">
        <v>142</v>
      </c>
      <c r="V271" s="332" t="s">
        <v>137</v>
      </c>
      <c r="W271" s="345">
        <v>6</v>
      </c>
      <c r="X271" s="346">
        <v>8</v>
      </c>
      <c r="Y271" s="208"/>
      <c r="Z271" s="332" t="s">
        <v>143</v>
      </c>
      <c r="AA271" s="342">
        <v>98.753781908339661</v>
      </c>
      <c r="AB271" s="342">
        <v>78.050481353337219</v>
      </c>
      <c r="AC271" s="342">
        <v>36.925284328545956</v>
      </c>
      <c r="AD271" s="123">
        <v>12.242125996950804</v>
      </c>
      <c r="AE271" s="358">
        <v>1.7212255868741</v>
      </c>
      <c r="AF271" s="349">
        <v>16.004057014383466</v>
      </c>
      <c r="AG271" s="350" t="s">
        <v>210</v>
      </c>
      <c r="AH271" s="351">
        <v>1.7194007023746491</v>
      </c>
      <c r="AI271" s="351">
        <v>1.9988305337018928</v>
      </c>
      <c r="AJ271" s="206">
        <v>16.251582946390879</v>
      </c>
      <c r="AK271" s="353" t="s">
        <v>210</v>
      </c>
      <c r="AL271" s="206">
        <v>-0.24752593200741302</v>
      </c>
      <c r="AM271" s="349">
        <v>100.92384120291788</v>
      </c>
      <c r="AN271" s="354" t="s">
        <v>139</v>
      </c>
      <c r="AO271" s="355" t="s">
        <v>144</v>
      </c>
      <c r="AP271" s="206">
        <v>0</v>
      </c>
      <c r="AQ271" s="246" t="s">
        <v>537</v>
      </c>
      <c r="AR271" s="211"/>
      <c r="AS271" s="297">
        <f>+IF(Table1[[#This Row],[Column40]]="ok",Table1[[#This Row],[Column7]],0)</f>
        <v>697.41</v>
      </c>
      <c r="AT271" s="295">
        <f>+IF(Table1[[#This Row],[Column40]]="No",Table1[[#This Row],[Column7]],0)</f>
        <v>0</v>
      </c>
      <c r="AU271" s="4" t="str">
        <f>+IF(LEFT(Table1[[#This Row],[Column42]],2)="DN",IF(Table1[[#This Row],[Column40]]="ok","(CA)",_xlfn.CONCAT("(CA)",CHAR(10),"FAIL")),"")</f>
        <v>(CA)</v>
      </c>
      <c r="AV271" s="154" t="str">
        <f>+IF(Table1[[#This Row],[Column6]]=0,"",_xlfn.CONCAT("Sem ",WEEKNUM(Table1[[#This Row],[Column6]],2)))</f>
        <v>Sem 11</v>
      </c>
      <c r="AW271" s="211"/>
    </row>
    <row r="272" spans="2:49" ht="19.5" customHeight="1" x14ac:dyDescent="0.3">
      <c r="B272" s="356" t="s">
        <v>539</v>
      </c>
      <c r="C272" s="331"/>
      <c r="D272" s="332" t="s">
        <v>207</v>
      </c>
      <c r="E272" s="332" t="s">
        <v>133</v>
      </c>
      <c r="F272" s="333"/>
      <c r="G272" s="334">
        <v>46095</v>
      </c>
      <c r="H272" s="335">
        <v>633.59</v>
      </c>
      <c r="I272" s="336">
        <v>308.64999999999998</v>
      </c>
      <c r="J272" s="337">
        <v>2575.1</v>
      </c>
      <c r="K272" s="338" t="s">
        <v>306</v>
      </c>
      <c r="L272" s="339" t="s">
        <v>324</v>
      </c>
      <c r="M272" s="340">
        <v>30</v>
      </c>
      <c r="N272" s="341">
        <v>85462</v>
      </c>
      <c r="O272" s="332">
        <v>59.78</v>
      </c>
      <c r="P272" s="342">
        <v>12.5</v>
      </c>
      <c r="Q272" s="343">
        <v>11.041189931350125</v>
      </c>
      <c r="R272" s="344">
        <v>1.7253333333333334</v>
      </c>
      <c r="S272" s="344">
        <v>1.748</v>
      </c>
      <c r="T272" s="344">
        <v>1.9410000000000001</v>
      </c>
      <c r="U272" s="344" t="s">
        <v>136</v>
      </c>
      <c r="V272" s="332" t="s">
        <v>137</v>
      </c>
      <c r="W272" s="345">
        <v>8</v>
      </c>
      <c r="X272" s="346">
        <v>4</v>
      </c>
      <c r="Y272" s="208">
        <v>2.8069999999999999</v>
      </c>
      <c r="Z272" s="332"/>
      <c r="AA272" s="342"/>
      <c r="AB272" s="342"/>
      <c r="AC272" s="342"/>
      <c r="AD272" s="347"/>
      <c r="AE272" s="358">
        <v>1.742</v>
      </c>
      <c r="AF272" s="349">
        <v>0</v>
      </c>
      <c r="AG272" s="350"/>
      <c r="AH272" s="351" t="s">
        <v>139</v>
      </c>
      <c r="AI272" s="352" t="s">
        <v>139</v>
      </c>
      <c r="AJ272" s="206" t="s">
        <v>139</v>
      </c>
      <c r="AK272" s="353" t="s">
        <v>513</v>
      </c>
      <c r="AL272" s="206" t="s">
        <v>139</v>
      </c>
      <c r="AM272" s="349">
        <v>99.043245311902027</v>
      </c>
      <c r="AN272" s="354" t="s">
        <v>139</v>
      </c>
      <c r="AO272" s="355" t="s">
        <v>140</v>
      </c>
      <c r="AP272" s="206" t="s">
        <v>139</v>
      </c>
      <c r="AQ272" s="246">
        <v>0</v>
      </c>
      <c r="AR272" s="211"/>
      <c r="AS272" s="297">
        <f>+IF(Table1[[#This Row],[Column40]]="ok",Table1[[#This Row],[Column7]],0)</f>
        <v>633.59</v>
      </c>
      <c r="AT272" s="295">
        <f>+IF(Table1[[#This Row],[Column40]]="No",Table1[[#This Row],[Column7]],0)</f>
        <v>0</v>
      </c>
      <c r="AU272" s="4" t="str">
        <f>+IF(LEFT(Table1[[#This Row],[Column42]],2)="DN",IF(Table1[[#This Row],[Column40]]="ok","(CA)",_xlfn.CONCAT("(CA)",CHAR(10),"FAIL")),"")</f>
        <v/>
      </c>
      <c r="AV272" s="154" t="str">
        <f>+IF(Table1[[#This Row],[Column6]]=0,"",_xlfn.CONCAT("Sem ",WEEKNUM(Table1[[#This Row],[Column6]],2)))</f>
        <v>Sem 11</v>
      </c>
      <c r="AW272" s="211"/>
    </row>
    <row r="273" spans="2:49" ht="19.5" customHeight="1" x14ac:dyDescent="0.3">
      <c r="B273" s="356" t="s">
        <v>540</v>
      </c>
      <c r="C273" s="331"/>
      <c r="D273" s="332" t="s">
        <v>207</v>
      </c>
      <c r="E273" s="332" t="s">
        <v>176</v>
      </c>
      <c r="F273" s="333"/>
      <c r="G273" s="334">
        <v>46095</v>
      </c>
      <c r="H273" s="335">
        <v>1580.2</v>
      </c>
      <c r="I273" s="336">
        <v>160.21</v>
      </c>
      <c r="J273" s="337">
        <v>2597.6</v>
      </c>
      <c r="K273" s="338" t="s">
        <v>162</v>
      </c>
      <c r="L273" s="339" t="s">
        <v>185</v>
      </c>
      <c r="M273" s="340" t="s">
        <v>293</v>
      </c>
      <c r="N273" s="341" t="s">
        <v>293</v>
      </c>
      <c r="O273" s="332" t="s">
        <v>293</v>
      </c>
      <c r="P273" s="342" t="s">
        <v>293</v>
      </c>
      <c r="Q273" s="343" t="s">
        <v>293</v>
      </c>
      <c r="R273" s="344" t="s">
        <v>293</v>
      </c>
      <c r="S273" s="344" t="s">
        <v>293</v>
      </c>
      <c r="T273" s="344" t="s">
        <v>293</v>
      </c>
      <c r="U273" s="344" t="s">
        <v>294</v>
      </c>
      <c r="V273" s="332" t="s">
        <v>293</v>
      </c>
      <c r="W273" s="345" t="s">
        <v>293</v>
      </c>
      <c r="X273" s="346" t="s">
        <v>293</v>
      </c>
      <c r="Y273" s="208">
        <v>2.7096718353530833</v>
      </c>
      <c r="Z273" s="332" t="s">
        <v>227</v>
      </c>
      <c r="AA273" s="342">
        <v>99.552033080634047</v>
      </c>
      <c r="AB273" s="342">
        <v>84.269469331495515</v>
      </c>
      <c r="AC273" s="342">
        <v>41.109579600275666</v>
      </c>
      <c r="AD273" s="347">
        <v>13.542384562370771</v>
      </c>
      <c r="AE273" s="358">
        <v>1.7165583216922649</v>
      </c>
      <c r="AF273" s="349">
        <v>16.174007676247836</v>
      </c>
      <c r="AG273" s="350" t="s">
        <v>540</v>
      </c>
      <c r="AH273" s="351" t="s">
        <v>293</v>
      </c>
      <c r="AI273" s="352" t="s">
        <v>293</v>
      </c>
      <c r="AJ273" s="206" t="s">
        <v>293</v>
      </c>
      <c r="AK273" s="353" t="s">
        <v>293</v>
      </c>
      <c r="AL273" s="206" t="s">
        <v>293</v>
      </c>
      <c r="AM273" s="349" t="s">
        <v>293</v>
      </c>
      <c r="AN273" s="354" t="s">
        <v>293</v>
      </c>
      <c r="AO273" s="355" t="s">
        <v>293</v>
      </c>
      <c r="AP273" s="206" t="s">
        <v>293</v>
      </c>
      <c r="AQ273" s="246" t="s">
        <v>295</v>
      </c>
      <c r="AR273" s="211"/>
      <c r="AS273" s="297">
        <f>+IF(Table1[[#This Row],[Column40]]="ok",Table1[[#This Row],[Column7]],0)</f>
        <v>0</v>
      </c>
      <c r="AT273" s="295">
        <f>+IF(Table1[[#This Row],[Column40]]="No",Table1[[#This Row],[Column7]],0)</f>
        <v>0</v>
      </c>
      <c r="AU273" s="4" t="str">
        <f>+IF(LEFT(Table1[[#This Row],[Column42]],2)="DN",IF(Table1[[#This Row],[Column40]]="ok","(CA)",_xlfn.CONCAT("(CA)",CHAR(10),"FAIL")),"")</f>
        <v/>
      </c>
      <c r="AV273" s="154" t="str">
        <f>+IF(Table1[[#This Row],[Column6]]=0,"",_xlfn.CONCAT("Sem ",WEEKNUM(Table1[[#This Row],[Column6]],2)))</f>
        <v>Sem 11</v>
      </c>
      <c r="AW273" s="211"/>
    </row>
    <row r="274" spans="2:49" ht="19.5" customHeight="1" x14ac:dyDescent="0.3">
      <c r="B274" s="356" t="s">
        <v>541</v>
      </c>
      <c r="C274" s="331"/>
      <c r="D274" s="332" t="s">
        <v>207</v>
      </c>
      <c r="E274" s="332" t="s">
        <v>176</v>
      </c>
      <c r="F274" s="333"/>
      <c r="G274" s="334">
        <v>46095</v>
      </c>
      <c r="H274" s="335">
        <v>1005.01</v>
      </c>
      <c r="I274" s="336">
        <v>42.6</v>
      </c>
      <c r="J274" s="337">
        <v>2632.16</v>
      </c>
      <c r="K274" s="338" t="s">
        <v>205</v>
      </c>
      <c r="L274" s="339" t="s">
        <v>242</v>
      </c>
      <c r="M274" s="340">
        <v>30</v>
      </c>
      <c r="N274" s="341">
        <v>85462</v>
      </c>
      <c r="O274" s="332">
        <v>59.78</v>
      </c>
      <c r="P274" s="342">
        <v>10.100000000000001</v>
      </c>
      <c r="Q274" s="343">
        <v>10.738636363636367</v>
      </c>
      <c r="R274" s="344">
        <v>1.7702089009990918</v>
      </c>
      <c r="S274" s="344">
        <v>1.76</v>
      </c>
      <c r="T274" s="344">
        <v>1.9490000000000001</v>
      </c>
      <c r="U274" s="344" t="s">
        <v>136</v>
      </c>
      <c r="V274" s="332" t="s">
        <v>137</v>
      </c>
      <c r="W274" s="345">
        <v>8</v>
      </c>
      <c r="X274" s="346">
        <v>4</v>
      </c>
      <c r="Y274" s="208">
        <v>2.8069999999999999</v>
      </c>
      <c r="Z274" s="332"/>
      <c r="AA274" s="342"/>
      <c r="AB274" s="342"/>
      <c r="AC274" s="342"/>
      <c r="AD274" s="347"/>
      <c r="AE274" s="358">
        <v>1.706</v>
      </c>
      <c r="AF274" s="349">
        <v>0</v>
      </c>
      <c r="AG274" s="350"/>
      <c r="AH274" s="351" t="s">
        <v>139</v>
      </c>
      <c r="AI274" s="352" t="s">
        <v>139</v>
      </c>
      <c r="AJ274" s="206" t="s">
        <v>139</v>
      </c>
      <c r="AK274" s="353" t="s">
        <v>542</v>
      </c>
      <c r="AL274" s="206" t="s">
        <v>139</v>
      </c>
      <c r="AM274" s="349">
        <v>103.7637104923266</v>
      </c>
      <c r="AN274" s="354" t="s">
        <v>139</v>
      </c>
      <c r="AO274" s="355" t="s">
        <v>140</v>
      </c>
      <c r="AP274" s="206" t="s">
        <v>139</v>
      </c>
      <c r="AQ274" s="246">
        <v>0</v>
      </c>
      <c r="AR274" s="211"/>
      <c r="AS274" s="297">
        <f>+IF(Table1[[#This Row],[Column40]]="ok",Table1[[#This Row],[Column7]],0)</f>
        <v>1005.01</v>
      </c>
      <c r="AT274" s="295">
        <f>+IF(Table1[[#This Row],[Column40]]="No",Table1[[#This Row],[Column7]],0)</f>
        <v>0</v>
      </c>
      <c r="AU274" s="4" t="str">
        <f>+IF(LEFT(Table1[[#This Row],[Column42]],2)="DN",IF(Table1[[#This Row],[Column40]]="ok","(CA)",_xlfn.CONCAT("(CA)",CHAR(10),"FAIL")),"")</f>
        <v/>
      </c>
      <c r="AV274" s="154" t="str">
        <f>+IF(Table1[[#This Row],[Column6]]=0,"",_xlfn.CONCAT("Sem ",WEEKNUM(Table1[[#This Row],[Column6]],2)))</f>
        <v>Sem 11</v>
      </c>
      <c r="AW274" s="211"/>
    </row>
    <row r="275" spans="2:49" ht="19.5" customHeight="1" x14ac:dyDescent="0.3">
      <c r="B275" s="356" t="s">
        <v>543</v>
      </c>
      <c r="C275" s="331"/>
      <c r="D275" s="332" t="s">
        <v>207</v>
      </c>
      <c r="E275" s="332" t="s">
        <v>176</v>
      </c>
      <c r="F275" s="333"/>
      <c r="G275" s="334">
        <v>46095</v>
      </c>
      <c r="H275" s="335">
        <v>561</v>
      </c>
      <c r="I275" s="336">
        <v>289.76</v>
      </c>
      <c r="J275" s="337">
        <v>2581.31</v>
      </c>
      <c r="K275" s="338" t="s">
        <v>331</v>
      </c>
      <c r="L275" s="339" t="s">
        <v>332</v>
      </c>
      <c r="M275" s="340">
        <v>30</v>
      </c>
      <c r="N275" s="341">
        <v>85462</v>
      </c>
      <c r="O275" s="332">
        <v>59.78</v>
      </c>
      <c r="P275" s="342">
        <v>9.3000000000000007</v>
      </c>
      <c r="Q275" s="343">
        <v>9.4962362478286053</v>
      </c>
      <c r="R275" s="344">
        <v>1.7301006404391583</v>
      </c>
      <c r="S275" s="344">
        <v>1.7270000000000001</v>
      </c>
      <c r="T275" s="344">
        <v>1.891</v>
      </c>
      <c r="U275" s="344" t="s">
        <v>136</v>
      </c>
      <c r="V275" s="332" t="s">
        <v>137</v>
      </c>
      <c r="W275" s="345">
        <v>8</v>
      </c>
      <c r="X275" s="346">
        <v>4</v>
      </c>
      <c r="Y275" s="208">
        <v>2.8069999999999999</v>
      </c>
      <c r="Z275" s="332"/>
      <c r="AA275" s="342"/>
      <c r="AB275" s="342"/>
      <c r="AC275" s="342"/>
      <c r="AD275" s="347"/>
      <c r="AE275" s="358">
        <v>1.732</v>
      </c>
      <c r="AF275" s="349">
        <v>16.288403519930068</v>
      </c>
      <c r="AG275" s="350"/>
      <c r="AH275" s="351">
        <v>1.7308024158757547</v>
      </c>
      <c r="AI275" s="352">
        <v>2.0059999999999998</v>
      </c>
      <c r="AJ275" s="206">
        <v>15.9</v>
      </c>
      <c r="AK275" s="353" t="s">
        <v>298</v>
      </c>
      <c r="AL275" s="206">
        <v>0.38840351993006728</v>
      </c>
      <c r="AM275" s="349">
        <v>99.890337207803597</v>
      </c>
      <c r="AN275" s="354" t="s">
        <v>139</v>
      </c>
      <c r="AO275" s="355" t="s">
        <v>140</v>
      </c>
      <c r="AP275" s="206" t="s">
        <v>139</v>
      </c>
      <c r="AQ275" s="246">
        <v>0</v>
      </c>
      <c r="AR275" s="211"/>
      <c r="AS275" s="297">
        <f>+IF(Table1[[#This Row],[Column40]]="ok",Table1[[#This Row],[Column7]],0)</f>
        <v>561</v>
      </c>
      <c r="AT275" s="295">
        <f>+IF(Table1[[#This Row],[Column40]]="No",Table1[[#This Row],[Column7]],0)</f>
        <v>0</v>
      </c>
      <c r="AU275" s="4" t="str">
        <f>+IF(LEFT(Table1[[#This Row],[Column42]],2)="DN",IF(Table1[[#This Row],[Column40]]="ok","(CA)",_xlfn.CONCAT("(CA)",CHAR(10),"FAIL")),"")</f>
        <v/>
      </c>
      <c r="AV275" s="154" t="str">
        <f>+IF(Table1[[#This Row],[Column6]]=0,"",_xlfn.CONCAT("Sem ",WEEKNUM(Table1[[#This Row],[Column6]],2)))</f>
        <v>Sem 11</v>
      </c>
      <c r="AW275" s="211"/>
    </row>
    <row r="276" spans="2:49" ht="19.5" customHeight="1" x14ac:dyDescent="0.3">
      <c r="B276" s="356" t="s">
        <v>544</v>
      </c>
      <c r="C276" s="331"/>
      <c r="D276" s="332" t="s">
        <v>207</v>
      </c>
      <c r="E276" s="332" t="s">
        <v>176</v>
      </c>
      <c r="F276" s="333"/>
      <c r="G276" s="334">
        <v>46095</v>
      </c>
      <c r="H276" s="335">
        <v>494.28</v>
      </c>
      <c r="I276" s="336">
        <v>289.57</v>
      </c>
      <c r="J276" s="337">
        <v>2581.58</v>
      </c>
      <c r="K276" s="338" t="s">
        <v>331</v>
      </c>
      <c r="L276" s="339" t="s">
        <v>338</v>
      </c>
      <c r="M276" s="340">
        <v>30</v>
      </c>
      <c r="N276" s="341">
        <v>85462</v>
      </c>
      <c r="O276" s="332">
        <v>59.78</v>
      </c>
      <c r="P276" s="342">
        <v>9.6</v>
      </c>
      <c r="Q276" s="343">
        <v>9.938922820655204</v>
      </c>
      <c r="R276" s="344">
        <v>1.8065693430656933</v>
      </c>
      <c r="S276" s="344">
        <v>1.8009999999999999</v>
      </c>
      <c r="T276" s="344">
        <v>1.98</v>
      </c>
      <c r="U276" s="344" t="s">
        <v>136</v>
      </c>
      <c r="V276" s="332" t="s">
        <v>137</v>
      </c>
      <c r="W276" s="345">
        <v>8</v>
      </c>
      <c r="X276" s="346">
        <v>4</v>
      </c>
      <c r="Y276" s="208">
        <v>2.8069999999999999</v>
      </c>
      <c r="Z276" s="332"/>
      <c r="AA276" s="342"/>
      <c r="AB276" s="342"/>
      <c r="AC276" s="342"/>
      <c r="AD276" s="347"/>
      <c r="AE276" s="358">
        <v>1.742</v>
      </c>
      <c r="AF276" s="349">
        <v>0</v>
      </c>
      <c r="AG276" s="350"/>
      <c r="AH276" s="351" t="s">
        <v>139</v>
      </c>
      <c r="AI276" s="352" t="s">
        <v>139</v>
      </c>
      <c r="AJ276" s="206" t="s">
        <v>139</v>
      </c>
      <c r="AK276" s="353" t="s">
        <v>513</v>
      </c>
      <c r="AL276" s="206" t="s">
        <v>139</v>
      </c>
      <c r="AM276" s="349">
        <v>103.70662130113051</v>
      </c>
      <c r="AN276" s="354" t="s">
        <v>139</v>
      </c>
      <c r="AO276" s="355" t="s">
        <v>140</v>
      </c>
      <c r="AP276" s="206" t="s">
        <v>139</v>
      </c>
      <c r="AQ276" s="246">
        <v>0</v>
      </c>
      <c r="AR276" s="211"/>
      <c r="AS276" s="297">
        <f>+IF(Table1[[#This Row],[Column40]]="ok",Table1[[#This Row],[Column7]],0)</f>
        <v>494.28</v>
      </c>
      <c r="AT276" s="295">
        <f>+IF(Table1[[#This Row],[Column40]]="No",Table1[[#This Row],[Column7]],0)</f>
        <v>0</v>
      </c>
      <c r="AU276" s="4" t="str">
        <f>+IF(LEFT(Table1[[#This Row],[Column42]],2)="DN",IF(Table1[[#This Row],[Column40]]="ok","(CA)",_xlfn.CONCAT("(CA)",CHAR(10),"FAIL")),"")</f>
        <v/>
      </c>
      <c r="AV276" s="154" t="str">
        <f>+IF(Table1[[#This Row],[Column6]]=0,"",_xlfn.CONCAT("Sem ",WEEKNUM(Table1[[#This Row],[Column6]],2)))</f>
        <v>Sem 11</v>
      </c>
      <c r="AW276" s="211"/>
    </row>
    <row r="277" spans="2:49" ht="19.5" customHeight="1" x14ac:dyDescent="0.3">
      <c r="B277" s="356" t="s">
        <v>545</v>
      </c>
      <c r="C277" s="331"/>
      <c r="D277" s="332" t="s">
        <v>207</v>
      </c>
      <c r="E277" s="332" t="s">
        <v>176</v>
      </c>
      <c r="F277" s="333"/>
      <c r="G277" s="334">
        <v>46095</v>
      </c>
      <c r="H277" s="335">
        <v>444.04</v>
      </c>
      <c r="I277" s="336">
        <v>252.92</v>
      </c>
      <c r="J277" s="337">
        <v>2591.66</v>
      </c>
      <c r="K277" s="338" t="s">
        <v>331</v>
      </c>
      <c r="L277" s="339" t="s">
        <v>546</v>
      </c>
      <c r="M277" s="340">
        <v>30</v>
      </c>
      <c r="N277" s="341">
        <v>85462</v>
      </c>
      <c r="O277" s="332">
        <v>59.78</v>
      </c>
      <c r="P277" s="342">
        <v>10.100000000000001</v>
      </c>
      <c r="Q277" s="343">
        <v>9.5292766934558024</v>
      </c>
      <c r="R277" s="344">
        <v>1.7329700272479565</v>
      </c>
      <c r="S277" s="344">
        <v>1.742</v>
      </c>
      <c r="T277" s="344">
        <v>1.9079999999999999</v>
      </c>
      <c r="U277" s="344" t="s">
        <v>136</v>
      </c>
      <c r="V277" s="332" t="s">
        <v>137</v>
      </c>
      <c r="W277" s="345">
        <v>8</v>
      </c>
      <c r="X277" s="346">
        <v>4</v>
      </c>
      <c r="Y277" s="208">
        <v>2.8069999999999999</v>
      </c>
      <c r="Z277" s="332"/>
      <c r="AA277" s="342"/>
      <c r="AB277" s="342"/>
      <c r="AC277" s="342"/>
      <c r="AD277" s="347"/>
      <c r="AE277" s="358">
        <v>1.742</v>
      </c>
      <c r="AF277" s="349" t="s">
        <v>139</v>
      </c>
      <c r="AG277" s="350"/>
      <c r="AH277" s="351" t="s">
        <v>139</v>
      </c>
      <c r="AI277" s="352" t="s">
        <v>139</v>
      </c>
      <c r="AJ277" s="206" t="s">
        <v>139</v>
      </c>
      <c r="AK277" s="353" t="s">
        <v>513</v>
      </c>
      <c r="AL277" s="206" t="s">
        <v>139</v>
      </c>
      <c r="AM277" s="349">
        <v>99.481631874165117</v>
      </c>
      <c r="AN277" s="354" t="s">
        <v>139</v>
      </c>
      <c r="AO277" s="355" t="s">
        <v>140</v>
      </c>
      <c r="AP277" s="206" t="s">
        <v>139</v>
      </c>
      <c r="AQ277" s="246">
        <v>0</v>
      </c>
      <c r="AR277" s="211"/>
      <c r="AS277" s="297">
        <f>+IF(Table1[[#This Row],[Column40]]="ok",Table1[[#This Row],[Column7]],0)</f>
        <v>444.04</v>
      </c>
      <c r="AT277" s="295">
        <f>+IF(Table1[[#This Row],[Column40]]="No",Table1[[#This Row],[Column7]],0)</f>
        <v>0</v>
      </c>
      <c r="AU277" s="4" t="str">
        <f>+IF(LEFT(Table1[[#This Row],[Column42]],2)="DN",IF(Table1[[#This Row],[Column40]]="ok","(CA)",_xlfn.CONCAT("(CA)",CHAR(10),"FAIL")),"")</f>
        <v/>
      </c>
      <c r="AV277" s="154" t="str">
        <f>+IF(Table1[[#This Row],[Column6]]=0,"",_xlfn.CONCAT("Sem ",WEEKNUM(Table1[[#This Row],[Column6]],2)))</f>
        <v>Sem 11</v>
      </c>
      <c r="AW277" s="211"/>
    </row>
    <row r="278" spans="2:49" ht="19.5" customHeight="1" x14ac:dyDescent="0.3">
      <c r="B278" s="356" t="s">
        <v>547</v>
      </c>
      <c r="C278" s="331"/>
      <c r="D278" s="332" t="s">
        <v>207</v>
      </c>
      <c r="E278" s="332" t="s">
        <v>176</v>
      </c>
      <c r="F278" s="333"/>
      <c r="G278" s="334">
        <v>46095</v>
      </c>
      <c r="H278" s="335">
        <v>413.69</v>
      </c>
      <c r="I278" s="336">
        <v>371.78</v>
      </c>
      <c r="J278" s="337">
        <v>2555.63</v>
      </c>
      <c r="K278" s="338" t="s">
        <v>344</v>
      </c>
      <c r="L278" s="339" t="s">
        <v>336</v>
      </c>
      <c r="M278" s="340">
        <v>30</v>
      </c>
      <c r="N278" s="341">
        <v>85462</v>
      </c>
      <c r="O278" s="332">
        <v>59.78</v>
      </c>
      <c r="P278" s="342">
        <v>11.4</v>
      </c>
      <c r="Q278" s="343">
        <v>9.9311136624569585</v>
      </c>
      <c r="R278" s="344">
        <v>1.7190305206463194</v>
      </c>
      <c r="S278" s="344">
        <v>1.742</v>
      </c>
      <c r="T278" s="344">
        <v>1.915</v>
      </c>
      <c r="U278" s="344" t="s">
        <v>136</v>
      </c>
      <c r="V278" s="332" t="s">
        <v>137</v>
      </c>
      <c r="W278" s="345">
        <v>8</v>
      </c>
      <c r="X278" s="346">
        <v>4</v>
      </c>
      <c r="Y278" s="208">
        <v>2.8069999999999999</v>
      </c>
      <c r="Z278" s="332"/>
      <c r="AA278" s="342"/>
      <c r="AB278" s="342"/>
      <c r="AC278" s="342"/>
      <c r="AD278" s="347"/>
      <c r="AE278" s="358">
        <v>1.742</v>
      </c>
      <c r="AF278" s="349">
        <v>0</v>
      </c>
      <c r="AG278" s="350"/>
      <c r="AH278" s="351" t="s">
        <v>139</v>
      </c>
      <c r="AI278" s="352" t="s">
        <v>139</v>
      </c>
      <c r="AJ278" s="206" t="s">
        <v>139</v>
      </c>
      <c r="AK278" s="353" t="s">
        <v>513</v>
      </c>
      <c r="AL278" s="206" t="s">
        <v>139</v>
      </c>
      <c r="AM278" s="349">
        <v>98.68143057671179</v>
      </c>
      <c r="AN278" s="354" t="s">
        <v>139</v>
      </c>
      <c r="AO278" s="355" t="s">
        <v>140</v>
      </c>
      <c r="AP278" s="206" t="s">
        <v>139</v>
      </c>
      <c r="AQ278" s="246">
        <v>0</v>
      </c>
      <c r="AR278" s="211"/>
      <c r="AS278" s="297">
        <f>+IF(Table1[[#This Row],[Column40]]="ok",Table1[[#This Row],[Column7]],0)</f>
        <v>413.69</v>
      </c>
      <c r="AT278" s="295">
        <f>+IF(Table1[[#This Row],[Column40]]="No",Table1[[#This Row],[Column7]],0)</f>
        <v>0</v>
      </c>
      <c r="AU278" s="4" t="str">
        <f>+IF(LEFT(Table1[[#This Row],[Column42]],2)="DN",IF(Table1[[#This Row],[Column40]]="ok","(CA)",_xlfn.CONCAT("(CA)",CHAR(10),"FAIL")),"")</f>
        <v/>
      </c>
      <c r="AV278" s="154" t="str">
        <f>+IF(Table1[[#This Row],[Column6]]=0,"",_xlfn.CONCAT("Sem ",WEEKNUM(Table1[[#This Row],[Column6]],2)))</f>
        <v>Sem 11</v>
      </c>
      <c r="AW278" s="211"/>
    </row>
    <row r="279" spans="2:49" ht="19.5" customHeight="1" x14ac:dyDescent="0.3">
      <c r="B279" s="356" t="s">
        <v>548</v>
      </c>
      <c r="C279" s="331"/>
      <c r="D279" s="332" t="s">
        <v>207</v>
      </c>
      <c r="E279" s="332" t="s">
        <v>176</v>
      </c>
      <c r="F279" s="333"/>
      <c r="G279" s="334">
        <v>46095</v>
      </c>
      <c r="H279" s="335">
        <v>480.62</v>
      </c>
      <c r="I279" s="336">
        <v>413.57</v>
      </c>
      <c r="J279" s="337">
        <v>2545.9</v>
      </c>
      <c r="K279" s="338" t="s">
        <v>331</v>
      </c>
      <c r="L279" s="339" t="s">
        <v>338</v>
      </c>
      <c r="M279" s="340">
        <v>30</v>
      </c>
      <c r="N279" s="341">
        <v>85462</v>
      </c>
      <c r="O279" s="332">
        <v>59.78</v>
      </c>
      <c r="P279" s="342">
        <v>10.8</v>
      </c>
      <c r="Q279" s="343">
        <v>10.154905335628218</v>
      </c>
      <c r="R279" s="344">
        <v>1.7328519855595665</v>
      </c>
      <c r="S279" s="344">
        <v>1.7430000000000001</v>
      </c>
      <c r="T279" s="344">
        <v>1.92</v>
      </c>
      <c r="U279" s="344" t="s">
        <v>136</v>
      </c>
      <c r="V279" s="332" t="s">
        <v>137</v>
      </c>
      <c r="W279" s="345">
        <v>8</v>
      </c>
      <c r="X279" s="346">
        <v>4</v>
      </c>
      <c r="Y279" s="208">
        <v>2.8069999999999999</v>
      </c>
      <c r="Z279" s="332"/>
      <c r="AA279" s="342"/>
      <c r="AB279" s="342"/>
      <c r="AC279" s="342"/>
      <c r="AD279" s="347"/>
      <c r="AE279" s="358">
        <v>1.742</v>
      </c>
      <c r="AF279" s="349" t="s">
        <v>139</v>
      </c>
      <c r="AG279" s="350"/>
      <c r="AH279" s="351" t="s">
        <v>139</v>
      </c>
      <c r="AI279" s="351" t="s">
        <v>139</v>
      </c>
      <c r="AJ279" s="206" t="s">
        <v>139</v>
      </c>
      <c r="AK279" s="353" t="s">
        <v>513</v>
      </c>
      <c r="AL279" s="206" t="s">
        <v>139</v>
      </c>
      <c r="AM279" s="349">
        <v>99.47485565783964</v>
      </c>
      <c r="AN279" s="354" t="s">
        <v>139</v>
      </c>
      <c r="AO279" s="355" t="s">
        <v>140</v>
      </c>
      <c r="AP279" s="206" t="s">
        <v>139</v>
      </c>
      <c r="AQ279" s="207">
        <v>0</v>
      </c>
      <c r="AR279" s="211"/>
      <c r="AS279" s="297">
        <f>+IF(Table1[[#This Row],[Column40]]="ok",Table1[[#This Row],[Column7]],0)</f>
        <v>480.62</v>
      </c>
      <c r="AT279" s="295">
        <f>+IF(Table1[[#This Row],[Column40]]="No",Table1[[#This Row],[Column7]],0)</f>
        <v>0</v>
      </c>
      <c r="AU279" s="4" t="str">
        <f>+IF(LEFT(Table1[[#This Row],[Column42]],2)="DN",IF(Table1[[#This Row],[Column40]]="ok","(CA)",_xlfn.CONCAT("(CA)",CHAR(10),"FAIL")),"")</f>
        <v/>
      </c>
      <c r="AV279" s="154" t="str">
        <f>+IF(Table1[[#This Row],[Column6]]=0,"",_xlfn.CONCAT("Sem ",WEEKNUM(Table1[[#This Row],[Column6]],2)))</f>
        <v>Sem 11</v>
      </c>
      <c r="AW279" s="211"/>
    </row>
    <row r="280" spans="2:49" ht="19.5" customHeight="1" x14ac:dyDescent="0.3">
      <c r="B280" s="356" t="s">
        <v>549</v>
      </c>
      <c r="C280" s="364"/>
      <c r="D280" s="332" t="s">
        <v>207</v>
      </c>
      <c r="E280" s="332" t="s">
        <v>176</v>
      </c>
      <c r="F280" s="332"/>
      <c r="G280" s="334">
        <v>46095</v>
      </c>
      <c r="H280" s="335">
        <v>538.21</v>
      </c>
      <c r="I280" s="336">
        <v>398</v>
      </c>
      <c r="J280" s="337">
        <v>2551.9</v>
      </c>
      <c r="K280" s="338" t="s">
        <v>331</v>
      </c>
      <c r="L280" s="339" t="s">
        <v>342</v>
      </c>
      <c r="M280" s="340">
        <v>30</v>
      </c>
      <c r="N280" s="341">
        <v>85462</v>
      </c>
      <c r="O280" s="332">
        <v>59.78</v>
      </c>
      <c r="P280" s="342">
        <v>9.4</v>
      </c>
      <c r="Q280" s="343">
        <v>10.092807424593975</v>
      </c>
      <c r="R280" s="344">
        <v>1.7349177330895793</v>
      </c>
      <c r="S280" s="344">
        <v>1.724</v>
      </c>
      <c r="T280" s="344">
        <v>1.8979999999999999</v>
      </c>
      <c r="U280" s="344" t="s">
        <v>136</v>
      </c>
      <c r="V280" s="332" t="s">
        <v>137</v>
      </c>
      <c r="W280" s="345">
        <v>8</v>
      </c>
      <c r="X280" s="346">
        <v>4</v>
      </c>
      <c r="Y280" s="208">
        <v>2.8069999999999999</v>
      </c>
      <c r="Z280" s="332"/>
      <c r="AA280" s="342"/>
      <c r="AB280" s="342"/>
      <c r="AC280" s="342"/>
      <c r="AD280" s="123"/>
      <c r="AE280" s="358">
        <v>1.709424914404968</v>
      </c>
      <c r="AF280" s="349">
        <v>16.180497066914707</v>
      </c>
      <c r="AG280" s="350"/>
      <c r="AH280" s="351">
        <v>1.7072961373390558</v>
      </c>
      <c r="AI280" s="351">
        <v>1.9890000000000001</v>
      </c>
      <c r="AJ280" s="206">
        <v>16.5</v>
      </c>
      <c r="AK280" s="353" t="s">
        <v>550</v>
      </c>
      <c r="AL280" s="206">
        <v>-0.31950293308529254</v>
      </c>
      <c r="AM280" s="349">
        <v>101.49130964863029</v>
      </c>
      <c r="AN280" s="354" t="s">
        <v>139</v>
      </c>
      <c r="AO280" s="355" t="s">
        <v>140</v>
      </c>
      <c r="AP280" s="206" t="s">
        <v>139</v>
      </c>
      <c r="AQ280" s="207">
        <v>0</v>
      </c>
      <c r="AR280" s="211"/>
      <c r="AS280" s="297">
        <f>+IF(Table1[[#This Row],[Column40]]="ok",Table1[[#This Row],[Column7]],0)</f>
        <v>538.21</v>
      </c>
      <c r="AT280" s="295">
        <f>+IF(Table1[[#This Row],[Column40]]="No",Table1[[#This Row],[Column7]],0)</f>
        <v>0</v>
      </c>
      <c r="AU280" s="4" t="str">
        <f>+IF(LEFT(Table1[[#This Row],[Column42]],2)="DN",IF(Table1[[#This Row],[Column40]]="ok","(CA)",_xlfn.CONCAT("(CA)",CHAR(10),"FAIL")),"")</f>
        <v/>
      </c>
      <c r="AV280" s="154" t="str">
        <f>+IF(Table1[[#This Row],[Column6]]=0,"",_xlfn.CONCAT("Sem ",WEEKNUM(Table1[[#This Row],[Column6]],2)))</f>
        <v>Sem 11</v>
      </c>
      <c r="AW280" s="211"/>
    </row>
    <row r="281" spans="2:49" ht="19.5" customHeight="1" x14ac:dyDescent="0.3">
      <c r="B281" s="356" t="s">
        <v>551</v>
      </c>
      <c r="C281" s="331"/>
      <c r="D281" s="332" t="s">
        <v>207</v>
      </c>
      <c r="E281" s="332" t="s">
        <v>176</v>
      </c>
      <c r="F281" s="333"/>
      <c r="G281" s="334">
        <v>46095</v>
      </c>
      <c r="H281" s="335">
        <v>513.21</v>
      </c>
      <c r="I281" s="336">
        <v>447.8</v>
      </c>
      <c r="J281" s="337">
        <v>2536.2199999999998</v>
      </c>
      <c r="K281" s="338" t="s">
        <v>331</v>
      </c>
      <c r="L281" s="339" t="s">
        <v>342</v>
      </c>
      <c r="M281" s="340">
        <v>30</v>
      </c>
      <c r="N281" s="341">
        <v>85462</v>
      </c>
      <c r="O281" s="332">
        <v>59.78</v>
      </c>
      <c r="P281" s="342">
        <v>10.4</v>
      </c>
      <c r="Q281" s="343">
        <v>10.447761194029837</v>
      </c>
      <c r="R281" s="344">
        <v>1.7427536231884055</v>
      </c>
      <c r="S281" s="344">
        <v>1.742</v>
      </c>
      <c r="T281" s="344">
        <v>1.9239999999999999</v>
      </c>
      <c r="U281" s="344" t="s">
        <v>136</v>
      </c>
      <c r="V281" s="332" t="s">
        <v>137</v>
      </c>
      <c r="W281" s="345">
        <v>8</v>
      </c>
      <c r="X281" s="346">
        <v>4</v>
      </c>
      <c r="Y281" s="208">
        <v>2.8069999999999999</v>
      </c>
      <c r="Z281" s="332"/>
      <c r="AA281" s="342"/>
      <c r="AB281" s="342"/>
      <c r="AC281" s="342"/>
      <c r="AD281" s="347"/>
      <c r="AE281" s="358">
        <v>1.742</v>
      </c>
      <c r="AF281" s="349">
        <v>0</v>
      </c>
      <c r="AG281" s="350"/>
      <c r="AH281" s="351" t="s">
        <v>139</v>
      </c>
      <c r="AI281" s="352" t="s">
        <v>139</v>
      </c>
      <c r="AJ281" s="206" t="s">
        <v>139</v>
      </c>
      <c r="AK281" s="353" t="s">
        <v>513</v>
      </c>
      <c r="AL281" s="206" t="s">
        <v>139</v>
      </c>
      <c r="AM281" s="349">
        <v>100.04326195111398</v>
      </c>
      <c r="AN281" s="354" t="s">
        <v>139</v>
      </c>
      <c r="AO281" s="355" t="s">
        <v>140</v>
      </c>
      <c r="AP281" s="206" t="s">
        <v>139</v>
      </c>
      <c r="AQ281" s="246">
        <v>0</v>
      </c>
      <c r="AR281" s="211"/>
      <c r="AS281" s="297">
        <f>+IF(Table1[[#This Row],[Column40]]="ok",Table1[[#This Row],[Column7]],0)</f>
        <v>513.21</v>
      </c>
      <c r="AT281" s="295">
        <f>+IF(Table1[[#This Row],[Column40]]="No",Table1[[#This Row],[Column7]],0)</f>
        <v>0</v>
      </c>
      <c r="AU281" s="4" t="str">
        <f>+IF(LEFT(Table1[[#This Row],[Column42]],2)="DN",IF(Table1[[#This Row],[Column40]]="ok","(CA)",_xlfn.CONCAT("(CA)",CHAR(10),"FAIL")),"")</f>
        <v/>
      </c>
      <c r="AV281" s="154" t="str">
        <f>+IF(Table1[[#This Row],[Column6]]=0,"",_xlfn.CONCAT("Sem ",WEEKNUM(Table1[[#This Row],[Column6]],2)))</f>
        <v>Sem 11</v>
      </c>
      <c r="AW281" s="211"/>
    </row>
    <row r="282" spans="2:49" ht="19.5" customHeight="1" x14ac:dyDescent="0.3">
      <c r="B282" s="356" t="s">
        <v>552</v>
      </c>
      <c r="C282" s="331"/>
      <c r="D282" s="332" t="s">
        <v>207</v>
      </c>
      <c r="E282" s="332" t="s">
        <v>133</v>
      </c>
      <c r="F282" s="333"/>
      <c r="G282" s="334">
        <v>46096</v>
      </c>
      <c r="H282" s="335">
        <v>1091.55</v>
      </c>
      <c r="I282" s="336">
        <v>-8.01</v>
      </c>
      <c r="J282" s="337">
        <v>2635.89</v>
      </c>
      <c r="K282" s="338" t="s">
        <v>205</v>
      </c>
      <c r="L282" s="339" t="s">
        <v>168</v>
      </c>
      <c r="M282" s="340">
        <v>30</v>
      </c>
      <c r="N282" s="341">
        <v>85462</v>
      </c>
      <c r="O282" s="332">
        <v>59.78</v>
      </c>
      <c r="P282" s="342">
        <v>11.600000000000001</v>
      </c>
      <c r="Q282" s="343">
        <v>11.671388101983005</v>
      </c>
      <c r="R282" s="344">
        <v>1.7661290322580645</v>
      </c>
      <c r="S282" s="344">
        <v>1.7649999999999999</v>
      </c>
      <c r="T282" s="344">
        <v>1.9710000000000001</v>
      </c>
      <c r="U282" s="344" t="s">
        <v>136</v>
      </c>
      <c r="V282" s="332" t="s">
        <v>169</v>
      </c>
      <c r="W282" s="345">
        <v>4</v>
      </c>
      <c r="X282" s="346">
        <v>2</v>
      </c>
      <c r="Y282" s="208">
        <v>2.8069999999999999</v>
      </c>
      <c r="Z282" s="332"/>
      <c r="AA282" s="342"/>
      <c r="AB282" s="342"/>
      <c r="AC282" s="342"/>
      <c r="AD282" s="347"/>
      <c r="AE282" s="358">
        <v>1.7212255868741</v>
      </c>
      <c r="AF282" s="349">
        <v>16.004057014383466</v>
      </c>
      <c r="AG282" s="350"/>
      <c r="AH282" s="351">
        <v>1.7186963979416812</v>
      </c>
      <c r="AI282" s="352">
        <v>2.004</v>
      </c>
      <c r="AJ282" s="206">
        <v>16.600000000000001</v>
      </c>
      <c r="AK282" s="353" t="s">
        <v>210</v>
      </c>
      <c r="AL282" s="206">
        <v>-0.59594298561653503</v>
      </c>
      <c r="AM282" s="349">
        <v>102.6088065228866</v>
      </c>
      <c r="AN282" s="354" t="s">
        <v>139</v>
      </c>
      <c r="AO282" s="355" t="s">
        <v>140</v>
      </c>
      <c r="AP282" s="206" t="s">
        <v>139</v>
      </c>
      <c r="AQ282" s="246" t="s">
        <v>553</v>
      </c>
      <c r="AR282" s="211"/>
      <c r="AS282" s="297">
        <f>+IF(Table1[[#This Row],[Column40]]="ok",Table1[[#This Row],[Column7]],0)</f>
        <v>1091.55</v>
      </c>
      <c r="AT282" s="295">
        <f>+IF(Table1[[#This Row],[Column40]]="No",Table1[[#This Row],[Column7]],0)</f>
        <v>0</v>
      </c>
      <c r="AU282" s="4" t="str">
        <f>+IF(LEFT(Table1[[#This Row],[Column42]],2)="DN",IF(Table1[[#This Row],[Column40]]="ok","(CA)",_xlfn.CONCAT("(CA)",CHAR(10),"FAIL")),"")</f>
        <v/>
      </c>
      <c r="AV282" s="154" t="str">
        <f>+IF(Table1[[#This Row],[Column6]]=0,"",_xlfn.CONCAT("Sem ",WEEKNUM(Table1[[#This Row],[Column6]],2)))</f>
        <v>Sem 11</v>
      </c>
      <c r="AW282" s="211"/>
    </row>
    <row r="283" spans="2:49" ht="19.5" customHeight="1" x14ac:dyDescent="0.3">
      <c r="B283" s="356" t="s">
        <v>553</v>
      </c>
      <c r="C283" s="331"/>
      <c r="D283" s="332" t="s">
        <v>207</v>
      </c>
      <c r="E283" s="332" t="s">
        <v>133</v>
      </c>
      <c r="F283" s="333"/>
      <c r="G283" s="334">
        <v>46096</v>
      </c>
      <c r="H283" s="335">
        <v>1091.55</v>
      </c>
      <c r="I283" s="336">
        <v>-8.01</v>
      </c>
      <c r="J283" s="337">
        <v>2635.89</v>
      </c>
      <c r="K283" s="338" t="s">
        <v>205</v>
      </c>
      <c r="L283" s="339" t="s">
        <v>168</v>
      </c>
      <c r="M283" s="340">
        <v>15</v>
      </c>
      <c r="N283" s="341"/>
      <c r="O283" s="332"/>
      <c r="P283" s="342">
        <v>11.599652878218105</v>
      </c>
      <c r="Q283" s="343"/>
      <c r="R283" s="344">
        <v>1.7270999324438108</v>
      </c>
      <c r="S283" s="344"/>
      <c r="T283" s="344">
        <v>1.9274375294672323</v>
      </c>
      <c r="U283" s="344" t="s">
        <v>142</v>
      </c>
      <c r="V283" s="332" t="s">
        <v>137</v>
      </c>
      <c r="W283" s="345">
        <v>6</v>
      </c>
      <c r="X283" s="346">
        <v>8</v>
      </c>
      <c r="Y283" s="208"/>
      <c r="Z283" s="332" t="s">
        <v>143</v>
      </c>
      <c r="AA283" s="342">
        <v>98.131571908561398</v>
      </c>
      <c r="AB283" s="342">
        <v>74.464816083672446</v>
      </c>
      <c r="AC283" s="342">
        <v>32.347332855827304</v>
      </c>
      <c r="AD283" s="347">
        <v>10.549005122376954</v>
      </c>
      <c r="AE283" s="358">
        <v>1.7212255868741</v>
      </c>
      <c r="AF283" s="349">
        <v>16.004057014383466</v>
      </c>
      <c r="AG283" s="350" t="s">
        <v>210</v>
      </c>
      <c r="AH283" s="351">
        <v>1.7195221838312305</v>
      </c>
      <c r="AI283" s="352">
        <v>2.0041462896023816</v>
      </c>
      <c r="AJ283" s="206">
        <v>16.55251141552511</v>
      </c>
      <c r="AK283" s="353" t="s">
        <v>210</v>
      </c>
      <c r="AL283" s="206">
        <v>-0.5484544011416439</v>
      </c>
      <c r="AM283" s="349">
        <v>100.341288533851</v>
      </c>
      <c r="AN283" s="354" t="s">
        <v>139</v>
      </c>
      <c r="AO283" s="355" t="s">
        <v>144</v>
      </c>
      <c r="AP283" s="206">
        <v>0</v>
      </c>
      <c r="AQ283" s="246" t="s">
        <v>552</v>
      </c>
      <c r="AR283" s="211"/>
      <c r="AS283" s="297">
        <f>+IF(Table1[[#This Row],[Column40]]="ok",Table1[[#This Row],[Column7]],0)</f>
        <v>1091.55</v>
      </c>
      <c r="AT283" s="295">
        <f>+IF(Table1[[#This Row],[Column40]]="No",Table1[[#This Row],[Column7]],0)</f>
        <v>0</v>
      </c>
      <c r="AU283" s="4" t="str">
        <f>+IF(LEFT(Table1[[#This Row],[Column42]],2)="DN",IF(Table1[[#This Row],[Column40]]="ok","(CA)",_xlfn.CONCAT("(CA)",CHAR(10),"FAIL")),"")</f>
        <v>(CA)</v>
      </c>
      <c r="AV283" s="154" t="str">
        <f>+IF(Table1[[#This Row],[Column6]]=0,"",_xlfn.CONCAT("Sem ",WEEKNUM(Table1[[#This Row],[Column6]],2)))</f>
        <v>Sem 11</v>
      </c>
      <c r="AW283" s="211"/>
    </row>
    <row r="284" spans="2:49" ht="19.5" customHeight="1" x14ac:dyDescent="0.3">
      <c r="B284" s="356" t="s">
        <v>554</v>
      </c>
      <c r="C284" s="331"/>
      <c r="D284" s="332" t="s">
        <v>207</v>
      </c>
      <c r="E284" s="332" t="s">
        <v>133</v>
      </c>
      <c r="F284" s="333"/>
      <c r="G284" s="334">
        <v>46096</v>
      </c>
      <c r="H284" s="335">
        <v>883.84</v>
      </c>
      <c r="I284" s="336">
        <v>-26.95</v>
      </c>
      <c r="J284" s="337">
        <v>2635.94</v>
      </c>
      <c r="K284" s="338" t="s">
        <v>200</v>
      </c>
      <c r="L284" s="339" t="s">
        <v>555</v>
      </c>
      <c r="M284" s="340">
        <v>30</v>
      </c>
      <c r="N284" s="341">
        <v>85462</v>
      </c>
      <c r="O284" s="332">
        <v>59.78</v>
      </c>
      <c r="P284" s="342">
        <v>14.099999999999998</v>
      </c>
      <c r="Q284" s="343">
        <v>14.697569248162811</v>
      </c>
      <c r="R284" s="344">
        <v>1.7782646801051709</v>
      </c>
      <c r="S284" s="344">
        <v>1.7689999999999999</v>
      </c>
      <c r="T284" s="344">
        <v>2.0289999999999999</v>
      </c>
      <c r="U284" s="344" t="s">
        <v>136</v>
      </c>
      <c r="V284" s="332" t="s">
        <v>191</v>
      </c>
      <c r="W284" s="345">
        <v>6</v>
      </c>
      <c r="X284" s="346">
        <v>3</v>
      </c>
      <c r="Y284" s="208">
        <v>2.8069999999999999</v>
      </c>
      <c r="Z284" s="332"/>
      <c r="AA284" s="342"/>
      <c r="AB284" s="342"/>
      <c r="AC284" s="342"/>
      <c r="AD284" s="347"/>
      <c r="AE284" s="358">
        <v>1.706</v>
      </c>
      <c r="AF284" s="349">
        <v>0</v>
      </c>
      <c r="AG284" s="350"/>
      <c r="AH284" s="351" t="s">
        <v>139</v>
      </c>
      <c r="AI284" s="352" t="s">
        <v>139</v>
      </c>
      <c r="AJ284" s="206" t="s">
        <v>139</v>
      </c>
      <c r="AK284" s="353" t="s">
        <v>542</v>
      </c>
      <c r="AL284" s="206" t="s">
        <v>139</v>
      </c>
      <c r="AM284" s="349">
        <v>104.23591325352702</v>
      </c>
      <c r="AN284" s="354" t="s">
        <v>139</v>
      </c>
      <c r="AO284" s="355" t="s">
        <v>140</v>
      </c>
      <c r="AP284" s="206" t="s">
        <v>139</v>
      </c>
      <c r="AQ284" s="246">
        <v>0</v>
      </c>
      <c r="AR284" s="211"/>
      <c r="AS284" s="297">
        <f>+IF(Table1[[#This Row],[Column40]]="ok",Table1[[#This Row],[Column7]],0)</f>
        <v>883.84</v>
      </c>
      <c r="AT284" s="295">
        <f>+IF(Table1[[#This Row],[Column40]]="No",Table1[[#This Row],[Column7]],0)</f>
        <v>0</v>
      </c>
      <c r="AU284" s="4" t="str">
        <f>+IF(LEFT(Table1[[#This Row],[Column42]],2)="DN",IF(Table1[[#This Row],[Column40]]="ok","(CA)",_xlfn.CONCAT("(CA)",CHAR(10),"FAIL")),"")</f>
        <v/>
      </c>
      <c r="AV284" s="154" t="str">
        <f>+IF(Table1[[#This Row],[Column6]]=0,"",_xlfn.CONCAT("Sem ",WEEKNUM(Table1[[#This Row],[Column6]],2)))</f>
        <v>Sem 11</v>
      </c>
      <c r="AW284" s="211"/>
    </row>
    <row r="285" spans="2:49" ht="19.5" customHeight="1" x14ac:dyDescent="0.3">
      <c r="B285" s="356" t="s">
        <v>556</v>
      </c>
      <c r="C285" s="331"/>
      <c r="D285" s="332" t="s">
        <v>207</v>
      </c>
      <c r="E285" s="332" t="s">
        <v>133</v>
      </c>
      <c r="F285" s="333"/>
      <c r="G285" s="334">
        <v>46096</v>
      </c>
      <c r="H285" s="335">
        <v>1606.92</v>
      </c>
      <c r="I285" s="336">
        <v>116.93</v>
      </c>
      <c r="J285" s="337">
        <v>2608.1999999999998</v>
      </c>
      <c r="K285" s="338" t="s">
        <v>162</v>
      </c>
      <c r="L285" s="339" t="s">
        <v>163</v>
      </c>
      <c r="M285" s="340">
        <v>30</v>
      </c>
      <c r="N285" s="341">
        <v>85462</v>
      </c>
      <c r="O285" s="332">
        <v>59.78</v>
      </c>
      <c r="P285" s="342">
        <v>10.7</v>
      </c>
      <c r="Q285" s="343">
        <v>11.426947129050591</v>
      </c>
      <c r="R285" s="344">
        <v>1.7705510388437218</v>
      </c>
      <c r="S285" s="344">
        <v>1.7589999999999999</v>
      </c>
      <c r="T285" s="344">
        <v>1.96</v>
      </c>
      <c r="U285" s="344" t="s">
        <v>136</v>
      </c>
      <c r="V285" s="332" t="s">
        <v>137</v>
      </c>
      <c r="W285" s="345">
        <v>8</v>
      </c>
      <c r="X285" s="346">
        <v>4</v>
      </c>
      <c r="Y285" s="208">
        <v>2.8069999999999999</v>
      </c>
      <c r="Z285" s="332"/>
      <c r="AA285" s="342"/>
      <c r="AB285" s="342"/>
      <c r="AC285" s="342"/>
      <c r="AD285" s="347"/>
      <c r="AE285" s="358">
        <v>1.7170000000000001</v>
      </c>
      <c r="AF285" s="349">
        <v>0</v>
      </c>
      <c r="AG285" s="350"/>
      <c r="AH285" s="351" t="s">
        <v>139</v>
      </c>
      <c r="AI285" s="352" t="s">
        <v>139</v>
      </c>
      <c r="AJ285" s="206" t="s">
        <v>139</v>
      </c>
      <c r="AK285" s="353" t="s">
        <v>540</v>
      </c>
      <c r="AL285" s="206" t="s">
        <v>139</v>
      </c>
      <c r="AM285" s="349">
        <v>103.11887238460812</v>
      </c>
      <c r="AN285" s="354" t="s">
        <v>139</v>
      </c>
      <c r="AO285" s="355" t="s">
        <v>140</v>
      </c>
      <c r="AP285" s="206" t="s">
        <v>139</v>
      </c>
      <c r="AQ285" s="246">
        <v>0</v>
      </c>
      <c r="AR285" s="211"/>
      <c r="AS285" s="297">
        <f>+IF(Table1[[#This Row],[Column40]]="ok",Table1[[#This Row],[Column7]],0)</f>
        <v>1606.92</v>
      </c>
      <c r="AT285" s="295">
        <f>+IF(Table1[[#This Row],[Column40]]="No",Table1[[#This Row],[Column7]],0)</f>
        <v>0</v>
      </c>
      <c r="AU285" s="4" t="str">
        <f>+IF(LEFT(Table1[[#This Row],[Column42]],2)="DN",IF(Table1[[#This Row],[Column40]]="ok","(CA)",_xlfn.CONCAT("(CA)",CHAR(10),"FAIL")),"")</f>
        <v/>
      </c>
      <c r="AV285" s="154" t="str">
        <f>+IF(Table1[[#This Row],[Column6]]=0,"",_xlfn.CONCAT("Sem ",WEEKNUM(Table1[[#This Row],[Column6]],2)))</f>
        <v>Sem 11</v>
      </c>
      <c r="AW285" s="211"/>
    </row>
    <row r="286" spans="2:49" ht="19.5" customHeight="1" x14ac:dyDescent="0.3">
      <c r="B286" s="356" t="s">
        <v>557</v>
      </c>
      <c r="C286" s="331"/>
      <c r="D286" s="332" t="s">
        <v>207</v>
      </c>
      <c r="E286" s="332" t="s">
        <v>133</v>
      </c>
      <c r="F286" s="333"/>
      <c r="G286" s="334">
        <v>46096</v>
      </c>
      <c r="H286" s="335">
        <v>1463.91</v>
      </c>
      <c r="I286" s="336">
        <v>83.8</v>
      </c>
      <c r="J286" s="337">
        <v>2619.84</v>
      </c>
      <c r="K286" s="338" t="s">
        <v>162</v>
      </c>
      <c r="L286" s="339" t="s">
        <v>558</v>
      </c>
      <c r="M286" s="340">
        <v>30</v>
      </c>
      <c r="N286" s="341">
        <v>85462</v>
      </c>
      <c r="O286" s="332">
        <v>59.78</v>
      </c>
      <c r="P286" s="342">
        <v>14.099999999999998</v>
      </c>
      <c r="Q286" s="343">
        <v>11.73498034811904</v>
      </c>
      <c r="R286" s="344">
        <v>1.7440841367221736</v>
      </c>
      <c r="S286" s="344">
        <v>1.7809999999999999</v>
      </c>
      <c r="T286" s="344">
        <v>1.99</v>
      </c>
      <c r="U286" s="344" t="s">
        <v>136</v>
      </c>
      <c r="V286" s="332" t="s">
        <v>137</v>
      </c>
      <c r="W286" s="345">
        <v>8</v>
      </c>
      <c r="X286" s="346">
        <v>4</v>
      </c>
      <c r="Y286" s="208">
        <v>2.8069999999999999</v>
      </c>
      <c r="Z286" s="332"/>
      <c r="AA286" s="342"/>
      <c r="AB286" s="342"/>
      <c r="AC286" s="342"/>
      <c r="AD286" s="347"/>
      <c r="AE286" s="358">
        <v>1.7170000000000001</v>
      </c>
      <c r="AF286" s="349">
        <v>0</v>
      </c>
      <c r="AG286" s="350"/>
      <c r="AH286" s="351" t="s">
        <v>139</v>
      </c>
      <c r="AI286" s="352" t="s">
        <v>139</v>
      </c>
      <c r="AJ286" s="206" t="s">
        <v>139</v>
      </c>
      <c r="AK286" s="353" t="s">
        <v>540</v>
      </c>
      <c r="AL286" s="206" t="s">
        <v>139</v>
      </c>
      <c r="AM286" s="349">
        <v>101.57741040897923</v>
      </c>
      <c r="AN286" s="354" t="s">
        <v>139</v>
      </c>
      <c r="AO286" s="355" t="s">
        <v>140</v>
      </c>
      <c r="AP286" s="206" t="s">
        <v>139</v>
      </c>
      <c r="AQ286" s="246">
        <v>0</v>
      </c>
      <c r="AR286" s="211"/>
      <c r="AS286" s="297">
        <f>+IF(Table1[[#This Row],[Column40]]="ok",Table1[[#This Row],[Column7]],0)</f>
        <v>1463.91</v>
      </c>
      <c r="AT286" s="295">
        <f>+IF(Table1[[#This Row],[Column40]]="No",Table1[[#This Row],[Column7]],0)</f>
        <v>0</v>
      </c>
      <c r="AU286" s="4" t="str">
        <f>+IF(LEFT(Table1[[#This Row],[Column42]],2)="DN",IF(Table1[[#This Row],[Column40]]="ok","(CA)",_xlfn.CONCAT("(CA)",CHAR(10),"FAIL")),"")</f>
        <v/>
      </c>
      <c r="AV286" s="154" t="str">
        <f>+IF(Table1[[#This Row],[Column6]]=0,"",_xlfn.CONCAT("Sem ",WEEKNUM(Table1[[#This Row],[Column6]],2)))</f>
        <v>Sem 11</v>
      </c>
      <c r="AW286" s="211"/>
    </row>
    <row r="287" spans="2:49" ht="19.5" customHeight="1" x14ac:dyDescent="0.3">
      <c r="B287" s="356" t="s">
        <v>559</v>
      </c>
      <c r="C287" s="331"/>
      <c r="D287" s="332" t="s">
        <v>207</v>
      </c>
      <c r="E287" s="332" t="s">
        <v>133</v>
      </c>
      <c r="F287" s="333"/>
      <c r="G287" s="334">
        <v>46096</v>
      </c>
      <c r="H287" s="335">
        <v>1621.33</v>
      </c>
      <c r="I287" s="336">
        <v>269.77999999999997</v>
      </c>
      <c r="J287" s="337">
        <v>2562.86</v>
      </c>
      <c r="K287" s="338" t="s">
        <v>184</v>
      </c>
      <c r="L287" s="339" t="s">
        <v>163</v>
      </c>
      <c r="M287" s="340">
        <v>30</v>
      </c>
      <c r="N287" s="341">
        <v>85462</v>
      </c>
      <c r="O287" s="332">
        <v>59.78</v>
      </c>
      <c r="P287" s="342">
        <v>10.199999999999999</v>
      </c>
      <c r="Q287" s="343">
        <v>10.244470314318965</v>
      </c>
      <c r="R287" s="344">
        <v>1.7186932849364789</v>
      </c>
      <c r="S287" s="344">
        <v>1.718</v>
      </c>
      <c r="T287" s="344">
        <v>1.8939999999999999</v>
      </c>
      <c r="U287" s="344" t="s">
        <v>136</v>
      </c>
      <c r="V287" s="332" t="s">
        <v>137</v>
      </c>
      <c r="W287" s="345">
        <v>8</v>
      </c>
      <c r="X287" s="346">
        <v>4</v>
      </c>
      <c r="Y287" s="208">
        <v>2.8069999999999999</v>
      </c>
      <c r="Z287" s="332"/>
      <c r="AA287" s="342"/>
      <c r="AB287" s="342"/>
      <c r="AC287" s="342"/>
      <c r="AD287" s="347"/>
      <c r="AE287" s="358">
        <v>1.7170000000000001</v>
      </c>
      <c r="AF287" s="349">
        <v>0</v>
      </c>
      <c r="AG287" s="350"/>
      <c r="AH287" s="351" t="s">
        <v>139</v>
      </c>
      <c r="AI287" s="352" t="s">
        <v>139</v>
      </c>
      <c r="AJ287" s="206" t="s">
        <v>139</v>
      </c>
      <c r="AK287" s="353" t="s">
        <v>540</v>
      </c>
      <c r="AL287" s="206" t="s">
        <v>139</v>
      </c>
      <c r="AM287" s="349">
        <v>100.09861880818166</v>
      </c>
      <c r="AN287" s="354" t="s">
        <v>139</v>
      </c>
      <c r="AO287" s="355" t="s">
        <v>140</v>
      </c>
      <c r="AP287" s="206" t="s">
        <v>139</v>
      </c>
      <c r="AQ287" s="246">
        <v>0</v>
      </c>
      <c r="AR287" s="211"/>
      <c r="AS287" s="297">
        <f>+IF(Table1[[#This Row],[Column40]]="ok",Table1[[#This Row],[Column7]],0)</f>
        <v>1621.33</v>
      </c>
      <c r="AT287" s="295">
        <f>+IF(Table1[[#This Row],[Column40]]="No",Table1[[#This Row],[Column7]],0)</f>
        <v>0</v>
      </c>
      <c r="AU287" s="4" t="str">
        <f>+IF(LEFT(Table1[[#This Row],[Column42]],2)="DN",IF(Table1[[#This Row],[Column40]]="ok","(CA)",_xlfn.CONCAT("(CA)",CHAR(10),"FAIL")),"")</f>
        <v/>
      </c>
      <c r="AV287" s="154" t="str">
        <f>+IF(Table1[[#This Row],[Column6]]=0,"",_xlfn.CONCAT("Sem ",WEEKNUM(Table1[[#This Row],[Column6]],2)))</f>
        <v>Sem 11</v>
      </c>
      <c r="AW287" s="211"/>
    </row>
    <row r="288" spans="2:49" ht="19.5" customHeight="1" x14ac:dyDescent="0.3">
      <c r="B288" s="356" t="s">
        <v>560</v>
      </c>
      <c r="C288" s="331"/>
      <c r="D288" s="332" t="s">
        <v>207</v>
      </c>
      <c r="E288" s="332" t="s">
        <v>133</v>
      </c>
      <c r="F288" s="333"/>
      <c r="G288" s="334">
        <v>46096</v>
      </c>
      <c r="H288" s="335">
        <v>1552.18</v>
      </c>
      <c r="I288" s="336">
        <v>211.36</v>
      </c>
      <c r="J288" s="337">
        <v>2583.2800000000002</v>
      </c>
      <c r="K288" s="338" t="s">
        <v>162</v>
      </c>
      <c r="L288" s="339" t="s">
        <v>177</v>
      </c>
      <c r="M288" s="340">
        <v>30</v>
      </c>
      <c r="N288" s="341">
        <v>85462</v>
      </c>
      <c r="O288" s="332">
        <v>59.78</v>
      </c>
      <c r="P288" s="342">
        <v>12.4</v>
      </c>
      <c r="Q288" s="343">
        <v>10.417827298050142</v>
      </c>
      <c r="R288" s="344">
        <v>1.7633451957295372</v>
      </c>
      <c r="S288" s="344">
        <v>1.7949999999999999</v>
      </c>
      <c r="T288" s="344">
        <v>1.982</v>
      </c>
      <c r="U288" s="344" t="s">
        <v>136</v>
      </c>
      <c r="V288" s="332" t="s">
        <v>137</v>
      </c>
      <c r="W288" s="345">
        <v>8</v>
      </c>
      <c r="X288" s="346">
        <v>4</v>
      </c>
      <c r="Y288" s="208">
        <v>2.8069999999999999</v>
      </c>
      <c r="Z288" s="332"/>
      <c r="AA288" s="342"/>
      <c r="AB288" s="342"/>
      <c r="AC288" s="342"/>
      <c r="AD288" s="347"/>
      <c r="AE288" s="358">
        <v>1.7170000000000001</v>
      </c>
      <c r="AF288" s="349">
        <v>0</v>
      </c>
      <c r="AG288" s="350"/>
      <c r="AH288" s="351" t="s">
        <v>139</v>
      </c>
      <c r="AI288" s="352" t="s">
        <v>139</v>
      </c>
      <c r="AJ288" s="206" t="s">
        <v>139</v>
      </c>
      <c r="AK288" s="353" t="s">
        <v>540</v>
      </c>
      <c r="AL288" s="206" t="s">
        <v>139</v>
      </c>
      <c r="AM288" s="349">
        <v>102.6991960238519</v>
      </c>
      <c r="AN288" s="354" t="s">
        <v>139</v>
      </c>
      <c r="AO288" s="355" t="s">
        <v>140</v>
      </c>
      <c r="AP288" s="206" t="s">
        <v>139</v>
      </c>
      <c r="AQ288" s="246">
        <v>0</v>
      </c>
      <c r="AR288" s="211"/>
      <c r="AS288" s="297">
        <f>+IF(Table1[[#This Row],[Column40]]="ok",Table1[[#This Row],[Column7]],0)</f>
        <v>1552.18</v>
      </c>
      <c r="AT288" s="295">
        <f>+IF(Table1[[#This Row],[Column40]]="No",Table1[[#This Row],[Column7]],0)</f>
        <v>0</v>
      </c>
      <c r="AU288" s="4" t="str">
        <f>+IF(LEFT(Table1[[#This Row],[Column42]],2)="DN",IF(Table1[[#This Row],[Column40]]="ok","(CA)",_xlfn.CONCAT("(CA)",CHAR(10),"FAIL")),"")</f>
        <v/>
      </c>
      <c r="AV288" s="154" t="str">
        <f>+IF(Table1[[#This Row],[Column6]]=0,"",_xlfn.CONCAT("Sem ",WEEKNUM(Table1[[#This Row],[Column6]],2)))</f>
        <v>Sem 11</v>
      </c>
      <c r="AW288" s="211"/>
    </row>
    <row r="289" spans="2:49" ht="19.5" customHeight="1" x14ac:dyDescent="0.3">
      <c r="B289" s="356" t="s">
        <v>561</v>
      </c>
      <c r="C289" s="331"/>
      <c r="D289" s="332" t="s">
        <v>207</v>
      </c>
      <c r="E289" s="332" t="s">
        <v>133</v>
      </c>
      <c r="F289" s="333"/>
      <c r="G289" s="334">
        <v>46096</v>
      </c>
      <c r="H289" s="335">
        <v>1477.09</v>
      </c>
      <c r="I289" s="336">
        <v>206.95</v>
      </c>
      <c r="J289" s="337">
        <v>2584.92</v>
      </c>
      <c r="K289" s="338" t="s">
        <v>162</v>
      </c>
      <c r="L289" s="339" t="s">
        <v>179</v>
      </c>
      <c r="M289" s="340">
        <v>30</v>
      </c>
      <c r="N289" s="341">
        <v>85462</v>
      </c>
      <c r="O289" s="332">
        <v>59.78</v>
      </c>
      <c r="P289" s="342">
        <v>11.799999999999999</v>
      </c>
      <c r="Q289" s="343">
        <v>12.927536231884051</v>
      </c>
      <c r="R289" s="344">
        <v>1.742397137745975</v>
      </c>
      <c r="S289" s="344">
        <v>1.7250000000000001</v>
      </c>
      <c r="T289" s="344">
        <v>1.948</v>
      </c>
      <c r="U289" s="344" t="s">
        <v>136</v>
      </c>
      <c r="V289" s="332" t="s">
        <v>137</v>
      </c>
      <c r="W289" s="345">
        <v>8</v>
      </c>
      <c r="X289" s="346">
        <v>4</v>
      </c>
      <c r="Y289" s="208">
        <v>2.8069999999999999</v>
      </c>
      <c r="Z289" s="332"/>
      <c r="AA289" s="342"/>
      <c r="AB289" s="342"/>
      <c r="AC289" s="342"/>
      <c r="AD289" s="347"/>
      <c r="AE289" s="358">
        <v>1.7170000000000001</v>
      </c>
      <c r="AF289" s="349">
        <v>0</v>
      </c>
      <c r="AG289" s="350"/>
      <c r="AH289" s="351" t="s">
        <v>139</v>
      </c>
      <c r="AI289" s="352" t="s">
        <v>139</v>
      </c>
      <c r="AJ289" s="206" t="s">
        <v>139</v>
      </c>
      <c r="AK289" s="353" t="s">
        <v>540</v>
      </c>
      <c r="AL289" s="206" t="s">
        <v>139</v>
      </c>
      <c r="AM289" s="349">
        <v>101.47915770215346</v>
      </c>
      <c r="AN289" s="354" t="s">
        <v>139</v>
      </c>
      <c r="AO289" s="355" t="s">
        <v>140</v>
      </c>
      <c r="AP289" s="206" t="s">
        <v>139</v>
      </c>
      <c r="AQ289" s="246">
        <v>0</v>
      </c>
      <c r="AR289" s="211"/>
      <c r="AS289" s="297">
        <f>+IF(Table1[[#This Row],[Column40]]="ok",Table1[[#This Row],[Column7]],0)</f>
        <v>1477.09</v>
      </c>
      <c r="AT289" s="295">
        <f>+IF(Table1[[#This Row],[Column40]]="No",Table1[[#This Row],[Column7]],0)</f>
        <v>0</v>
      </c>
      <c r="AU289" s="4" t="str">
        <f>+IF(LEFT(Table1[[#This Row],[Column42]],2)="DN",IF(Table1[[#This Row],[Column40]]="ok","(CA)",_xlfn.CONCAT("(CA)",CHAR(10),"FAIL")),"")</f>
        <v/>
      </c>
      <c r="AV289" s="154" t="str">
        <f>+IF(Table1[[#This Row],[Column6]]=0,"",_xlfn.CONCAT("Sem ",WEEKNUM(Table1[[#This Row],[Column6]],2)))</f>
        <v>Sem 11</v>
      </c>
      <c r="AW289" s="211"/>
    </row>
    <row r="290" spans="2:49" ht="19.5" customHeight="1" x14ac:dyDescent="0.3">
      <c r="B290" s="356" t="s">
        <v>562</v>
      </c>
      <c r="C290" s="331"/>
      <c r="D290" s="332" t="s">
        <v>207</v>
      </c>
      <c r="E290" s="332" t="s">
        <v>133</v>
      </c>
      <c r="F290" s="333"/>
      <c r="G290" s="334">
        <v>46096</v>
      </c>
      <c r="H290" s="335">
        <v>1905.47</v>
      </c>
      <c r="I290" s="336">
        <v>185.85</v>
      </c>
      <c r="J290" s="337">
        <v>2565.54</v>
      </c>
      <c r="K290" s="338" t="s">
        <v>134</v>
      </c>
      <c r="L290" s="339" t="s">
        <v>156</v>
      </c>
      <c r="M290" s="340">
        <v>30</v>
      </c>
      <c r="N290" s="341">
        <v>85462</v>
      </c>
      <c r="O290" s="332">
        <v>59.78</v>
      </c>
      <c r="P290" s="342">
        <v>10.4</v>
      </c>
      <c r="Q290" s="343">
        <v>10.238907849829349</v>
      </c>
      <c r="R290" s="344">
        <v>1.7554347826086956</v>
      </c>
      <c r="S290" s="344">
        <v>1.758</v>
      </c>
      <c r="T290" s="344">
        <v>1.9379999999999999</v>
      </c>
      <c r="U290" s="344" t="s">
        <v>136</v>
      </c>
      <c r="V290" s="332" t="s">
        <v>137</v>
      </c>
      <c r="W290" s="345">
        <v>8</v>
      </c>
      <c r="X290" s="346">
        <v>4</v>
      </c>
      <c r="Y290" s="208">
        <v>2.8069999999999999</v>
      </c>
      <c r="Z290" s="332"/>
      <c r="AA290" s="342"/>
      <c r="AB290" s="342"/>
      <c r="AC290" s="342"/>
      <c r="AD290" s="347"/>
      <c r="AE290" s="358">
        <v>1.7170000000000001</v>
      </c>
      <c r="AF290" s="349">
        <v>0</v>
      </c>
      <c r="AG290" s="350"/>
      <c r="AH290" s="351" t="s">
        <v>139</v>
      </c>
      <c r="AI290" s="351" t="s">
        <v>139</v>
      </c>
      <c r="AJ290" s="206" t="s">
        <v>139</v>
      </c>
      <c r="AK290" s="353" t="s">
        <v>540</v>
      </c>
      <c r="AL290" s="206" t="s">
        <v>139</v>
      </c>
      <c r="AM290" s="349">
        <v>102.238484718037</v>
      </c>
      <c r="AN290" s="354" t="s">
        <v>139</v>
      </c>
      <c r="AO290" s="355" t="s">
        <v>140</v>
      </c>
      <c r="AP290" s="206" t="s">
        <v>139</v>
      </c>
      <c r="AQ290" s="246">
        <v>0</v>
      </c>
      <c r="AR290" s="211"/>
      <c r="AS290" s="297">
        <f>+IF(Table1[[#This Row],[Column40]]="ok",Table1[[#This Row],[Column7]],0)</f>
        <v>1905.47</v>
      </c>
      <c r="AT290" s="295">
        <f>+IF(Table1[[#This Row],[Column40]]="No",Table1[[#This Row],[Column7]],0)</f>
        <v>0</v>
      </c>
      <c r="AU290" s="4" t="str">
        <f>+IF(LEFT(Table1[[#This Row],[Column42]],2)="DN",IF(Table1[[#This Row],[Column40]]="ok","(CA)",_xlfn.CONCAT("(CA)",CHAR(10),"FAIL")),"")</f>
        <v/>
      </c>
      <c r="AV290" s="154" t="str">
        <f>+IF(Table1[[#This Row],[Column6]]=0,"",_xlfn.CONCAT("Sem ",WEEKNUM(Table1[[#This Row],[Column6]],2)))</f>
        <v>Sem 11</v>
      </c>
      <c r="AW290" s="211"/>
    </row>
    <row r="291" spans="2:49" ht="19.5" customHeight="1" x14ac:dyDescent="0.3">
      <c r="B291" s="356" t="s">
        <v>563</v>
      </c>
      <c r="C291" s="331"/>
      <c r="D291" s="332" t="s">
        <v>207</v>
      </c>
      <c r="E291" s="332" t="s">
        <v>133</v>
      </c>
      <c r="F291" s="333"/>
      <c r="G291" s="334">
        <v>46096</v>
      </c>
      <c r="H291" s="335">
        <v>839.49</v>
      </c>
      <c r="I291" s="336">
        <v>-10.16</v>
      </c>
      <c r="J291" s="337">
        <v>2636.98</v>
      </c>
      <c r="K291" s="338" t="s">
        <v>200</v>
      </c>
      <c r="L291" s="339" t="s">
        <v>168</v>
      </c>
      <c r="M291" s="340">
        <v>30</v>
      </c>
      <c r="N291" s="341">
        <v>85462</v>
      </c>
      <c r="O291" s="332">
        <v>59.78</v>
      </c>
      <c r="P291" s="342">
        <v>14.899999999999999</v>
      </c>
      <c r="Q291" s="343">
        <v>13.521126760563384</v>
      </c>
      <c r="R291" s="344">
        <v>1.7536988685813752</v>
      </c>
      <c r="S291" s="344">
        <v>1.7749999999999999</v>
      </c>
      <c r="T291" s="344">
        <v>2.0150000000000001</v>
      </c>
      <c r="U291" s="344" t="s">
        <v>136</v>
      </c>
      <c r="V291" s="332" t="s">
        <v>169</v>
      </c>
      <c r="W291" s="345">
        <v>4</v>
      </c>
      <c r="X291" s="346">
        <v>2</v>
      </c>
      <c r="Y291" s="208">
        <v>2.8069999999999999</v>
      </c>
      <c r="Z291" s="332"/>
      <c r="AA291" s="342"/>
      <c r="AB291" s="342"/>
      <c r="AC291" s="342"/>
      <c r="AD291" s="347"/>
      <c r="AE291" s="358">
        <v>1.706</v>
      </c>
      <c r="AF291" s="349">
        <v>0</v>
      </c>
      <c r="AG291" s="350"/>
      <c r="AH291" s="351" t="s">
        <v>139</v>
      </c>
      <c r="AI291" s="352" t="s">
        <v>139</v>
      </c>
      <c r="AJ291" s="206" t="s">
        <v>139</v>
      </c>
      <c r="AK291" s="353" t="s">
        <v>542</v>
      </c>
      <c r="AL291" s="206" t="s">
        <v>139</v>
      </c>
      <c r="AM291" s="349">
        <v>102.79594774802902</v>
      </c>
      <c r="AN291" s="354" t="s">
        <v>139</v>
      </c>
      <c r="AO291" s="355" t="s">
        <v>140</v>
      </c>
      <c r="AP291" s="206" t="s">
        <v>139</v>
      </c>
      <c r="AQ291" s="246">
        <v>0</v>
      </c>
      <c r="AR291" s="211"/>
      <c r="AS291" s="297">
        <f>+IF(Table1[[#This Row],[Column40]]="ok",Table1[[#This Row],[Column7]],0)</f>
        <v>839.49</v>
      </c>
      <c r="AT291" s="295">
        <f>+IF(Table1[[#This Row],[Column40]]="No",Table1[[#This Row],[Column7]],0)</f>
        <v>0</v>
      </c>
      <c r="AU291" s="4" t="str">
        <f>+IF(LEFT(Table1[[#This Row],[Column42]],2)="DN",IF(Table1[[#This Row],[Column40]]="ok","(CA)",_xlfn.CONCAT("(CA)",CHAR(10),"FAIL")),"")</f>
        <v/>
      </c>
      <c r="AV291" s="154" t="str">
        <f>+IF(Table1[[#This Row],[Column6]]=0,"",_xlfn.CONCAT("Sem ",WEEKNUM(Table1[[#This Row],[Column6]],2)))</f>
        <v>Sem 11</v>
      </c>
      <c r="AW291" s="211"/>
    </row>
    <row r="292" spans="2:49" ht="19.5" customHeight="1" x14ac:dyDescent="0.3">
      <c r="B292" s="356" t="s">
        <v>564</v>
      </c>
      <c r="C292" s="331"/>
      <c r="D292" s="332" t="s">
        <v>207</v>
      </c>
      <c r="E292" s="332" t="s">
        <v>133</v>
      </c>
      <c r="F292" s="333"/>
      <c r="G292" s="334">
        <v>46096</v>
      </c>
      <c r="H292" s="335">
        <v>679.04</v>
      </c>
      <c r="I292" s="336">
        <v>29.33</v>
      </c>
      <c r="J292" s="337">
        <v>2636.01</v>
      </c>
      <c r="K292" s="338" t="s">
        <v>167</v>
      </c>
      <c r="L292" s="339" t="s">
        <v>168</v>
      </c>
      <c r="M292" s="340">
        <v>30</v>
      </c>
      <c r="N292" s="341">
        <v>85462</v>
      </c>
      <c r="O292" s="332">
        <v>59.78</v>
      </c>
      <c r="P292" s="342">
        <v>12.2</v>
      </c>
      <c r="Q292" s="343">
        <v>12.63335204941043</v>
      </c>
      <c r="R292" s="344">
        <v>1.7878787878787878</v>
      </c>
      <c r="S292" s="344">
        <v>1.7809999999999999</v>
      </c>
      <c r="T292" s="344">
        <v>2.0059999999999998</v>
      </c>
      <c r="U292" s="344" t="s">
        <v>136</v>
      </c>
      <c r="V292" s="332" t="s">
        <v>169</v>
      </c>
      <c r="W292" s="345">
        <v>4</v>
      </c>
      <c r="X292" s="346">
        <v>2</v>
      </c>
      <c r="Y292" s="208">
        <v>2.8069999999999999</v>
      </c>
      <c r="Z292" s="332"/>
      <c r="AA292" s="342"/>
      <c r="AB292" s="342"/>
      <c r="AC292" s="342"/>
      <c r="AD292" s="347"/>
      <c r="AE292" s="358">
        <v>1.706</v>
      </c>
      <c r="AF292" s="349">
        <v>0</v>
      </c>
      <c r="AG292" s="350"/>
      <c r="AH292" s="351" t="s">
        <v>139</v>
      </c>
      <c r="AI292" s="351" t="s">
        <v>139</v>
      </c>
      <c r="AJ292" s="206" t="s">
        <v>139</v>
      </c>
      <c r="AK292" s="353" t="s">
        <v>542</v>
      </c>
      <c r="AL292" s="206" t="s">
        <v>139</v>
      </c>
      <c r="AM292" s="349">
        <v>104.79946001634161</v>
      </c>
      <c r="AN292" s="354" t="s">
        <v>139</v>
      </c>
      <c r="AO292" s="355" t="s">
        <v>140</v>
      </c>
      <c r="AP292" s="206" t="s">
        <v>139</v>
      </c>
      <c r="AQ292" s="207">
        <v>0</v>
      </c>
      <c r="AR292" s="211"/>
      <c r="AS292" s="297">
        <f>+IF(Table1[[#This Row],[Column40]]="ok",Table1[[#This Row],[Column7]],0)</f>
        <v>679.04</v>
      </c>
      <c r="AT292" s="295">
        <f>+IF(Table1[[#This Row],[Column40]]="No",Table1[[#This Row],[Column7]],0)</f>
        <v>0</v>
      </c>
      <c r="AU292" s="4" t="str">
        <f>+IF(LEFT(Table1[[#This Row],[Column42]],2)="DN",IF(Table1[[#This Row],[Column40]]="ok","(CA)",_xlfn.CONCAT("(CA)",CHAR(10),"FAIL")),"")</f>
        <v/>
      </c>
      <c r="AV292" s="154" t="str">
        <f>+IF(Table1[[#This Row],[Column6]]=0,"",_xlfn.CONCAT("Sem ",WEEKNUM(Table1[[#This Row],[Column6]],2)))</f>
        <v>Sem 11</v>
      </c>
      <c r="AW292" s="211"/>
    </row>
    <row r="293" spans="2:49" ht="19.5" customHeight="1" x14ac:dyDescent="0.3">
      <c r="B293" s="356" t="s">
        <v>565</v>
      </c>
      <c r="C293" s="364"/>
      <c r="D293" s="332" t="s">
        <v>207</v>
      </c>
      <c r="E293" s="332" t="s">
        <v>176</v>
      </c>
      <c r="F293" s="332"/>
      <c r="G293" s="334">
        <v>46096</v>
      </c>
      <c r="H293" s="335">
        <v>1836.33</v>
      </c>
      <c r="I293" s="336">
        <v>188.01</v>
      </c>
      <c r="J293" s="337">
        <v>2571.4499999999998</v>
      </c>
      <c r="K293" s="338" t="s">
        <v>134</v>
      </c>
      <c r="L293" s="339" t="s">
        <v>135</v>
      </c>
      <c r="M293" s="340">
        <v>30</v>
      </c>
      <c r="N293" s="341">
        <v>85462</v>
      </c>
      <c r="O293" s="332">
        <v>59.78</v>
      </c>
      <c r="P293" s="342">
        <v>11.5</v>
      </c>
      <c r="Q293" s="343">
        <v>9.6681922196796286</v>
      </c>
      <c r="R293" s="344">
        <v>1.7192825112107624</v>
      </c>
      <c r="S293" s="344">
        <v>1.748</v>
      </c>
      <c r="T293" s="344">
        <v>1.917</v>
      </c>
      <c r="U293" s="344" t="s">
        <v>136</v>
      </c>
      <c r="V293" s="332" t="s">
        <v>137</v>
      </c>
      <c r="W293" s="345">
        <v>8</v>
      </c>
      <c r="X293" s="346">
        <v>4</v>
      </c>
      <c r="Y293" s="208">
        <v>2.8069999999999999</v>
      </c>
      <c r="Z293" s="332"/>
      <c r="AA293" s="342"/>
      <c r="AB293" s="342"/>
      <c r="AC293" s="342"/>
      <c r="AD293" s="123"/>
      <c r="AE293" s="358">
        <v>1.7060356001456527</v>
      </c>
      <c r="AF293" s="349">
        <v>16.639543395646132</v>
      </c>
      <c r="AG293" s="350"/>
      <c r="AH293" s="351">
        <v>1.7030981067125648</v>
      </c>
      <c r="AI293" s="351">
        <v>1.9790000000000001</v>
      </c>
      <c r="AJ293" s="206">
        <v>16.2</v>
      </c>
      <c r="AK293" s="353" t="s">
        <v>542</v>
      </c>
      <c r="AL293" s="206">
        <v>0.43954339564613321</v>
      </c>
      <c r="AM293" s="349">
        <v>100.77647330829313</v>
      </c>
      <c r="AN293" s="354" t="s">
        <v>139</v>
      </c>
      <c r="AO293" s="355" t="s">
        <v>140</v>
      </c>
      <c r="AP293" s="206" t="s">
        <v>139</v>
      </c>
      <c r="AQ293" s="207" t="s">
        <v>566</v>
      </c>
      <c r="AR293" s="211"/>
      <c r="AS293" s="297">
        <f>+IF(Table1[[#This Row],[Column40]]="ok",Table1[[#This Row],[Column7]],0)</f>
        <v>1836.33</v>
      </c>
      <c r="AT293" s="295">
        <f>+IF(Table1[[#This Row],[Column40]]="No",Table1[[#This Row],[Column7]],0)</f>
        <v>0</v>
      </c>
      <c r="AU293" s="4" t="str">
        <f>+IF(LEFT(Table1[[#This Row],[Column42]],2)="DN",IF(Table1[[#This Row],[Column40]]="ok","(CA)",_xlfn.CONCAT("(CA)",CHAR(10),"FAIL")),"")</f>
        <v/>
      </c>
      <c r="AV293" s="154" t="str">
        <f>+IF(Table1[[#This Row],[Column6]]=0,"",_xlfn.CONCAT("Sem ",WEEKNUM(Table1[[#This Row],[Column6]],2)))</f>
        <v>Sem 11</v>
      </c>
      <c r="AW293" s="211"/>
    </row>
    <row r="294" spans="2:49" ht="19.5" customHeight="1" x14ac:dyDescent="0.3">
      <c r="B294" s="356" t="s">
        <v>566</v>
      </c>
      <c r="C294" s="331"/>
      <c r="D294" s="332" t="s">
        <v>207</v>
      </c>
      <c r="E294" s="332" t="s">
        <v>176</v>
      </c>
      <c r="F294" s="333"/>
      <c r="G294" s="334">
        <v>46096</v>
      </c>
      <c r="H294" s="335">
        <v>1836.33</v>
      </c>
      <c r="I294" s="336">
        <v>188.01</v>
      </c>
      <c r="J294" s="337">
        <v>2571.4499999999998</v>
      </c>
      <c r="K294" s="338" t="s">
        <v>134</v>
      </c>
      <c r="L294" s="339" t="s">
        <v>135</v>
      </c>
      <c r="M294" s="340">
        <v>15</v>
      </c>
      <c r="N294" s="341"/>
      <c r="O294" s="332"/>
      <c r="P294" s="342">
        <v>11.47107897664071</v>
      </c>
      <c r="Q294" s="343"/>
      <c r="R294" s="344">
        <v>1.7329139781281289</v>
      </c>
      <c r="S294" s="344"/>
      <c r="T294" s="344">
        <v>1.9316979091564528</v>
      </c>
      <c r="U294" s="344" t="s">
        <v>142</v>
      </c>
      <c r="V294" s="332" t="s">
        <v>137</v>
      </c>
      <c r="W294" s="345">
        <v>6</v>
      </c>
      <c r="X294" s="346">
        <v>8</v>
      </c>
      <c r="Y294" s="208"/>
      <c r="Z294" s="332" t="s">
        <v>143</v>
      </c>
      <c r="AA294" s="342">
        <v>99.173413609283386</v>
      </c>
      <c r="AB294" s="342">
        <v>79.453424002186992</v>
      </c>
      <c r="AC294" s="342">
        <v>36.559494512499775</v>
      </c>
      <c r="AD294" s="123">
        <v>12.175195986359626</v>
      </c>
      <c r="AE294" s="358">
        <v>1.7060356001456527</v>
      </c>
      <c r="AF294" s="349">
        <v>16.639543395646132</v>
      </c>
      <c r="AG294" s="350" t="s">
        <v>542</v>
      </c>
      <c r="AH294" s="351">
        <v>1.7025497740007123</v>
      </c>
      <c r="AI294" s="351">
        <v>1.9791333972106888</v>
      </c>
      <c r="AJ294" s="206">
        <v>16.245259165613156</v>
      </c>
      <c r="AK294" s="353" t="s">
        <v>542</v>
      </c>
      <c r="AL294" s="206">
        <v>0.39428423003297652</v>
      </c>
      <c r="AM294" s="349">
        <v>101.5754875209041</v>
      </c>
      <c r="AN294" s="354" t="s">
        <v>139</v>
      </c>
      <c r="AO294" s="355" t="s">
        <v>144</v>
      </c>
      <c r="AP294" s="206">
        <v>0</v>
      </c>
      <c r="AQ294" s="246" t="s">
        <v>565</v>
      </c>
      <c r="AR294" s="211"/>
      <c r="AS294" s="297">
        <f>+IF(Table1[[#This Row],[Column40]]="ok",Table1[[#This Row],[Column7]],0)</f>
        <v>1836.33</v>
      </c>
      <c r="AT294" s="295">
        <f>+IF(Table1[[#This Row],[Column40]]="No",Table1[[#This Row],[Column7]],0)</f>
        <v>0</v>
      </c>
      <c r="AU294" s="4" t="str">
        <f>+IF(LEFT(Table1[[#This Row],[Column42]],2)="DN",IF(Table1[[#This Row],[Column40]]="ok","(CA)",_xlfn.CONCAT("(CA)",CHAR(10),"FAIL")),"")</f>
        <v>(CA)</v>
      </c>
      <c r="AV294" s="154" t="str">
        <f>+IF(Table1[[#This Row],[Column6]]=0,"",_xlfn.CONCAT("Sem ",WEEKNUM(Table1[[#This Row],[Column6]],2)))</f>
        <v>Sem 11</v>
      </c>
      <c r="AW294" s="211"/>
    </row>
    <row r="295" spans="2:49" ht="19.5" customHeight="1" x14ac:dyDescent="0.3">
      <c r="B295" s="356" t="s">
        <v>567</v>
      </c>
      <c r="C295" s="331"/>
      <c r="D295" s="332" t="s">
        <v>207</v>
      </c>
      <c r="E295" s="332" t="s">
        <v>176</v>
      </c>
      <c r="F295" s="333"/>
      <c r="G295" s="334">
        <v>46096</v>
      </c>
      <c r="H295" s="335">
        <v>1754.05</v>
      </c>
      <c r="I295" s="336">
        <v>190.9</v>
      </c>
      <c r="J295" s="337">
        <v>2581.9499999999998</v>
      </c>
      <c r="K295" s="338" t="s">
        <v>149</v>
      </c>
      <c r="L295" s="339" t="s">
        <v>387</v>
      </c>
      <c r="M295" s="340">
        <v>30</v>
      </c>
      <c r="N295" s="341">
        <v>85462</v>
      </c>
      <c r="O295" s="332">
        <v>59.78</v>
      </c>
      <c r="P295" s="342">
        <v>9.4</v>
      </c>
      <c r="Q295" s="343">
        <v>8.268156424581008</v>
      </c>
      <c r="R295" s="344">
        <v>1.7714808043875683</v>
      </c>
      <c r="S295" s="344">
        <v>1.79</v>
      </c>
      <c r="T295" s="344">
        <v>1.9379999999999999</v>
      </c>
      <c r="U295" s="344" t="s">
        <v>136</v>
      </c>
      <c r="V295" s="332" t="s">
        <v>137</v>
      </c>
      <c r="W295" s="345">
        <v>8</v>
      </c>
      <c r="X295" s="346">
        <v>4</v>
      </c>
      <c r="Y295" s="208">
        <v>2.8069999999999999</v>
      </c>
      <c r="Z295" s="332"/>
      <c r="AA295" s="342"/>
      <c r="AB295" s="342"/>
      <c r="AC295" s="342"/>
      <c r="AD295" s="347"/>
      <c r="AE295" s="358">
        <v>1.7170000000000001</v>
      </c>
      <c r="AF295" s="349">
        <v>0</v>
      </c>
      <c r="AG295" s="350"/>
      <c r="AH295" s="351" t="s">
        <v>139</v>
      </c>
      <c r="AI295" s="352" t="s">
        <v>139</v>
      </c>
      <c r="AJ295" s="206" t="s">
        <v>139</v>
      </c>
      <c r="AK295" s="353" t="s">
        <v>540</v>
      </c>
      <c r="AL295" s="206" t="s">
        <v>139</v>
      </c>
      <c r="AM295" s="349">
        <v>103.17302296957298</v>
      </c>
      <c r="AN295" s="354" t="s">
        <v>139</v>
      </c>
      <c r="AO295" s="355" t="s">
        <v>140</v>
      </c>
      <c r="AP295" s="206" t="s">
        <v>139</v>
      </c>
      <c r="AQ295" s="246">
        <v>0</v>
      </c>
      <c r="AR295" s="211"/>
      <c r="AS295" s="297">
        <f>+IF(Table1[[#This Row],[Column40]]="ok",Table1[[#This Row],[Column7]],0)</f>
        <v>1754.05</v>
      </c>
      <c r="AT295" s="295">
        <f>+IF(Table1[[#This Row],[Column40]]="No",Table1[[#This Row],[Column7]],0)</f>
        <v>0</v>
      </c>
      <c r="AU295" s="4" t="str">
        <f>+IF(LEFT(Table1[[#This Row],[Column42]],2)="DN",IF(Table1[[#This Row],[Column40]]="ok","(CA)",_xlfn.CONCAT("(CA)",CHAR(10),"FAIL")),"")</f>
        <v/>
      </c>
      <c r="AV295" s="154" t="str">
        <f>+IF(Table1[[#This Row],[Column6]]=0,"",_xlfn.CONCAT("Sem ",WEEKNUM(Table1[[#This Row],[Column6]],2)))</f>
        <v>Sem 11</v>
      </c>
      <c r="AW295" s="211"/>
    </row>
    <row r="296" spans="2:49" ht="19.5" customHeight="1" x14ac:dyDescent="0.3">
      <c r="B296" s="356" t="s">
        <v>568</v>
      </c>
      <c r="C296" s="331"/>
      <c r="D296" s="332" t="s">
        <v>207</v>
      </c>
      <c r="E296" s="332" t="s">
        <v>176</v>
      </c>
      <c r="F296" s="333"/>
      <c r="G296" s="334">
        <v>46096</v>
      </c>
      <c r="H296" s="335">
        <v>1761.25</v>
      </c>
      <c r="I296" s="336">
        <v>280.32</v>
      </c>
      <c r="J296" s="337">
        <v>2556.73</v>
      </c>
      <c r="K296" s="338" t="s">
        <v>158</v>
      </c>
      <c r="L296" s="339" t="s">
        <v>146</v>
      </c>
      <c r="M296" s="340">
        <v>30</v>
      </c>
      <c r="N296" s="341">
        <v>85462</v>
      </c>
      <c r="O296" s="332">
        <v>59.78</v>
      </c>
      <c r="P296" s="342">
        <v>13.600000000000001</v>
      </c>
      <c r="Q296" s="343">
        <v>11.255656108597289</v>
      </c>
      <c r="R296" s="344">
        <v>1.7315140845070423</v>
      </c>
      <c r="S296" s="344">
        <v>1.768</v>
      </c>
      <c r="T296" s="344">
        <v>1.9670000000000001</v>
      </c>
      <c r="U296" s="344" t="s">
        <v>136</v>
      </c>
      <c r="V296" s="332" t="s">
        <v>137</v>
      </c>
      <c r="W296" s="345">
        <v>8</v>
      </c>
      <c r="X296" s="346">
        <v>4</v>
      </c>
      <c r="Y296" s="208">
        <v>2.8069999999999999</v>
      </c>
      <c r="Z296" s="332"/>
      <c r="AA296" s="342"/>
      <c r="AB296" s="342"/>
      <c r="AC296" s="342"/>
      <c r="AD296" s="347"/>
      <c r="AE296" s="358">
        <v>1.7170000000000001</v>
      </c>
      <c r="AF296" s="349">
        <v>0</v>
      </c>
      <c r="AG296" s="350"/>
      <c r="AH296" s="351" t="s">
        <v>139</v>
      </c>
      <c r="AI296" s="352" t="s">
        <v>139</v>
      </c>
      <c r="AJ296" s="206" t="s">
        <v>139</v>
      </c>
      <c r="AK296" s="353" t="s">
        <v>540</v>
      </c>
      <c r="AL296" s="206" t="s">
        <v>139</v>
      </c>
      <c r="AM296" s="349">
        <v>100.84531651176715</v>
      </c>
      <c r="AN296" s="354" t="s">
        <v>139</v>
      </c>
      <c r="AO296" s="355" t="s">
        <v>140</v>
      </c>
      <c r="AP296" s="206" t="s">
        <v>139</v>
      </c>
      <c r="AQ296" s="246">
        <v>0</v>
      </c>
      <c r="AR296" s="211"/>
      <c r="AS296" s="297">
        <f>+IF(Table1[[#This Row],[Column40]]="ok",Table1[[#This Row],[Column7]],0)</f>
        <v>1761.25</v>
      </c>
      <c r="AT296" s="295">
        <f>+IF(Table1[[#This Row],[Column40]]="No",Table1[[#This Row],[Column7]],0)</f>
        <v>0</v>
      </c>
      <c r="AU296" s="4" t="str">
        <f>+IF(LEFT(Table1[[#This Row],[Column42]],2)="DN",IF(Table1[[#This Row],[Column40]]="ok","(CA)",_xlfn.CONCAT("(CA)",CHAR(10),"FAIL")),"")</f>
        <v/>
      </c>
      <c r="AV296" s="154" t="str">
        <f>+IF(Table1[[#This Row],[Column6]]=0,"",_xlfn.CONCAT("Sem ",WEEKNUM(Table1[[#This Row],[Column6]],2)))</f>
        <v>Sem 11</v>
      </c>
      <c r="AW296" s="211"/>
    </row>
    <row r="297" spans="2:49" ht="19.5" customHeight="1" x14ac:dyDescent="0.3">
      <c r="B297" s="356" t="s">
        <v>569</v>
      </c>
      <c r="C297" s="331"/>
      <c r="D297" s="332" t="s">
        <v>207</v>
      </c>
      <c r="E297" s="332" t="s">
        <v>176</v>
      </c>
      <c r="F297" s="333"/>
      <c r="G297" s="334">
        <v>46096</v>
      </c>
      <c r="H297" s="335">
        <v>1865.27</v>
      </c>
      <c r="I297" s="336">
        <v>275.42</v>
      </c>
      <c r="J297" s="337">
        <v>2547.4899999999998</v>
      </c>
      <c r="K297" s="338" t="s">
        <v>158</v>
      </c>
      <c r="L297" s="339" t="s">
        <v>384</v>
      </c>
      <c r="M297" s="340">
        <v>30</v>
      </c>
      <c r="N297" s="341">
        <v>85462</v>
      </c>
      <c r="O297" s="332">
        <v>59.78</v>
      </c>
      <c r="P297" s="342">
        <v>14.499999999999998</v>
      </c>
      <c r="Q297" s="343">
        <v>10.659898477157359</v>
      </c>
      <c r="R297" s="344">
        <v>1.71353711790393</v>
      </c>
      <c r="S297" s="344">
        <v>1.7729999999999999</v>
      </c>
      <c r="T297" s="344">
        <v>1.962</v>
      </c>
      <c r="U297" s="344" t="s">
        <v>136</v>
      </c>
      <c r="V297" s="332" t="s">
        <v>137</v>
      </c>
      <c r="W297" s="345">
        <v>8</v>
      </c>
      <c r="X297" s="346">
        <v>4</v>
      </c>
      <c r="Y297" s="208">
        <v>2.8069999999999999</v>
      </c>
      <c r="Z297" s="332"/>
      <c r="AA297" s="342"/>
      <c r="AB297" s="342"/>
      <c r="AC297" s="342"/>
      <c r="AD297" s="347"/>
      <c r="AE297" s="358">
        <v>1.7170000000000001</v>
      </c>
      <c r="AF297" s="349" t="s">
        <v>139</v>
      </c>
      <c r="AG297" s="350"/>
      <c r="AH297" s="351" t="s">
        <v>139</v>
      </c>
      <c r="AI297" s="352" t="s">
        <v>139</v>
      </c>
      <c r="AJ297" s="206" t="s">
        <v>139</v>
      </c>
      <c r="AK297" s="353" t="s">
        <v>540</v>
      </c>
      <c r="AL297" s="206" t="s">
        <v>139</v>
      </c>
      <c r="AM297" s="349">
        <v>99.798317874428065</v>
      </c>
      <c r="AN297" s="354" t="s">
        <v>139</v>
      </c>
      <c r="AO297" s="355" t="s">
        <v>140</v>
      </c>
      <c r="AP297" s="206" t="s">
        <v>139</v>
      </c>
      <c r="AQ297" s="246">
        <v>0</v>
      </c>
      <c r="AR297" s="211"/>
      <c r="AS297" s="297">
        <f>+IF(Table1[[#This Row],[Column40]]="ok",Table1[[#This Row],[Column7]],0)</f>
        <v>1865.27</v>
      </c>
      <c r="AT297" s="295">
        <f>+IF(Table1[[#This Row],[Column40]]="No",Table1[[#This Row],[Column7]],0)</f>
        <v>0</v>
      </c>
      <c r="AU297" s="4" t="str">
        <f>+IF(LEFT(Table1[[#This Row],[Column42]],2)="DN",IF(Table1[[#This Row],[Column40]]="ok","(CA)",_xlfn.CONCAT("(CA)",CHAR(10),"FAIL")),"")</f>
        <v/>
      </c>
      <c r="AV297" s="154" t="str">
        <f>+IF(Table1[[#This Row],[Column6]]=0,"",_xlfn.CONCAT("Sem ",WEEKNUM(Table1[[#This Row],[Column6]],2)))</f>
        <v>Sem 11</v>
      </c>
      <c r="AW297" s="211"/>
    </row>
    <row r="298" spans="2:49" ht="19.5" customHeight="1" x14ac:dyDescent="0.3">
      <c r="B298" s="356" t="s">
        <v>570</v>
      </c>
      <c r="C298" s="331"/>
      <c r="D298" s="332" t="s">
        <v>207</v>
      </c>
      <c r="E298" s="332" t="s">
        <v>176</v>
      </c>
      <c r="F298" s="333"/>
      <c r="G298" s="334">
        <v>46096</v>
      </c>
      <c r="H298" s="335">
        <v>1855.67</v>
      </c>
      <c r="I298" s="336">
        <v>334.78</v>
      </c>
      <c r="J298" s="337">
        <v>2536.0100000000002</v>
      </c>
      <c r="K298" s="338" t="s">
        <v>158</v>
      </c>
      <c r="L298" s="339" t="s">
        <v>135</v>
      </c>
      <c r="M298" s="340">
        <v>30</v>
      </c>
      <c r="N298" s="341">
        <v>85462</v>
      </c>
      <c r="O298" s="332">
        <v>59.78</v>
      </c>
      <c r="P298" s="342">
        <v>13.5</v>
      </c>
      <c r="Q298" s="343">
        <v>10.325156873930407</v>
      </c>
      <c r="R298" s="344">
        <v>1.7039647577092509</v>
      </c>
      <c r="S298" s="344">
        <v>1.7529999999999999</v>
      </c>
      <c r="T298" s="344">
        <v>1.9339999999999999</v>
      </c>
      <c r="U298" s="344" t="s">
        <v>136</v>
      </c>
      <c r="V298" s="332" t="s">
        <v>137</v>
      </c>
      <c r="W298" s="345">
        <v>8</v>
      </c>
      <c r="X298" s="346">
        <v>4</v>
      </c>
      <c r="Y298" s="208">
        <v>2.8069999999999999</v>
      </c>
      <c r="Z298" s="332"/>
      <c r="AA298" s="342"/>
      <c r="AB298" s="342"/>
      <c r="AC298" s="342"/>
      <c r="AD298" s="347"/>
      <c r="AE298" s="358">
        <v>1.7170000000000001</v>
      </c>
      <c r="AF298" s="349">
        <v>0</v>
      </c>
      <c r="AG298" s="350"/>
      <c r="AH298" s="351" t="s">
        <v>139</v>
      </c>
      <c r="AI298" s="352" t="s">
        <v>139</v>
      </c>
      <c r="AJ298" s="206" t="s">
        <v>139</v>
      </c>
      <c r="AK298" s="353" t="s">
        <v>540</v>
      </c>
      <c r="AL298" s="206" t="s">
        <v>139</v>
      </c>
      <c r="AM298" s="349">
        <v>99.240812912594691</v>
      </c>
      <c r="AN298" s="354" t="s">
        <v>139</v>
      </c>
      <c r="AO298" s="355" t="s">
        <v>140</v>
      </c>
      <c r="AP298" s="206" t="s">
        <v>139</v>
      </c>
      <c r="AQ298" s="246">
        <v>0</v>
      </c>
      <c r="AR298" s="211"/>
      <c r="AS298" s="297">
        <f>+IF(Table1[[#This Row],[Column40]]="ok",Table1[[#This Row],[Column7]],0)</f>
        <v>1855.67</v>
      </c>
      <c r="AT298" s="295">
        <f>+IF(Table1[[#This Row],[Column40]]="No",Table1[[#This Row],[Column7]],0)</f>
        <v>0</v>
      </c>
      <c r="AU298" s="4" t="str">
        <f>+IF(LEFT(Table1[[#This Row],[Column42]],2)="DN",IF(Table1[[#This Row],[Column40]]="ok","(CA)",_xlfn.CONCAT("(CA)",CHAR(10),"FAIL")),"")</f>
        <v/>
      </c>
      <c r="AV298" s="154" t="str">
        <f>+IF(Table1[[#This Row],[Column6]]=0,"",_xlfn.CONCAT("Sem ",WEEKNUM(Table1[[#This Row],[Column6]],2)))</f>
        <v>Sem 11</v>
      </c>
      <c r="AW298" s="211"/>
    </row>
    <row r="299" spans="2:49" ht="19.5" customHeight="1" x14ac:dyDescent="0.3">
      <c r="B299" s="356" t="s">
        <v>571</v>
      </c>
      <c r="C299" s="331"/>
      <c r="D299" s="332" t="s">
        <v>207</v>
      </c>
      <c r="E299" s="332" t="s">
        <v>176</v>
      </c>
      <c r="F299" s="333"/>
      <c r="G299" s="334">
        <v>46096</v>
      </c>
      <c r="H299" s="335">
        <v>1072.3699999999999</v>
      </c>
      <c r="I299" s="336">
        <v>-29.77</v>
      </c>
      <c r="J299" s="337">
        <v>2635.9</v>
      </c>
      <c r="K299" s="338" t="s">
        <v>205</v>
      </c>
      <c r="L299" s="339" t="s">
        <v>193</v>
      </c>
      <c r="M299" s="340">
        <v>30</v>
      </c>
      <c r="N299" s="341">
        <v>85462</v>
      </c>
      <c r="O299" s="332">
        <v>59.78</v>
      </c>
      <c r="P299" s="342">
        <v>10.9</v>
      </c>
      <c r="Q299" s="343">
        <v>11.385853939045433</v>
      </c>
      <c r="R299" s="344">
        <v>1.746618575293057</v>
      </c>
      <c r="S299" s="344">
        <v>1.7390000000000001</v>
      </c>
      <c r="T299" s="344">
        <v>1.9370000000000001</v>
      </c>
      <c r="U299" s="344" t="s">
        <v>136</v>
      </c>
      <c r="V299" s="332" t="s">
        <v>169</v>
      </c>
      <c r="W299" s="345">
        <v>4</v>
      </c>
      <c r="X299" s="346">
        <v>2</v>
      </c>
      <c r="Y299" s="208">
        <v>2.8069999999999999</v>
      </c>
      <c r="Z299" s="332"/>
      <c r="AA299" s="342"/>
      <c r="AB299" s="342"/>
      <c r="AC299" s="342"/>
      <c r="AD299" s="123"/>
      <c r="AE299" s="358">
        <v>1.706</v>
      </c>
      <c r="AF299" s="349" t="s">
        <v>139</v>
      </c>
      <c r="AG299" s="350"/>
      <c r="AH299" s="351" t="s">
        <v>139</v>
      </c>
      <c r="AI299" s="352" t="s">
        <v>139</v>
      </c>
      <c r="AJ299" s="206" t="s">
        <v>139</v>
      </c>
      <c r="AK299" s="353" t="s">
        <v>542</v>
      </c>
      <c r="AL299" s="206" t="s">
        <v>139</v>
      </c>
      <c r="AM299" s="349">
        <v>102.38092469478646</v>
      </c>
      <c r="AN299" s="354" t="s">
        <v>139</v>
      </c>
      <c r="AO299" s="355" t="s">
        <v>140</v>
      </c>
      <c r="AP299" s="206" t="s">
        <v>139</v>
      </c>
      <c r="AQ299" s="246">
        <v>0</v>
      </c>
      <c r="AR299" s="211"/>
      <c r="AS299" s="297">
        <f>+IF(Table1[[#This Row],[Column40]]="ok",Table1[[#This Row],[Column7]],0)</f>
        <v>1072.3699999999999</v>
      </c>
      <c r="AT299" s="295">
        <f>+IF(Table1[[#This Row],[Column40]]="No",Table1[[#This Row],[Column7]],0)</f>
        <v>0</v>
      </c>
      <c r="AU299" s="4" t="str">
        <f>+IF(LEFT(Table1[[#This Row],[Column42]],2)="DN",IF(Table1[[#This Row],[Column40]]="ok","(CA)",_xlfn.CONCAT("(CA)",CHAR(10),"FAIL")),"")</f>
        <v/>
      </c>
      <c r="AV299" s="154" t="str">
        <f>+IF(Table1[[#This Row],[Column6]]=0,"",_xlfn.CONCAT("Sem ",WEEKNUM(Table1[[#This Row],[Column6]],2)))</f>
        <v>Sem 11</v>
      </c>
      <c r="AW299" s="211"/>
    </row>
    <row r="300" spans="2:49" ht="19.5" customHeight="1" x14ac:dyDescent="0.3">
      <c r="B300" s="356" t="s">
        <v>572</v>
      </c>
      <c r="C300" s="331"/>
      <c r="D300" s="332" t="s">
        <v>207</v>
      </c>
      <c r="E300" s="332" t="s">
        <v>176</v>
      </c>
      <c r="F300" s="333"/>
      <c r="G300" s="334">
        <v>46096</v>
      </c>
      <c r="H300" s="335">
        <v>892.51</v>
      </c>
      <c r="I300" s="336">
        <v>25.14</v>
      </c>
      <c r="J300" s="337">
        <v>2635.9</v>
      </c>
      <c r="K300" s="338" t="s">
        <v>200</v>
      </c>
      <c r="L300" s="339" t="s">
        <v>198</v>
      </c>
      <c r="M300" s="340">
        <v>30</v>
      </c>
      <c r="N300" s="341">
        <v>85462</v>
      </c>
      <c r="O300" s="332">
        <v>59.78</v>
      </c>
      <c r="P300" s="342">
        <v>8.6</v>
      </c>
      <c r="Q300" s="343">
        <v>9.4610091743119185</v>
      </c>
      <c r="R300" s="344">
        <v>1.7578268876611418</v>
      </c>
      <c r="S300" s="344">
        <v>1.744</v>
      </c>
      <c r="T300" s="344">
        <v>1.909</v>
      </c>
      <c r="U300" s="344" t="s">
        <v>136</v>
      </c>
      <c r="V300" s="332" t="s">
        <v>169</v>
      </c>
      <c r="W300" s="345">
        <v>4</v>
      </c>
      <c r="X300" s="346">
        <v>2</v>
      </c>
      <c r="Y300" s="208">
        <v>2.8069999999999999</v>
      </c>
      <c r="Z300" s="332"/>
      <c r="AA300" s="342"/>
      <c r="AB300" s="342"/>
      <c r="AC300" s="342"/>
      <c r="AD300" s="123"/>
      <c r="AE300" s="358">
        <v>1.706</v>
      </c>
      <c r="AF300" s="349">
        <v>0</v>
      </c>
      <c r="AG300" s="350"/>
      <c r="AH300" s="351" t="s">
        <v>139</v>
      </c>
      <c r="AI300" s="352" t="s">
        <v>139</v>
      </c>
      <c r="AJ300" s="206" t="s">
        <v>139</v>
      </c>
      <c r="AK300" s="353" t="s">
        <v>542</v>
      </c>
      <c r="AL300" s="206" t="s">
        <v>139</v>
      </c>
      <c r="AM300" s="349">
        <v>103.03791838576446</v>
      </c>
      <c r="AN300" s="354" t="s">
        <v>139</v>
      </c>
      <c r="AO300" s="355" t="s">
        <v>140</v>
      </c>
      <c r="AP300" s="206" t="s">
        <v>139</v>
      </c>
      <c r="AQ300" s="246">
        <v>0</v>
      </c>
      <c r="AR300" s="211"/>
      <c r="AS300" s="297">
        <f>+IF(Table1[[#This Row],[Column40]]="ok",Table1[[#This Row],[Column7]],0)</f>
        <v>892.51</v>
      </c>
      <c r="AT300" s="295">
        <f>+IF(Table1[[#This Row],[Column40]]="No",Table1[[#This Row],[Column7]],0)</f>
        <v>0</v>
      </c>
      <c r="AU300" s="4" t="str">
        <f>+IF(LEFT(Table1[[#This Row],[Column42]],2)="DN",IF(Table1[[#This Row],[Column40]]="ok","(CA)",_xlfn.CONCAT("(CA)",CHAR(10),"FAIL")),"")</f>
        <v/>
      </c>
      <c r="AV300" s="154" t="str">
        <f>+IF(Table1[[#This Row],[Column6]]=0,"",_xlfn.CONCAT("Sem ",WEEKNUM(Table1[[#This Row],[Column6]],2)))</f>
        <v>Sem 11</v>
      </c>
      <c r="AW300" s="211"/>
    </row>
    <row r="301" spans="2:49" ht="19.5" customHeight="1" x14ac:dyDescent="0.3">
      <c r="B301" s="356" t="s">
        <v>573</v>
      </c>
      <c r="C301" s="331"/>
      <c r="D301" s="332" t="s">
        <v>207</v>
      </c>
      <c r="E301" s="332" t="s">
        <v>176</v>
      </c>
      <c r="F301" s="333"/>
      <c r="G301" s="334">
        <v>46096</v>
      </c>
      <c r="H301" s="335">
        <v>897.35</v>
      </c>
      <c r="I301" s="336">
        <v>-21.15</v>
      </c>
      <c r="J301" s="337">
        <v>2635.9</v>
      </c>
      <c r="K301" s="338" t="s">
        <v>200</v>
      </c>
      <c r="L301" s="339" t="s">
        <v>574</v>
      </c>
      <c r="M301" s="340">
        <v>30</v>
      </c>
      <c r="N301" s="341">
        <v>85462</v>
      </c>
      <c r="O301" s="332">
        <v>59.78</v>
      </c>
      <c r="P301" s="342">
        <v>11.4</v>
      </c>
      <c r="Q301" s="343">
        <v>11.428571428571432</v>
      </c>
      <c r="R301" s="344">
        <v>1.715439856373429</v>
      </c>
      <c r="S301" s="344">
        <v>1.7150000000000001</v>
      </c>
      <c r="T301" s="344">
        <v>1.911</v>
      </c>
      <c r="U301" s="344" t="s">
        <v>136</v>
      </c>
      <c r="V301" s="332" t="s">
        <v>187</v>
      </c>
      <c r="W301" s="345">
        <v>12</v>
      </c>
      <c r="X301" s="346">
        <v>6</v>
      </c>
      <c r="Y301" s="208">
        <v>2.8069999999999999</v>
      </c>
      <c r="Z301" s="332"/>
      <c r="AA301" s="342"/>
      <c r="AB301" s="342"/>
      <c r="AC301" s="342"/>
      <c r="AD301" s="347"/>
      <c r="AE301" s="358">
        <v>1.706</v>
      </c>
      <c r="AF301" s="349">
        <v>0</v>
      </c>
      <c r="AG301" s="350"/>
      <c r="AH301" s="351" t="s">
        <v>139</v>
      </c>
      <c r="AI301" s="352" t="s">
        <v>139</v>
      </c>
      <c r="AJ301" s="206" t="s">
        <v>139</v>
      </c>
      <c r="AK301" s="353" t="s">
        <v>542</v>
      </c>
      <c r="AL301" s="206" t="s">
        <v>139</v>
      </c>
      <c r="AM301" s="349">
        <v>100.55333272997827</v>
      </c>
      <c r="AN301" s="354" t="s">
        <v>139</v>
      </c>
      <c r="AO301" s="355" t="s">
        <v>140</v>
      </c>
      <c r="AP301" s="206" t="s">
        <v>139</v>
      </c>
      <c r="AQ301" s="246">
        <v>0</v>
      </c>
      <c r="AR301" s="211"/>
      <c r="AS301" s="297">
        <f>+IF(Table1[[#This Row],[Column40]]="ok",Table1[[#This Row],[Column7]],0)</f>
        <v>897.35</v>
      </c>
      <c r="AT301" s="295">
        <f>+IF(Table1[[#This Row],[Column40]]="No",Table1[[#This Row],[Column7]],0)</f>
        <v>0</v>
      </c>
      <c r="AU301" s="4" t="str">
        <f>+IF(LEFT(Table1[[#This Row],[Column42]],2)="DN",IF(Table1[[#This Row],[Column40]]="ok","(CA)",_xlfn.CONCAT("(CA)",CHAR(10),"FAIL")),"")</f>
        <v/>
      </c>
      <c r="AV301" s="154" t="str">
        <f>+IF(Table1[[#This Row],[Column6]]=0,"",_xlfn.CONCAT("Sem ",WEEKNUM(Table1[[#This Row],[Column6]],2)))</f>
        <v>Sem 11</v>
      </c>
      <c r="AW301" s="211"/>
    </row>
    <row r="302" spans="2:49" ht="19.5" customHeight="1" x14ac:dyDescent="0.3">
      <c r="B302" s="356" t="s">
        <v>575</v>
      </c>
      <c r="C302" s="331"/>
      <c r="D302" s="332" t="s">
        <v>207</v>
      </c>
      <c r="E302" s="332" t="s">
        <v>176</v>
      </c>
      <c r="F302" s="333"/>
      <c r="G302" s="334">
        <v>46096</v>
      </c>
      <c r="H302" s="335">
        <v>855.04</v>
      </c>
      <c r="I302" s="336">
        <v>415.77</v>
      </c>
      <c r="J302" s="337">
        <v>2528.2399999999998</v>
      </c>
      <c r="K302" s="338" t="s">
        <v>290</v>
      </c>
      <c r="L302" s="339" t="s">
        <v>313</v>
      </c>
      <c r="M302" s="340">
        <v>30</v>
      </c>
      <c r="N302" s="341">
        <v>85462</v>
      </c>
      <c r="O302" s="332">
        <v>59.78</v>
      </c>
      <c r="P302" s="342">
        <v>12</v>
      </c>
      <c r="Q302" s="343">
        <v>11.544991511035674</v>
      </c>
      <c r="R302" s="344">
        <v>1.7598214285714284</v>
      </c>
      <c r="S302" s="344">
        <v>1.7669999999999999</v>
      </c>
      <c r="T302" s="344">
        <v>1.9710000000000001</v>
      </c>
      <c r="U302" s="344" t="s">
        <v>136</v>
      </c>
      <c r="V302" s="332" t="s">
        <v>137</v>
      </c>
      <c r="W302" s="345">
        <v>8</v>
      </c>
      <c r="X302" s="346">
        <v>4</v>
      </c>
      <c r="Y302" s="208">
        <v>2.8069999999999999</v>
      </c>
      <c r="Z302" s="332"/>
      <c r="AA302" s="342"/>
      <c r="AB302" s="342"/>
      <c r="AC302" s="342"/>
      <c r="AD302" s="347"/>
      <c r="AE302" s="358">
        <v>1.742</v>
      </c>
      <c r="AF302" s="349">
        <v>0</v>
      </c>
      <c r="AG302" s="350"/>
      <c r="AH302" s="351" t="s">
        <v>139</v>
      </c>
      <c r="AI302" s="352" t="s">
        <v>139</v>
      </c>
      <c r="AJ302" s="206" t="s">
        <v>139</v>
      </c>
      <c r="AK302" s="353" t="s">
        <v>513</v>
      </c>
      <c r="AL302" s="206" t="s">
        <v>139</v>
      </c>
      <c r="AM302" s="349">
        <v>101.02304412005904</v>
      </c>
      <c r="AN302" s="354" t="s">
        <v>139</v>
      </c>
      <c r="AO302" s="355" t="s">
        <v>140</v>
      </c>
      <c r="AP302" s="206" t="s">
        <v>139</v>
      </c>
      <c r="AQ302" s="246">
        <v>0</v>
      </c>
      <c r="AR302" s="211"/>
      <c r="AS302" s="297">
        <f>+IF(Table1[[#This Row],[Column40]]="ok",Table1[[#This Row],[Column7]],0)</f>
        <v>855.04</v>
      </c>
      <c r="AT302" s="295">
        <f>+IF(Table1[[#This Row],[Column40]]="No",Table1[[#This Row],[Column7]],0)</f>
        <v>0</v>
      </c>
      <c r="AU302" s="4" t="str">
        <f>+IF(LEFT(Table1[[#This Row],[Column42]],2)="DN",IF(Table1[[#This Row],[Column40]]="ok","(CA)",_xlfn.CONCAT("(CA)",CHAR(10),"FAIL")),"")</f>
        <v/>
      </c>
      <c r="AV302" s="154" t="str">
        <f>+IF(Table1[[#This Row],[Column6]]=0,"",_xlfn.CONCAT("Sem ",WEEKNUM(Table1[[#This Row],[Column6]],2)))</f>
        <v>Sem 11</v>
      </c>
      <c r="AW302" s="211"/>
    </row>
    <row r="303" spans="2:49" ht="19.5" customHeight="1" x14ac:dyDescent="0.3">
      <c r="B303" s="356" t="s">
        <v>576</v>
      </c>
      <c r="C303" s="331"/>
      <c r="D303" s="332" t="s">
        <v>207</v>
      </c>
      <c r="E303" s="332" t="s">
        <v>133</v>
      </c>
      <c r="F303" s="333"/>
      <c r="G303" s="334">
        <v>46097</v>
      </c>
      <c r="H303" s="335">
        <v>1283.67</v>
      </c>
      <c r="I303" s="336">
        <v>204.33</v>
      </c>
      <c r="J303" s="337">
        <v>2585.81</v>
      </c>
      <c r="K303" s="338" t="s">
        <v>221</v>
      </c>
      <c r="L303" s="339" t="s">
        <v>402</v>
      </c>
      <c r="M303" s="340">
        <v>30</v>
      </c>
      <c r="N303" s="341">
        <v>85462</v>
      </c>
      <c r="O303" s="332">
        <v>59.78</v>
      </c>
      <c r="P303" s="342">
        <v>10.9</v>
      </c>
      <c r="Q303" s="343">
        <v>10.315186246418339</v>
      </c>
      <c r="R303" s="344">
        <v>1.7357980162308386</v>
      </c>
      <c r="S303" s="344">
        <v>1.7450000000000001</v>
      </c>
      <c r="T303" s="344">
        <v>1.925</v>
      </c>
      <c r="U303" s="344" t="s">
        <v>136</v>
      </c>
      <c r="V303" s="332" t="s">
        <v>137</v>
      </c>
      <c r="W303" s="345">
        <v>8</v>
      </c>
      <c r="X303" s="346">
        <v>4</v>
      </c>
      <c r="Y303" s="208">
        <v>2.8069999999999999</v>
      </c>
      <c r="Z303" s="332"/>
      <c r="AA303" s="342"/>
      <c r="AB303" s="342"/>
      <c r="AC303" s="342"/>
      <c r="AD303" s="347"/>
      <c r="AE303" s="358">
        <v>1.7170000000000001</v>
      </c>
      <c r="AF303" s="349">
        <v>0</v>
      </c>
      <c r="AG303" s="350"/>
      <c r="AH303" s="351" t="s">
        <v>139</v>
      </c>
      <c r="AI303" s="352" t="s">
        <v>139</v>
      </c>
      <c r="AJ303" s="206" t="s">
        <v>139</v>
      </c>
      <c r="AK303" s="353" t="s">
        <v>540</v>
      </c>
      <c r="AL303" s="206" t="s">
        <v>139</v>
      </c>
      <c r="AM303" s="349">
        <v>101.09481748577976</v>
      </c>
      <c r="AN303" s="354" t="s">
        <v>139</v>
      </c>
      <c r="AO303" s="355" t="s">
        <v>140</v>
      </c>
      <c r="AP303" s="206" t="s">
        <v>139</v>
      </c>
      <c r="AQ303" s="246">
        <v>0</v>
      </c>
      <c r="AR303" s="211"/>
      <c r="AS303" s="297">
        <f>+IF(Table1[[#This Row],[Column40]]="ok",Table1[[#This Row],[Column7]],0)</f>
        <v>1283.67</v>
      </c>
      <c r="AT303" s="295">
        <f>+IF(Table1[[#This Row],[Column40]]="No",Table1[[#This Row],[Column7]],0)</f>
        <v>0</v>
      </c>
      <c r="AU303" s="4" t="str">
        <f>+IF(LEFT(Table1[[#This Row],[Column42]],2)="DN",IF(Table1[[#This Row],[Column40]]="ok","(CA)",_xlfn.CONCAT("(CA)",CHAR(10),"FAIL")),"")</f>
        <v/>
      </c>
      <c r="AV303" s="154" t="str">
        <f>+IF(Table1[[#This Row],[Column6]]=0,"",_xlfn.CONCAT("Sem ",WEEKNUM(Table1[[#This Row],[Column6]],2)))</f>
        <v>Sem 12</v>
      </c>
      <c r="AW303" s="211"/>
    </row>
    <row r="304" spans="2:49" ht="19.5" customHeight="1" x14ac:dyDescent="0.3">
      <c r="B304" s="356" t="s">
        <v>577</v>
      </c>
      <c r="C304" s="331"/>
      <c r="D304" s="332" t="s">
        <v>207</v>
      </c>
      <c r="E304" s="332" t="s">
        <v>133</v>
      </c>
      <c r="F304" s="333"/>
      <c r="G304" s="334">
        <v>46097</v>
      </c>
      <c r="H304" s="335">
        <v>1278.24</v>
      </c>
      <c r="I304" s="336">
        <v>331.44</v>
      </c>
      <c r="J304" s="337">
        <v>2548.62</v>
      </c>
      <c r="K304" s="338" t="s">
        <v>253</v>
      </c>
      <c r="L304" s="339" t="s">
        <v>402</v>
      </c>
      <c r="M304" s="340">
        <v>30</v>
      </c>
      <c r="N304" s="341">
        <v>85462</v>
      </c>
      <c r="O304" s="332">
        <v>59.78</v>
      </c>
      <c r="P304" s="342">
        <v>9</v>
      </c>
      <c r="Q304" s="343">
        <v>9.6984033116499049</v>
      </c>
      <c r="R304" s="344">
        <v>1.701834862385321</v>
      </c>
      <c r="S304" s="344">
        <v>1.6910000000000001</v>
      </c>
      <c r="T304" s="344">
        <v>1.855</v>
      </c>
      <c r="U304" s="344" t="s">
        <v>136</v>
      </c>
      <c r="V304" s="332" t="s">
        <v>137</v>
      </c>
      <c r="W304" s="345">
        <v>8</v>
      </c>
      <c r="X304" s="346">
        <v>4</v>
      </c>
      <c r="Y304" s="208">
        <v>2.8069999999999999</v>
      </c>
      <c r="Z304" s="332"/>
      <c r="AA304" s="342"/>
      <c r="AB304" s="342"/>
      <c r="AC304" s="342"/>
      <c r="AD304" s="347"/>
      <c r="AE304" s="358">
        <v>1.7033762152263519</v>
      </c>
      <c r="AF304" s="349">
        <v>16.631942347717693</v>
      </c>
      <c r="AG304" s="350"/>
      <c r="AH304" s="351">
        <v>1.7031650983746793</v>
      </c>
      <c r="AI304" s="352">
        <v>1.9910000000000001</v>
      </c>
      <c r="AJ304" s="206">
        <v>16.900000000000002</v>
      </c>
      <c r="AK304" s="353" t="s">
        <v>578</v>
      </c>
      <c r="AL304" s="206">
        <v>-0.26805765228230882</v>
      </c>
      <c r="AM304" s="349">
        <v>99.90951189600672</v>
      </c>
      <c r="AN304" s="354" t="s">
        <v>139</v>
      </c>
      <c r="AO304" s="355" t="s">
        <v>140</v>
      </c>
      <c r="AP304" s="206" t="s">
        <v>139</v>
      </c>
      <c r="AQ304" s="246" t="s">
        <v>579</v>
      </c>
      <c r="AR304" s="211"/>
      <c r="AS304" s="297">
        <f>+IF(Table1[[#This Row],[Column40]]="ok",Table1[[#This Row],[Column7]],0)</f>
        <v>1278.24</v>
      </c>
      <c r="AT304" s="295">
        <f>+IF(Table1[[#This Row],[Column40]]="No",Table1[[#This Row],[Column7]],0)</f>
        <v>0</v>
      </c>
      <c r="AU304" s="4" t="str">
        <f>+IF(LEFT(Table1[[#This Row],[Column42]],2)="DN",IF(Table1[[#This Row],[Column40]]="ok","(CA)",_xlfn.CONCAT("(CA)",CHAR(10),"FAIL")),"")</f>
        <v/>
      </c>
      <c r="AV304" s="154" t="str">
        <f>+IF(Table1[[#This Row],[Column6]]=0,"",_xlfn.CONCAT("Sem ",WEEKNUM(Table1[[#This Row],[Column6]],2)))</f>
        <v>Sem 12</v>
      </c>
      <c r="AW304" s="211"/>
    </row>
    <row r="305" spans="2:49" ht="19.5" customHeight="1" x14ac:dyDescent="0.3">
      <c r="B305" s="356" t="s">
        <v>579</v>
      </c>
      <c r="C305" s="331"/>
      <c r="D305" s="332" t="s">
        <v>207</v>
      </c>
      <c r="E305" s="332" t="s">
        <v>133</v>
      </c>
      <c r="F305" s="333"/>
      <c r="G305" s="334">
        <v>46097</v>
      </c>
      <c r="H305" s="335">
        <v>1278.24</v>
      </c>
      <c r="I305" s="336">
        <v>331.44</v>
      </c>
      <c r="J305" s="337">
        <v>2548.62</v>
      </c>
      <c r="K305" s="338" t="s">
        <v>253</v>
      </c>
      <c r="L305" s="339" t="s">
        <v>402</v>
      </c>
      <c r="M305" s="340">
        <v>15</v>
      </c>
      <c r="N305" s="341"/>
      <c r="O305" s="332"/>
      <c r="P305" s="342">
        <v>9.0327344326851851</v>
      </c>
      <c r="Q305" s="343"/>
      <c r="R305" s="344">
        <v>1.6780509936066685</v>
      </c>
      <c r="S305" s="344"/>
      <c r="T305" s="344">
        <v>1.8296248835041937</v>
      </c>
      <c r="U305" s="344" t="s">
        <v>142</v>
      </c>
      <c r="V305" s="332" t="s">
        <v>137</v>
      </c>
      <c r="W305" s="345">
        <v>6</v>
      </c>
      <c r="X305" s="346">
        <v>8</v>
      </c>
      <c r="Y305" s="208"/>
      <c r="Z305" s="332" t="s">
        <v>143</v>
      </c>
      <c r="AA305" s="342">
        <v>98.882693798615321</v>
      </c>
      <c r="AB305" s="342">
        <v>76.700077995514661</v>
      </c>
      <c r="AC305" s="342">
        <v>34.460453309020778</v>
      </c>
      <c r="AD305" s="347">
        <v>11.596553236783109</v>
      </c>
      <c r="AE305" s="358">
        <v>1.7033762152263519</v>
      </c>
      <c r="AF305" s="349">
        <v>16.631942347717693</v>
      </c>
      <c r="AG305" s="350" t="s">
        <v>578</v>
      </c>
      <c r="AH305" s="351">
        <v>1.7035258349168336</v>
      </c>
      <c r="AI305" s="352">
        <v>1.9914621131270012</v>
      </c>
      <c r="AJ305" s="206">
        <v>16.902372262773728</v>
      </c>
      <c r="AK305" s="353" t="s">
        <v>578</v>
      </c>
      <c r="AL305" s="206">
        <v>-0.27042991505603453</v>
      </c>
      <c r="AM305" s="349">
        <v>98.513233812160635</v>
      </c>
      <c r="AN305" s="354" t="s">
        <v>139</v>
      </c>
      <c r="AO305" s="355" t="s">
        <v>144</v>
      </c>
      <c r="AP305" s="206">
        <v>0</v>
      </c>
      <c r="AQ305" s="246" t="s">
        <v>577</v>
      </c>
      <c r="AR305" s="211"/>
      <c r="AS305" s="297">
        <f>+IF(Table1[[#This Row],[Column40]]="ok",Table1[[#This Row],[Column7]],0)</f>
        <v>1278.24</v>
      </c>
      <c r="AT305" s="295">
        <f>+IF(Table1[[#This Row],[Column40]]="No",Table1[[#This Row],[Column7]],0)</f>
        <v>0</v>
      </c>
      <c r="AU305" s="4" t="str">
        <f>+IF(LEFT(Table1[[#This Row],[Column42]],2)="DN",IF(Table1[[#This Row],[Column40]]="ok","(CA)",_xlfn.CONCAT("(CA)",CHAR(10),"FAIL")),"")</f>
        <v>(CA)</v>
      </c>
      <c r="AV305" s="154" t="str">
        <f>+IF(Table1[[#This Row],[Column6]]=0,"",_xlfn.CONCAT("Sem ",WEEKNUM(Table1[[#This Row],[Column6]],2)))</f>
        <v>Sem 12</v>
      </c>
      <c r="AW305" s="211"/>
    </row>
    <row r="306" spans="2:49" ht="19.5" customHeight="1" x14ac:dyDescent="0.3">
      <c r="B306" s="356" t="s">
        <v>580</v>
      </c>
      <c r="C306" s="331"/>
      <c r="D306" s="332" t="s">
        <v>207</v>
      </c>
      <c r="E306" s="332" t="s">
        <v>133</v>
      </c>
      <c r="F306" s="333"/>
      <c r="G306" s="334">
        <v>46097</v>
      </c>
      <c r="H306" s="335">
        <v>1357.43</v>
      </c>
      <c r="I306" s="336">
        <v>219.49</v>
      </c>
      <c r="J306" s="337">
        <v>2582.5700000000002</v>
      </c>
      <c r="K306" s="338" t="s">
        <v>221</v>
      </c>
      <c r="L306" s="339" t="s">
        <v>400</v>
      </c>
      <c r="M306" s="340">
        <v>30</v>
      </c>
      <c r="N306" s="341">
        <v>85462</v>
      </c>
      <c r="O306" s="332">
        <v>59.78</v>
      </c>
      <c r="P306" s="342">
        <v>9.6</v>
      </c>
      <c r="Q306" s="343">
        <v>10.541474654377891</v>
      </c>
      <c r="R306" s="344">
        <v>1.7509124087591239</v>
      </c>
      <c r="S306" s="344">
        <v>1.736</v>
      </c>
      <c r="T306" s="344">
        <v>1.919</v>
      </c>
      <c r="U306" s="344" t="s">
        <v>136</v>
      </c>
      <c r="V306" s="332" t="s">
        <v>137</v>
      </c>
      <c r="W306" s="345">
        <v>8</v>
      </c>
      <c r="X306" s="346">
        <v>4</v>
      </c>
      <c r="Y306" s="208">
        <v>2.8069999999999999</v>
      </c>
      <c r="Z306" s="332"/>
      <c r="AA306" s="342"/>
      <c r="AB306" s="342"/>
      <c r="AC306" s="342"/>
      <c r="AD306" s="347"/>
      <c r="AE306" s="358">
        <v>1.7170000000000001</v>
      </c>
      <c r="AF306" s="349">
        <v>0</v>
      </c>
      <c r="AG306" s="350"/>
      <c r="AH306" s="351" t="s">
        <v>139</v>
      </c>
      <c r="AI306" s="351" t="s">
        <v>139</v>
      </c>
      <c r="AJ306" s="206" t="s">
        <v>139</v>
      </c>
      <c r="AK306" s="353" t="s">
        <v>540</v>
      </c>
      <c r="AL306" s="206" t="s">
        <v>139</v>
      </c>
      <c r="AM306" s="349">
        <v>101.97509660798625</v>
      </c>
      <c r="AN306" s="354" t="s">
        <v>139</v>
      </c>
      <c r="AO306" s="355" t="s">
        <v>140</v>
      </c>
      <c r="AP306" s="206" t="s">
        <v>139</v>
      </c>
      <c r="AQ306" s="246">
        <v>0</v>
      </c>
      <c r="AR306" s="211"/>
      <c r="AS306" s="297">
        <f>+IF(Table1[[#This Row],[Column40]]="ok",Table1[[#This Row],[Column7]],0)</f>
        <v>1357.43</v>
      </c>
      <c r="AT306" s="295">
        <f>+IF(Table1[[#This Row],[Column40]]="No",Table1[[#This Row],[Column7]],0)</f>
        <v>0</v>
      </c>
      <c r="AU306" s="4" t="str">
        <f>+IF(LEFT(Table1[[#This Row],[Column42]],2)="DN",IF(Table1[[#This Row],[Column40]]="ok","(CA)",_xlfn.CONCAT("(CA)",CHAR(10),"FAIL")),"")</f>
        <v/>
      </c>
      <c r="AV306" s="154" t="str">
        <f>+IF(Table1[[#This Row],[Column6]]=0,"",_xlfn.CONCAT("Sem ",WEEKNUM(Table1[[#This Row],[Column6]],2)))</f>
        <v>Sem 12</v>
      </c>
      <c r="AW306" s="211"/>
    </row>
    <row r="307" spans="2:49" ht="19.5" customHeight="1" x14ac:dyDescent="0.3">
      <c r="B307" s="356" t="s">
        <v>581</v>
      </c>
      <c r="C307" s="331"/>
      <c r="D307" s="332" t="s">
        <v>207</v>
      </c>
      <c r="E307" s="332" t="s">
        <v>133</v>
      </c>
      <c r="F307" s="333"/>
      <c r="G307" s="334">
        <v>46097</v>
      </c>
      <c r="H307" s="335">
        <v>1348.65</v>
      </c>
      <c r="I307" s="336">
        <v>386.56</v>
      </c>
      <c r="J307" s="337">
        <v>2532.56</v>
      </c>
      <c r="K307" s="338" t="s">
        <v>398</v>
      </c>
      <c r="L307" s="339" t="s">
        <v>400</v>
      </c>
      <c r="M307" s="340">
        <v>30</v>
      </c>
      <c r="N307" s="341">
        <v>85462</v>
      </c>
      <c r="O307" s="332">
        <v>59.78</v>
      </c>
      <c r="P307" s="342">
        <v>11.600000000000001</v>
      </c>
      <c r="Q307" s="343">
        <v>10.559723023658396</v>
      </c>
      <c r="R307" s="344">
        <v>1.7168458781362006</v>
      </c>
      <c r="S307" s="344">
        <v>1.7330000000000001</v>
      </c>
      <c r="T307" s="344">
        <v>1.9159999999999999</v>
      </c>
      <c r="U307" s="344" t="s">
        <v>136</v>
      </c>
      <c r="V307" s="332" t="s">
        <v>137</v>
      </c>
      <c r="W307" s="345">
        <v>8</v>
      </c>
      <c r="X307" s="346">
        <v>4</v>
      </c>
      <c r="Y307" s="208">
        <v>2.8069999999999999</v>
      </c>
      <c r="Z307" s="332"/>
      <c r="AA307" s="342"/>
      <c r="AB307" s="342"/>
      <c r="AC307" s="342"/>
      <c r="AD307" s="347"/>
      <c r="AE307" s="358">
        <v>1.7170000000000001</v>
      </c>
      <c r="AF307" s="349">
        <v>0</v>
      </c>
      <c r="AG307" s="350"/>
      <c r="AH307" s="351" t="s">
        <v>139</v>
      </c>
      <c r="AI307" s="351" t="s">
        <v>139</v>
      </c>
      <c r="AJ307" s="206" t="s">
        <v>139</v>
      </c>
      <c r="AK307" s="353" t="s">
        <v>540</v>
      </c>
      <c r="AL307" s="206" t="s">
        <v>139</v>
      </c>
      <c r="AM307" s="349">
        <v>99.991023770308701</v>
      </c>
      <c r="AN307" s="354" t="s">
        <v>139</v>
      </c>
      <c r="AO307" s="355" t="s">
        <v>140</v>
      </c>
      <c r="AP307" s="206" t="s">
        <v>139</v>
      </c>
      <c r="AQ307" s="246">
        <v>0</v>
      </c>
      <c r="AR307" s="211"/>
      <c r="AS307" s="297">
        <f>+IF(Table1[[#This Row],[Column40]]="ok",Table1[[#This Row],[Column7]],0)</f>
        <v>1348.65</v>
      </c>
      <c r="AT307" s="295">
        <f>+IF(Table1[[#This Row],[Column40]]="No",Table1[[#This Row],[Column7]],0)</f>
        <v>0</v>
      </c>
      <c r="AU307" s="4" t="str">
        <f>+IF(LEFT(Table1[[#This Row],[Column42]],2)="DN",IF(Table1[[#This Row],[Column40]]="ok","(CA)",_xlfn.CONCAT("(CA)",CHAR(10),"FAIL")),"")</f>
        <v/>
      </c>
      <c r="AV307" s="154" t="str">
        <f>+IF(Table1[[#This Row],[Column6]]=0,"",_xlfn.CONCAT("Sem ",WEEKNUM(Table1[[#This Row],[Column6]],2)))</f>
        <v>Sem 12</v>
      </c>
      <c r="AW307" s="211"/>
    </row>
    <row r="308" spans="2:49" ht="19.5" customHeight="1" x14ac:dyDescent="0.3">
      <c r="B308" s="356" t="s">
        <v>582</v>
      </c>
      <c r="C308" s="331"/>
      <c r="D308" s="332" t="s">
        <v>207</v>
      </c>
      <c r="E308" s="332" t="s">
        <v>133</v>
      </c>
      <c r="F308" s="333"/>
      <c r="G308" s="334">
        <v>46097</v>
      </c>
      <c r="H308" s="335">
        <v>1323.04</v>
      </c>
      <c r="I308" s="336">
        <v>290.16000000000003</v>
      </c>
      <c r="J308" s="337">
        <v>2560.9699999999998</v>
      </c>
      <c r="K308" s="338" t="s">
        <v>398</v>
      </c>
      <c r="L308" s="339" t="s">
        <v>222</v>
      </c>
      <c r="M308" s="340">
        <v>30</v>
      </c>
      <c r="N308" s="341">
        <v>85462</v>
      </c>
      <c r="O308" s="332">
        <v>59.78</v>
      </c>
      <c r="P308" s="342">
        <v>12.1</v>
      </c>
      <c r="Q308" s="343">
        <v>10.806270996640531</v>
      </c>
      <c r="R308" s="344">
        <v>1.7653880463871545</v>
      </c>
      <c r="S308" s="344">
        <v>1.786</v>
      </c>
      <c r="T308" s="344">
        <v>1.9790000000000001</v>
      </c>
      <c r="U308" s="344" t="s">
        <v>136</v>
      </c>
      <c r="V308" s="332" t="s">
        <v>137</v>
      </c>
      <c r="W308" s="345">
        <v>8</v>
      </c>
      <c r="X308" s="346">
        <v>4</v>
      </c>
      <c r="Y308" s="208">
        <v>2.8069999999999999</v>
      </c>
      <c r="Z308" s="332"/>
      <c r="AA308" s="342"/>
      <c r="AB308" s="342"/>
      <c r="AC308" s="342"/>
      <c r="AD308" s="123"/>
      <c r="AE308" s="358">
        <v>1.7170000000000001</v>
      </c>
      <c r="AF308" s="349">
        <v>0</v>
      </c>
      <c r="AG308" s="350"/>
      <c r="AH308" s="351" t="s">
        <v>139</v>
      </c>
      <c r="AI308" s="351" t="s">
        <v>139</v>
      </c>
      <c r="AJ308" s="206" t="s">
        <v>139</v>
      </c>
      <c r="AK308" s="353" t="s">
        <v>540</v>
      </c>
      <c r="AL308" s="206" t="s">
        <v>139</v>
      </c>
      <c r="AM308" s="349">
        <v>102.81817393052735</v>
      </c>
      <c r="AN308" s="354" t="s">
        <v>139</v>
      </c>
      <c r="AO308" s="355" t="s">
        <v>140</v>
      </c>
      <c r="AP308" s="206" t="s">
        <v>139</v>
      </c>
      <c r="AQ308" s="246">
        <v>0</v>
      </c>
      <c r="AR308" s="211"/>
      <c r="AS308" s="297">
        <f>+IF(Table1[[#This Row],[Column40]]="ok",Table1[[#This Row],[Column7]],0)</f>
        <v>1323.04</v>
      </c>
      <c r="AT308" s="295">
        <f>+IF(Table1[[#This Row],[Column40]]="No",Table1[[#This Row],[Column7]],0)</f>
        <v>0</v>
      </c>
      <c r="AU308" s="4" t="str">
        <f>+IF(LEFT(Table1[[#This Row],[Column42]],2)="DN",IF(Table1[[#This Row],[Column40]]="ok","(CA)",_xlfn.CONCAT("(CA)",CHAR(10),"FAIL")),"")</f>
        <v/>
      </c>
      <c r="AV308" s="154" t="str">
        <f>+IF(Table1[[#This Row],[Column6]]=0,"",_xlfn.CONCAT("Sem ",WEEKNUM(Table1[[#This Row],[Column6]],2)))</f>
        <v>Sem 12</v>
      </c>
      <c r="AW308" s="211"/>
    </row>
    <row r="309" spans="2:49" ht="19.5" customHeight="1" x14ac:dyDescent="0.3">
      <c r="B309" s="356" t="s">
        <v>583</v>
      </c>
      <c r="C309" s="331"/>
      <c r="D309" s="332" t="s">
        <v>207</v>
      </c>
      <c r="E309" s="332" t="s">
        <v>133</v>
      </c>
      <c r="F309" s="333"/>
      <c r="G309" s="334">
        <v>46097</v>
      </c>
      <c r="H309" s="335">
        <v>1405.51</v>
      </c>
      <c r="I309" s="336">
        <v>249.27</v>
      </c>
      <c r="J309" s="337">
        <v>2573.62</v>
      </c>
      <c r="K309" s="338" t="s">
        <v>221</v>
      </c>
      <c r="L309" s="339" t="s">
        <v>230</v>
      </c>
      <c r="M309" s="340">
        <v>30</v>
      </c>
      <c r="N309" s="341">
        <v>85462</v>
      </c>
      <c r="O309" s="332">
        <v>59.78</v>
      </c>
      <c r="P309" s="342">
        <v>9.5</v>
      </c>
      <c r="Q309" s="343">
        <v>9.4694808899030249</v>
      </c>
      <c r="R309" s="344">
        <v>1.7525114155251142</v>
      </c>
      <c r="S309" s="344">
        <v>1.7529999999999999</v>
      </c>
      <c r="T309" s="344">
        <v>1.919</v>
      </c>
      <c r="U309" s="344" t="s">
        <v>136</v>
      </c>
      <c r="V309" s="332" t="s">
        <v>137</v>
      </c>
      <c r="W309" s="345">
        <v>8</v>
      </c>
      <c r="X309" s="346">
        <v>4</v>
      </c>
      <c r="Y309" s="208">
        <v>2.8069999999999999</v>
      </c>
      <c r="Z309" s="332"/>
      <c r="AA309" s="342"/>
      <c r="AB309" s="342"/>
      <c r="AC309" s="342"/>
      <c r="AD309" s="347"/>
      <c r="AE309" s="358">
        <v>1.7170000000000001</v>
      </c>
      <c r="AF309" s="349">
        <v>0</v>
      </c>
      <c r="AG309" s="350"/>
      <c r="AH309" s="351" t="s">
        <v>139</v>
      </c>
      <c r="AI309" s="351" t="s">
        <v>139</v>
      </c>
      <c r="AJ309" s="206" t="s">
        <v>139</v>
      </c>
      <c r="AK309" s="353" t="s">
        <v>540</v>
      </c>
      <c r="AL309" s="206" t="s">
        <v>139</v>
      </c>
      <c r="AM309" s="349">
        <v>102.06822455009402</v>
      </c>
      <c r="AN309" s="354" t="s">
        <v>139</v>
      </c>
      <c r="AO309" s="355" t="s">
        <v>140</v>
      </c>
      <c r="AP309" s="206" t="s">
        <v>139</v>
      </c>
      <c r="AQ309" s="246">
        <v>0</v>
      </c>
      <c r="AR309" s="211"/>
      <c r="AS309" s="297">
        <f>+IF(Table1[[#This Row],[Column40]]="ok",Table1[[#This Row],[Column7]],0)</f>
        <v>1405.51</v>
      </c>
      <c r="AT309" s="295">
        <f>+IF(Table1[[#This Row],[Column40]]="No",Table1[[#This Row],[Column7]],0)</f>
        <v>0</v>
      </c>
      <c r="AU309" s="4" t="str">
        <f>+IF(LEFT(Table1[[#This Row],[Column42]],2)="DN",IF(Table1[[#This Row],[Column40]]="ok","(CA)",_xlfn.CONCAT("(CA)",CHAR(10),"FAIL")),"")</f>
        <v/>
      </c>
      <c r="AV309" s="154" t="str">
        <f>+IF(Table1[[#This Row],[Column6]]=0,"",_xlfn.CONCAT("Sem ",WEEKNUM(Table1[[#This Row],[Column6]],2)))</f>
        <v>Sem 12</v>
      </c>
      <c r="AW309" s="211"/>
    </row>
    <row r="310" spans="2:49" ht="19.5" customHeight="1" x14ac:dyDescent="0.3">
      <c r="B310" s="356" t="s">
        <v>584</v>
      </c>
      <c r="C310" s="331"/>
      <c r="D310" s="332" t="s">
        <v>207</v>
      </c>
      <c r="E310" s="332" t="s">
        <v>133</v>
      </c>
      <c r="F310" s="333"/>
      <c r="G310" s="334">
        <v>46097</v>
      </c>
      <c r="H310" s="335">
        <v>1416.03</v>
      </c>
      <c r="I310" s="336">
        <v>348.86</v>
      </c>
      <c r="J310" s="337">
        <v>2543.48</v>
      </c>
      <c r="K310" s="338" t="s">
        <v>398</v>
      </c>
      <c r="L310" s="339" t="s">
        <v>230</v>
      </c>
      <c r="M310" s="340">
        <v>30</v>
      </c>
      <c r="N310" s="341">
        <v>85462</v>
      </c>
      <c r="O310" s="332">
        <v>59.78</v>
      </c>
      <c r="P310" s="342">
        <v>9.1</v>
      </c>
      <c r="Q310" s="343">
        <v>10.173410404624272</v>
      </c>
      <c r="R310" s="344">
        <v>1.7470210815765352</v>
      </c>
      <c r="S310" s="344">
        <v>1.73</v>
      </c>
      <c r="T310" s="344">
        <v>1.9059999999999999</v>
      </c>
      <c r="U310" s="344" t="s">
        <v>136</v>
      </c>
      <c r="V310" s="332" t="s">
        <v>137</v>
      </c>
      <c r="W310" s="345">
        <v>8</v>
      </c>
      <c r="X310" s="346">
        <v>4</v>
      </c>
      <c r="Y310" s="208">
        <v>2.8069999999999999</v>
      </c>
      <c r="Z310" s="332"/>
      <c r="AA310" s="342"/>
      <c r="AB310" s="342"/>
      <c r="AC310" s="342"/>
      <c r="AD310" s="347"/>
      <c r="AE310" s="358">
        <v>1.7170000000000001</v>
      </c>
      <c r="AF310" s="349">
        <v>0</v>
      </c>
      <c r="AG310" s="350"/>
      <c r="AH310" s="351" t="s">
        <v>139</v>
      </c>
      <c r="AI310" s="352" t="s">
        <v>139</v>
      </c>
      <c r="AJ310" s="206" t="s">
        <v>139</v>
      </c>
      <c r="AK310" s="353" t="s">
        <v>540</v>
      </c>
      <c r="AL310" s="206" t="s">
        <v>139</v>
      </c>
      <c r="AM310" s="349">
        <v>101.74846136147555</v>
      </c>
      <c r="AN310" s="354" t="s">
        <v>139</v>
      </c>
      <c r="AO310" s="355" t="s">
        <v>140</v>
      </c>
      <c r="AP310" s="206" t="s">
        <v>139</v>
      </c>
      <c r="AQ310" s="246">
        <v>0</v>
      </c>
      <c r="AR310" s="211"/>
      <c r="AS310" s="297">
        <f>+IF(Table1[[#This Row],[Column40]]="ok",Table1[[#This Row],[Column7]],0)</f>
        <v>1416.03</v>
      </c>
      <c r="AT310" s="295">
        <f>+IF(Table1[[#This Row],[Column40]]="No",Table1[[#This Row],[Column7]],0)</f>
        <v>0</v>
      </c>
      <c r="AU310" s="4" t="str">
        <f>+IF(LEFT(Table1[[#This Row],[Column42]],2)="DN",IF(Table1[[#This Row],[Column40]]="ok","(CA)",_xlfn.CONCAT("(CA)",CHAR(10),"FAIL")),"")</f>
        <v/>
      </c>
      <c r="AV310" s="154" t="str">
        <f>+IF(Table1[[#This Row],[Column6]]=0,"",_xlfn.CONCAT("Sem ",WEEKNUM(Table1[[#This Row],[Column6]],2)))</f>
        <v>Sem 12</v>
      </c>
      <c r="AW310" s="211"/>
    </row>
    <row r="311" spans="2:49" ht="19.5" customHeight="1" x14ac:dyDescent="0.3">
      <c r="B311" s="356" t="s">
        <v>585</v>
      </c>
      <c r="C311" s="331"/>
      <c r="D311" s="332" t="s">
        <v>207</v>
      </c>
      <c r="E311" s="332" t="s">
        <v>133</v>
      </c>
      <c r="F311" s="333"/>
      <c r="G311" s="334">
        <v>46097</v>
      </c>
      <c r="H311" s="335">
        <v>1451.74</v>
      </c>
      <c r="I311" s="336">
        <v>263.93</v>
      </c>
      <c r="J311" s="337">
        <v>2567.96</v>
      </c>
      <c r="K311" s="338" t="s">
        <v>398</v>
      </c>
      <c r="L311" s="339" t="s">
        <v>558</v>
      </c>
      <c r="M311" s="340">
        <v>30</v>
      </c>
      <c r="N311" s="341">
        <v>85462</v>
      </c>
      <c r="O311" s="332">
        <v>59.78</v>
      </c>
      <c r="P311" s="342">
        <v>8.3000000000000007</v>
      </c>
      <c r="Q311" s="343">
        <v>9.8275862068965445</v>
      </c>
      <c r="R311" s="344">
        <v>1.7645429362880887</v>
      </c>
      <c r="S311" s="344">
        <v>1.74</v>
      </c>
      <c r="T311" s="344">
        <v>1.911</v>
      </c>
      <c r="U311" s="344" t="s">
        <v>136</v>
      </c>
      <c r="V311" s="332" t="s">
        <v>137</v>
      </c>
      <c r="W311" s="345">
        <v>8</v>
      </c>
      <c r="X311" s="346">
        <v>4</v>
      </c>
      <c r="Y311" s="208">
        <v>2.8069999999999999</v>
      </c>
      <c r="Z311" s="332"/>
      <c r="AA311" s="342"/>
      <c r="AB311" s="342"/>
      <c r="AC311" s="342"/>
      <c r="AD311" s="347"/>
      <c r="AE311" s="358">
        <v>1.7170000000000001</v>
      </c>
      <c r="AF311" s="349">
        <v>0</v>
      </c>
      <c r="AG311" s="350"/>
      <c r="AH311" s="351" t="s">
        <v>139</v>
      </c>
      <c r="AI311" s="351" t="s">
        <v>139</v>
      </c>
      <c r="AJ311" s="206" t="s">
        <v>139</v>
      </c>
      <c r="AK311" s="353" t="s">
        <v>540</v>
      </c>
      <c r="AL311" s="206" t="s">
        <v>139</v>
      </c>
      <c r="AM311" s="349">
        <v>102.76895377333074</v>
      </c>
      <c r="AN311" s="354" t="s">
        <v>139</v>
      </c>
      <c r="AO311" s="355" t="s">
        <v>140</v>
      </c>
      <c r="AP311" s="206" t="s">
        <v>139</v>
      </c>
      <c r="AQ311" s="246">
        <v>0</v>
      </c>
      <c r="AR311" s="211"/>
      <c r="AS311" s="297">
        <f>+IF(Table1[[#This Row],[Column40]]="ok",Table1[[#This Row],[Column7]],0)</f>
        <v>1451.74</v>
      </c>
      <c r="AT311" s="295">
        <f>+IF(Table1[[#This Row],[Column40]]="No",Table1[[#This Row],[Column7]],0)</f>
        <v>0</v>
      </c>
      <c r="AU311" s="4" t="str">
        <f>+IF(LEFT(Table1[[#This Row],[Column42]],2)="DN",IF(Table1[[#This Row],[Column40]]="ok","(CA)",_xlfn.CONCAT("(CA)",CHAR(10),"FAIL")),"")</f>
        <v/>
      </c>
      <c r="AV311" s="154" t="str">
        <f>+IF(Table1[[#This Row],[Column6]]=0,"",_xlfn.CONCAT("Sem ",WEEKNUM(Table1[[#This Row],[Column6]],2)))</f>
        <v>Sem 12</v>
      </c>
      <c r="AW311" s="211"/>
    </row>
    <row r="312" spans="2:49" ht="19.5" customHeight="1" x14ac:dyDescent="0.3">
      <c r="B312" s="356" t="s">
        <v>586</v>
      </c>
      <c r="C312" s="331"/>
      <c r="D312" s="332" t="s">
        <v>207</v>
      </c>
      <c r="E312" s="332" t="s">
        <v>133</v>
      </c>
      <c r="F312" s="333"/>
      <c r="G312" s="334">
        <v>46097</v>
      </c>
      <c r="H312" s="335">
        <v>1447.72</v>
      </c>
      <c r="I312" s="336">
        <v>400.66</v>
      </c>
      <c r="J312" s="337">
        <v>2527.67</v>
      </c>
      <c r="K312" s="338" t="s">
        <v>398</v>
      </c>
      <c r="L312" s="339" t="s">
        <v>558</v>
      </c>
      <c r="M312" s="340">
        <v>30</v>
      </c>
      <c r="N312" s="341">
        <v>85462</v>
      </c>
      <c r="O312" s="332">
        <v>59.78</v>
      </c>
      <c r="P312" s="342">
        <v>10.5</v>
      </c>
      <c r="Q312" s="343">
        <v>9.5691102406267436</v>
      </c>
      <c r="R312" s="344">
        <v>1.771945701357466</v>
      </c>
      <c r="S312" s="344">
        <v>1.7869999999999999</v>
      </c>
      <c r="T312" s="344">
        <v>1.958</v>
      </c>
      <c r="U312" s="344" t="s">
        <v>136</v>
      </c>
      <c r="V312" s="332" t="s">
        <v>137</v>
      </c>
      <c r="W312" s="345">
        <v>8</v>
      </c>
      <c r="X312" s="346">
        <v>4</v>
      </c>
      <c r="Y312" s="208">
        <v>2.8069999999999999</v>
      </c>
      <c r="Z312" s="332"/>
      <c r="AA312" s="342"/>
      <c r="AB312" s="342"/>
      <c r="AC312" s="342"/>
      <c r="AD312" s="123"/>
      <c r="AE312" s="358">
        <v>1.7170000000000001</v>
      </c>
      <c r="AF312" s="349">
        <v>0</v>
      </c>
      <c r="AG312" s="350"/>
      <c r="AH312" s="351" t="s">
        <v>139</v>
      </c>
      <c r="AI312" s="351" t="s">
        <v>139</v>
      </c>
      <c r="AJ312" s="206" t="s">
        <v>139</v>
      </c>
      <c r="AK312" s="353" t="s">
        <v>540</v>
      </c>
      <c r="AL312" s="206" t="s">
        <v>139</v>
      </c>
      <c r="AM312" s="349">
        <v>103.20009908896132</v>
      </c>
      <c r="AN312" s="354" t="s">
        <v>139</v>
      </c>
      <c r="AO312" s="355" t="s">
        <v>140</v>
      </c>
      <c r="AP312" s="206" t="s">
        <v>139</v>
      </c>
      <c r="AQ312" s="246">
        <v>0</v>
      </c>
      <c r="AR312" s="211"/>
      <c r="AS312" s="297">
        <f>+IF(Table1[[#This Row],[Column40]]="ok",Table1[[#This Row],[Column7]],0)</f>
        <v>1447.72</v>
      </c>
      <c r="AT312" s="295">
        <f>+IF(Table1[[#This Row],[Column40]]="No",Table1[[#This Row],[Column7]],0)</f>
        <v>0</v>
      </c>
      <c r="AU312" s="4" t="str">
        <f>+IF(LEFT(Table1[[#This Row],[Column42]],2)="DN",IF(Table1[[#This Row],[Column40]]="ok","(CA)",_xlfn.CONCAT("(CA)",CHAR(10),"FAIL")),"")</f>
        <v/>
      </c>
      <c r="AV312" s="154" t="str">
        <f>+IF(Table1[[#This Row],[Column6]]=0,"",_xlfn.CONCAT("Sem ",WEEKNUM(Table1[[#This Row],[Column6]],2)))</f>
        <v>Sem 12</v>
      </c>
      <c r="AW312" s="211"/>
    </row>
    <row r="313" spans="2:49" ht="19.5" customHeight="1" x14ac:dyDescent="0.3">
      <c r="B313" s="356" t="s">
        <v>587</v>
      </c>
      <c r="C313" s="331"/>
      <c r="D313" s="332" t="s">
        <v>207</v>
      </c>
      <c r="E313" s="332" t="s">
        <v>133</v>
      </c>
      <c r="F313" s="333"/>
      <c r="G313" s="334">
        <v>46097</v>
      </c>
      <c r="H313" s="335">
        <v>1512.1</v>
      </c>
      <c r="I313" s="336">
        <v>297.20999999999998</v>
      </c>
      <c r="J313" s="337">
        <v>2558.83</v>
      </c>
      <c r="K313" s="338" t="s">
        <v>184</v>
      </c>
      <c r="L313" s="339" t="s">
        <v>424</v>
      </c>
      <c r="M313" s="340">
        <v>30</v>
      </c>
      <c r="N313" s="341">
        <v>85462</v>
      </c>
      <c r="O313" s="332">
        <v>59.78</v>
      </c>
      <c r="P313" s="342">
        <v>11.200000000000001</v>
      </c>
      <c r="Q313" s="343">
        <v>8.5236768802228404</v>
      </c>
      <c r="R313" s="344">
        <v>1.7517985611510789</v>
      </c>
      <c r="S313" s="344">
        <v>1.7949999999999999</v>
      </c>
      <c r="T313" s="344">
        <v>1.948</v>
      </c>
      <c r="U313" s="344" t="s">
        <v>136</v>
      </c>
      <c r="V313" s="332" t="s">
        <v>137</v>
      </c>
      <c r="W313" s="345">
        <v>8</v>
      </c>
      <c r="X313" s="346">
        <v>4</v>
      </c>
      <c r="Y313" s="208">
        <v>2.8069999999999999</v>
      </c>
      <c r="Z313" s="332"/>
      <c r="AA313" s="342"/>
      <c r="AB313" s="342"/>
      <c r="AC313" s="342"/>
      <c r="AD313" s="347"/>
      <c r="AE313" s="358">
        <v>1.7170000000000001</v>
      </c>
      <c r="AF313" s="349">
        <v>0</v>
      </c>
      <c r="AG313" s="350"/>
      <c r="AH313" s="351" t="s">
        <v>139</v>
      </c>
      <c r="AI313" s="351" t="s">
        <v>139</v>
      </c>
      <c r="AJ313" s="206" t="s">
        <v>139</v>
      </c>
      <c r="AK313" s="353" t="s">
        <v>540</v>
      </c>
      <c r="AL313" s="206" t="s">
        <v>139</v>
      </c>
      <c r="AM313" s="349">
        <v>102.02670711421543</v>
      </c>
      <c r="AN313" s="354" t="s">
        <v>139</v>
      </c>
      <c r="AO313" s="355" t="s">
        <v>140</v>
      </c>
      <c r="AP313" s="206" t="s">
        <v>139</v>
      </c>
      <c r="AQ313" s="246">
        <v>0</v>
      </c>
      <c r="AR313" s="211"/>
      <c r="AS313" s="297">
        <f>+IF(Table1[[#This Row],[Column40]]="ok",Table1[[#This Row],[Column7]],0)</f>
        <v>1512.1</v>
      </c>
      <c r="AT313" s="295">
        <f>+IF(Table1[[#This Row],[Column40]]="No",Table1[[#This Row],[Column7]],0)</f>
        <v>0</v>
      </c>
      <c r="AU313" s="4" t="str">
        <f>+IF(LEFT(Table1[[#This Row],[Column42]],2)="DN",IF(Table1[[#This Row],[Column40]]="ok","(CA)",_xlfn.CONCAT("(CA)",CHAR(10),"FAIL")),"")</f>
        <v/>
      </c>
      <c r="AV313" s="154" t="str">
        <f>+IF(Table1[[#This Row],[Column6]]=0,"",_xlfn.CONCAT("Sem ",WEEKNUM(Table1[[#This Row],[Column6]],2)))</f>
        <v>Sem 12</v>
      </c>
      <c r="AW313" s="211"/>
    </row>
    <row r="314" spans="2:49" ht="19.5" customHeight="1" x14ac:dyDescent="0.3">
      <c r="B314" s="356" t="s">
        <v>588</v>
      </c>
      <c r="C314" s="331"/>
      <c r="D314" s="332" t="s">
        <v>207</v>
      </c>
      <c r="E314" s="332" t="s">
        <v>133</v>
      </c>
      <c r="F314" s="333"/>
      <c r="G314" s="334">
        <v>46097</v>
      </c>
      <c r="H314" s="335">
        <v>1496.12</v>
      </c>
      <c r="I314" s="336">
        <v>444.05</v>
      </c>
      <c r="J314" s="337">
        <v>2514.06</v>
      </c>
      <c r="K314" s="338" t="s">
        <v>184</v>
      </c>
      <c r="L314" s="339" t="s">
        <v>179</v>
      </c>
      <c r="M314" s="340">
        <v>30</v>
      </c>
      <c r="N314" s="341">
        <v>85462</v>
      </c>
      <c r="O314" s="332">
        <v>59.78</v>
      </c>
      <c r="P314" s="342">
        <v>9.5</v>
      </c>
      <c r="Q314" s="343">
        <v>10.011574074074069</v>
      </c>
      <c r="R314" s="344">
        <v>1.7360730593607308</v>
      </c>
      <c r="S314" s="344">
        <v>1.728</v>
      </c>
      <c r="T314" s="344">
        <v>1.901</v>
      </c>
      <c r="U314" s="344" t="s">
        <v>136</v>
      </c>
      <c r="V314" s="332" t="s">
        <v>137</v>
      </c>
      <c r="W314" s="345">
        <v>8</v>
      </c>
      <c r="X314" s="346">
        <v>4</v>
      </c>
      <c r="Y314" s="208">
        <v>2.8069999999999999</v>
      </c>
      <c r="Z314" s="332"/>
      <c r="AA314" s="342"/>
      <c r="AB314" s="342"/>
      <c r="AC314" s="342"/>
      <c r="AD314" s="347"/>
      <c r="AE314" s="358">
        <v>1.7170000000000001</v>
      </c>
      <c r="AF314" s="349">
        <v>0</v>
      </c>
      <c r="AG314" s="350"/>
      <c r="AH314" s="351" t="s">
        <v>139</v>
      </c>
      <c r="AI314" s="351" t="s">
        <v>139</v>
      </c>
      <c r="AJ314" s="206" t="s">
        <v>139</v>
      </c>
      <c r="AK314" s="353" t="s">
        <v>540</v>
      </c>
      <c r="AL314" s="206" t="s">
        <v>139</v>
      </c>
      <c r="AM314" s="349">
        <v>101.11083630522602</v>
      </c>
      <c r="AN314" s="354" t="s">
        <v>139</v>
      </c>
      <c r="AO314" s="355" t="s">
        <v>140</v>
      </c>
      <c r="AP314" s="206" t="s">
        <v>139</v>
      </c>
      <c r="AQ314" s="246">
        <v>0</v>
      </c>
      <c r="AR314" s="211"/>
      <c r="AS314" s="297">
        <f>+IF(Table1[[#This Row],[Column40]]="ok",Table1[[#This Row],[Column7]],0)</f>
        <v>1496.12</v>
      </c>
      <c r="AT314" s="295">
        <f>+IF(Table1[[#This Row],[Column40]]="No",Table1[[#This Row],[Column7]],0)</f>
        <v>0</v>
      </c>
      <c r="AU314" s="4" t="str">
        <f>+IF(LEFT(Table1[[#This Row],[Column42]],2)="DN",IF(Table1[[#This Row],[Column40]]="ok","(CA)",_xlfn.CONCAT("(CA)",CHAR(10),"FAIL")),"")</f>
        <v/>
      </c>
      <c r="AV314" s="154" t="str">
        <f>+IF(Table1[[#This Row],[Column6]]=0,"",_xlfn.CONCAT("Sem ",WEEKNUM(Table1[[#This Row],[Column6]],2)))</f>
        <v>Sem 12</v>
      </c>
      <c r="AW314" s="211"/>
    </row>
    <row r="315" spans="2:49" ht="19.5" customHeight="1" x14ac:dyDescent="0.3">
      <c r="B315" s="356" t="s">
        <v>589</v>
      </c>
      <c r="C315" s="331"/>
      <c r="D315" s="332" t="s">
        <v>207</v>
      </c>
      <c r="E315" s="332" t="s">
        <v>133</v>
      </c>
      <c r="F315" s="333"/>
      <c r="G315" s="334">
        <v>46097</v>
      </c>
      <c r="H315" s="335">
        <v>1475.88</v>
      </c>
      <c r="I315" s="336">
        <v>324.64999999999998</v>
      </c>
      <c r="J315" s="337">
        <v>2550.83</v>
      </c>
      <c r="K315" s="338" t="s">
        <v>184</v>
      </c>
      <c r="L315" s="339" t="s">
        <v>179</v>
      </c>
      <c r="M315" s="340">
        <v>30</v>
      </c>
      <c r="N315" s="341">
        <v>85462</v>
      </c>
      <c r="O315" s="332">
        <v>59.78</v>
      </c>
      <c r="P315" s="342">
        <v>10.299999999999999</v>
      </c>
      <c r="Q315" s="343">
        <v>10.069044879171463</v>
      </c>
      <c r="R315" s="344">
        <v>1.7343608340888486</v>
      </c>
      <c r="S315" s="344">
        <v>1.738</v>
      </c>
      <c r="T315" s="344">
        <v>1.913</v>
      </c>
      <c r="U315" s="344" t="s">
        <v>136</v>
      </c>
      <c r="V315" s="332" t="s">
        <v>137</v>
      </c>
      <c r="W315" s="345">
        <v>8</v>
      </c>
      <c r="X315" s="346">
        <v>4</v>
      </c>
      <c r="Y315" s="208">
        <v>2.8069999999999999</v>
      </c>
      <c r="Z315" s="332"/>
      <c r="AA315" s="342"/>
      <c r="AB315" s="342"/>
      <c r="AC315" s="342"/>
      <c r="AD315" s="347"/>
      <c r="AE315" s="358">
        <v>1.709379825755752</v>
      </c>
      <c r="AF315" s="349">
        <v>17.146040795525575</v>
      </c>
      <c r="AG315" s="350"/>
      <c r="AH315" s="351">
        <v>1.7074422583404618</v>
      </c>
      <c r="AI315" s="352">
        <v>1.996</v>
      </c>
      <c r="AJ315" s="206">
        <v>16.900000000000002</v>
      </c>
      <c r="AK315" s="353" t="s">
        <v>250</v>
      </c>
      <c r="AL315" s="206">
        <v>0.24604079552557323</v>
      </c>
      <c r="AM315" s="349">
        <v>101.46140769632939</v>
      </c>
      <c r="AN315" s="354" t="s">
        <v>139</v>
      </c>
      <c r="AO315" s="355" t="s">
        <v>140</v>
      </c>
      <c r="AP315" s="206" t="s">
        <v>139</v>
      </c>
      <c r="AQ315" s="246" t="s">
        <v>590</v>
      </c>
      <c r="AR315" s="211"/>
      <c r="AS315" s="297">
        <f>+IF(Table1[[#This Row],[Column40]]="ok",Table1[[#This Row],[Column7]],0)</f>
        <v>1475.88</v>
      </c>
      <c r="AT315" s="295">
        <f>+IF(Table1[[#This Row],[Column40]]="No",Table1[[#This Row],[Column7]],0)</f>
        <v>0</v>
      </c>
      <c r="AU315" s="4" t="str">
        <f>+IF(LEFT(Table1[[#This Row],[Column42]],2)="DN",IF(Table1[[#This Row],[Column40]]="ok","(CA)",_xlfn.CONCAT("(CA)",CHAR(10),"FAIL")),"")</f>
        <v/>
      </c>
      <c r="AV315" s="154" t="str">
        <f>+IF(Table1[[#This Row],[Column6]]=0,"",_xlfn.CONCAT("Sem ",WEEKNUM(Table1[[#This Row],[Column6]],2)))</f>
        <v>Sem 12</v>
      </c>
      <c r="AW315" s="211"/>
    </row>
    <row r="316" spans="2:49" ht="19.5" customHeight="1" x14ac:dyDescent="0.3">
      <c r="B316" s="356" t="s">
        <v>590</v>
      </c>
      <c r="C316" s="331"/>
      <c r="D316" s="332" t="s">
        <v>207</v>
      </c>
      <c r="E316" s="332" t="s">
        <v>172</v>
      </c>
      <c r="F316" s="333"/>
      <c r="G316" s="334">
        <v>46097</v>
      </c>
      <c r="H316" s="335">
        <v>1475.88</v>
      </c>
      <c r="I316" s="336">
        <v>324.64999999999998</v>
      </c>
      <c r="J316" s="337">
        <v>2550.83</v>
      </c>
      <c r="K316" s="338" t="s">
        <v>184</v>
      </c>
      <c r="L316" s="339" t="s">
        <v>179</v>
      </c>
      <c r="M316" s="340">
        <v>15</v>
      </c>
      <c r="N316" s="341"/>
      <c r="O316" s="332"/>
      <c r="P316" s="342">
        <v>10.338934776416998</v>
      </c>
      <c r="Q316" s="343"/>
      <c r="R316" s="344">
        <v>1.7380613560254479</v>
      </c>
      <c r="S316" s="344"/>
      <c r="T316" s="344">
        <v>1.9177583859990279</v>
      </c>
      <c r="U316" s="344" t="s">
        <v>142</v>
      </c>
      <c r="V316" s="332" t="s">
        <v>137</v>
      </c>
      <c r="W316" s="345">
        <v>6</v>
      </c>
      <c r="X316" s="346">
        <v>8</v>
      </c>
      <c r="Y316" s="208"/>
      <c r="Z316" s="332" t="s">
        <v>143</v>
      </c>
      <c r="AA316" s="342">
        <v>98.606090584606434</v>
      </c>
      <c r="AB316" s="342">
        <v>76.670358205518227</v>
      </c>
      <c r="AC316" s="342">
        <v>36.246985159104824</v>
      </c>
      <c r="AD316" s="347">
        <v>11.560115775950365</v>
      </c>
      <c r="AE316" s="358">
        <v>1.709379825755752</v>
      </c>
      <c r="AF316" s="349">
        <v>17.146040795525575</v>
      </c>
      <c r="AG316" s="350" t="s">
        <v>250</v>
      </c>
      <c r="AH316" s="351">
        <v>1.7075609808077878</v>
      </c>
      <c r="AI316" s="352">
        <v>1.9957310565635005</v>
      </c>
      <c r="AJ316" s="206">
        <v>16.876122082585265</v>
      </c>
      <c r="AK316" s="353" t="s">
        <v>250</v>
      </c>
      <c r="AL316" s="206">
        <v>0.26991871294031</v>
      </c>
      <c r="AM316" s="349">
        <v>101.6778910010252</v>
      </c>
      <c r="AN316" s="354" t="s">
        <v>139</v>
      </c>
      <c r="AO316" s="355" t="s">
        <v>144</v>
      </c>
      <c r="AP316" s="206">
        <v>0</v>
      </c>
      <c r="AQ316" s="246" t="s">
        <v>589</v>
      </c>
      <c r="AR316" s="211"/>
      <c r="AS316" s="297">
        <f>+IF(Table1[[#This Row],[Column40]]="ok",Table1[[#This Row],[Column7]],0)</f>
        <v>1475.88</v>
      </c>
      <c r="AT316" s="295">
        <f>+IF(Table1[[#This Row],[Column40]]="No",Table1[[#This Row],[Column7]],0)</f>
        <v>0</v>
      </c>
      <c r="AU316" s="4" t="str">
        <f>+IF(LEFT(Table1[[#This Row],[Column42]],2)="DN",IF(Table1[[#This Row],[Column40]]="ok","(CA)",_xlfn.CONCAT("(CA)",CHAR(10),"FAIL")),"")</f>
        <v>(CA)</v>
      </c>
      <c r="AV316" s="154" t="str">
        <f>+IF(Table1[[#This Row],[Column6]]=0,"",_xlfn.CONCAT("Sem ",WEEKNUM(Table1[[#This Row],[Column6]],2)))</f>
        <v>Sem 12</v>
      </c>
      <c r="AW316" s="211"/>
    </row>
    <row r="317" spans="2:49" ht="19.5" customHeight="1" x14ac:dyDescent="0.3">
      <c r="B317" s="356" t="s">
        <v>591</v>
      </c>
      <c r="C317" s="331"/>
      <c r="D317" s="332" t="s">
        <v>207</v>
      </c>
      <c r="E317" s="332" t="s">
        <v>133</v>
      </c>
      <c r="F317" s="333"/>
      <c r="G317" s="334">
        <v>46097</v>
      </c>
      <c r="H317" s="335">
        <v>1549.34</v>
      </c>
      <c r="I317" s="336">
        <v>304.92</v>
      </c>
      <c r="J317" s="337">
        <v>2556.06</v>
      </c>
      <c r="K317" s="338" t="s">
        <v>184</v>
      </c>
      <c r="L317" s="339" t="s">
        <v>177</v>
      </c>
      <c r="M317" s="340">
        <v>30</v>
      </c>
      <c r="N317" s="341">
        <v>85462</v>
      </c>
      <c r="O317" s="332">
        <v>59.78</v>
      </c>
      <c r="P317" s="342">
        <v>9.1</v>
      </c>
      <c r="Q317" s="343">
        <v>9.1066282420749332</v>
      </c>
      <c r="R317" s="344">
        <v>1.7351054078826764</v>
      </c>
      <c r="S317" s="344">
        <v>1.7350000000000001</v>
      </c>
      <c r="T317" s="344">
        <v>1.893</v>
      </c>
      <c r="U317" s="344" t="s">
        <v>136</v>
      </c>
      <c r="V317" s="332" t="s">
        <v>137</v>
      </c>
      <c r="W317" s="345">
        <v>8</v>
      </c>
      <c r="X317" s="346">
        <v>4</v>
      </c>
      <c r="Y317" s="208">
        <v>2.8069999999999999</v>
      </c>
      <c r="Z317" s="332"/>
      <c r="AA317" s="342"/>
      <c r="AB317" s="342"/>
      <c r="AC317" s="342"/>
      <c r="AD317" s="347"/>
      <c r="AE317" s="358">
        <v>1.7170000000000001</v>
      </c>
      <c r="AF317" s="349">
        <v>0</v>
      </c>
      <c r="AG317" s="350"/>
      <c r="AH317" s="351" t="s">
        <v>139</v>
      </c>
      <c r="AI317" s="352" t="s">
        <v>139</v>
      </c>
      <c r="AJ317" s="206" t="s">
        <v>139</v>
      </c>
      <c r="AK317" s="353" t="s">
        <v>540</v>
      </c>
      <c r="AL317" s="206" t="s">
        <v>139</v>
      </c>
      <c r="AM317" s="349">
        <v>101.05447920108772</v>
      </c>
      <c r="AN317" s="354" t="s">
        <v>139</v>
      </c>
      <c r="AO317" s="355" t="s">
        <v>140</v>
      </c>
      <c r="AP317" s="206" t="s">
        <v>139</v>
      </c>
      <c r="AQ317" s="246">
        <v>0</v>
      </c>
      <c r="AR317" s="211"/>
      <c r="AS317" s="297">
        <f>+IF(Table1[[#This Row],[Column40]]="ok",Table1[[#This Row],[Column7]],0)</f>
        <v>1549.34</v>
      </c>
      <c r="AT317" s="295">
        <f>+IF(Table1[[#This Row],[Column40]]="No",Table1[[#This Row],[Column7]],0)</f>
        <v>0</v>
      </c>
      <c r="AU317" s="4" t="str">
        <f>+IF(LEFT(Table1[[#This Row],[Column42]],2)="DN",IF(Table1[[#This Row],[Column40]]="ok","(CA)",_xlfn.CONCAT("(CA)",CHAR(10),"FAIL")),"")</f>
        <v/>
      </c>
      <c r="AV317" s="154" t="str">
        <f>+IF(Table1[[#This Row],[Column6]]=0,"",_xlfn.CONCAT("Sem ",WEEKNUM(Table1[[#This Row],[Column6]],2)))</f>
        <v>Sem 12</v>
      </c>
      <c r="AW317" s="211"/>
    </row>
    <row r="318" spans="2:49" ht="19.5" customHeight="1" x14ac:dyDescent="0.3">
      <c r="B318" s="356" t="s">
        <v>592</v>
      </c>
      <c r="C318" s="331"/>
      <c r="D318" s="332" t="s">
        <v>207</v>
      </c>
      <c r="E318" s="332" t="s">
        <v>133</v>
      </c>
      <c r="F318" s="333"/>
      <c r="G318" s="334">
        <v>46097</v>
      </c>
      <c r="H318" s="335">
        <v>1613.53</v>
      </c>
      <c r="I318" s="336">
        <v>411.69</v>
      </c>
      <c r="J318" s="337">
        <v>2523.5</v>
      </c>
      <c r="K318" s="338" t="s">
        <v>184</v>
      </c>
      <c r="L318" s="339" t="s">
        <v>163</v>
      </c>
      <c r="M318" s="340">
        <v>30</v>
      </c>
      <c r="N318" s="341">
        <v>85462</v>
      </c>
      <c r="O318" s="332">
        <v>59.78</v>
      </c>
      <c r="P318" s="342">
        <v>7.5</v>
      </c>
      <c r="Q318" s="343">
        <v>8.333333333333325</v>
      </c>
      <c r="R318" s="344">
        <v>1.7534883720930234</v>
      </c>
      <c r="S318" s="344">
        <v>1.74</v>
      </c>
      <c r="T318" s="344">
        <v>1.885</v>
      </c>
      <c r="U318" s="344" t="s">
        <v>136</v>
      </c>
      <c r="V318" s="332" t="s">
        <v>137</v>
      </c>
      <c r="W318" s="345">
        <v>8</v>
      </c>
      <c r="X318" s="346">
        <v>4</v>
      </c>
      <c r="Y318" s="208">
        <v>2.8069999999999999</v>
      </c>
      <c r="Z318" s="332"/>
      <c r="AA318" s="342"/>
      <c r="AB318" s="342"/>
      <c r="AC318" s="342"/>
      <c r="AD318" s="347"/>
      <c r="AE318" s="358">
        <v>1.7170000000000001</v>
      </c>
      <c r="AF318" s="349">
        <v>0</v>
      </c>
      <c r="AG318" s="350"/>
      <c r="AH318" s="351" t="s">
        <v>139</v>
      </c>
      <c r="AI318" s="352" t="s">
        <v>139</v>
      </c>
      <c r="AJ318" s="206" t="s">
        <v>139</v>
      </c>
      <c r="AK318" s="353" t="s">
        <v>540</v>
      </c>
      <c r="AL318" s="206" t="s">
        <v>139</v>
      </c>
      <c r="AM318" s="349">
        <v>102.12512359307067</v>
      </c>
      <c r="AN318" s="354" t="s">
        <v>139</v>
      </c>
      <c r="AO318" s="355" t="s">
        <v>140</v>
      </c>
      <c r="AP318" s="206" t="s">
        <v>139</v>
      </c>
      <c r="AQ318" s="246">
        <v>0</v>
      </c>
      <c r="AR318" s="211"/>
      <c r="AS318" s="297">
        <f>+IF(Table1[[#This Row],[Column40]]="ok",Table1[[#This Row],[Column7]],0)</f>
        <v>1613.53</v>
      </c>
      <c r="AT318" s="295">
        <f>+IF(Table1[[#This Row],[Column40]]="No",Table1[[#This Row],[Column7]],0)</f>
        <v>0</v>
      </c>
      <c r="AU318" s="4" t="str">
        <f>+IF(LEFT(Table1[[#This Row],[Column42]],2)="DN",IF(Table1[[#This Row],[Column40]]="ok","(CA)",_xlfn.CONCAT("(CA)",CHAR(10),"FAIL")),"")</f>
        <v/>
      </c>
      <c r="AV318" s="154" t="str">
        <f>+IF(Table1[[#This Row],[Column6]]=0,"",_xlfn.CONCAT("Sem ",WEEKNUM(Table1[[#This Row],[Column6]],2)))</f>
        <v>Sem 12</v>
      </c>
      <c r="AW318" s="211"/>
    </row>
    <row r="319" spans="2:49" ht="19.5" customHeight="1" x14ac:dyDescent="0.3">
      <c r="B319" s="356" t="s">
        <v>593</v>
      </c>
      <c r="C319" s="331"/>
      <c r="D319" s="332" t="s">
        <v>207</v>
      </c>
      <c r="E319" s="332" t="s">
        <v>133</v>
      </c>
      <c r="F319" s="333"/>
      <c r="G319" s="334">
        <v>46097</v>
      </c>
      <c r="H319" s="335">
        <v>1550.21</v>
      </c>
      <c r="I319" s="336">
        <v>474.91</v>
      </c>
      <c r="J319" s="337">
        <v>2505.21</v>
      </c>
      <c r="K319" s="338" t="s">
        <v>184</v>
      </c>
      <c r="L319" s="339" t="s">
        <v>177</v>
      </c>
      <c r="M319" s="340">
        <v>30</v>
      </c>
      <c r="N319" s="341">
        <v>85462</v>
      </c>
      <c r="O319" s="332">
        <v>59.78</v>
      </c>
      <c r="P319" s="342">
        <v>10.9</v>
      </c>
      <c r="Q319" s="343">
        <v>9.5050618672665834</v>
      </c>
      <c r="R319" s="344">
        <v>1.7556357078449054</v>
      </c>
      <c r="S319" s="344">
        <v>1.778</v>
      </c>
      <c r="T319" s="344">
        <v>1.9470000000000001</v>
      </c>
      <c r="U319" s="344" t="s">
        <v>136</v>
      </c>
      <c r="V319" s="332" t="s">
        <v>137</v>
      </c>
      <c r="W319" s="345">
        <v>8</v>
      </c>
      <c r="X319" s="346">
        <v>4</v>
      </c>
      <c r="Y319" s="208">
        <v>2.8069999999999999</v>
      </c>
      <c r="Z319" s="332"/>
      <c r="AA319" s="342"/>
      <c r="AB319" s="342"/>
      <c r="AC319" s="342"/>
      <c r="AD319" s="123"/>
      <c r="AE319" s="358">
        <v>1.7170000000000001</v>
      </c>
      <c r="AF319" s="349">
        <v>0</v>
      </c>
      <c r="AG319" s="350"/>
      <c r="AH319" s="351" t="s">
        <v>139</v>
      </c>
      <c r="AI319" s="351" t="s">
        <v>139</v>
      </c>
      <c r="AJ319" s="206" t="s">
        <v>139</v>
      </c>
      <c r="AK319" s="353" t="s">
        <v>540</v>
      </c>
      <c r="AL319" s="206" t="s">
        <v>139</v>
      </c>
      <c r="AM319" s="349">
        <v>102.2501868284744</v>
      </c>
      <c r="AN319" s="354" t="s">
        <v>139</v>
      </c>
      <c r="AO319" s="355" t="s">
        <v>140</v>
      </c>
      <c r="AP319" s="206" t="s">
        <v>139</v>
      </c>
      <c r="AQ319" s="207">
        <v>0</v>
      </c>
      <c r="AR319" s="211"/>
      <c r="AS319" s="297">
        <f>+IF(Table1[[#This Row],[Column40]]="ok",Table1[[#This Row],[Column7]],0)</f>
        <v>1550.21</v>
      </c>
      <c r="AT319" s="295">
        <f>+IF(Table1[[#This Row],[Column40]]="No",Table1[[#This Row],[Column7]],0)</f>
        <v>0</v>
      </c>
      <c r="AU319" s="4" t="str">
        <f>+IF(LEFT(Table1[[#This Row],[Column42]],2)="DN",IF(Table1[[#This Row],[Column40]]="ok","(CA)",_xlfn.CONCAT("(CA)",CHAR(10),"FAIL")),"")</f>
        <v/>
      </c>
      <c r="AV319" s="154" t="str">
        <f>+IF(Table1[[#This Row],[Column6]]=0,"",_xlfn.CONCAT("Sem ",WEEKNUM(Table1[[#This Row],[Column6]],2)))</f>
        <v>Sem 12</v>
      </c>
      <c r="AW319" s="211"/>
    </row>
    <row r="320" spans="2:49" ht="19.5" customHeight="1" x14ac:dyDescent="0.3">
      <c r="B320" s="356" t="s">
        <v>594</v>
      </c>
      <c r="C320" s="331"/>
      <c r="D320" s="332" t="s">
        <v>207</v>
      </c>
      <c r="E320" s="332" t="s">
        <v>176</v>
      </c>
      <c r="F320" s="333"/>
      <c r="G320" s="334">
        <v>46097</v>
      </c>
      <c r="H320" s="335">
        <v>1277.5</v>
      </c>
      <c r="I320" s="336">
        <v>397.16</v>
      </c>
      <c r="J320" s="337">
        <v>2529.1999999999998</v>
      </c>
      <c r="K320" s="338" t="s">
        <v>253</v>
      </c>
      <c r="L320" s="339" t="s">
        <v>402</v>
      </c>
      <c r="M320" s="340">
        <v>30</v>
      </c>
      <c r="N320" s="341">
        <v>85462</v>
      </c>
      <c r="O320" s="332">
        <v>59.78</v>
      </c>
      <c r="P320" s="342">
        <v>9.7000000000000011</v>
      </c>
      <c r="Q320" s="343">
        <v>9.4231867504283251</v>
      </c>
      <c r="R320" s="344">
        <v>1.7465815861440293</v>
      </c>
      <c r="S320" s="344">
        <v>1.7509999999999999</v>
      </c>
      <c r="T320" s="344">
        <v>1.9159999999999999</v>
      </c>
      <c r="U320" s="344" t="s">
        <v>136</v>
      </c>
      <c r="V320" s="332" t="s">
        <v>137</v>
      </c>
      <c r="W320" s="345">
        <v>8</v>
      </c>
      <c r="X320" s="346">
        <v>4</v>
      </c>
      <c r="Y320" s="208">
        <v>2.8069999999999999</v>
      </c>
      <c r="Z320" s="332"/>
      <c r="AA320" s="342"/>
      <c r="AB320" s="342"/>
      <c r="AC320" s="342"/>
      <c r="AD320" s="123"/>
      <c r="AE320" s="358">
        <v>1.7170000000000001</v>
      </c>
      <c r="AF320" s="349">
        <v>0</v>
      </c>
      <c r="AG320" s="350"/>
      <c r="AH320" s="351" t="s">
        <v>139</v>
      </c>
      <c r="AI320" s="351" t="s">
        <v>139</v>
      </c>
      <c r="AJ320" s="206" t="s">
        <v>139</v>
      </c>
      <c r="AK320" s="353" t="s">
        <v>540</v>
      </c>
      <c r="AL320" s="206" t="s">
        <v>139</v>
      </c>
      <c r="AM320" s="349">
        <v>101.72286465602967</v>
      </c>
      <c r="AN320" s="354" t="s">
        <v>139</v>
      </c>
      <c r="AO320" s="355" t="s">
        <v>140</v>
      </c>
      <c r="AP320" s="206" t="s">
        <v>139</v>
      </c>
      <c r="AQ320" s="207">
        <v>0</v>
      </c>
      <c r="AR320" s="211"/>
      <c r="AS320" s="297">
        <f>+IF(Table1[[#This Row],[Column40]]="ok",Table1[[#This Row],[Column7]],0)</f>
        <v>1277.5</v>
      </c>
      <c r="AT320" s="295">
        <f>+IF(Table1[[#This Row],[Column40]]="No",Table1[[#This Row],[Column7]],0)</f>
        <v>0</v>
      </c>
      <c r="AU320" s="4" t="str">
        <f>+IF(LEFT(Table1[[#This Row],[Column42]],2)="DN",IF(Table1[[#This Row],[Column40]]="ok","(CA)",_xlfn.CONCAT("(CA)",CHAR(10),"FAIL")),"")</f>
        <v/>
      </c>
      <c r="AV320" s="154" t="str">
        <f>+IF(Table1[[#This Row],[Column6]]=0,"",_xlfn.CONCAT("Sem ",WEEKNUM(Table1[[#This Row],[Column6]],2)))</f>
        <v>Sem 12</v>
      </c>
      <c r="AW320" s="211"/>
    </row>
    <row r="321" spans="2:49" ht="19.5" customHeight="1" x14ac:dyDescent="0.3">
      <c r="B321" s="356" t="s">
        <v>595</v>
      </c>
      <c r="C321" s="331"/>
      <c r="D321" s="332" t="s">
        <v>207</v>
      </c>
      <c r="E321" s="332" t="s">
        <v>176</v>
      </c>
      <c r="F321" s="333"/>
      <c r="G321" s="334">
        <v>46097</v>
      </c>
      <c r="H321" s="335">
        <v>1341.22</v>
      </c>
      <c r="I321" s="336">
        <v>427.93</v>
      </c>
      <c r="J321" s="337">
        <v>2520.25</v>
      </c>
      <c r="K321" s="338" t="s">
        <v>398</v>
      </c>
      <c r="L321" s="339" t="s">
        <v>400</v>
      </c>
      <c r="M321" s="340">
        <v>30</v>
      </c>
      <c r="N321" s="341">
        <v>85462</v>
      </c>
      <c r="O321" s="332">
        <v>59.78</v>
      </c>
      <c r="P321" s="342">
        <v>9.8000000000000007</v>
      </c>
      <c r="Q321" s="343">
        <v>8.6980920314253751</v>
      </c>
      <c r="R321" s="344">
        <v>1.7641165755919854</v>
      </c>
      <c r="S321" s="344">
        <v>1.782</v>
      </c>
      <c r="T321" s="344">
        <v>1.9370000000000001</v>
      </c>
      <c r="U321" s="344" t="s">
        <v>136</v>
      </c>
      <c r="V321" s="332" t="s">
        <v>137</v>
      </c>
      <c r="W321" s="345">
        <v>8</v>
      </c>
      <c r="X321" s="346">
        <v>4</v>
      </c>
      <c r="Y321" s="208">
        <v>2.8069999999999999</v>
      </c>
      <c r="Z321" s="332"/>
      <c r="AA321" s="342"/>
      <c r="AB321" s="342"/>
      <c r="AC321" s="342"/>
      <c r="AD321" s="347"/>
      <c r="AE321" s="358">
        <v>1.7170000000000001</v>
      </c>
      <c r="AF321" s="349">
        <v>0</v>
      </c>
      <c r="AG321" s="350"/>
      <c r="AH321" s="351" t="s">
        <v>139</v>
      </c>
      <c r="AI321" s="352" t="s">
        <v>139</v>
      </c>
      <c r="AJ321" s="206" t="s">
        <v>139</v>
      </c>
      <c r="AK321" s="353" t="s">
        <v>540</v>
      </c>
      <c r="AL321" s="206" t="s">
        <v>139</v>
      </c>
      <c r="AM321" s="349">
        <v>102.74412204962059</v>
      </c>
      <c r="AN321" s="354" t="s">
        <v>139</v>
      </c>
      <c r="AO321" s="355" t="s">
        <v>140</v>
      </c>
      <c r="AP321" s="206" t="s">
        <v>139</v>
      </c>
      <c r="AQ321" s="246">
        <v>0</v>
      </c>
      <c r="AR321" s="211"/>
      <c r="AS321" s="297">
        <f>+IF(Table1[[#This Row],[Column40]]="ok",Table1[[#This Row],[Column7]],0)</f>
        <v>1341.22</v>
      </c>
      <c r="AT321" s="295">
        <f>+IF(Table1[[#This Row],[Column40]]="No",Table1[[#This Row],[Column7]],0)</f>
        <v>0</v>
      </c>
      <c r="AU321" s="4" t="str">
        <f>+IF(LEFT(Table1[[#This Row],[Column42]],2)="DN",IF(Table1[[#This Row],[Column40]]="ok","(CA)",_xlfn.CONCAT("(CA)",CHAR(10),"FAIL")),"")</f>
        <v/>
      </c>
      <c r="AV321" s="154" t="str">
        <f>+IF(Table1[[#This Row],[Column6]]=0,"",_xlfn.CONCAT("Sem ",WEEKNUM(Table1[[#This Row],[Column6]],2)))</f>
        <v>Sem 12</v>
      </c>
      <c r="AW321" s="211"/>
    </row>
    <row r="322" spans="2:49" ht="19.5" customHeight="1" x14ac:dyDescent="0.3">
      <c r="B322" s="356" t="s">
        <v>596</v>
      </c>
      <c r="C322" s="331"/>
      <c r="D322" s="332" t="s">
        <v>207</v>
      </c>
      <c r="E322" s="332" t="s">
        <v>176</v>
      </c>
      <c r="F322" s="333"/>
      <c r="G322" s="334">
        <v>46097</v>
      </c>
      <c r="H322" s="335">
        <v>1445.57</v>
      </c>
      <c r="I322" s="336">
        <v>454.34</v>
      </c>
      <c r="J322" s="337">
        <v>2511.5500000000002</v>
      </c>
      <c r="K322" s="338" t="s">
        <v>398</v>
      </c>
      <c r="L322" s="339" t="s">
        <v>558</v>
      </c>
      <c r="M322" s="340">
        <v>30</v>
      </c>
      <c r="N322" s="341">
        <v>85462</v>
      </c>
      <c r="O322" s="332">
        <v>59.78</v>
      </c>
      <c r="P322" s="342">
        <v>8.7999999999999989</v>
      </c>
      <c r="Q322" s="343">
        <v>9.302325581395344</v>
      </c>
      <c r="R322" s="344">
        <v>1.7279411764705881</v>
      </c>
      <c r="S322" s="344">
        <v>1.72</v>
      </c>
      <c r="T322" s="344">
        <v>1.88</v>
      </c>
      <c r="U322" s="344" t="s">
        <v>136</v>
      </c>
      <c r="V322" s="332" t="s">
        <v>137</v>
      </c>
      <c r="W322" s="345">
        <v>8</v>
      </c>
      <c r="X322" s="346">
        <v>4</v>
      </c>
      <c r="Y322" s="208">
        <v>2.8069999999999999</v>
      </c>
      <c r="Z322" s="332"/>
      <c r="AA322" s="342"/>
      <c r="AB322" s="342"/>
      <c r="AC322" s="342"/>
      <c r="AD322" s="347"/>
      <c r="AE322" s="358">
        <v>1.7170000000000001</v>
      </c>
      <c r="AF322" s="349">
        <v>0</v>
      </c>
      <c r="AG322" s="350"/>
      <c r="AH322" s="351" t="s">
        <v>139</v>
      </c>
      <c r="AI322" s="352" t="s">
        <v>139</v>
      </c>
      <c r="AJ322" s="206" t="s">
        <v>139</v>
      </c>
      <c r="AK322" s="353" t="s">
        <v>540</v>
      </c>
      <c r="AL322" s="206" t="s">
        <v>139</v>
      </c>
      <c r="AM322" s="349">
        <v>100.637226352393</v>
      </c>
      <c r="AN322" s="354" t="s">
        <v>139</v>
      </c>
      <c r="AO322" s="355" t="s">
        <v>140</v>
      </c>
      <c r="AP322" s="206" t="s">
        <v>139</v>
      </c>
      <c r="AQ322" s="246">
        <v>0</v>
      </c>
      <c r="AR322" s="211"/>
      <c r="AS322" s="297">
        <f>+IF(Table1[[#This Row],[Column40]]="ok",Table1[[#This Row],[Column7]],0)</f>
        <v>1445.57</v>
      </c>
      <c r="AT322" s="295">
        <f>+IF(Table1[[#This Row],[Column40]]="No",Table1[[#This Row],[Column7]],0)</f>
        <v>0</v>
      </c>
      <c r="AU322" s="4" t="str">
        <f>+IF(LEFT(Table1[[#This Row],[Column42]],2)="DN",IF(Table1[[#This Row],[Column40]]="ok","(CA)",_xlfn.CONCAT("(CA)",CHAR(10),"FAIL")),"")</f>
        <v/>
      </c>
      <c r="AV322" s="154" t="str">
        <f>+IF(Table1[[#This Row],[Column6]]=0,"",_xlfn.CONCAT("Sem ",WEEKNUM(Table1[[#This Row],[Column6]],2)))</f>
        <v>Sem 12</v>
      </c>
      <c r="AW322" s="211"/>
    </row>
    <row r="323" spans="2:49" ht="19.5" customHeight="1" x14ac:dyDescent="0.3">
      <c r="B323" s="356" t="s">
        <v>597</v>
      </c>
      <c r="C323" s="331"/>
      <c r="D323" s="332" t="s">
        <v>207</v>
      </c>
      <c r="E323" s="332" t="s">
        <v>176</v>
      </c>
      <c r="F323" s="333"/>
      <c r="G323" s="334">
        <v>46097</v>
      </c>
      <c r="H323" s="335">
        <v>1444.43</v>
      </c>
      <c r="I323" s="336">
        <v>573.61</v>
      </c>
      <c r="J323" s="337">
        <v>2478.4</v>
      </c>
      <c r="K323" s="338" t="s">
        <v>429</v>
      </c>
      <c r="L323" s="339" t="s">
        <v>558</v>
      </c>
      <c r="M323" s="340">
        <v>30</v>
      </c>
      <c r="N323" s="341">
        <v>85462</v>
      </c>
      <c r="O323" s="332">
        <v>59.78</v>
      </c>
      <c r="P323" s="342">
        <v>9.4</v>
      </c>
      <c r="Q323" s="343">
        <v>9.7391304347826058</v>
      </c>
      <c r="R323" s="344">
        <v>1.7303473491773307</v>
      </c>
      <c r="S323" s="344">
        <v>1.7250000000000001</v>
      </c>
      <c r="T323" s="344">
        <v>1.893</v>
      </c>
      <c r="U323" s="344" t="s">
        <v>136</v>
      </c>
      <c r="V323" s="332" t="s">
        <v>137</v>
      </c>
      <c r="W323" s="345">
        <v>8</v>
      </c>
      <c r="X323" s="346">
        <v>4</v>
      </c>
      <c r="Y323" s="208">
        <v>2.8069999999999999</v>
      </c>
      <c r="Z323" s="332"/>
      <c r="AA323" s="342"/>
      <c r="AB323" s="342"/>
      <c r="AC323" s="342"/>
      <c r="AD323" s="347"/>
      <c r="AE323" s="358">
        <v>1.7170000000000001</v>
      </c>
      <c r="AF323" s="349" t="s">
        <v>139</v>
      </c>
      <c r="AG323" s="350"/>
      <c r="AH323" s="351" t="s">
        <v>139</v>
      </c>
      <c r="AI323" s="352" t="s">
        <v>139</v>
      </c>
      <c r="AJ323" s="206" t="s">
        <v>139</v>
      </c>
      <c r="AK323" s="353" t="s">
        <v>540</v>
      </c>
      <c r="AL323" s="206" t="s">
        <v>139</v>
      </c>
      <c r="AM323" s="349">
        <v>100.77736454148693</v>
      </c>
      <c r="AN323" s="354" t="s">
        <v>139</v>
      </c>
      <c r="AO323" s="355" t="s">
        <v>140</v>
      </c>
      <c r="AP323" s="206" t="s">
        <v>139</v>
      </c>
      <c r="AQ323" s="246">
        <v>0</v>
      </c>
      <c r="AR323" s="211"/>
      <c r="AS323" s="297">
        <f>+IF(Table1[[#This Row],[Column40]]="ok",Table1[[#This Row],[Column7]],0)</f>
        <v>1444.43</v>
      </c>
      <c r="AT323" s="295">
        <f>+IF(Table1[[#This Row],[Column40]]="No",Table1[[#This Row],[Column7]],0)</f>
        <v>0</v>
      </c>
      <c r="AU323" s="4" t="str">
        <f>+IF(LEFT(Table1[[#This Row],[Column42]],2)="DN",IF(Table1[[#This Row],[Column40]]="ok","(CA)",_xlfn.CONCAT("(CA)",CHAR(10),"FAIL")),"")</f>
        <v/>
      </c>
      <c r="AV323" s="154" t="str">
        <f>+IF(Table1[[#This Row],[Column6]]=0,"",_xlfn.CONCAT("Sem ",WEEKNUM(Table1[[#This Row],[Column6]],2)))</f>
        <v>Sem 12</v>
      </c>
      <c r="AW323" s="211"/>
    </row>
    <row r="324" spans="2:49" ht="19.5" customHeight="1" x14ac:dyDescent="0.3">
      <c r="B324" s="356" t="s">
        <v>598</v>
      </c>
      <c r="C324" s="331"/>
      <c r="D324" s="332" t="s">
        <v>207</v>
      </c>
      <c r="E324" s="332" t="s">
        <v>176</v>
      </c>
      <c r="F324" s="333"/>
      <c r="G324" s="334">
        <v>46097</v>
      </c>
      <c r="H324" s="335">
        <v>1342</v>
      </c>
      <c r="I324" s="336">
        <v>506.16</v>
      </c>
      <c r="J324" s="337">
        <v>2497.41</v>
      </c>
      <c r="K324" s="338" t="s">
        <v>429</v>
      </c>
      <c r="L324" s="339" t="s">
        <v>400</v>
      </c>
      <c r="M324" s="340">
        <v>30</v>
      </c>
      <c r="N324" s="341">
        <v>85462</v>
      </c>
      <c r="O324" s="332">
        <v>59.78</v>
      </c>
      <c r="P324" s="342">
        <v>10.8</v>
      </c>
      <c r="Q324" s="343">
        <v>9.3768200349446662</v>
      </c>
      <c r="R324" s="344">
        <v>1.6949458483754509</v>
      </c>
      <c r="S324" s="344">
        <v>1.7170000000000001</v>
      </c>
      <c r="T324" s="344">
        <v>1.8779999999999999</v>
      </c>
      <c r="U324" s="344" t="s">
        <v>136</v>
      </c>
      <c r="V324" s="332" t="s">
        <v>137</v>
      </c>
      <c r="W324" s="345">
        <v>8</v>
      </c>
      <c r="X324" s="346">
        <v>4</v>
      </c>
      <c r="Y324" s="208">
        <v>2.8069999999999999</v>
      </c>
      <c r="Z324" s="332"/>
      <c r="AA324" s="342"/>
      <c r="AB324" s="342"/>
      <c r="AC324" s="342"/>
      <c r="AD324" s="347"/>
      <c r="AE324" s="358">
        <v>1.7170000000000001</v>
      </c>
      <c r="AF324" s="349">
        <v>0</v>
      </c>
      <c r="AG324" s="350"/>
      <c r="AH324" s="351" t="s">
        <v>139</v>
      </c>
      <c r="AI324" s="352" t="s">
        <v>139</v>
      </c>
      <c r="AJ324" s="206" t="s">
        <v>139</v>
      </c>
      <c r="AK324" s="353" t="s">
        <v>540</v>
      </c>
      <c r="AL324" s="206" t="s">
        <v>139</v>
      </c>
      <c r="AM324" s="349">
        <v>98.715541547783971</v>
      </c>
      <c r="AN324" s="354" t="s">
        <v>139</v>
      </c>
      <c r="AO324" s="355" t="s">
        <v>140</v>
      </c>
      <c r="AP324" s="206" t="s">
        <v>139</v>
      </c>
      <c r="AQ324" s="246">
        <v>0</v>
      </c>
      <c r="AR324" s="211"/>
      <c r="AS324" s="297">
        <f>+IF(Table1[[#This Row],[Column40]]="ok",Table1[[#This Row],[Column7]],0)</f>
        <v>1342</v>
      </c>
      <c r="AT324" s="295">
        <f>+IF(Table1[[#This Row],[Column40]]="No",Table1[[#This Row],[Column7]],0)</f>
        <v>0</v>
      </c>
      <c r="AU324" s="4" t="str">
        <f>+IF(LEFT(Table1[[#This Row],[Column42]],2)="DN",IF(Table1[[#This Row],[Column40]]="ok","(CA)",_xlfn.CONCAT("(CA)",CHAR(10),"FAIL")),"")</f>
        <v/>
      </c>
      <c r="AV324" s="154" t="str">
        <f>+IF(Table1[[#This Row],[Column6]]=0,"",_xlfn.CONCAT("Sem ",WEEKNUM(Table1[[#This Row],[Column6]],2)))</f>
        <v>Sem 12</v>
      </c>
      <c r="AW324" s="211"/>
    </row>
    <row r="325" spans="2:49" ht="19.5" customHeight="1" x14ac:dyDescent="0.3">
      <c r="B325" s="356" t="s">
        <v>599</v>
      </c>
      <c r="C325" s="331"/>
      <c r="D325" s="332" t="s">
        <v>207</v>
      </c>
      <c r="E325" s="332" t="s">
        <v>176</v>
      </c>
      <c r="F325" s="333"/>
      <c r="G325" s="334">
        <v>46097</v>
      </c>
      <c r="H325" s="335">
        <v>1271.02</v>
      </c>
      <c r="I325" s="336">
        <v>480.15</v>
      </c>
      <c r="J325" s="337">
        <v>2505.46</v>
      </c>
      <c r="K325" s="338" t="s">
        <v>253</v>
      </c>
      <c r="L325" s="339" t="s">
        <v>402</v>
      </c>
      <c r="M325" s="340">
        <v>30</v>
      </c>
      <c r="N325" s="341">
        <v>85462</v>
      </c>
      <c r="O325" s="332">
        <v>59.78</v>
      </c>
      <c r="P325" s="342">
        <v>10.7</v>
      </c>
      <c r="Q325" s="343">
        <v>9.2475588742102044</v>
      </c>
      <c r="R325" s="344">
        <v>1.7181571815718157</v>
      </c>
      <c r="S325" s="344">
        <v>1.7410000000000001</v>
      </c>
      <c r="T325" s="344">
        <v>1.9019999999999999</v>
      </c>
      <c r="U325" s="344" t="s">
        <v>136</v>
      </c>
      <c r="V325" s="332" t="s">
        <v>137</v>
      </c>
      <c r="W325" s="345">
        <v>8</v>
      </c>
      <c r="X325" s="346">
        <v>4</v>
      </c>
      <c r="Y325" s="208">
        <v>2.8069999999999999</v>
      </c>
      <c r="Z325" s="332"/>
      <c r="AA325" s="342"/>
      <c r="AB325" s="342"/>
      <c r="AC325" s="342"/>
      <c r="AD325" s="347"/>
      <c r="AE325" s="358">
        <v>1.7170000000000001</v>
      </c>
      <c r="AF325" s="349" t="s">
        <v>139</v>
      </c>
      <c r="AG325" s="350"/>
      <c r="AH325" s="351" t="s">
        <v>139</v>
      </c>
      <c r="AI325" s="352" t="s">
        <v>139</v>
      </c>
      <c r="AJ325" s="206" t="s">
        <v>139</v>
      </c>
      <c r="AK325" s="353" t="s">
        <v>540</v>
      </c>
      <c r="AL325" s="206" t="s">
        <v>139</v>
      </c>
      <c r="AM325" s="349">
        <v>100.06739554873707</v>
      </c>
      <c r="AN325" s="354" t="s">
        <v>139</v>
      </c>
      <c r="AO325" s="355" t="s">
        <v>140</v>
      </c>
      <c r="AP325" s="206" t="s">
        <v>139</v>
      </c>
      <c r="AQ325" s="246">
        <v>0</v>
      </c>
      <c r="AR325" s="211"/>
      <c r="AS325" s="297">
        <f>+IF(Table1[[#This Row],[Column40]]="ok",Table1[[#This Row],[Column7]],0)</f>
        <v>1271.02</v>
      </c>
      <c r="AT325" s="295">
        <f>+IF(Table1[[#This Row],[Column40]]="No",Table1[[#This Row],[Column7]],0)</f>
        <v>0</v>
      </c>
      <c r="AU325" s="4" t="str">
        <f>+IF(LEFT(Table1[[#This Row],[Column42]],2)="DN",IF(Table1[[#This Row],[Column40]]="ok","(CA)",_xlfn.CONCAT("(CA)",CHAR(10),"FAIL")),"")</f>
        <v/>
      </c>
      <c r="AV325" s="154" t="str">
        <f>+IF(Table1[[#This Row],[Column6]]=0,"",_xlfn.CONCAT("Sem ",WEEKNUM(Table1[[#This Row],[Column6]],2)))</f>
        <v>Sem 12</v>
      </c>
      <c r="AW325" s="211"/>
    </row>
    <row r="326" spans="2:49" ht="19.5" customHeight="1" x14ac:dyDescent="0.3">
      <c r="B326" s="356" t="s">
        <v>600</v>
      </c>
      <c r="C326" s="331"/>
      <c r="D326" s="332" t="s">
        <v>207</v>
      </c>
      <c r="E326" s="332" t="s">
        <v>176</v>
      </c>
      <c r="F326" s="333"/>
      <c r="G326" s="334">
        <v>46097</v>
      </c>
      <c r="H326" s="335">
        <v>1263.49</v>
      </c>
      <c r="I326" s="336">
        <v>590.74</v>
      </c>
      <c r="J326" s="337">
        <v>2471.9299999999998</v>
      </c>
      <c r="K326" s="338" t="s">
        <v>257</v>
      </c>
      <c r="L326" s="339" t="s">
        <v>212</v>
      </c>
      <c r="M326" s="340">
        <v>30</v>
      </c>
      <c r="N326" s="341">
        <v>85462</v>
      </c>
      <c r="O326" s="332">
        <v>59.78</v>
      </c>
      <c r="P326" s="342">
        <v>10.7</v>
      </c>
      <c r="Q326" s="343">
        <v>9.9592312172393616</v>
      </c>
      <c r="R326" s="344">
        <v>1.7055103884372176</v>
      </c>
      <c r="S326" s="344">
        <v>1.7170000000000001</v>
      </c>
      <c r="T326" s="344">
        <v>1.8879999999999999</v>
      </c>
      <c r="U326" s="344" t="s">
        <v>136</v>
      </c>
      <c r="V326" s="332" t="s">
        <v>137</v>
      </c>
      <c r="W326" s="345">
        <v>8</v>
      </c>
      <c r="X326" s="346">
        <v>4</v>
      </c>
      <c r="Y326" s="208">
        <v>2.8069999999999999</v>
      </c>
      <c r="Z326" s="332"/>
      <c r="AA326" s="342"/>
      <c r="AB326" s="342"/>
      <c r="AC326" s="342"/>
      <c r="AD326" s="347"/>
      <c r="AE326" s="358">
        <v>1.709424914404968</v>
      </c>
      <c r="AF326" s="349">
        <v>16.180497066914707</v>
      </c>
      <c r="AG326" s="350"/>
      <c r="AH326" s="351">
        <v>1.7071490094745909</v>
      </c>
      <c r="AI326" s="352">
        <v>1.982</v>
      </c>
      <c r="AJ326" s="206">
        <v>16.100000000000001</v>
      </c>
      <c r="AK326" s="353" t="s">
        <v>550</v>
      </c>
      <c r="AL326" s="206">
        <v>8.0497066914706039E-2</v>
      </c>
      <c r="AM326" s="349">
        <v>99.771003339499529</v>
      </c>
      <c r="AN326" s="354" t="s">
        <v>139</v>
      </c>
      <c r="AO326" s="355" t="s">
        <v>140</v>
      </c>
      <c r="AP326" s="206" t="s">
        <v>139</v>
      </c>
      <c r="AQ326" s="246" t="s">
        <v>601</v>
      </c>
      <c r="AR326" s="211"/>
      <c r="AS326" s="297">
        <f>+IF(Table1[[#This Row],[Column40]]="ok",Table1[[#This Row],[Column7]],0)</f>
        <v>1263.49</v>
      </c>
      <c r="AT326" s="295">
        <f>+IF(Table1[[#This Row],[Column40]]="No",Table1[[#This Row],[Column7]],0)</f>
        <v>0</v>
      </c>
      <c r="AU326" s="4" t="str">
        <f>+IF(LEFT(Table1[[#This Row],[Column42]],2)="DN",IF(Table1[[#This Row],[Column40]]="ok","(CA)",_xlfn.CONCAT("(CA)",CHAR(10),"FAIL")),"")</f>
        <v/>
      </c>
      <c r="AV326" s="154" t="str">
        <f>+IF(Table1[[#This Row],[Column6]]=0,"",_xlfn.CONCAT("Sem ",WEEKNUM(Table1[[#This Row],[Column6]],2)))</f>
        <v>Sem 12</v>
      </c>
      <c r="AW326" s="211"/>
    </row>
    <row r="327" spans="2:49" ht="19.5" customHeight="1" x14ac:dyDescent="0.3">
      <c r="B327" s="356" t="s">
        <v>601</v>
      </c>
      <c r="C327" s="331"/>
      <c r="D327" s="332" t="s">
        <v>207</v>
      </c>
      <c r="E327" s="332" t="s">
        <v>176</v>
      </c>
      <c r="F327" s="333"/>
      <c r="G327" s="334">
        <v>46097</v>
      </c>
      <c r="H327" s="335">
        <v>1263.49</v>
      </c>
      <c r="I327" s="336">
        <v>590.74</v>
      </c>
      <c r="J327" s="337">
        <v>2471.9299999999998</v>
      </c>
      <c r="K327" s="338" t="s">
        <v>257</v>
      </c>
      <c r="L327" s="339" t="s">
        <v>212</v>
      </c>
      <c r="M327" s="340">
        <v>15</v>
      </c>
      <c r="N327" s="341"/>
      <c r="O327" s="332"/>
      <c r="P327" s="342">
        <v>10.741169658367124</v>
      </c>
      <c r="Q327" s="343"/>
      <c r="R327" s="344">
        <v>1.6975848990342401</v>
      </c>
      <c r="S327" s="344"/>
      <c r="T327" s="344">
        <v>1.8799253731343282</v>
      </c>
      <c r="U327" s="344" t="s">
        <v>142</v>
      </c>
      <c r="V327" s="332" t="s">
        <v>137</v>
      </c>
      <c r="W327" s="345">
        <v>6</v>
      </c>
      <c r="X327" s="346">
        <v>8</v>
      </c>
      <c r="Y327" s="208"/>
      <c r="Z327" s="332" t="s">
        <v>143</v>
      </c>
      <c r="AA327" s="342">
        <v>98.80383268893533</v>
      </c>
      <c r="AB327" s="342">
        <v>75.047949891190996</v>
      </c>
      <c r="AC327" s="342">
        <v>32.273006847518388</v>
      </c>
      <c r="AD327" s="347">
        <v>10.765918594575624</v>
      </c>
      <c r="AE327" s="358">
        <v>1.709424914404968</v>
      </c>
      <c r="AF327" s="349">
        <v>16.180497066914707</v>
      </c>
      <c r="AG327" s="350" t="s">
        <v>550</v>
      </c>
      <c r="AH327" s="351">
        <v>1.7077795921345884</v>
      </c>
      <c r="AI327" s="352">
        <v>1.9823272649845631</v>
      </c>
      <c r="AJ327" s="206">
        <v>16.076294277929165</v>
      </c>
      <c r="AK327" s="353" t="s">
        <v>550</v>
      </c>
      <c r="AL327" s="206">
        <v>0.10420278898554258</v>
      </c>
      <c r="AM327" s="349">
        <v>99.307368503234358</v>
      </c>
      <c r="AN327" s="354" t="s">
        <v>139</v>
      </c>
      <c r="AO327" s="355" t="s">
        <v>144</v>
      </c>
      <c r="AP327" s="206">
        <v>0</v>
      </c>
      <c r="AQ327" s="246" t="s">
        <v>600</v>
      </c>
      <c r="AR327" s="211"/>
      <c r="AS327" s="297">
        <f>+IF(Table1[[#This Row],[Column40]]="ok",Table1[[#This Row],[Column7]],0)</f>
        <v>1263.49</v>
      </c>
      <c r="AT327" s="295">
        <f>+IF(Table1[[#This Row],[Column40]]="No",Table1[[#This Row],[Column7]],0)</f>
        <v>0</v>
      </c>
      <c r="AU327" s="4" t="str">
        <f>+IF(LEFT(Table1[[#This Row],[Column42]],2)="DN",IF(Table1[[#This Row],[Column40]]="ok","(CA)",_xlfn.CONCAT("(CA)",CHAR(10),"FAIL")),"")</f>
        <v>(CA)</v>
      </c>
      <c r="AV327" s="154" t="str">
        <f>+IF(Table1[[#This Row],[Column6]]=0,"",_xlfn.CONCAT("Sem ",WEEKNUM(Table1[[#This Row],[Column6]],2)))</f>
        <v>Sem 12</v>
      </c>
      <c r="AW327" s="211"/>
    </row>
    <row r="328" spans="2:49" ht="19.5" customHeight="1" x14ac:dyDescent="0.3">
      <c r="B328" s="356" t="s">
        <v>602</v>
      </c>
      <c r="C328" s="331"/>
      <c r="D328" s="332" t="s">
        <v>207</v>
      </c>
      <c r="E328" s="332" t="s">
        <v>176</v>
      </c>
      <c r="F328" s="333"/>
      <c r="G328" s="334">
        <v>46097</v>
      </c>
      <c r="H328" s="335">
        <v>1342.93</v>
      </c>
      <c r="I328" s="336">
        <v>563.29999999999995</v>
      </c>
      <c r="J328" s="337">
        <v>2479.87</v>
      </c>
      <c r="K328" s="338" t="s">
        <v>429</v>
      </c>
      <c r="L328" s="339" t="s">
        <v>400</v>
      </c>
      <c r="M328" s="340">
        <v>30</v>
      </c>
      <c r="N328" s="341">
        <v>85462</v>
      </c>
      <c r="O328" s="332">
        <v>59.78</v>
      </c>
      <c r="P328" s="342">
        <v>8.7999999999999989</v>
      </c>
      <c r="Q328" s="343">
        <v>8.7310826542491338</v>
      </c>
      <c r="R328" s="344">
        <v>1.7169117647058822</v>
      </c>
      <c r="S328" s="344">
        <v>1.718</v>
      </c>
      <c r="T328" s="344">
        <v>1.8680000000000001</v>
      </c>
      <c r="U328" s="344" t="s">
        <v>136</v>
      </c>
      <c r="V328" s="332" t="s">
        <v>137</v>
      </c>
      <c r="W328" s="345">
        <v>8</v>
      </c>
      <c r="X328" s="346">
        <v>4</v>
      </c>
      <c r="Y328" s="208">
        <v>2.8069999999999999</v>
      </c>
      <c r="Z328" s="332"/>
      <c r="AA328" s="342"/>
      <c r="AB328" s="342"/>
      <c r="AC328" s="342"/>
      <c r="AD328" s="347"/>
      <c r="AE328" s="358">
        <v>1.7170000000000001</v>
      </c>
      <c r="AF328" s="349">
        <v>0</v>
      </c>
      <c r="AG328" s="350"/>
      <c r="AH328" s="351" t="s">
        <v>139</v>
      </c>
      <c r="AI328" s="352" t="s">
        <v>139</v>
      </c>
      <c r="AJ328" s="206" t="s">
        <v>139</v>
      </c>
      <c r="AK328" s="353" t="s">
        <v>540</v>
      </c>
      <c r="AL328" s="206" t="s">
        <v>139</v>
      </c>
      <c r="AM328" s="349">
        <v>99.994861077803279</v>
      </c>
      <c r="AN328" s="354" t="s">
        <v>139</v>
      </c>
      <c r="AO328" s="355" t="s">
        <v>140</v>
      </c>
      <c r="AP328" s="206" t="s">
        <v>139</v>
      </c>
      <c r="AQ328" s="246">
        <v>0</v>
      </c>
      <c r="AR328" s="211"/>
      <c r="AS328" s="297">
        <f>+IF(Table1[[#This Row],[Column40]]="ok",Table1[[#This Row],[Column7]],0)</f>
        <v>1342.93</v>
      </c>
      <c r="AT328" s="295">
        <f>+IF(Table1[[#This Row],[Column40]]="No",Table1[[#This Row],[Column7]],0)</f>
        <v>0</v>
      </c>
      <c r="AU328" s="4" t="str">
        <f>+IF(LEFT(Table1[[#This Row],[Column42]],2)="DN",IF(Table1[[#This Row],[Column40]]="ok","(CA)",_xlfn.CONCAT("(CA)",CHAR(10),"FAIL")),"")</f>
        <v/>
      </c>
      <c r="AV328" s="154" t="str">
        <f>+IF(Table1[[#This Row],[Column6]]=0,"",_xlfn.CONCAT("Sem ",WEEKNUM(Table1[[#This Row],[Column6]],2)))</f>
        <v>Sem 12</v>
      </c>
      <c r="AW328" s="211"/>
    </row>
    <row r="329" spans="2:49" ht="19.5" customHeight="1" x14ac:dyDescent="0.3">
      <c r="B329" s="356" t="s">
        <v>603</v>
      </c>
      <c r="C329" s="331"/>
      <c r="D329" s="332" t="s">
        <v>207</v>
      </c>
      <c r="E329" s="332" t="s">
        <v>176</v>
      </c>
      <c r="F329" s="333"/>
      <c r="G329" s="334">
        <v>46097</v>
      </c>
      <c r="H329" s="335">
        <v>1124.81</v>
      </c>
      <c r="I329" s="336">
        <v>476.06</v>
      </c>
      <c r="J329" s="337">
        <v>2506.1799999999998</v>
      </c>
      <c r="K329" s="338" t="s">
        <v>253</v>
      </c>
      <c r="L329" s="339" t="s">
        <v>247</v>
      </c>
      <c r="M329" s="340" t="s">
        <v>293</v>
      </c>
      <c r="N329" s="341" t="s">
        <v>293</v>
      </c>
      <c r="O329" s="332" t="s">
        <v>293</v>
      </c>
      <c r="P329" s="342" t="s">
        <v>293</v>
      </c>
      <c r="Q329" s="343" t="s">
        <v>293</v>
      </c>
      <c r="R329" s="344" t="s">
        <v>293</v>
      </c>
      <c r="S329" s="344" t="s">
        <v>293</v>
      </c>
      <c r="T329" s="344" t="s">
        <v>293</v>
      </c>
      <c r="U329" s="344" t="s">
        <v>294</v>
      </c>
      <c r="V329" s="332" t="s">
        <v>293</v>
      </c>
      <c r="W329" s="345" t="s">
        <v>293</v>
      </c>
      <c r="X329" s="346" t="s">
        <v>293</v>
      </c>
      <c r="Y329" s="208">
        <v>2.7740398605999133</v>
      </c>
      <c r="Z329" s="332" t="s">
        <v>227</v>
      </c>
      <c r="AA329" s="342">
        <v>98.85894634620054</v>
      </c>
      <c r="AB329" s="342">
        <v>77.276037873270212</v>
      </c>
      <c r="AC329" s="342">
        <v>35.03277494537511</v>
      </c>
      <c r="AD329" s="347">
        <v>12.235979606700681</v>
      </c>
      <c r="AE329" s="358">
        <v>1.7023206582248225</v>
      </c>
      <c r="AF329" s="349">
        <v>16.223799778747189</v>
      </c>
      <c r="AG329" s="350" t="s">
        <v>603</v>
      </c>
      <c r="AH329" s="351" t="s">
        <v>293</v>
      </c>
      <c r="AI329" s="351" t="s">
        <v>293</v>
      </c>
      <c r="AJ329" s="206" t="s">
        <v>293</v>
      </c>
      <c r="AK329" s="353" t="s">
        <v>293</v>
      </c>
      <c r="AL329" s="206" t="s">
        <v>293</v>
      </c>
      <c r="AM329" s="349" t="s">
        <v>293</v>
      </c>
      <c r="AN329" s="354" t="s">
        <v>293</v>
      </c>
      <c r="AO329" s="355" t="s">
        <v>293</v>
      </c>
      <c r="AP329" s="206" t="s">
        <v>293</v>
      </c>
      <c r="AQ329" s="246" t="s">
        <v>295</v>
      </c>
      <c r="AR329" s="211"/>
      <c r="AS329" s="297">
        <f>+IF(Table1[[#This Row],[Column40]]="ok",Table1[[#This Row],[Column7]],0)</f>
        <v>0</v>
      </c>
      <c r="AT329" s="295">
        <f>+IF(Table1[[#This Row],[Column40]]="No",Table1[[#This Row],[Column7]],0)</f>
        <v>0</v>
      </c>
      <c r="AU329" s="4" t="str">
        <f>+IF(LEFT(Table1[[#This Row],[Column42]],2)="DN",IF(Table1[[#This Row],[Column40]]="ok","(CA)",_xlfn.CONCAT("(CA)",CHAR(10),"FAIL")),"")</f>
        <v/>
      </c>
      <c r="AV329" s="154" t="str">
        <f>+IF(Table1[[#This Row],[Column6]]=0,"",_xlfn.CONCAT("Sem ",WEEKNUM(Table1[[#This Row],[Column6]],2)))</f>
        <v>Sem 12</v>
      </c>
      <c r="AW329" s="211"/>
    </row>
    <row r="330" spans="2:49" ht="19.5" customHeight="1" x14ac:dyDescent="0.3">
      <c r="B330" s="356" t="s">
        <v>604</v>
      </c>
      <c r="C330" s="331"/>
      <c r="D330" s="332" t="s">
        <v>207</v>
      </c>
      <c r="E330" s="332" t="s">
        <v>133</v>
      </c>
      <c r="F330" s="333"/>
      <c r="G330" s="334">
        <v>46098</v>
      </c>
      <c r="H330" s="335">
        <v>1235.93</v>
      </c>
      <c r="I330" s="336">
        <v>425.38</v>
      </c>
      <c r="J330" s="337">
        <v>2521.44</v>
      </c>
      <c r="K330" s="338" t="s">
        <v>253</v>
      </c>
      <c r="L330" s="339" t="s">
        <v>212</v>
      </c>
      <c r="M330" s="340">
        <v>30</v>
      </c>
      <c r="N330" s="341">
        <v>85462</v>
      </c>
      <c r="O330" s="332">
        <v>59.78</v>
      </c>
      <c r="P330" s="342">
        <v>9.1999999999999993</v>
      </c>
      <c r="Q330" s="343">
        <v>10.305775764439407</v>
      </c>
      <c r="R330" s="344">
        <v>1.7838827838827838</v>
      </c>
      <c r="S330" s="344">
        <v>1.766</v>
      </c>
      <c r="T330" s="344">
        <v>1.948</v>
      </c>
      <c r="U330" s="344" t="s">
        <v>136</v>
      </c>
      <c r="V330" s="332" t="s">
        <v>137</v>
      </c>
      <c r="W330" s="345">
        <v>8</v>
      </c>
      <c r="X330" s="346">
        <v>4</v>
      </c>
      <c r="Y330" s="208">
        <v>2.8069999999999999</v>
      </c>
      <c r="Z330" s="332"/>
      <c r="AA330" s="342"/>
      <c r="AB330" s="342"/>
      <c r="AC330" s="342"/>
      <c r="AD330" s="347"/>
      <c r="AE330" s="358">
        <v>1.702</v>
      </c>
      <c r="AF330" s="349">
        <v>0</v>
      </c>
      <c r="AG330" s="350"/>
      <c r="AH330" s="351" t="s">
        <v>139</v>
      </c>
      <c r="AI330" s="351" t="s">
        <v>139</v>
      </c>
      <c r="AJ330" s="206" t="s">
        <v>139</v>
      </c>
      <c r="AK330" s="353" t="s">
        <v>603</v>
      </c>
      <c r="AL330" s="206" t="s">
        <v>139</v>
      </c>
      <c r="AM330" s="349">
        <v>104.81097437619175</v>
      </c>
      <c r="AN330" s="354" t="s">
        <v>139</v>
      </c>
      <c r="AO330" s="355" t="s">
        <v>140</v>
      </c>
      <c r="AP330" s="206" t="s">
        <v>139</v>
      </c>
      <c r="AQ330" s="207">
        <v>0</v>
      </c>
      <c r="AR330" s="211"/>
      <c r="AS330" s="297">
        <f>+IF(Table1[[#This Row],[Column40]]="ok",Table1[[#This Row],[Column7]],0)</f>
        <v>1235.93</v>
      </c>
      <c r="AT330" s="295">
        <f>+IF(Table1[[#This Row],[Column40]]="No",Table1[[#This Row],[Column7]],0)</f>
        <v>0</v>
      </c>
      <c r="AU330" s="4" t="str">
        <f>+IF(LEFT(Table1[[#This Row],[Column42]],2)="DN",IF(Table1[[#This Row],[Column40]]="ok","(CA)",_xlfn.CONCAT("(CA)",CHAR(10),"FAIL")),"")</f>
        <v/>
      </c>
      <c r="AV330" s="154" t="str">
        <f>+IF(Table1[[#This Row],[Column6]]=0,"",_xlfn.CONCAT("Sem ",WEEKNUM(Table1[[#This Row],[Column6]],2)))</f>
        <v>Sem 12</v>
      </c>
      <c r="AW330" s="211"/>
    </row>
    <row r="331" spans="2:49" ht="19.5" customHeight="1" x14ac:dyDescent="0.3">
      <c r="B331" s="356" t="s">
        <v>605</v>
      </c>
      <c r="C331" s="331"/>
      <c r="D331" s="332" t="s">
        <v>207</v>
      </c>
      <c r="E331" s="332" t="s">
        <v>133</v>
      </c>
      <c r="F331" s="333"/>
      <c r="G331" s="334">
        <v>46098</v>
      </c>
      <c r="H331" s="335">
        <v>1183.53</v>
      </c>
      <c r="I331" s="336">
        <v>438.72</v>
      </c>
      <c r="J331" s="337">
        <v>2517.75</v>
      </c>
      <c r="K331" s="338" t="s">
        <v>253</v>
      </c>
      <c r="L331" s="339" t="s">
        <v>254</v>
      </c>
      <c r="M331" s="340">
        <v>30</v>
      </c>
      <c r="N331" s="341">
        <v>85462</v>
      </c>
      <c r="O331" s="332">
        <v>59.78</v>
      </c>
      <c r="P331" s="342">
        <v>10.7</v>
      </c>
      <c r="Q331" s="343">
        <v>9.7971014492753472</v>
      </c>
      <c r="R331" s="344">
        <v>1.7109304426377596</v>
      </c>
      <c r="S331" s="344">
        <v>1.7250000000000001</v>
      </c>
      <c r="T331" s="344">
        <v>1.8939999999999999</v>
      </c>
      <c r="U331" s="344" t="s">
        <v>136</v>
      </c>
      <c r="V331" s="332" t="s">
        <v>137</v>
      </c>
      <c r="W331" s="345">
        <v>8</v>
      </c>
      <c r="X331" s="346">
        <v>4</v>
      </c>
      <c r="Y331" s="208">
        <v>2.8069999999999999</v>
      </c>
      <c r="Z331" s="332"/>
      <c r="AA331" s="342"/>
      <c r="AB331" s="342"/>
      <c r="AC331" s="342"/>
      <c r="AD331" s="347"/>
      <c r="AE331" s="358">
        <v>1.702</v>
      </c>
      <c r="AF331" s="349">
        <v>0</v>
      </c>
      <c r="AG331" s="350"/>
      <c r="AH331" s="351" t="s">
        <v>139</v>
      </c>
      <c r="AI331" s="351" t="s">
        <v>139</v>
      </c>
      <c r="AJ331" s="206" t="s">
        <v>139</v>
      </c>
      <c r="AK331" s="353" t="s">
        <v>603</v>
      </c>
      <c r="AL331" s="206" t="s">
        <v>139</v>
      </c>
      <c r="AM331" s="349">
        <v>100.52470285768271</v>
      </c>
      <c r="AN331" s="354" t="s">
        <v>139</v>
      </c>
      <c r="AO331" s="355" t="s">
        <v>140</v>
      </c>
      <c r="AP331" s="206" t="s">
        <v>139</v>
      </c>
      <c r="AQ331" s="207">
        <v>0</v>
      </c>
      <c r="AR331" s="211"/>
      <c r="AS331" s="297">
        <f>+IF(Table1[[#This Row],[Column40]]="ok",Table1[[#This Row],[Column7]],0)</f>
        <v>1183.53</v>
      </c>
      <c r="AT331" s="295">
        <f>+IF(Table1[[#This Row],[Column40]]="No",Table1[[#This Row],[Column7]],0)</f>
        <v>0</v>
      </c>
      <c r="AU331" s="4" t="str">
        <f>+IF(LEFT(Table1[[#This Row],[Column42]],2)="DN",IF(Table1[[#This Row],[Column40]]="ok","(CA)",_xlfn.CONCAT("(CA)",CHAR(10),"FAIL")),"")</f>
        <v/>
      </c>
      <c r="AV331" s="154" t="str">
        <f>+IF(Table1[[#This Row],[Column6]]=0,"",_xlfn.CONCAT("Sem ",WEEKNUM(Table1[[#This Row],[Column6]],2)))</f>
        <v>Sem 12</v>
      </c>
      <c r="AW331" s="211"/>
    </row>
    <row r="332" spans="2:49" ht="19.5" customHeight="1" x14ac:dyDescent="0.3">
      <c r="B332" s="356" t="s">
        <v>606</v>
      </c>
      <c r="C332" s="331"/>
      <c r="D332" s="332" t="s">
        <v>207</v>
      </c>
      <c r="E332" s="332" t="s">
        <v>133</v>
      </c>
      <c r="F332" s="333"/>
      <c r="G332" s="334">
        <v>46098</v>
      </c>
      <c r="H332" s="335">
        <v>1121.6300000000001</v>
      </c>
      <c r="I332" s="336">
        <v>459.95</v>
      </c>
      <c r="J332" s="337">
        <v>2510.81</v>
      </c>
      <c r="K332" s="338" t="s">
        <v>253</v>
      </c>
      <c r="L332" s="339" t="s">
        <v>247</v>
      </c>
      <c r="M332" s="340">
        <v>30</v>
      </c>
      <c r="N332" s="341">
        <v>85462</v>
      </c>
      <c r="O332" s="332">
        <v>59.78</v>
      </c>
      <c r="P332" s="342">
        <v>8</v>
      </c>
      <c r="Q332" s="343">
        <v>10.226612434631033</v>
      </c>
      <c r="R332" s="344">
        <v>1.7564814814814813</v>
      </c>
      <c r="S332" s="344">
        <v>1.7210000000000001</v>
      </c>
      <c r="T332" s="344">
        <v>1.897</v>
      </c>
      <c r="U332" s="344" t="s">
        <v>136</v>
      </c>
      <c r="V332" s="332" t="s">
        <v>137</v>
      </c>
      <c r="W332" s="345">
        <v>8</v>
      </c>
      <c r="X332" s="346">
        <v>4</v>
      </c>
      <c r="Y332" s="208">
        <v>2.8069999999999999</v>
      </c>
      <c r="Z332" s="332"/>
      <c r="AA332" s="342"/>
      <c r="AB332" s="342"/>
      <c r="AC332" s="342"/>
      <c r="AD332" s="123"/>
      <c r="AE332" s="358">
        <v>1.702</v>
      </c>
      <c r="AF332" s="349">
        <v>0</v>
      </c>
      <c r="AG332" s="350"/>
      <c r="AH332" s="351" t="s">
        <v>139</v>
      </c>
      <c r="AI332" s="351" t="s">
        <v>139</v>
      </c>
      <c r="AJ332" s="206" t="s">
        <v>139</v>
      </c>
      <c r="AK332" s="353" t="s">
        <v>603</v>
      </c>
      <c r="AL332" s="206" t="s">
        <v>139</v>
      </c>
      <c r="AM332" s="349">
        <v>103.20102711407057</v>
      </c>
      <c r="AN332" s="354" t="s">
        <v>139</v>
      </c>
      <c r="AO332" s="355" t="s">
        <v>140</v>
      </c>
      <c r="AP332" s="206" t="s">
        <v>139</v>
      </c>
      <c r="AQ332" s="207">
        <v>0</v>
      </c>
      <c r="AR332" s="211"/>
      <c r="AS332" s="297">
        <f>+IF(Table1[[#This Row],[Column40]]="ok",Table1[[#This Row],[Column7]],0)</f>
        <v>1121.6300000000001</v>
      </c>
      <c r="AT332" s="295">
        <f>+IF(Table1[[#This Row],[Column40]]="No",Table1[[#This Row],[Column7]],0)</f>
        <v>0</v>
      </c>
      <c r="AU332" s="4" t="str">
        <f>+IF(LEFT(Table1[[#This Row],[Column42]],2)="DN",IF(Table1[[#This Row],[Column40]]="ok","(CA)",_xlfn.CONCAT("(CA)",CHAR(10),"FAIL")),"")</f>
        <v/>
      </c>
      <c r="AV332" s="154" t="str">
        <f>+IF(Table1[[#This Row],[Column6]]=0,"",_xlfn.CONCAT("Sem ",WEEKNUM(Table1[[#This Row],[Column6]],2)))</f>
        <v>Sem 12</v>
      </c>
      <c r="AW332" s="211"/>
    </row>
    <row r="333" spans="2:49" ht="19.5" customHeight="1" x14ac:dyDescent="0.3">
      <c r="B333" s="356" t="s">
        <v>607</v>
      </c>
      <c r="C333" s="331"/>
      <c r="D333" s="332" t="s">
        <v>207</v>
      </c>
      <c r="E333" s="332" t="s">
        <v>133</v>
      </c>
      <c r="F333" s="333"/>
      <c r="G333" s="334">
        <v>46098</v>
      </c>
      <c r="H333" s="335">
        <v>1122.08</v>
      </c>
      <c r="I333" s="336">
        <v>601.26</v>
      </c>
      <c r="J333" s="337">
        <v>2468.08</v>
      </c>
      <c r="K333" s="338" t="s">
        <v>257</v>
      </c>
      <c r="L333" s="339" t="s">
        <v>247</v>
      </c>
      <c r="M333" s="340">
        <v>30</v>
      </c>
      <c r="N333" s="341">
        <v>85462</v>
      </c>
      <c r="O333" s="332">
        <v>59.78</v>
      </c>
      <c r="P333" s="342">
        <v>9.1999999999999993</v>
      </c>
      <c r="Q333" s="343">
        <v>10.465784933870026</v>
      </c>
      <c r="R333" s="344">
        <v>1.7591575091575091</v>
      </c>
      <c r="S333" s="344">
        <v>1.7390000000000001</v>
      </c>
      <c r="T333" s="344">
        <v>1.921</v>
      </c>
      <c r="U333" s="344" t="s">
        <v>136</v>
      </c>
      <c r="V333" s="332" t="s">
        <v>137</v>
      </c>
      <c r="W333" s="345">
        <v>8</v>
      </c>
      <c r="X333" s="346">
        <v>4</v>
      </c>
      <c r="Y333" s="208">
        <v>2.8069999999999999</v>
      </c>
      <c r="Z333" s="332"/>
      <c r="AA333" s="342"/>
      <c r="AB333" s="342"/>
      <c r="AC333" s="342"/>
      <c r="AD333" s="347"/>
      <c r="AE333" s="358">
        <v>1.702</v>
      </c>
      <c r="AF333" s="349">
        <v>0</v>
      </c>
      <c r="AG333" s="350"/>
      <c r="AH333" s="351" t="s">
        <v>139</v>
      </c>
      <c r="AI333" s="352" t="s">
        <v>139</v>
      </c>
      <c r="AJ333" s="206" t="s">
        <v>139</v>
      </c>
      <c r="AK333" s="353" t="s">
        <v>603</v>
      </c>
      <c r="AL333" s="206" t="s">
        <v>139</v>
      </c>
      <c r="AM333" s="349">
        <v>103.35825553216857</v>
      </c>
      <c r="AN333" s="354" t="s">
        <v>139</v>
      </c>
      <c r="AO333" s="355" t="s">
        <v>140</v>
      </c>
      <c r="AP333" s="206" t="s">
        <v>139</v>
      </c>
      <c r="AQ333" s="246">
        <v>0</v>
      </c>
      <c r="AR333" s="211"/>
      <c r="AS333" s="297">
        <f>+IF(Table1[[#This Row],[Column40]]="ok",Table1[[#This Row],[Column7]],0)</f>
        <v>1122.08</v>
      </c>
      <c r="AT333" s="295">
        <f>+IF(Table1[[#This Row],[Column40]]="No",Table1[[#This Row],[Column7]],0)</f>
        <v>0</v>
      </c>
      <c r="AU333" s="4" t="str">
        <f>+IF(LEFT(Table1[[#This Row],[Column42]],2)="DN",IF(Table1[[#This Row],[Column40]]="ok","(CA)",_xlfn.CONCAT("(CA)",CHAR(10),"FAIL")),"")</f>
        <v/>
      </c>
      <c r="AV333" s="154" t="str">
        <f>+IF(Table1[[#This Row],[Column6]]=0,"",_xlfn.CONCAT("Sem ",WEEKNUM(Table1[[#This Row],[Column6]],2)))</f>
        <v>Sem 12</v>
      </c>
      <c r="AW333" s="211"/>
    </row>
    <row r="334" spans="2:49" ht="19.5" customHeight="1" x14ac:dyDescent="0.3">
      <c r="B334" s="356" t="s">
        <v>608</v>
      </c>
      <c r="C334" s="331"/>
      <c r="D334" s="332" t="s">
        <v>207</v>
      </c>
      <c r="E334" s="332" t="s">
        <v>133</v>
      </c>
      <c r="F334" s="333"/>
      <c r="G334" s="334">
        <v>46098</v>
      </c>
      <c r="H334" s="335">
        <v>1197.5999999999999</v>
      </c>
      <c r="I334" s="336">
        <v>534.03</v>
      </c>
      <c r="J334" s="337">
        <v>2490.27</v>
      </c>
      <c r="K334" s="338" t="s">
        <v>257</v>
      </c>
      <c r="L334" s="339" t="s">
        <v>609</v>
      </c>
      <c r="M334" s="340">
        <v>30</v>
      </c>
      <c r="N334" s="341">
        <v>85462</v>
      </c>
      <c r="O334" s="332">
        <v>59.78</v>
      </c>
      <c r="P334" s="342">
        <v>10</v>
      </c>
      <c r="Q334" s="343">
        <v>10.188895248998286</v>
      </c>
      <c r="R334" s="344">
        <v>1.75</v>
      </c>
      <c r="S334" s="344">
        <v>1.7470000000000001</v>
      </c>
      <c r="T334" s="344">
        <v>1.925</v>
      </c>
      <c r="U334" s="344" t="s">
        <v>136</v>
      </c>
      <c r="V334" s="332" t="s">
        <v>137</v>
      </c>
      <c r="W334" s="345">
        <v>8</v>
      </c>
      <c r="X334" s="346">
        <v>4</v>
      </c>
      <c r="Y334" s="208">
        <v>2.8069999999999999</v>
      </c>
      <c r="Z334" s="332"/>
      <c r="AA334" s="342"/>
      <c r="AB334" s="342"/>
      <c r="AC334" s="342"/>
      <c r="AD334" s="347"/>
      <c r="AE334" s="358">
        <v>1.702</v>
      </c>
      <c r="AF334" s="349">
        <v>0</v>
      </c>
      <c r="AG334" s="350"/>
      <c r="AH334" s="351" t="s">
        <v>139</v>
      </c>
      <c r="AI334" s="352" t="s">
        <v>139</v>
      </c>
      <c r="AJ334" s="206" t="s">
        <v>139</v>
      </c>
      <c r="AK334" s="353" t="s">
        <v>603</v>
      </c>
      <c r="AL334" s="206" t="s">
        <v>139</v>
      </c>
      <c r="AM334" s="349">
        <v>102.82021151586369</v>
      </c>
      <c r="AN334" s="354" t="s">
        <v>139</v>
      </c>
      <c r="AO334" s="355" t="s">
        <v>140</v>
      </c>
      <c r="AP334" s="206" t="s">
        <v>139</v>
      </c>
      <c r="AQ334" s="246">
        <v>0</v>
      </c>
      <c r="AR334" s="211"/>
      <c r="AS334" s="297">
        <f>+IF(Table1[[#This Row],[Column40]]="ok",Table1[[#This Row],[Column7]],0)</f>
        <v>1197.5999999999999</v>
      </c>
      <c r="AT334" s="295">
        <f>+IF(Table1[[#This Row],[Column40]]="No",Table1[[#This Row],[Column7]],0)</f>
        <v>0</v>
      </c>
      <c r="AU334" s="4" t="str">
        <f>+IF(LEFT(Table1[[#This Row],[Column42]],2)="DN",IF(Table1[[#This Row],[Column40]]="ok","(CA)",_xlfn.CONCAT("(CA)",CHAR(10),"FAIL")),"")</f>
        <v/>
      </c>
      <c r="AV334" s="154" t="str">
        <f>+IF(Table1[[#This Row],[Column6]]=0,"",_xlfn.CONCAT("Sem ",WEEKNUM(Table1[[#This Row],[Column6]],2)))</f>
        <v>Sem 12</v>
      </c>
      <c r="AW334" s="211"/>
    </row>
    <row r="335" spans="2:49" ht="19.5" customHeight="1" x14ac:dyDescent="0.3">
      <c r="B335" s="356" t="s">
        <v>610</v>
      </c>
      <c r="C335" s="331"/>
      <c r="D335" s="332" t="s">
        <v>207</v>
      </c>
      <c r="E335" s="332" t="s">
        <v>133</v>
      </c>
      <c r="F335" s="333"/>
      <c r="G335" s="334">
        <v>46098</v>
      </c>
      <c r="H335" s="335">
        <v>1217.72</v>
      </c>
      <c r="I335" s="336">
        <v>603.80999999999995</v>
      </c>
      <c r="J335" s="337">
        <v>2468.12</v>
      </c>
      <c r="K335" s="338" t="s">
        <v>257</v>
      </c>
      <c r="L335" s="339" t="s">
        <v>609</v>
      </c>
      <c r="M335" s="340">
        <v>30</v>
      </c>
      <c r="N335" s="341">
        <v>85462</v>
      </c>
      <c r="O335" s="332">
        <v>59.78</v>
      </c>
      <c r="P335" s="342">
        <v>10.299999999999999</v>
      </c>
      <c r="Q335" s="343">
        <v>9.6629213483146117</v>
      </c>
      <c r="R335" s="344">
        <v>1.769718948322756</v>
      </c>
      <c r="S335" s="344">
        <v>1.78</v>
      </c>
      <c r="T335" s="344">
        <v>1.952</v>
      </c>
      <c r="U335" s="344" t="s">
        <v>136</v>
      </c>
      <c r="V335" s="332" t="s">
        <v>137</v>
      </c>
      <c r="W335" s="345">
        <v>8</v>
      </c>
      <c r="X335" s="346">
        <v>4</v>
      </c>
      <c r="Y335" s="208">
        <v>2.8069999999999999</v>
      </c>
      <c r="Z335" s="332"/>
      <c r="AA335" s="342"/>
      <c r="AB335" s="342"/>
      <c r="AC335" s="342"/>
      <c r="AD335" s="347"/>
      <c r="AE335" s="358">
        <v>1.702</v>
      </c>
      <c r="AF335" s="349">
        <v>0</v>
      </c>
      <c r="AG335" s="350"/>
      <c r="AH335" s="351" t="s">
        <v>139</v>
      </c>
      <c r="AI335" s="352" t="s">
        <v>139</v>
      </c>
      <c r="AJ335" s="206" t="s">
        <v>139</v>
      </c>
      <c r="AK335" s="353" t="s">
        <v>603</v>
      </c>
      <c r="AL335" s="206" t="s">
        <v>139</v>
      </c>
      <c r="AM335" s="349">
        <v>103.97878662295864</v>
      </c>
      <c r="AN335" s="354" t="s">
        <v>139</v>
      </c>
      <c r="AO335" s="355" t="s">
        <v>140</v>
      </c>
      <c r="AP335" s="206" t="s">
        <v>139</v>
      </c>
      <c r="AQ335" s="246">
        <v>0</v>
      </c>
      <c r="AR335" s="211"/>
      <c r="AS335" s="297">
        <f>+IF(Table1[[#This Row],[Column40]]="ok",Table1[[#This Row],[Column7]],0)</f>
        <v>1217.72</v>
      </c>
      <c r="AT335" s="295">
        <f>+IF(Table1[[#This Row],[Column40]]="No",Table1[[#This Row],[Column7]],0)</f>
        <v>0</v>
      </c>
      <c r="AU335" s="4" t="str">
        <f>+IF(LEFT(Table1[[#This Row],[Column42]],2)="DN",IF(Table1[[#This Row],[Column40]]="ok","(CA)",_xlfn.CONCAT("(CA)",CHAR(10),"FAIL")),"")</f>
        <v/>
      </c>
      <c r="AV335" s="154" t="str">
        <f>+IF(Table1[[#This Row],[Column6]]=0,"",_xlfn.CONCAT("Sem ",WEEKNUM(Table1[[#This Row],[Column6]],2)))</f>
        <v>Sem 12</v>
      </c>
      <c r="AW335" s="211"/>
    </row>
    <row r="336" spans="2:49" ht="19.5" customHeight="1" x14ac:dyDescent="0.3">
      <c r="B336" s="356" t="s">
        <v>611</v>
      </c>
      <c r="C336" s="331"/>
      <c r="D336" s="332" t="s">
        <v>207</v>
      </c>
      <c r="E336" s="332" t="s">
        <v>133</v>
      </c>
      <c r="F336" s="333"/>
      <c r="G336" s="334">
        <v>46098</v>
      </c>
      <c r="H336" s="335">
        <v>1054.25</v>
      </c>
      <c r="I336" s="336">
        <v>240.39</v>
      </c>
      <c r="J336" s="337">
        <v>2573.21</v>
      </c>
      <c r="K336" s="338" t="s">
        <v>205</v>
      </c>
      <c r="L336" s="339" t="s">
        <v>245</v>
      </c>
      <c r="M336" s="340">
        <v>30</v>
      </c>
      <c r="N336" s="341">
        <v>85462</v>
      </c>
      <c r="O336" s="332">
        <v>59.78</v>
      </c>
      <c r="P336" s="342">
        <v>16.900000000000002</v>
      </c>
      <c r="Q336" s="343">
        <v>14.814814814814813</v>
      </c>
      <c r="R336" s="344">
        <v>1.6971770744225834</v>
      </c>
      <c r="S336" s="344">
        <v>1.728</v>
      </c>
      <c r="T336" s="344">
        <v>1.984</v>
      </c>
      <c r="U336" s="344" t="s">
        <v>136</v>
      </c>
      <c r="V336" s="332" t="s">
        <v>137</v>
      </c>
      <c r="W336" s="345">
        <v>8</v>
      </c>
      <c r="X336" s="346">
        <v>4</v>
      </c>
      <c r="Y336" s="208">
        <v>2.8069999999999999</v>
      </c>
      <c r="Z336" s="332"/>
      <c r="AA336" s="342"/>
      <c r="AB336" s="342"/>
      <c r="AC336" s="342"/>
      <c r="AD336" s="347"/>
      <c r="AE336" s="358">
        <v>1.702</v>
      </c>
      <c r="AF336" s="349">
        <v>0</v>
      </c>
      <c r="AG336" s="350"/>
      <c r="AH336" s="351" t="s">
        <v>139</v>
      </c>
      <c r="AI336" s="352" t="s">
        <v>139</v>
      </c>
      <c r="AJ336" s="206" t="s">
        <v>139</v>
      </c>
      <c r="AK336" s="353" t="s">
        <v>603</v>
      </c>
      <c r="AL336" s="206" t="s">
        <v>139</v>
      </c>
      <c r="AM336" s="349">
        <v>99.716631869716991</v>
      </c>
      <c r="AN336" s="354" t="s">
        <v>139</v>
      </c>
      <c r="AO336" s="355" t="s">
        <v>140</v>
      </c>
      <c r="AP336" s="206" t="s">
        <v>139</v>
      </c>
      <c r="AQ336" s="246">
        <v>0</v>
      </c>
      <c r="AR336" s="211"/>
      <c r="AS336" s="297">
        <f>+IF(Table1[[#This Row],[Column40]]="ok",Table1[[#This Row],[Column7]],0)</f>
        <v>1054.25</v>
      </c>
      <c r="AT336" s="295">
        <f>+IF(Table1[[#This Row],[Column40]]="No",Table1[[#This Row],[Column7]],0)</f>
        <v>0</v>
      </c>
      <c r="AU336" s="4" t="str">
        <f>+IF(LEFT(Table1[[#This Row],[Column42]],2)="DN",IF(Table1[[#This Row],[Column40]]="ok","(CA)",_xlfn.CONCAT("(CA)",CHAR(10),"FAIL")),"")</f>
        <v/>
      </c>
      <c r="AV336" s="154" t="str">
        <f>+IF(Table1[[#This Row],[Column6]]=0,"",_xlfn.CONCAT("Sem ",WEEKNUM(Table1[[#This Row],[Column6]],2)))</f>
        <v>Sem 12</v>
      </c>
      <c r="AW336" s="211"/>
    </row>
    <row r="337" spans="2:49" ht="19.5" customHeight="1" x14ac:dyDescent="0.3">
      <c r="B337" s="356" t="s">
        <v>612</v>
      </c>
      <c r="C337" s="331"/>
      <c r="D337" s="332" t="s">
        <v>207</v>
      </c>
      <c r="E337" s="332" t="s">
        <v>133</v>
      </c>
      <c r="F337" s="333"/>
      <c r="G337" s="334">
        <v>46098</v>
      </c>
      <c r="H337" s="335">
        <v>994.8</v>
      </c>
      <c r="I337" s="336">
        <v>207.84</v>
      </c>
      <c r="J337" s="337">
        <v>2583.08</v>
      </c>
      <c r="K337" s="338" t="s">
        <v>205</v>
      </c>
      <c r="L337" s="339" t="s">
        <v>242</v>
      </c>
      <c r="M337" s="340">
        <v>30</v>
      </c>
      <c r="N337" s="341">
        <v>85462</v>
      </c>
      <c r="O337" s="332">
        <v>59.78</v>
      </c>
      <c r="P337" s="342">
        <v>13</v>
      </c>
      <c r="Q337" s="343">
        <v>13.420902341519136</v>
      </c>
      <c r="R337" s="344">
        <v>1.7575221238938055</v>
      </c>
      <c r="S337" s="344">
        <v>1.7509999999999999</v>
      </c>
      <c r="T337" s="344">
        <v>1.986</v>
      </c>
      <c r="U337" s="344" t="s">
        <v>136</v>
      </c>
      <c r="V337" s="332" t="s">
        <v>137</v>
      </c>
      <c r="W337" s="345">
        <v>8</v>
      </c>
      <c r="X337" s="346">
        <v>4</v>
      </c>
      <c r="Y337" s="208">
        <v>2.8069999999999999</v>
      </c>
      <c r="Z337" s="332"/>
      <c r="AA337" s="342"/>
      <c r="AB337" s="342"/>
      <c r="AC337" s="342"/>
      <c r="AD337" s="347"/>
      <c r="AE337" s="358">
        <v>1.702</v>
      </c>
      <c r="AF337" s="349">
        <v>0</v>
      </c>
      <c r="AG337" s="350"/>
      <c r="AH337" s="351" t="s">
        <v>139</v>
      </c>
      <c r="AI337" s="352" t="s">
        <v>139</v>
      </c>
      <c r="AJ337" s="206" t="s">
        <v>139</v>
      </c>
      <c r="AK337" s="353" t="s">
        <v>603</v>
      </c>
      <c r="AL337" s="206" t="s">
        <v>139</v>
      </c>
      <c r="AM337" s="349">
        <v>103.26216944146918</v>
      </c>
      <c r="AN337" s="354" t="s">
        <v>139</v>
      </c>
      <c r="AO337" s="355" t="s">
        <v>140</v>
      </c>
      <c r="AP337" s="206" t="s">
        <v>139</v>
      </c>
      <c r="AQ337" s="246">
        <v>0</v>
      </c>
      <c r="AR337" s="211"/>
      <c r="AS337" s="297">
        <f>+IF(Table1[[#This Row],[Column40]]="ok",Table1[[#This Row],[Column7]],0)</f>
        <v>994.8</v>
      </c>
      <c r="AT337" s="295">
        <f>+IF(Table1[[#This Row],[Column40]]="No",Table1[[#This Row],[Column7]],0)</f>
        <v>0</v>
      </c>
      <c r="AU337" s="4" t="str">
        <f>+IF(LEFT(Table1[[#This Row],[Column42]],2)="DN",IF(Table1[[#This Row],[Column40]]="ok","(CA)",_xlfn.CONCAT("(CA)",CHAR(10),"FAIL")),"")</f>
        <v/>
      </c>
      <c r="AV337" s="154" t="str">
        <f>+IF(Table1[[#This Row],[Column6]]=0,"",_xlfn.CONCAT("Sem ",WEEKNUM(Table1[[#This Row],[Column6]],2)))</f>
        <v>Sem 12</v>
      </c>
      <c r="AW337" s="211"/>
    </row>
    <row r="338" spans="2:49" ht="19.5" customHeight="1" x14ac:dyDescent="0.3">
      <c r="B338" s="356" t="s">
        <v>613</v>
      </c>
      <c r="C338" s="331"/>
      <c r="D338" s="332" t="s">
        <v>207</v>
      </c>
      <c r="E338" s="332" t="s">
        <v>133</v>
      </c>
      <c r="F338" s="333"/>
      <c r="G338" s="334">
        <v>46098</v>
      </c>
      <c r="H338" s="335">
        <v>931.78</v>
      </c>
      <c r="I338" s="336">
        <v>313.88</v>
      </c>
      <c r="J338" s="337">
        <v>2554.14</v>
      </c>
      <c r="K338" s="338" t="s">
        <v>290</v>
      </c>
      <c r="L338" s="339" t="s">
        <v>237</v>
      </c>
      <c r="M338" s="340">
        <v>30</v>
      </c>
      <c r="N338" s="341">
        <v>85462</v>
      </c>
      <c r="O338" s="332">
        <v>59.78</v>
      </c>
      <c r="P338" s="342">
        <v>13</v>
      </c>
      <c r="Q338" s="343">
        <v>12.781954887218028</v>
      </c>
      <c r="R338" s="344">
        <v>1.7256637168141593</v>
      </c>
      <c r="S338" s="344">
        <v>1.7290000000000001</v>
      </c>
      <c r="T338" s="344">
        <v>1.95</v>
      </c>
      <c r="U338" s="344" t="s">
        <v>136</v>
      </c>
      <c r="V338" s="332" t="s">
        <v>137</v>
      </c>
      <c r="W338" s="345">
        <v>8</v>
      </c>
      <c r="X338" s="346">
        <v>4</v>
      </c>
      <c r="Y338" s="208">
        <v>2.8069999999999999</v>
      </c>
      <c r="Z338" s="332"/>
      <c r="AA338" s="342"/>
      <c r="AB338" s="342"/>
      <c r="AC338" s="342"/>
      <c r="AD338" s="347"/>
      <c r="AE338" s="358">
        <v>1.7212255868741</v>
      </c>
      <c r="AF338" s="349">
        <v>16.004057014383466</v>
      </c>
      <c r="AG338" s="350"/>
      <c r="AH338" s="351">
        <v>1.7171109200343939</v>
      </c>
      <c r="AI338" s="352">
        <v>1.9970000000000001</v>
      </c>
      <c r="AJ338" s="206">
        <v>16.3</v>
      </c>
      <c r="AK338" s="353" t="s">
        <v>210</v>
      </c>
      <c r="AL338" s="206">
        <v>-0.29594298561653432</v>
      </c>
      <c r="AM338" s="349">
        <v>100.25784708139969</v>
      </c>
      <c r="AN338" s="354" t="s">
        <v>139</v>
      </c>
      <c r="AO338" s="355" t="s">
        <v>140</v>
      </c>
      <c r="AP338" s="206" t="s">
        <v>139</v>
      </c>
      <c r="AQ338" s="246" t="s">
        <v>614</v>
      </c>
      <c r="AR338" s="211"/>
      <c r="AS338" s="297">
        <f>+IF(Table1[[#This Row],[Column40]]="ok",Table1[[#This Row],[Column7]],0)</f>
        <v>931.78</v>
      </c>
      <c r="AT338" s="295">
        <f>+IF(Table1[[#This Row],[Column40]]="No",Table1[[#This Row],[Column7]],0)</f>
        <v>0</v>
      </c>
      <c r="AU338" s="4" t="str">
        <f>+IF(LEFT(Table1[[#This Row],[Column42]],2)="DN",IF(Table1[[#This Row],[Column40]]="ok","(CA)",_xlfn.CONCAT("(CA)",CHAR(10),"FAIL")),"")</f>
        <v/>
      </c>
      <c r="AV338" s="154" t="str">
        <f>+IF(Table1[[#This Row],[Column6]]=0,"",_xlfn.CONCAT("Sem ",WEEKNUM(Table1[[#This Row],[Column6]],2)))</f>
        <v>Sem 12</v>
      </c>
      <c r="AW338" s="211"/>
    </row>
    <row r="339" spans="2:49" ht="19.5" customHeight="1" x14ac:dyDescent="0.3">
      <c r="B339" s="356" t="s">
        <v>614</v>
      </c>
      <c r="C339" s="331"/>
      <c r="D339" s="332" t="s">
        <v>207</v>
      </c>
      <c r="E339" s="332" t="s">
        <v>133</v>
      </c>
      <c r="F339" s="333"/>
      <c r="G339" s="334">
        <v>46098</v>
      </c>
      <c r="H339" s="335">
        <v>931.78</v>
      </c>
      <c r="I339" s="336">
        <v>313.88</v>
      </c>
      <c r="J339" s="337">
        <v>2554.14</v>
      </c>
      <c r="K339" s="338" t="s">
        <v>290</v>
      </c>
      <c r="L339" s="339" t="s">
        <v>237</v>
      </c>
      <c r="M339" s="340">
        <v>15</v>
      </c>
      <c r="N339" s="341"/>
      <c r="O339" s="332"/>
      <c r="P339" s="342">
        <v>12.951807228915655</v>
      </c>
      <c r="Q339" s="343"/>
      <c r="R339" s="344">
        <v>1.7017752715047871</v>
      </c>
      <c r="S339" s="344"/>
      <c r="T339" s="344">
        <v>1.922185924139443</v>
      </c>
      <c r="U339" s="344" t="s">
        <v>142</v>
      </c>
      <c r="V339" s="332" t="s">
        <v>137</v>
      </c>
      <c r="W339" s="345">
        <v>6</v>
      </c>
      <c r="X339" s="346">
        <v>8</v>
      </c>
      <c r="Y339" s="208"/>
      <c r="Z339" s="332" t="s">
        <v>143</v>
      </c>
      <c r="AA339" s="342">
        <v>98.689186311394479</v>
      </c>
      <c r="AB339" s="342">
        <v>75.921360858538605</v>
      </c>
      <c r="AC339" s="342">
        <v>33.652660992120587</v>
      </c>
      <c r="AD339" s="347">
        <v>11.40916101470691</v>
      </c>
      <c r="AE339" s="358">
        <v>1.7033762152263519</v>
      </c>
      <c r="AF339" s="349">
        <v>16.631942347717693</v>
      </c>
      <c r="AG339" s="350" t="s">
        <v>615</v>
      </c>
      <c r="AH339" s="351">
        <v>1.716987580696256</v>
      </c>
      <c r="AI339" s="352">
        <v>1.9967982924226253</v>
      </c>
      <c r="AJ339" s="206">
        <v>16.296606619187255</v>
      </c>
      <c r="AK339" s="353" t="s">
        <v>615</v>
      </c>
      <c r="AL339" s="206">
        <v>0.33533572853043836</v>
      </c>
      <c r="AM339" s="349">
        <v>99.906013497942851</v>
      </c>
      <c r="AN339" s="354" t="s">
        <v>139</v>
      </c>
      <c r="AO339" s="355" t="s">
        <v>144</v>
      </c>
      <c r="AP339" s="206">
        <v>0</v>
      </c>
      <c r="AQ339" s="246" t="s">
        <v>613</v>
      </c>
      <c r="AR339" s="211"/>
      <c r="AS339" s="297">
        <f>+IF(Table1[[#This Row],[Column40]]="ok",Table1[[#This Row],[Column7]],0)</f>
        <v>931.78</v>
      </c>
      <c r="AT339" s="295">
        <f>+IF(Table1[[#This Row],[Column40]]="No",Table1[[#This Row],[Column7]],0)</f>
        <v>0</v>
      </c>
      <c r="AU339" s="4" t="str">
        <f>+IF(LEFT(Table1[[#This Row],[Column42]],2)="DN",IF(Table1[[#This Row],[Column40]]="ok","(CA)",_xlfn.CONCAT("(CA)",CHAR(10),"FAIL")),"")</f>
        <v>(CA)</v>
      </c>
      <c r="AV339" s="154" t="str">
        <f>+IF(Table1[[#This Row],[Column6]]=0,"",_xlfn.CONCAT("Sem ",WEEKNUM(Table1[[#This Row],[Column6]],2)))</f>
        <v>Sem 12</v>
      </c>
      <c r="AW339" s="211"/>
    </row>
    <row r="340" spans="2:49" ht="19.5" customHeight="1" x14ac:dyDescent="0.3">
      <c r="B340" s="356" t="s">
        <v>616</v>
      </c>
      <c r="C340" s="331"/>
      <c r="D340" s="332" t="s">
        <v>207</v>
      </c>
      <c r="E340" s="332" t="s">
        <v>133</v>
      </c>
      <c r="F340" s="333"/>
      <c r="G340" s="334">
        <v>46098</v>
      </c>
      <c r="H340" s="335">
        <v>1047.54</v>
      </c>
      <c r="I340" s="336">
        <v>369.24</v>
      </c>
      <c r="J340" s="337">
        <v>2540.0300000000002</v>
      </c>
      <c r="K340" s="338" t="s">
        <v>236</v>
      </c>
      <c r="L340" s="339" t="s">
        <v>245</v>
      </c>
      <c r="M340" s="340">
        <v>30</v>
      </c>
      <c r="N340" s="341">
        <v>85462</v>
      </c>
      <c r="O340" s="332">
        <v>59.78</v>
      </c>
      <c r="P340" s="342">
        <v>14.399999999999999</v>
      </c>
      <c r="Q340" s="343">
        <v>13.340807174887882</v>
      </c>
      <c r="R340" s="344">
        <v>1.7674825174825175</v>
      </c>
      <c r="S340" s="344">
        <v>1.784</v>
      </c>
      <c r="T340" s="344">
        <v>2.0219999999999998</v>
      </c>
      <c r="U340" s="344" t="s">
        <v>136</v>
      </c>
      <c r="V340" s="332" t="s">
        <v>137</v>
      </c>
      <c r="W340" s="345">
        <v>8</v>
      </c>
      <c r="X340" s="346">
        <v>4</v>
      </c>
      <c r="Y340" s="208">
        <v>2.8069999999999999</v>
      </c>
      <c r="Z340" s="332"/>
      <c r="AA340" s="342"/>
      <c r="AB340" s="342"/>
      <c r="AC340" s="342"/>
      <c r="AD340" s="347"/>
      <c r="AE340" s="358">
        <v>1.702</v>
      </c>
      <c r="AF340" s="349">
        <v>0</v>
      </c>
      <c r="AG340" s="350"/>
      <c r="AH340" s="351" t="s">
        <v>139</v>
      </c>
      <c r="AI340" s="352" t="s">
        <v>139</v>
      </c>
      <c r="AJ340" s="206" t="s">
        <v>139</v>
      </c>
      <c r="AK340" s="353" t="s">
        <v>603</v>
      </c>
      <c r="AL340" s="206" t="s">
        <v>139</v>
      </c>
      <c r="AM340" s="349">
        <v>103.84738645608212</v>
      </c>
      <c r="AN340" s="354" t="s">
        <v>139</v>
      </c>
      <c r="AO340" s="355" t="s">
        <v>140</v>
      </c>
      <c r="AP340" s="206" t="s">
        <v>139</v>
      </c>
      <c r="AQ340" s="246">
        <v>0</v>
      </c>
      <c r="AR340" s="211"/>
      <c r="AS340" s="297">
        <f>+IF(Table1[[#This Row],[Column40]]="ok",Table1[[#This Row],[Column7]],0)</f>
        <v>1047.54</v>
      </c>
      <c r="AT340" s="295">
        <f>+IF(Table1[[#This Row],[Column40]]="No",Table1[[#This Row],[Column7]],0)</f>
        <v>0</v>
      </c>
      <c r="AU340" s="4" t="str">
        <f>+IF(LEFT(Table1[[#This Row],[Column42]],2)="DN",IF(Table1[[#This Row],[Column40]]="ok","(CA)",_xlfn.CONCAT("(CA)",CHAR(10),"FAIL")),"")</f>
        <v/>
      </c>
      <c r="AV340" s="154" t="str">
        <f>+IF(Table1[[#This Row],[Column6]]=0,"",_xlfn.CONCAT("Sem ",WEEKNUM(Table1[[#This Row],[Column6]],2)))</f>
        <v>Sem 12</v>
      </c>
      <c r="AW340" s="211"/>
    </row>
    <row r="341" spans="2:49" ht="19.5" customHeight="1" x14ac:dyDescent="0.3">
      <c r="B341" s="356" t="s">
        <v>617</v>
      </c>
      <c r="C341" s="332"/>
      <c r="D341" s="332" t="s">
        <v>207</v>
      </c>
      <c r="E341" s="332" t="s">
        <v>133</v>
      </c>
      <c r="F341" s="336"/>
      <c r="G341" s="334">
        <v>46098</v>
      </c>
      <c r="H341" s="335">
        <v>984.34</v>
      </c>
      <c r="I341" s="336">
        <v>346.54</v>
      </c>
      <c r="J341" s="342">
        <v>2545.4299999999998</v>
      </c>
      <c r="K341" s="344" t="s">
        <v>236</v>
      </c>
      <c r="L341" s="348" t="s">
        <v>280</v>
      </c>
      <c r="M341" s="340">
        <v>30</v>
      </c>
      <c r="N341" s="349">
        <v>85462</v>
      </c>
      <c r="O341" s="332">
        <v>59.78</v>
      </c>
      <c r="P341" s="350">
        <v>13.5</v>
      </c>
      <c r="Q341" s="206">
        <v>12.803158488437671</v>
      </c>
      <c r="R341" s="246">
        <v>1.7621145374449338</v>
      </c>
      <c r="S341" s="211">
        <v>1.7729999999999999</v>
      </c>
      <c r="T341" s="344">
        <v>2</v>
      </c>
      <c r="U341" s="344" t="s">
        <v>136</v>
      </c>
      <c r="V341" s="332" t="s">
        <v>137</v>
      </c>
      <c r="W341" s="345">
        <v>8</v>
      </c>
      <c r="X341" s="346">
        <v>4</v>
      </c>
      <c r="Y341" s="208">
        <v>2.8069999999999999</v>
      </c>
      <c r="Z341" s="332"/>
      <c r="AA341" s="342"/>
      <c r="AB341" s="342"/>
      <c r="AC341" s="342"/>
      <c r="AD341" s="347"/>
      <c r="AE341" s="358">
        <v>1.702</v>
      </c>
      <c r="AF341" s="349">
        <v>0</v>
      </c>
      <c r="AG341" s="350"/>
      <c r="AH341" s="351" t="s">
        <v>139</v>
      </c>
      <c r="AI341" s="352" t="s">
        <v>139</v>
      </c>
      <c r="AJ341" s="206" t="s">
        <v>139</v>
      </c>
      <c r="AK341" s="353" t="s">
        <v>603</v>
      </c>
      <c r="AL341" s="206" t="s">
        <v>139</v>
      </c>
      <c r="AM341" s="349">
        <v>103.53199397443795</v>
      </c>
      <c r="AN341" s="354" t="s">
        <v>139</v>
      </c>
      <c r="AO341" s="355" t="s">
        <v>140</v>
      </c>
      <c r="AP341" s="206" t="s">
        <v>139</v>
      </c>
      <c r="AQ341" s="246">
        <v>0</v>
      </c>
      <c r="AR341" s="211"/>
      <c r="AS341" s="297">
        <f>+IF(Table1[[#This Row],[Column40]]="ok",Table1[[#This Row],[Column7]],0)</f>
        <v>984.34</v>
      </c>
      <c r="AT341" s="295">
        <f>+IF(Table1[[#This Row],[Column40]]="No",Table1[[#This Row],[Column7]],0)</f>
        <v>0</v>
      </c>
      <c r="AU341" s="4" t="str">
        <f>+IF(LEFT(Table1[[#This Row],[Column42]],2)="DN",IF(Table1[[#This Row],[Column40]]="ok","(CA)",_xlfn.CONCAT("(CA)",CHAR(10),"FAIL")),"")</f>
        <v/>
      </c>
      <c r="AV341" s="154" t="str">
        <f>+IF(Table1[[#This Row],[Column6]]=0,"",_xlfn.CONCAT("Sem ",WEEKNUM(Table1[[#This Row],[Column6]],2)))</f>
        <v>Sem 12</v>
      </c>
      <c r="AW341" s="211"/>
    </row>
    <row r="342" spans="2:49" ht="19.5" customHeight="1" x14ac:dyDescent="0.3">
      <c r="B342" s="356" t="s">
        <v>618</v>
      </c>
      <c r="C342" s="331"/>
      <c r="D342" s="332" t="s">
        <v>207</v>
      </c>
      <c r="E342" s="332" t="s">
        <v>133</v>
      </c>
      <c r="F342" s="333"/>
      <c r="G342" s="334">
        <v>46098</v>
      </c>
      <c r="H342" s="335">
        <v>1014.56</v>
      </c>
      <c r="I342" s="336">
        <v>310.91000000000003</v>
      </c>
      <c r="J342" s="337">
        <v>2556.54</v>
      </c>
      <c r="K342" s="338" t="s">
        <v>236</v>
      </c>
      <c r="L342" s="339" t="s">
        <v>242</v>
      </c>
      <c r="M342" s="340">
        <v>30</v>
      </c>
      <c r="N342" s="341">
        <v>85462</v>
      </c>
      <c r="O342" s="332">
        <v>59.78</v>
      </c>
      <c r="P342" s="342">
        <v>10.8</v>
      </c>
      <c r="Q342" s="343">
        <v>10.752056404230315</v>
      </c>
      <c r="R342" s="344">
        <v>1.7012635379061369</v>
      </c>
      <c r="S342" s="344">
        <v>1.702</v>
      </c>
      <c r="T342" s="344">
        <v>1.885</v>
      </c>
      <c r="U342" s="344" t="s">
        <v>136</v>
      </c>
      <c r="V342" s="332" t="s">
        <v>137</v>
      </c>
      <c r="W342" s="345">
        <v>8</v>
      </c>
      <c r="X342" s="346">
        <v>4</v>
      </c>
      <c r="Y342" s="208">
        <v>2.8069999999999999</v>
      </c>
      <c r="Z342" s="332"/>
      <c r="AA342" s="342"/>
      <c r="AB342" s="342"/>
      <c r="AC342" s="342"/>
      <c r="AD342" s="347"/>
      <c r="AE342" s="358">
        <v>1.702</v>
      </c>
      <c r="AF342" s="349">
        <v>0</v>
      </c>
      <c r="AG342" s="350"/>
      <c r="AH342" s="351" t="s">
        <v>139</v>
      </c>
      <c r="AI342" s="352" t="s">
        <v>139</v>
      </c>
      <c r="AJ342" s="206" t="s">
        <v>139</v>
      </c>
      <c r="AK342" s="353" t="s">
        <v>603</v>
      </c>
      <c r="AL342" s="206" t="s">
        <v>139</v>
      </c>
      <c r="AM342" s="349">
        <v>99.956729606706048</v>
      </c>
      <c r="AN342" s="354" t="s">
        <v>139</v>
      </c>
      <c r="AO342" s="355" t="s">
        <v>140</v>
      </c>
      <c r="AP342" s="206" t="s">
        <v>139</v>
      </c>
      <c r="AQ342" s="246">
        <v>0</v>
      </c>
      <c r="AR342" s="211"/>
      <c r="AS342" s="297">
        <f>+IF(Table1[[#This Row],[Column40]]="ok",Table1[[#This Row],[Column7]],0)</f>
        <v>1014.56</v>
      </c>
      <c r="AT342" s="295">
        <f>+IF(Table1[[#This Row],[Column40]]="No",Table1[[#This Row],[Column7]],0)</f>
        <v>0</v>
      </c>
      <c r="AU342" s="4" t="str">
        <f>+IF(LEFT(Table1[[#This Row],[Column42]],2)="DN",IF(Table1[[#This Row],[Column40]]="ok","(CA)",_xlfn.CONCAT("(CA)",CHAR(10),"FAIL")),"")</f>
        <v/>
      </c>
      <c r="AV342" s="154" t="str">
        <f>+IF(Table1[[#This Row],[Column6]]=0,"",_xlfn.CONCAT("Sem ",WEEKNUM(Table1[[#This Row],[Column6]],2)))</f>
        <v>Sem 12</v>
      </c>
      <c r="AW342" s="211"/>
    </row>
    <row r="343" spans="2:49" ht="19.5" customHeight="1" x14ac:dyDescent="0.3">
      <c r="B343" s="356" t="s">
        <v>619</v>
      </c>
      <c r="C343" s="331"/>
      <c r="D343" s="332" t="s">
        <v>132</v>
      </c>
      <c r="E343" s="332" t="s">
        <v>176</v>
      </c>
      <c r="F343" s="333"/>
      <c r="G343" s="334">
        <v>46098</v>
      </c>
      <c r="H343" s="335">
        <v>1116.2</v>
      </c>
      <c r="I343" s="336">
        <v>233.94</v>
      </c>
      <c r="J343" s="337">
        <v>2576.1109999999999</v>
      </c>
      <c r="K343" s="338" t="s">
        <v>205</v>
      </c>
      <c r="L343" s="339" t="s">
        <v>247</v>
      </c>
      <c r="M343" s="340">
        <v>30</v>
      </c>
      <c r="N343" s="341">
        <v>85462</v>
      </c>
      <c r="O343" s="332">
        <v>59.78</v>
      </c>
      <c r="P343" s="342">
        <v>7.3</v>
      </c>
      <c r="Q343" s="343">
        <v>8.0486392588303488</v>
      </c>
      <c r="R343" s="344">
        <v>1.7390493942218082</v>
      </c>
      <c r="S343" s="344">
        <v>1.7270000000000001</v>
      </c>
      <c r="T343" s="344">
        <v>1.8660000000000001</v>
      </c>
      <c r="U343" s="344" t="s">
        <v>136</v>
      </c>
      <c r="V343" s="332" t="s">
        <v>137</v>
      </c>
      <c r="W343" s="345">
        <v>8</v>
      </c>
      <c r="X343" s="346">
        <v>4</v>
      </c>
      <c r="Y343" s="208">
        <v>2.8069999999999999</v>
      </c>
      <c r="Z343" s="332"/>
      <c r="AA343" s="342"/>
      <c r="AB343" s="342"/>
      <c r="AC343" s="342"/>
      <c r="AD343" s="347"/>
      <c r="AE343" s="358">
        <v>1.702</v>
      </c>
      <c r="AF343" s="349">
        <v>0</v>
      </c>
      <c r="AG343" s="350"/>
      <c r="AH343" s="351" t="s">
        <v>139</v>
      </c>
      <c r="AI343" s="351" t="s">
        <v>139</v>
      </c>
      <c r="AJ343" s="206" t="s">
        <v>139</v>
      </c>
      <c r="AK343" s="353" t="s">
        <v>603</v>
      </c>
      <c r="AL343" s="206" t="s">
        <v>139</v>
      </c>
      <c r="AM343" s="349">
        <v>102.17681517166911</v>
      </c>
      <c r="AN343" s="354" t="s">
        <v>139</v>
      </c>
      <c r="AO343" s="355" t="s">
        <v>140</v>
      </c>
      <c r="AP343" s="206" t="s">
        <v>139</v>
      </c>
      <c r="AQ343" s="207">
        <v>0</v>
      </c>
      <c r="AR343" s="211"/>
      <c r="AS343" s="297">
        <f>+IF(Table1[[#This Row],[Column40]]="ok",Table1[[#This Row],[Column7]],0)</f>
        <v>1116.2</v>
      </c>
      <c r="AT343" s="295">
        <f>+IF(Table1[[#This Row],[Column40]]="No",Table1[[#This Row],[Column7]],0)</f>
        <v>0</v>
      </c>
      <c r="AU343" s="4" t="str">
        <f>+IF(LEFT(Table1[[#This Row],[Column42]],2)="DN",IF(Table1[[#This Row],[Column40]]="ok","(CA)",_xlfn.CONCAT("(CA)",CHAR(10),"FAIL")),"")</f>
        <v/>
      </c>
      <c r="AV343" s="154" t="str">
        <f>+IF(Table1[[#This Row],[Column6]]=0,"",_xlfn.CONCAT("Sem ",WEEKNUM(Table1[[#This Row],[Column6]],2)))</f>
        <v>Sem 12</v>
      </c>
      <c r="AW343" s="211"/>
    </row>
    <row r="344" spans="2:49" ht="19.5" customHeight="1" x14ac:dyDescent="0.3">
      <c r="B344" s="356" t="s">
        <v>620</v>
      </c>
      <c r="C344" s="331"/>
      <c r="D344" s="332" t="s">
        <v>132</v>
      </c>
      <c r="E344" s="332" t="s">
        <v>176</v>
      </c>
      <c r="F344" s="333"/>
      <c r="G344" s="334">
        <v>46098</v>
      </c>
      <c r="H344" s="335">
        <v>1179.42</v>
      </c>
      <c r="I344" s="336">
        <v>215.76</v>
      </c>
      <c r="J344" s="337">
        <v>2582.9690000000001</v>
      </c>
      <c r="K344" s="338" t="s">
        <v>208</v>
      </c>
      <c r="L344" s="339" t="s">
        <v>254</v>
      </c>
      <c r="M344" s="340">
        <v>30</v>
      </c>
      <c r="N344" s="341">
        <v>85462</v>
      </c>
      <c r="O344" s="332">
        <v>59.78</v>
      </c>
      <c r="P344" s="342">
        <v>15.1</v>
      </c>
      <c r="Q344" s="343">
        <v>13.035819142689364</v>
      </c>
      <c r="R344" s="344">
        <v>1.6724587315377932</v>
      </c>
      <c r="S344" s="344">
        <v>1.7030000000000001</v>
      </c>
      <c r="T344" s="344">
        <v>1.925</v>
      </c>
      <c r="U344" s="344" t="s">
        <v>136</v>
      </c>
      <c r="V344" s="332" t="s">
        <v>137</v>
      </c>
      <c r="W344" s="345">
        <v>8</v>
      </c>
      <c r="X344" s="346">
        <v>4</v>
      </c>
      <c r="Y344" s="208">
        <v>2.8069999999999999</v>
      </c>
      <c r="Z344" s="332"/>
      <c r="AA344" s="342"/>
      <c r="AB344" s="342"/>
      <c r="AC344" s="342"/>
      <c r="AD344" s="123"/>
      <c r="AE344" s="358">
        <v>1.702</v>
      </c>
      <c r="AF344" s="349">
        <v>0</v>
      </c>
      <c r="AG344" s="350"/>
      <c r="AH344" s="351" t="s">
        <v>139</v>
      </c>
      <c r="AI344" s="351" t="s">
        <v>139</v>
      </c>
      <c r="AJ344" s="206" t="s">
        <v>139</v>
      </c>
      <c r="AK344" s="353" t="s">
        <v>603</v>
      </c>
      <c r="AL344" s="206" t="s">
        <v>139</v>
      </c>
      <c r="AM344" s="349">
        <v>98.264320301867997</v>
      </c>
      <c r="AN344" s="354" t="s">
        <v>139</v>
      </c>
      <c r="AO344" s="355" t="s">
        <v>140</v>
      </c>
      <c r="AP344" s="206" t="s">
        <v>139</v>
      </c>
      <c r="AQ344" s="207">
        <v>0</v>
      </c>
      <c r="AR344" s="211"/>
      <c r="AS344" s="297">
        <f>+IF(Table1[[#This Row],[Column40]]="ok",Table1[[#This Row],[Column7]],0)</f>
        <v>1179.42</v>
      </c>
      <c r="AT344" s="295">
        <f>+IF(Table1[[#This Row],[Column40]]="No",Table1[[#This Row],[Column7]],0)</f>
        <v>0</v>
      </c>
      <c r="AU344" s="4" t="str">
        <f>+IF(LEFT(Table1[[#This Row],[Column42]],2)="DN",IF(Table1[[#This Row],[Column40]]="ok","(CA)",_xlfn.CONCAT("(CA)",CHAR(10),"FAIL")),"")</f>
        <v/>
      </c>
      <c r="AV344" s="154" t="str">
        <f>+IF(Table1[[#This Row],[Column6]]=0,"",_xlfn.CONCAT("Sem ",WEEKNUM(Table1[[#This Row],[Column6]],2)))</f>
        <v>Sem 12</v>
      </c>
      <c r="AW344" s="211"/>
    </row>
    <row r="345" spans="2:49" ht="19.5" customHeight="1" x14ac:dyDescent="0.3">
      <c r="B345" s="356" t="s">
        <v>621</v>
      </c>
      <c r="C345" s="331"/>
      <c r="D345" s="332" t="s">
        <v>132</v>
      </c>
      <c r="E345" s="332" t="s">
        <v>176</v>
      </c>
      <c r="F345" s="333"/>
      <c r="G345" s="334">
        <v>46098</v>
      </c>
      <c r="H345" s="335">
        <v>1258.17</v>
      </c>
      <c r="I345" s="336">
        <v>200.94</v>
      </c>
      <c r="J345" s="337">
        <v>2586.4499999999998</v>
      </c>
      <c r="K345" s="338" t="s">
        <v>208</v>
      </c>
      <c r="L345" s="339" t="s">
        <v>212</v>
      </c>
      <c r="M345" s="340">
        <v>30</v>
      </c>
      <c r="N345" s="341">
        <v>85462</v>
      </c>
      <c r="O345" s="332">
        <v>59.78</v>
      </c>
      <c r="P345" s="342">
        <v>10.4</v>
      </c>
      <c r="Q345" s="343">
        <v>10.458284371327853</v>
      </c>
      <c r="R345" s="344">
        <v>1.7028985507246375</v>
      </c>
      <c r="S345" s="344">
        <v>1.702</v>
      </c>
      <c r="T345" s="344">
        <v>1.88</v>
      </c>
      <c r="U345" s="344" t="s">
        <v>136</v>
      </c>
      <c r="V345" s="332" t="s">
        <v>137</v>
      </c>
      <c r="W345" s="345">
        <v>8</v>
      </c>
      <c r="X345" s="346">
        <v>4</v>
      </c>
      <c r="Y345" s="208">
        <v>2.8069999999999999</v>
      </c>
      <c r="Z345" s="332"/>
      <c r="AA345" s="342"/>
      <c r="AB345" s="342"/>
      <c r="AC345" s="342"/>
      <c r="AD345" s="123"/>
      <c r="AE345" s="358">
        <v>1.702</v>
      </c>
      <c r="AF345" s="349">
        <v>0</v>
      </c>
      <c r="AG345" s="350"/>
      <c r="AH345" s="351" t="s">
        <v>139</v>
      </c>
      <c r="AI345" s="351" t="s">
        <v>139</v>
      </c>
      <c r="AJ345" s="206" t="s">
        <v>139</v>
      </c>
      <c r="AK345" s="353" t="s">
        <v>603</v>
      </c>
      <c r="AL345" s="206" t="s">
        <v>139</v>
      </c>
      <c r="AM345" s="349">
        <v>100.05279381460855</v>
      </c>
      <c r="AN345" s="354" t="s">
        <v>139</v>
      </c>
      <c r="AO345" s="355" t="s">
        <v>140</v>
      </c>
      <c r="AP345" s="206" t="s">
        <v>139</v>
      </c>
      <c r="AQ345" s="207">
        <v>0</v>
      </c>
      <c r="AR345" s="211"/>
      <c r="AS345" s="297">
        <f>+IF(Table1[[#This Row],[Column40]]="ok",Table1[[#This Row],[Column7]],0)</f>
        <v>1258.17</v>
      </c>
      <c r="AT345" s="295">
        <f>+IF(Table1[[#This Row],[Column40]]="No",Table1[[#This Row],[Column7]],0)</f>
        <v>0</v>
      </c>
      <c r="AU345" s="4" t="str">
        <f>+IF(LEFT(Table1[[#This Row],[Column42]],2)="DN",IF(Table1[[#This Row],[Column40]]="ok","(CA)",_xlfn.CONCAT("(CA)",CHAR(10),"FAIL")),"")</f>
        <v/>
      </c>
      <c r="AV345" s="154" t="str">
        <f>+IF(Table1[[#This Row],[Column6]]=0,"",_xlfn.CONCAT("Sem ",WEEKNUM(Table1[[#This Row],[Column6]],2)))</f>
        <v>Sem 12</v>
      </c>
      <c r="AW345" s="211"/>
    </row>
    <row r="346" spans="2:49" ht="19.5" customHeight="1" x14ac:dyDescent="0.3">
      <c r="B346" s="356" t="s">
        <v>622</v>
      </c>
      <c r="C346" s="331"/>
      <c r="D346" s="332" t="s">
        <v>132</v>
      </c>
      <c r="E346" s="332" t="s">
        <v>176</v>
      </c>
      <c r="F346" s="333"/>
      <c r="G346" s="334">
        <v>46098</v>
      </c>
      <c r="H346" s="335">
        <v>1254.54</v>
      </c>
      <c r="I346" s="336">
        <v>341.06</v>
      </c>
      <c r="J346" s="337">
        <v>2546.1060000000002</v>
      </c>
      <c r="K346" s="338" t="s">
        <v>253</v>
      </c>
      <c r="L346" s="339" t="s">
        <v>212</v>
      </c>
      <c r="M346" s="340">
        <v>30</v>
      </c>
      <c r="N346" s="341">
        <v>85462</v>
      </c>
      <c r="O346" s="332">
        <v>59.78</v>
      </c>
      <c r="P346" s="342">
        <v>10.6</v>
      </c>
      <c r="Q346" s="343">
        <v>9.9882491186838998</v>
      </c>
      <c r="R346" s="344">
        <v>1.6925858951175405</v>
      </c>
      <c r="S346" s="344">
        <v>1.702</v>
      </c>
      <c r="T346" s="344">
        <v>1.8720000000000001</v>
      </c>
      <c r="U346" s="344" t="s">
        <v>136</v>
      </c>
      <c r="V346" s="332" t="s">
        <v>137</v>
      </c>
      <c r="W346" s="345">
        <v>8</v>
      </c>
      <c r="X346" s="346">
        <v>4</v>
      </c>
      <c r="Y346" s="208">
        <v>2.8069999999999999</v>
      </c>
      <c r="Z346" s="332"/>
      <c r="AA346" s="342"/>
      <c r="AB346" s="342"/>
      <c r="AC346" s="342"/>
      <c r="AD346" s="347"/>
      <c r="AE346" s="358">
        <v>1.702</v>
      </c>
      <c r="AF346" s="349" t="s">
        <v>139</v>
      </c>
      <c r="AG346" s="350"/>
      <c r="AH346" s="351" t="s">
        <v>139</v>
      </c>
      <c r="AI346" s="352" t="s">
        <v>139</v>
      </c>
      <c r="AJ346" s="206" t="s">
        <v>139</v>
      </c>
      <c r="AK346" s="353" t="s">
        <v>603</v>
      </c>
      <c r="AL346" s="206" t="s">
        <v>139</v>
      </c>
      <c r="AM346" s="349">
        <v>99.446879854144569</v>
      </c>
      <c r="AN346" s="354" t="s">
        <v>139</v>
      </c>
      <c r="AO346" s="355" t="s">
        <v>140</v>
      </c>
      <c r="AP346" s="206" t="s">
        <v>139</v>
      </c>
      <c r="AQ346" s="246">
        <v>0</v>
      </c>
      <c r="AR346" s="211"/>
      <c r="AS346" s="297">
        <f>+IF(Table1[[#This Row],[Column40]]="ok",Table1[[#This Row],[Column7]],0)</f>
        <v>1254.54</v>
      </c>
      <c r="AT346" s="295">
        <f>+IF(Table1[[#This Row],[Column40]]="No",Table1[[#This Row],[Column7]],0)</f>
        <v>0</v>
      </c>
      <c r="AU346" s="4" t="str">
        <f>+IF(LEFT(Table1[[#This Row],[Column42]],2)="DN",IF(Table1[[#This Row],[Column40]]="ok","(CA)",_xlfn.CONCAT("(CA)",CHAR(10),"FAIL")),"")</f>
        <v/>
      </c>
      <c r="AV346" s="154" t="str">
        <f>+IF(Table1[[#This Row],[Column6]]=0,"",_xlfn.CONCAT("Sem ",WEEKNUM(Table1[[#This Row],[Column6]],2)))</f>
        <v>Sem 12</v>
      </c>
      <c r="AW346" s="211"/>
    </row>
    <row r="347" spans="2:49" ht="19.5" customHeight="1" x14ac:dyDescent="0.3">
      <c r="B347" s="356" t="s">
        <v>623</v>
      </c>
      <c r="C347" s="331"/>
      <c r="D347" s="332" t="s">
        <v>132</v>
      </c>
      <c r="E347" s="332" t="s">
        <v>176</v>
      </c>
      <c r="F347" s="333"/>
      <c r="G347" s="334">
        <v>46098</v>
      </c>
      <c r="H347" s="335">
        <v>1183.3399999999999</v>
      </c>
      <c r="I347" s="336">
        <v>331.2</v>
      </c>
      <c r="J347" s="337">
        <v>2551.4940000000001</v>
      </c>
      <c r="K347" s="338" t="s">
        <v>253</v>
      </c>
      <c r="L347" s="339" t="s">
        <v>254</v>
      </c>
      <c r="M347" s="340">
        <v>30</v>
      </c>
      <c r="N347" s="341">
        <v>85462</v>
      </c>
      <c r="O347" s="332">
        <v>59.78</v>
      </c>
      <c r="P347" s="342">
        <v>12.2</v>
      </c>
      <c r="Q347" s="343">
        <v>10.9375</v>
      </c>
      <c r="R347" s="344">
        <v>1.7085561497326205</v>
      </c>
      <c r="S347" s="344">
        <v>1.728</v>
      </c>
      <c r="T347" s="344">
        <v>1.917</v>
      </c>
      <c r="U347" s="344" t="s">
        <v>136</v>
      </c>
      <c r="V347" s="332" t="s">
        <v>137</v>
      </c>
      <c r="W347" s="345">
        <v>8</v>
      </c>
      <c r="X347" s="346">
        <v>4</v>
      </c>
      <c r="Y347" s="208">
        <v>2.8069999999999999</v>
      </c>
      <c r="Z347" s="332"/>
      <c r="AA347" s="342"/>
      <c r="AB347" s="342"/>
      <c r="AC347" s="342"/>
      <c r="AD347" s="347"/>
      <c r="AE347" s="358">
        <v>1.702</v>
      </c>
      <c r="AF347" s="349">
        <v>0</v>
      </c>
      <c r="AG347" s="350"/>
      <c r="AH347" s="351" t="s">
        <v>139</v>
      </c>
      <c r="AI347" s="352" t="s">
        <v>139</v>
      </c>
      <c r="AJ347" s="206" t="s">
        <v>139</v>
      </c>
      <c r="AK347" s="353" t="s">
        <v>603</v>
      </c>
      <c r="AL347" s="206" t="s">
        <v>139</v>
      </c>
      <c r="AM347" s="349">
        <v>100.38520268699298</v>
      </c>
      <c r="AN347" s="354" t="s">
        <v>139</v>
      </c>
      <c r="AO347" s="355" t="s">
        <v>140</v>
      </c>
      <c r="AP347" s="206" t="s">
        <v>139</v>
      </c>
      <c r="AQ347" s="246">
        <v>0</v>
      </c>
      <c r="AR347" s="211"/>
      <c r="AS347" s="297">
        <f>+IF(Table1[[#This Row],[Column40]]="ok",Table1[[#This Row],[Column7]],0)</f>
        <v>1183.3399999999999</v>
      </c>
      <c r="AT347" s="295">
        <f>+IF(Table1[[#This Row],[Column40]]="No",Table1[[#This Row],[Column7]],0)</f>
        <v>0</v>
      </c>
      <c r="AU347" s="4" t="str">
        <f>+IF(LEFT(Table1[[#This Row],[Column42]],2)="DN",IF(Table1[[#This Row],[Column40]]="ok","(CA)",_xlfn.CONCAT("(CA)",CHAR(10),"FAIL")),"")</f>
        <v/>
      </c>
      <c r="AV347" s="154" t="str">
        <f>+IF(Table1[[#This Row],[Column6]]=0,"",_xlfn.CONCAT("Sem ",WEEKNUM(Table1[[#This Row],[Column6]],2)))</f>
        <v>Sem 12</v>
      </c>
      <c r="AW347" s="211"/>
    </row>
    <row r="348" spans="2:49" ht="19.5" customHeight="1" x14ac:dyDescent="0.3">
      <c r="B348" s="356" t="s">
        <v>624</v>
      </c>
      <c r="C348" s="331"/>
      <c r="D348" s="332" t="s">
        <v>132</v>
      </c>
      <c r="E348" s="332" t="s">
        <v>176</v>
      </c>
      <c r="F348" s="333"/>
      <c r="G348" s="334">
        <v>46098</v>
      </c>
      <c r="H348" s="335">
        <v>1116.26</v>
      </c>
      <c r="I348" s="336">
        <v>325.01</v>
      </c>
      <c r="J348" s="337">
        <v>2553.0479999999998</v>
      </c>
      <c r="K348" s="338" t="s">
        <v>236</v>
      </c>
      <c r="L348" s="339" t="s">
        <v>247</v>
      </c>
      <c r="M348" s="340">
        <v>30</v>
      </c>
      <c r="N348" s="341">
        <v>85462</v>
      </c>
      <c r="O348" s="332">
        <v>59.78</v>
      </c>
      <c r="P348" s="342">
        <v>13</v>
      </c>
      <c r="Q348" s="343">
        <v>9.3978615644344501</v>
      </c>
      <c r="R348" s="344">
        <v>1.7203539823008851</v>
      </c>
      <c r="S348" s="344">
        <v>1.7769999999999999</v>
      </c>
      <c r="T348" s="344">
        <v>1.944</v>
      </c>
      <c r="U348" s="344" t="s">
        <v>136</v>
      </c>
      <c r="V348" s="332" t="s">
        <v>137</v>
      </c>
      <c r="W348" s="345">
        <v>8</v>
      </c>
      <c r="X348" s="346">
        <v>4</v>
      </c>
      <c r="Y348" s="208">
        <v>2.8069999999999999</v>
      </c>
      <c r="Z348" s="332"/>
      <c r="AA348" s="342"/>
      <c r="AB348" s="342"/>
      <c r="AC348" s="342"/>
      <c r="AD348" s="347"/>
      <c r="AE348" s="358">
        <v>1.702</v>
      </c>
      <c r="AF348" s="349" t="s">
        <v>139</v>
      </c>
      <c r="AG348" s="350"/>
      <c r="AH348" s="351" t="s">
        <v>139</v>
      </c>
      <c r="AI348" s="352" t="s">
        <v>139</v>
      </c>
      <c r="AJ348" s="206" t="s">
        <v>139</v>
      </c>
      <c r="AK348" s="353" t="s">
        <v>603</v>
      </c>
      <c r="AL348" s="206" t="s">
        <v>139</v>
      </c>
      <c r="AM348" s="349">
        <v>101.0783773384774</v>
      </c>
      <c r="AN348" s="354" t="s">
        <v>139</v>
      </c>
      <c r="AO348" s="355" t="s">
        <v>140</v>
      </c>
      <c r="AP348" s="206" t="s">
        <v>139</v>
      </c>
      <c r="AQ348" s="246">
        <v>0</v>
      </c>
      <c r="AR348" s="211"/>
      <c r="AS348" s="297">
        <f>+IF(Table1[[#This Row],[Column40]]="ok",Table1[[#This Row],[Column7]],0)</f>
        <v>1116.26</v>
      </c>
      <c r="AT348" s="295">
        <f>+IF(Table1[[#This Row],[Column40]]="No",Table1[[#This Row],[Column7]],0)</f>
        <v>0</v>
      </c>
      <c r="AU348" s="4" t="str">
        <f>+IF(LEFT(Table1[[#This Row],[Column42]],2)="DN",IF(Table1[[#This Row],[Column40]]="ok","(CA)",_xlfn.CONCAT("(CA)",CHAR(10),"FAIL")),"")</f>
        <v/>
      </c>
      <c r="AV348" s="154" t="str">
        <f>+IF(Table1[[#This Row],[Column6]]=0,"",_xlfn.CONCAT("Sem ",WEEKNUM(Table1[[#This Row],[Column6]],2)))</f>
        <v>Sem 12</v>
      </c>
      <c r="AW348" s="211"/>
    </row>
    <row r="349" spans="2:49" ht="19.5" customHeight="1" x14ac:dyDescent="0.3">
      <c r="B349" s="356" t="s">
        <v>625</v>
      </c>
      <c r="C349" s="331"/>
      <c r="D349" s="332" t="s">
        <v>132</v>
      </c>
      <c r="E349" s="332" t="s">
        <v>176</v>
      </c>
      <c r="F349" s="333"/>
      <c r="G349" s="334">
        <v>46098</v>
      </c>
      <c r="H349" s="335">
        <v>1256.5899999999999</v>
      </c>
      <c r="I349" s="336">
        <v>274.48</v>
      </c>
      <c r="J349" s="337">
        <v>2565.6970000000001</v>
      </c>
      <c r="K349" s="338" t="s">
        <v>253</v>
      </c>
      <c r="L349" s="339" t="s">
        <v>212</v>
      </c>
      <c r="M349" s="340">
        <v>30</v>
      </c>
      <c r="N349" s="341">
        <v>85462</v>
      </c>
      <c r="O349" s="332">
        <v>59.78</v>
      </c>
      <c r="P349" s="342">
        <v>10.199999999999999</v>
      </c>
      <c r="Q349" s="343">
        <v>10.387323943661976</v>
      </c>
      <c r="R349" s="344">
        <v>1.7068965517241379</v>
      </c>
      <c r="S349" s="344">
        <v>1.704</v>
      </c>
      <c r="T349" s="344">
        <v>1.881</v>
      </c>
      <c r="U349" s="344" t="s">
        <v>136</v>
      </c>
      <c r="V349" s="332" t="s">
        <v>137</v>
      </c>
      <c r="W349" s="345">
        <v>8</v>
      </c>
      <c r="X349" s="346">
        <v>4</v>
      </c>
      <c r="Y349" s="208">
        <v>2.8069999999999999</v>
      </c>
      <c r="Z349" s="332"/>
      <c r="AA349" s="342"/>
      <c r="AB349" s="342"/>
      <c r="AC349" s="342"/>
      <c r="AD349" s="347"/>
      <c r="AE349" s="358">
        <v>1.7165583216922649</v>
      </c>
      <c r="AF349" s="349">
        <v>16.174007676247836</v>
      </c>
      <c r="AG349" s="350"/>
      <c r="AH349" s="351">
        <v>1.7105943152454779</v>
      </c>
      <c r="AI349" s="352">
        <v>1.986</v>
      </c>
      <c r="AJ349" s="206">
        <v>16.100000000000001</v>
      </c>
      <c r="AK349" s="353" t="s">
        <v>540</v>
      </c>
      <c r="AL349" s="206">
        <v>7.4007676247834553E-2</v>
      </c>
      <c r="AM349" s="349">
        <v>99.437142924535067</v>
      </c>
      <c r="AN349" s="354" t="s">
        <v>139</v>
      </c>
      <c r="AO349" s="355" t="s">
        <v>140</v>
      </c>
      <c r="AP349" s="206" t="s">
        <v>139</v>
      </c>
      <c r="AQ349" s="246" t="s">
        <v>626</v>
      </c>
      <c r="AR349" s="211"/>
      <c r="AS349" s="297">
        <f>+IF(Table1[[#This Row],[Column40]]="ok",Table1[[#This Row],[Column7]],0)</f>
        <v>1256.5899999999999</v>
      </c>
      <c r="AT349" s="295">
        <f>+IF(Table1[[#This Row],[Column40]]="No",Table1[[#This Row],[Column7]],0)</f>
        <v>0</v>
      </c>
      <c r="AU349" s="4" t="str">
        <f>+IF(LEFT(Table1[[#This Row],[Column42]],2)="DN",IF(Table1[[#This Row],[Column40]]="ok","(CA)",_xlfn.CONCAT("(CA)",CHAR(10),"FAIL")),"")</f>
        <v/>
      </c>
      <c r="AV349" s="154" t="str">
        <f>+IF(Table1[[#This Row],[Column6]]=0,"",_xlfn.CONCAT("Sem ",WEEKNUM(Table1[[#This Row],[Column6]],2)))</f>
        <v>Sem 12</v>
      </c>
      <c r="AW349" s="211"/>
    </row>
    <row r="350" spans="2:49" ht="19.5" customHeight="1" x14ac:dyDescent="0.3">
      <c r="B350" s="356" t="s">
        <v>626</v>
      </c>
      <c r="C350" s="331"/>
      <c r="D350" s="332" t="s">
        <v>132</v>
      </c>
      <c r="E350" s="332" t="s">
        <v>176</v>
      </c>
      <c r="F350" s="333"/>
      <c r="G350" s="334">
        <v>46098</v>
      </c>
      <c r="H350" s="335">
        <v>1256.5899999999999</v>
      </c>
      <c r="I350" s="336">
        <v>274.48</v>
      </c>
      <c r="J350" s="337">
        <v>2565.6970000000001</v>
      </c>
      <c r="K350" s="338" t="s">
        <v>253</v>
      </c>
      <c r="L350" s="339" t="s">
        <v>212</v>
      </c>
      <c r="M350" s="340">
        <v>15</v>
      </c>
      <c r="N350" s="341"/>
      <c r="O350" s="332"/>
      <c r="P350" s="342">
        <v>10.165137614678923</v>
      </c>
      <c r="Q350" s="343"/>
      <c r="R350" s="344">
        <v>1.7191472124893092</v>
      </c>
      <c r="S350" s="344"/>
      <c r="T350" s="344">
        <v>1.893900892437764</v>
      </c>
      <c r="U350" s="344" t="s">
        <v>142</v>
      </c>
      <c r="V350" s="332" t="s">
        <v>137</v>
      </c>
      <c r="W350" s="345">
        <v>6</v>
      </c>
      <c r="X350" s="346">
        <v>8</v>
      </c>
      <c r="Y350" s="208"/>
      <c r="Z350" s="332" t="s">
        <v>143</v>
      </c>
      <c r="AA350" s="342">
        <v>98.981893264773291</v>
      </c>
      <c r="AB350" s="342">
        <v>77.601651825012283</v>
      </c>
      <c r="AC350" s="342">
        <v>36.188663153878579</v>
      </c>
      <c r="AD350" s="347">
        <v>13.371094558503387</v>
      </c>
      <c r="AE350" s="358">
        <v>1.7165583216922649</v>
      </c>
      <c r="AF350" s="349">
        <v>16.174007676247836</v>
      </c>
      <c r="AG350" s="350" t="s">
        <v>540</v>
      </c>
      <c r="AH350" s="351">
        <v>1.71042739361818</v>
      </c>
      <c r="AI350" s="352">
        <v>1.9855211327584372</v>
      </c>
      <c r="AJ350" s="206">
        <v>16.083333333333343</v>
      </c>
      <c r="AK350" s="353" t="s">
        <v>540</v>
      </c>
      <c r="AL350" s="206">
        <v>9.0674342914493167E-2</v>
      </c>
      <c r="AM350" s="349">
        <v>100.15081869135049</v>
      </c>
      <c r="AN350" s="354" t="s">
        <v>139</v>
      </c>
      <c r="AO350" s="355" t="s">
        <v>144</v>
      </c>
      <c r="AP350" s="206">
        <v>0</v>
      </c>
      <c r="AQ350" s="246" t="s">
        <v>625</v>
      </c>
      <c r="AR350" s="211"/>
      <c r="AS350" s="297">
        <f>+IF(Table1[[#This Row],[Column40]]="ok",Table1[[#This Row],[Column7]],0)</f>
        <v>1256.5899999999999</v>
      </c>
      <c r="AT350" s="295">
        <f>+IF(Table1[[#This Row],[Column40]]="No",Table1[[#This Row],[Column7]],0)</f>
        <v>0</v>
      </c>
      <c r="AU350" s="4" t="str">
        <f>+IF(LEFT(Table1[[#This Row],[Column42]],2)="DN",IF(Table1[[#This Row],[Column40]]="ok","(CA)",_xlfn.CONCAT("(CA)",CHAR(10),"FAIL")),"")</f>
        <v>(CA)</v>
      </c>
      <c r="AV350" s="154" t="str">
        <f>+IF(Table1[[#This Row],[Column6]]=0,"",_xlfn.CONCAT("Sem ",WEEKNUM(Table1[[#This Row],[Column6]],2)))</f>
        <v>Sem 12</v>
      </c>
      <c r="AW350" s="211"/>
    </row>
    <row r="351" spans="2:49" ht="19.5" customHeight="1" x14ac:dyDescent="0.3">
      <c r="B351" s="356" t="s">
        <v>627</v>
      </c>
      <c r="C351" s="331"/>
      <c r="D351" s="332" t="s">
        <v>132</v>
      </c>
      <c r="E351" s="332" t="s">
        <v>133</v>
      </c>
      <c r="F351" s="333"/>
      <c r="G351" s="334">
        <v>46099</v>
      </c>
      <c r="H351" s="335">
        <v>890.94</v>
      </c>
      <c r="I351" s="336">
        <v>216.1</v>
      </c>
      <c r="J351" s="337">
        <v>2580.04</v>
      </c>
      <c r="K351" s="338" t="s">
        <v>200</v>
      </c>
      <c r="L351" s="339" t="s">
        <v>311</v>
      </c>
      <c r="M351" s="340">
        <v>30</v>
      </c>
      <c r="N351" s="341">
        <v>88653</v>
      </c>
      <c r="O351" s="332">
        <v>58</v>
      </c>
      <c r="P351" s="342">
        <v>9.1</v>
      </c>
      <c r="Q351" s="343">
        <v>10.14067995310668</v>
      </c>
      <c r="R351" s="344">
        <v>1.7222731439046746</v>
      </c>
      <c r="S351" s="344">
        <v>1.706</v>
      </c>
      <c r="T351" s="344">
        <v>1.879</v>
      </c>
      <c r="U351" s="344" t="s">
        <v>136</v>
      </c>
      <c r="V351" s="332" t="s">
        <v>137</v>
      </c>
      <c r="W351" s="345">
        <v>8</v>
      </c>
      <c r="X351" s="346">
        <v>4</v>
      </c>
      <c r="Y351" s="208">
        <v>2.8069999999999999</v>
      </c>
      <c r="Z351" s="332"/>
      <c r="AA351" s="342"/>
      <c r="AB351" s="342"/>
      <c r="AC351" s="342"/>
      <c r="AD351" s="347"/>
      <c r="AE351" s="358">
        <v>1.702</v>
      </c>
      <c r="AF351" s="349">
        <v>0</v>
      </c>
      <c r="AG351" s="350"/>
      <c r="AH351" s="351" t="s">
        <v>139</v>
      </c>
      <c r="AI351" s="352" t="s">
        <v>139</v>
      </c>
      <c r="AJ351" s="206" t="s">
        <v>139</v>
      </c>
      <c r="AK351" s="353" t="s">
        <v>603</v>
      </c>
      <c r="AL351" s="206" t="s">
        <v>139</v>
      </c>
      <c r="AM351" s="349">
        <v>101.19113653964011</v>
      </c>
      <c r="AN351" s="354" t="s">
        <v>139</v>
      </c>
      <c r="AO351" s="355" t="s">
        <v>140</v>
      </c>
      <c r="AP351" s="206" t="s">
        <v>139</v>
      </c>
      <c r="AQ351" s="246">
        <v>0</v>
      </c>
      <c r="AR351" s="211"/>
      <c r="AS351" s="297">
        <f>+IF(Table1[[#This Row],[Column40]]="ok",Table1[[#This Row],[Column7]],0)</f>
        <v>890.94</v>
      </c>
      <c r="AT351" s="295">
        <f>+IF(Table1[[#This Row],[Column40]]="No",Table1[[#This Row],[Column7]],0)</f>
        <v>0</v>
      </c>
      <c r="AU351" s="4" t="str">
        <f>+IF(LEFT(Table1[[#This Row],[Column42]],2)="DN",IF(Table1[[#This Row],[Column40]]="ok","(CA)",_xlfn.CONCAT("(CA)",CHAR(10),"FAIL")),"")</f>
        <v/>
      </c>
      <c r="AV351" s="154" t="str">
        <f>+IF(Table1[[#This Row],[Column6]]=0,"",_xlfn.CONCAT("Sem ",WEEKNUM(Table1[[#This Row],[Column6]],2)))</f>
        <v>Sem 12</v>
      </c>
      <c r="AW351" s="211"/>
    </row>
    <row r="352" spans="2:49" ht="19.5" customHeight="1" x14ac:dyDescent="0.3">
      <c r="B352" s="356" t="s">
        <v>628</v>
      </c>
      <c r="C352" s="331"/>
      <c r="D352" s="332" t="s">
        <v>132</v>
      </c>
      <c r="E352" s="332" t="s">
        <v>133</v>
      </c>
      <c r="F352" s="333"/>
      <c r="G352" s="334">
        <v>46099</v>
      </c>
      <c r="H352" s="335">
        <v>797.97</v>
      </c>
      <c r="I352" s="336">
        <v>175.32</v>
      </c>
      <c r="J352" s="337">
        <v>2596.2399999999998</v>
      </c>
      <c r="K352" s="338" t="s">
        <v>200</v>
      </c>
      <c r="L352" s="339" t="s">
        <v>304</v>
      </c>
      <c r="M352" s="340">
        <v>30</v>
      </c>
      <c r="N352" s="341">
        <v>88653</v>
      </c>
      <c r="O352" s="332">
        <v>58</v>
      </c>
      <c r="P352" s="342">
        <v>7.7</v>
      </c>
      <c r="Q352" s="343">
        <v>10.366919044845657</v>
      </c>
      <c r="R352" s="344">
        <v>1.7595171773444755</v>
      </c>
      <c r="S352" s="344">
        <v>1.7170000000000001</v>
      </c>
      <c r="T352" s="344">
        <v>1.895</v>
      </c>
      <c r="U352" s="344" t="s">
        <v>136</v>
      </c>
      <c r="V352" s="332" t="s">
        <v>137</v>
      </c>
      <c r="W352" s="345">
        <v>8</v>
      </c>
      <c r="X352" s="346">
        <v>4</v>
      </c>
      <c r="Y352" s="208">
        <v>2.8069999999999999</v>
      </c>
      <c r="Z352" s="332"/>
      <c r="AA352" s="342"/>
      <c r="AB352" s="342"/>
      <c r="AC352" s="342"/>
      <c r="AD352" s="347"/>
      <c r="AE352" s="358">
        <v>1.702</v>
      </c>
      <c r="AF352" s="349">
        <v>0</v>
      </c>
      <c r="AG352" s="350"/>
      <c r="AH352" s="351" t="s">
        <v>139</v>
      </c>
      <c r="AI352" s="352" t="s">
        <v>139</v>
      </c>
      <c r="AJ352" s="206" t="s">
        <v>139</v>
      </c>
      <c r="AK352" s="353" t="s">
        <v>603</v>
      </c>
      <c r="AL352" s="206" t="s">
        <v>139</v>
      </c>
      <c r="AM352" s="349">
        <v>103.37938762305967</v>
      </c>
      <c r="AN352" s="354" t="s">
        <v>139</v>
      </c>
      <c r="AO352" s="355" t="s">
        <v>140</v>
      </c>
      <c r="AP352" s="206" t="s">
        <v>139</v>
      </c>
      <c r="AQ352" s="246">
        <v>0</v>
      </c>
      <c r="AR352" s="211"/>
      <c r="AS352" s="297">
        <f>+IF(Table1[[#This Row],[Column40]]="ok",Table1[[#This Row],[Column7]],0)</f>
        <v>797.97</v>
      </c>
      <c r="AT352" s="295">
        <f>+IF(Table1[[#This Row],[Column40]]="No",Table1[[#This Row],[Column7]],0)</f>
        <v>0</v>
      </c>
      <c r="AU352" s="4" t="str">
        <f>+IF(LEFT(Table1[[#This Row],[Column42]],2)="DN",IF(Table1[[#This Row],[Column40]]="ok","(CA)",_xlfn.CONCAT("(CA)",CHAR(10),"FAIL")),"")</f>
        <v/>
      </c>
      <c r="AV352" s="154" t="str">
        <f>+IF(Table1[[#This Row],[Column6]]=0,"",_xlfn.CONCAT("Sem ",WEEKNUM(Table1[[#This Row],[Column6]],2)))</f>
        <v>Sem 12</v>
      </c>
      <c r="AW352" s="211"/>
    </row>
    <row r="353" spans="2:49" ht="19.5" customHeight="1" x14ac:dyDescent="0.3">
      <c r="B353" s="356" t="s">
        <v>629</v>
      </c>
      <c r="C353" s="331"/>
      <c r="D353" s="332" t="s">
        <v>132</v>
      </c>
      <c r="E353" s="332" t="s">
        <v>133</v>
      </c>
      <c r="F353" s="333"/>
      <c r="G353" s="334">
        <v>46099</v>
      </c>
      <c r="H353" s="335">
        <v>797.86</v>
      </c>
      <c r="I353" s="336">
        <v>282.14999999999998</v>
      </c>
      <c r="J353" s="337">
        <v>2567.7399999999998</v>
      </c>
      <c r="K353" s="338" t="s">
        <v>290</v>
      </c>
      <c r="L353" s="339" t="s">
        <v>304</v>
      </c>
      <c r="M353" s="340">
        <v>30</v>
      </c>
      <c r="N353" s="341">
        <v>88653</v>
      </c>
      <c r="O353" s="332">
        <v>58</v>
      </c>
      <c r="P353" s="342">
        <v>9.6</v>
      </c>
      <c r="Q353" s="343">
        <v>9.747504403992945</v>
      </c>
      <c r="R353" s="344">
        <v>1.7052919708029195</v>
      </c>
      <c r="S353" s="344">
        <v>1.7030000000000001</v>
      </c>
      <c r="T353" s="344">
        <v>1.869</v>
      </c>
      <c r="U353" s="344" t="s">
        <v>136</v>
      </c>
      <c r="V353" s="332" t="s">
        <v>137</v>
      </c>
      <c r="W353" s="345">
        <v>8</v>
      </c>
      <c r="X353" s="346">
        <v>4</v>
      </c>
      <c r="Y353" s="208">
        <v>2.8069999999999999</v>
      </c>
      <c r="Z353" s="332"/>
      <c r="AA353" s="342"/>
      <c r="AB353" s="342"/>
      <c r="AC353" s="342"/>
      <c r="AD353" s="347"/>
      <c r="AE353" s="358">
        <v>1.702</v>
      </c>
      <c r="AF353" s="349">
        <v>0</v>
      </c>
      <c r="AG353" s="350"/>
      <c r="AH353" s="351" t="s">
        <v>139</v>
      </c>
      <c r="AI353" s="352" t="s">
        <v>139</v>
      </c>
      <c r="AJ353" s="206" t="s">
        <v>139</v>
      </c>
      <c r="AK353" s="353" t="s">
        <v>603</v>
      </c>
      <c r="AL353" s="206" t="s">
        <v>139</v>
      </c>
      <c r="AM353" s="349">
        <v>100.19341779100586</v>
      </c>
      <c r="AN353" s="354" t="s">
        <v>139</v>
      </c>
      <c r="AO353" s="355" t="s">
        <v>140</v>
      </c>
      <c r="AP353" s="206" t="s">
        <v>139</v>
      </c>
      <c r="AQ353" s="246">
        <v>0</v>
      </c>
      <c r="AR353" s="211"/>
      <c r="AS353" s="297">
        <f>+IF(Table1[[#This Row],[Column40]]="ok",Table1[[#This Row],[Column7]],0)</f>
        <v>797.86</v>
      </c>
      <c r="AT353" s="295">
        <f>+IF(Table1[[#This Row],[Column40]]="No",Table1[[#This Row],[Column7]],0)</f>
        <v>0</v>
      </c>
      <c r="AU353" s="4" t="str">
        <f>+IF(LEFT(Table1[[#This Row],[Column42]],2)="DN",IF(Table1[[#This Row],[Column40]]="ok","(CA)",_xlfn.CONCAT("(CA)",CHAR(10),"FAIL")),"")</f>
        <v/>
      </c>
      <c r="AV353" s="154" t="str">
        <f>+IF(Table1[[#This Row],[Column6]]=0,"",_xlfn.CONCAT("Sem ",WEEKNUM(Table1[[#This Row],[Column6]],2)))</f>
        <v>Sem 12</v>
      </c>
      <c r="AW353" s="211"/>
    </row>
    <row r="354" spans="2:49" ht="19.5" customHeight="1" x14ac:dyDescent="0.3">
      <c r="B354" s="356" t="s">
        <v>630</v>
      </c>
      <c r="C354" s="331"/>
      <c r="D354" s="332" t="s">
        <v>132</v>
      </c>
      <c r="E354" s="332" t="s">
        <v>133</v>
      </c>
      <c r="F354" s="333"/>
      <c r="G354" s="334">
        <v>46099</v>
      </c>
      <c r="H354" s="335">
        <v>884.52</v>
      </c>
      <c r="I354" s="336">
        <v>318.23</v>
      </c>
      <c r="J354" s="337">
        <v>2553.34</v>
      </c>
      <c r="K354" s="338" t="s">
        <v>290</v>
      </c>
      <c r="L354" s="339" t="s">
        <v>302</v>
      </c>
      <c r="M354" s="340">
        <v>30</v>
      </c>
      <c r="N354" s="341">
        <v>88653</v>
      </c>
      <c r="O354" s="332">
        <v>58</v>
      </c>
      <c r="P354" s="342">
        <v>10.299999999999999</v>
      </c>
      <c r="Q354" s="343">
        <v>9.853372434017583</v>
      </c>
      <c r="R354" s="344">
        <v>1.6980961015412512</v>
      </c>
      <c r="S354" s="344">
        <v>1.7050000000000001</v>
      </c>
      <c r="T354" s="344">
        <v>1.873</v>
      </c>
      <c r="U354" s="344" t="s">
        <v>136</v>
      </c>
      <c r="V354" s="332" t="s">
        <v>137</v>
      </c>
      <c r="W354" s="345">
        <v>8</v>
      </c>
      <c r="X354" s="346">
        <v>4</v>
      </c>
      <c r="Y354" s="208">
        <v>2.8069999999999999</v>
      </c>
      <c r="Z354" s="332"/>
      <c r="AA354" s="342"/>
      <c r="AB354" s="342"/>
      <c r="AC354" s="342"/>
      <c r="AD354" s="347"/>
      <c r="AE354" s="358">
        <v>1.702</v>
      </c>
      <c r="AF354" s="349" t="s">
        <v>139</v>
      </c>
      <c r="AG354" s="350"/>
      <c r="AH354" s="351" t="s">
        <v>139</v>
      </c>
      <c r="AI354" s="352" t="s">
        <v>139</v>
      </c>
      <c r="AJ354" s="206" t="s">
        <v>139</v>
      </c>
      <c r="AK354" s="353" t="s">
        <v>603</v>
      </c>
      <c r="AL354" s="206" t="s">
        <v>139</v>
      </c>
      <c r="AM354" s="349">
        <v>99.770628762705712</v>
      </c>
      <c r="AN354" s="354" t="s">
        <v>139</v>
      </c>
      <c r="AO354" s="355" t="s">
        <v>140</v>
      </c>
      <c r="AP354" s="206" t="s">
        <v>139</v>
      </c>
      <c r="AQ354" s="246">
        <v>0</v>
      </c>
      <c r="AR354" s="211"/>
      <c r="AS354" s="297">
        <f>+IF(Table1[[#This Row],[Column40]]="ok",Table1[[#This Row],[Column7]],0)</f>
        <v>884.52</v>
      </c>
      <c r="AT354" s="295">
        <f>+IF(Table1[[#This Row],[Column40]]="No",Table1[[#This Row],[Column7]],0)</f>
        <v>0</v>
      </c>
      <c r="AU354" s="4" t="str">
        <f>+IF(LEFT(Table1[[#This Row],[Column42]],2)="DN",IF(Table1[[#This Row],[Column40]]="ok","(CA)",_xlfn.CONCAT("(CA)",CHAR(10),"FAIL")),"")</f>
        <v/>
      </c>
      <c r="AV354" s="154" t="str">
        <f>+IF(Table1[[#This Row],[Column6]]=0,"",_xlfn.CONCAT("Sem ",WEEKNUM(Table1[[#This Row],[Column6]],2)))</f>
        <v>Sem 12</v>
      </c>
      <c r="AW354" s="211"/>
    </row>
    <row r="355" spans="2:49" ht="19.5" customHeight="1" x14ac:dyDescent="0.3">
      <c r="B355" s="356" t="s">
        <v>631</v>
      </c>
      <c r="C355" s="331"/>
      <c r="D355" s="332" t="s">
        <v>132</v>
      </c>
      <c r="E355" s="332" t="s">
        <v>133</v>
      </c>
      <c r="F355" s="333"/>
      <c r="G355" s="334">
        <v>46099</v>
      </c>
      <c r="H355" s="335">
        <v>933.99</v>
      </c>
      <c r="I355" s="336">
        <v>399.55</v>
      </c>
      <c r="J355" s="337">
        <v>2529.52</v>
      </c>
      <c r="K355" s="338" t="s">
        <v>290</v>
      </c>
      <c r="L355" s="339" t="s">
        <v>237</v>
      </c>
      <c r="M355" s="340">
        <v>30</v>
      </c>
      <c r="N355" s="341">
        <v>88653</v>
      </c>
      <c r="O355" s="332">
        <v>58</v>
      </c>
      <c r="P355" s="342">
        <v>9.1999999999999993</v>
      </c>
      <c r="Q355" s="343">
        <v>9.0330052113491544</v>
      </c>
      <c r="R355" s="344">
        <v>1.7243589743589742</v>
      </c>
      <c r="S355" s="344">
        <v>1.7270000000000001</v>
      </c>
      <c r="T355" s="344">
        <v>1.883</v>
      </c>
      <c r="U355" s="344" t="s">
        <v>136</v>
      </c>
      <c r="V355" s="332" t="s">
        <v>137</v>
      </c>
      <c r="W355" s="345">
        <v>8</v>
      </c>
      <c r="X355" s="346">
        <v>4</v>
      </c>
      <c r="Y355" s="208">
        <v>2.8069999999999999</v>
      </c>
      <c r="Z355" s="332"/>
      <c r="AA355" s="342"/>
      <c r="AB355" s="342"/>
      <c r="AC355" s="342"/>
      <c r="AD355" s="347"/>
      <c r="AE355" s="358">
        <v>1.702</v>
      </c>
      <c r="AF355" s="349">
        <v>0</v>
      </c>
      <c r="AG355" s="350"/>
      <c r="AH355" s="351" t="s">
        <v>139</v>
      </c>
      <c r="AI355" s="351" t="s">
        <v>139</v>
      </c>
      <c r="AJ355" s="206" t="s">
        <v>139</v>
      </c>
      <c r="AK355" s="353" t="s">
        <v>603</v>
      </c>
      <c r="AL355" s="206" t="s">
        <v>139</v>
      </c>
      <c r="AM355" s="349">
        <v>101.31368827021001</v>
      </c>
      <c r="AN355" s="354" t="s">
        <v>139</v>
      </c>
      <c r="AO355" s="355" t="s">
        <v>140</v>
      </c>
      <c r="AP355" s="206" t="s">
        <v>139</v>
      </c>
      <c r="AQ355" s="207">
        <v>0</v>
      </c>
      <c r="AR355" s="211"/>
      <c r="AS355" s="297">
        <f>+IF(Table1[[#This Row],[Column40]]="ok",Table1[[#This Row],[Column7]],0)</f>
        <v>933.99</v>
      </c>
      <c r="AT355" s="295">
        <f>+IF(Table1[[#This Row],[Column40]]="No",Table1[[#This Row],[Column7]],0)</f>
        <v>0</v>
      </c>
      <c r="AU355" s="4" t="str">
        <f>+IF(LEFT(Table1[[#This Row],[Column42]],2)="DN",IF(Table1[[#This Row],[Column40]]="ok","(CA)",_xlfn.CONCAT("(CA)",CHAR(10),"FAIL")),"")</f>
        <v/>
      </c>
      <c r="AV355" s="154" t="str">
        <f>+IF(Table1[[#This Row],[Column6]]=0,"",_xlfn.CONCAT("Sem ",WEEKNUM(Table1[[#This Row],[Column6]],2)))</f>
        <v>Sem 12</v>
      </c>
      <c r="AW355" s="211"/>
    </row>
    <row r="356" spans="2:49" ht="19.5" customHeight="1" x14ac:dyDescent="0.3">
      <c r="B356" s="356" t="s">
        <v>632</v>
      </c>
      <c r="C356" s="331"/>
      <c r="D356" s="332" t="s">
        <v>132</v>
      </c>
      <c r="E356" s="332" t="s">
        <v>133</v>
      </c>
      <c r="F356" s="333"/>
      <c r="G356" s="334">
        <v>46099</v>
      </c>
      <c r="H356" s="335">
        <v>1025.27</v>
      </c>
      <c r="I356" s="336">
        <v>421.5</v>
      </c>
      <c r="J356" s="337">
        <v>2523.7399999999998</v>
      </c>
      <c r="K356" s="338" t="s">
        <v>236</v>
      </c>
      <c r="L356" s="339" t="s">
        <v>242</v>
      </c>
      <c r="M356" s="340">
        <v>30</v>
      </c>
      <c r="N356" s="341">
        <v>88653</v>
      </c>
      <c r="O356" s="332">
        <v>58</v>
      </c>
      <c r="P356" s="342">
        <v>8.5</v>
      </c>
      <c r="Q356" s="343">
        <v>8.8644264194669873</v>
      </c>
      <c r="R356" s="344">
        <v>1.7317972350230415</v>
      </c>
      <c r="S356" s="344">
        <v>1.726</v>
      </c>
      <c r="T356" s="344">
        <v>1.879</v>
      </c>
      <c r="U356" s="344" t="s">
        <v>136</v>
      </c>
      <c r="V356" s="332" t="s">
        <v>137</v>
      </c>
      <c r="W356" s="345">
        <v>8</v>
      </c>
      <c r="X356" s="346">
        <v>4</v>
      </c>
      <c r="Y356" s="208">
        <v>2.8069999999999999</v>
      </c>
      <c r="Z356" s="332"/>
      <c r="AA356" s="342"/>
      <c r="AB356" s="342"/>
      <c r="AC356" s="342"/>
      <c r="AD356" s="123"/>
      <c r="AE356" s="358">
        <v>1.702</v>
      </c>
      <c r="AF356" s="349" t="s">
        <v>139</v>
      </c>
      <c r="AG356" s="350"/>
      <c r="AH356" s="351" t="s">
        <v>139</v>
      </c>
      <c r="AI356" s="351" t="s">
        <v>139</v>
      </c>
      <c r="AJ356" s="206" t="s">
        <v>139</v>
      </c>
      <c r="AK356" s="353" t="s">
        <v>603</v>
      </c>
      <c r="AL356" s="206" t="s">
        <v>139</v>
      </c>
      <c r="AM356" s="349">
        <v>101.75071886151829</v>
      </c>
      <c r="AN356" s="354" t="s">
        <v>139</v>
      </c>
      <c r="AO356" s="355" t="s">
        <v>140</v>
      </c>
      <c r="AP356" s="206" t="s">
        <v>139</v>
      </c>
      <c r="AQ356" s="207">
        <v>0</v>
      </c>
      <c r="AR356" s="211"/>
      <c r="AS356" s="297">
        <f>+IF(Table1[[#This Row],[Column40]]="ok",Table1[[#This Row],[Column7]],0)</f>
        <v>1025.27</v>
      </c>
      <c r="AT356" s="295">
        <f>+IF(Table1[[#This Row],[Column40]]="No",Table1[[#This Row],[Column7]],0)</f>
        <v>0</v>
      </c>
      <c r="AU356" s="4" t="str">
        <f>+IF(LEFT(Table1[[#This Row],[Column42]],2)="DN",IF(Table1[[#This Row],[Column40]]="ok","(CA)",_xlfn.CONCAT("(CA)",CHAR(10),"FAIL")),"")</f>
        <v/>
      </c>
      <c r="AV356" s="154" t="str">
        <f>+IF(Table1[[#This Row],[Column6]]=0,"",_xlfn.CONCAT("Sem ",WEEKNUM(Table1[[#This Row],[Column6]],2)))</f>
        <v>Sem 12</v>
      </c>
      <c r="AW356" s="211"/>
    </row>
    <row r="357" spans="2:49" ht="19.5" customHeight="1" x14ac:dyDescent="0.3">
      <c r="B357" s="356" t="s">
        <v>633</v>
      </c>
      <c r="C357" s="331"/>
      <c r="D357" s="332" t="s">
        <v>132</v>
      </c>
      <c r="E357" s="332" t="s">
        <v>133</v>
      </c>
      <c r="F357" s="333"/>
      <c r="G357" s="334">
        <v>46099</v>
      </c>
      <c r="H357" s="335">
        <v>1084.55</v>
      </c>
      <c r="I357" s="336">
        <v>448.92</v>
      </c>
      <c r="J357" s="337">
        <v>2514.34</v>
      </c>
      <c r="K357" s="338" t="s">
        <v>236</v>
      </c>
      <c r="L357" s="339" t="s">
        <v>249</v>
      </c>
      <c r="M357" s="340">
        <v>30</v>
      </c>
      <c r="N357" s="341">
        <v>88653</v>
      </c>
      <c r="O357" s="332">
        <v>58</v>
      </c>
      <c r="P357" s="342">
        <v>9.1999999999999993</v>
      </c>
      <c r="Q357" s="343">
        <v>8.9578454332552617</v>
      </c>
      <c r="R357" s="344">
        <v>1.7042124542124542</v>
      </c>
      <c r="S357" s="344">
        <v>1.708</v>
      </c>
      <c r="T357" s="344">
        <v>1.861</v>
      </c>
      <c r="U357" s="344" t="s">
        <v>136</v>
      </c>
      <c r="V357" s="332" t="s">
        <v>137</v>
      </c>
      <c r="W357" s="345">
        <v>8</v>
      </c>
      <c r="X357" s="346">
        <v>4</v>
      </c>
      <c r="Y357" s="208">
        <v>2.8069999999999999</v>
      </c>
      <c r="Z357" s="332"/>
      <c r="AA357" s="342"/>
      <c r="AB357" s="342"/>
      <c r="AC357" s="342"/>
      <c r="AD357" s="347"/>
      <c r="AE357" s="358">
        <v>1.702</v>
      </c>
      <c r="AF357" s="349">
        <v>0</v>
      </c>
      <c r="AG357" s="350"/>
      <c r="AH357" s="351" t="s">
        <v>139</v>
      </c>
      <c r="AI357" s="352" t="s">
        <v>139</v>
      </c>
      <c r="AJ357" s="206" t="s">
        <v>139</v>
      </c>
      <c r="AK357" s="353" t="s">
        <v>603</v>
      </c>
      <c r="AL357" s="206" t="s">
        <v>139</v>
      </c>
      <c r="AM357" s="349">
        <v>100.12999143433925</v>
      </c>
      <c r="AN357" s="354" t="s">
        <v>139</v>
      </c>
      <c r="AO357" s="355" t="s">
        <v>140</v>
      </c>
      <c r="AP357" s="206" t="s">
        <v>139</v>
      </c>
      <c r="AQ357" s="246">
        <v>0</v>
      </c>
      <c r="AR357" s="211"/>
      <c r="AS357" s="297">
        <f>+IF(Table1[[#This Row],[Column40]]="ok",Table1[[#This Row],[Column7]],0)</f>
        <v>1084.55</v>
      </c>
      <c r="AT357" s="295">
        <f>+IF(Table1[[#This Row],[Column40]]="No",Table1[[#This Row],[Column7]],0)</f>
        <v>0</v>
      </c>
      <c r="AU357" s="4" t="str">
        <f>+IF(LEFT(Table1[[#This Row],[Column42]],2)="DN",IF(Table1[[#This Row],[Column40]]="ok","(CA)",_xlfn.CONCAT("(CA)",CHAR(10),"FAIL")),"")</f>
        <v/>
      </c>
      <c r="AV357" s="154" t="str">
        <f>+IF(Table1[[#This Row],[Column6]]=0,"",_xlfn.CONCAT("Sem ",WEEKNUM(Table1[[#This Row],[Column6]],2)))</f>
        <v>Sem 12</v>
      </c>
      <c r="AW357" s="211"/>
    </row>
    <row r="358" spans="2:49" ht="19.5" customHeight="1" x14ac:dyDescent="0.3">
      <c r="B358" s="356" t="s">
        <v>634</v>
      </c>
      <c r="C358" s="331"/>
      <c r="D358" s="332" t="s">
        <v>132</v>
      </c>
      <c r="E358" s="332" t="s">
        <v>133</v>
      </c>
      <c r="F358" s="333"/>
      <c r="G358" s="334">
        <v>46099</v>
      </c>
      <c r="H358" s="335">
        <v>1091.47</v>
      </c>
      <c r="I358" s="336">
        <v>549.16999999999996</v>
      </c>
      <c r="J358" s="337">
        <v>2483.92</v>
      </c>
      <c r="K358" s="338" t="s">
        <v>244</v>
      </c>
      <c r="L358" s="339" t="s">
        <v>249</v>
      </c>
      <c r="M358" s="340">
        <v>30</v>
      </c>
      <c r="N358" s="341">
        <v>88653</v>
      </c>
      <c r="O358" s="332">
        <v>58</v>
      </c>
      <c r="P358" s="342">
        <v>7.9</v>
      </c>
      <c r="Q358" s="343">
        <v>9.302325581395344</v>
      </c>
      <c r="R358" s="344">
        <v>1.742354031510658</v>
      </c>
      <c r="S358" s="344">
        <v>1.72</v>
      </c>
      <c r="T358" s="344">
        <v>1.88</v>
      </c>
      <c r="U358" s="344" t="s">
        <v>136</v>
      </c>
      <c r="V358" s="332" t="s">
        <v>137</v>
      </c>
      <c r="W358" s="345">
        <v>8</v>
      </c>
      <c r="X358" s="346">
        <v>4</v>
      </c>
      <c r="Y358" s="208">
        <v>2.8069999999999999</v>
      </c>
      <c r="Z358" s="332"/>
      <c r="AA358" s="342"/>
      <c r="AB358" s="342"/>
      <c r="AC358" s="342"/>
      <c r="AD358" s="347"/>
      <c r="AE358" s="358">
        <v>1.702</v>
      </c>
      <c r="AF358" s="349">
        <v>0</v>
      </c>
      <c r="AG358" s="350"/>
      <c r="AH358" s="351" t="s">
        <v>139</v>
      </c>
      <c r="AI358" s="352" t="s">
        <v>139</v>
      </c>
      <c r="AJ358" s="206" t="s">
        <v>139</v>
      </c>
      <c r="AK358" s="353" t="s">
        <v>603</v>
      </c>
      <c r="AL358" s="206" t="s">
        <v>139</v>
      </c>
      <c r="AM358" s="349">
        <v>102.37097717453925</v>
      </c>
      <c r="AN358" s="354" t="s">
        <v>139</v>
      </c>
      <c r="AO358" s="355" t="s">
        <v>140</v>
      </c>
      <c r="AP358" s="206" t="s">
        <v>139</v>
      </c>
      <c r="AQ358" s="246">
        <v>0</v>
      </c>
      <c r="AR358" s="211"/>
      <c r="AS358" s="297">
        <f>+IF(Table1[[#This Row],[Column40]]="ok",Table1[[#This Row],[Column7]],0)</f>
        <v>1091.47</v>
      </c>
      <c r="AT358" s="295">
        <f>+IF(Table1[[#This Row],[Column40]]="No",Table1[[#This Row],[Column7]],0)</f>
        <v>0</v>
      </c>
      <c r="AU358" s="4" t="str">
        <f>+IF(LEFT(Table1[[#This Row],[Column42]],2)="DN",IF(Table1[[#This Row],[Column40]]="ok","(CA)",_xlfn.CONCAT("(CA)",CHAR(10),"FAIL")),"")</f>
        <v/>
      </c>
      <c r="AV358" s="154" t="str">
        <f>+IF(Table1[[#This Row],[Column6]]=0,"",_xlfn.CONCAT("Sem ",WEEKNUM(Table1[[#This Row],[Column6]],2)))</f>
        <v>Sem 12</v>
      </c>
      <c r="AW358" s="211"/>
    </row>
    <row r="359" spans="2:49" ht="19.5" customHeight="1" x14ac:dyDescent="0.3">
      <c r="B359" s="356" t="s">
        <v>635</v>
      </c>
      <c r="C359" s="331"/>
      <c r="D359" s="332" t="s">
        <v>132</v>
      </c>
      <c r="E359" s="332" t="s">
        <v>133</v>
      </c>
      <c r="F359" s="333"/>
      <c r="G359" s="334">
        <v>46099</v>
      </c>
      <c r="H359" s="335">
        <v>1017.88</v>
      </c>
      <c r="I359" s="336">
        <v>514.22</v>
      </c>
      <c r="J359" s="337">
        <v>2495.9</v>
      </c>
      <c r="K359" s="338" t="s">
        <v>244</v>
      </c>
      <c r="L359" s="339" t="s">
        <v>242</v>
      </c>
      <c r="M359" s="340">
        <v>30</v>
      </c>
      <c r="N359" s="341">
        <v>88653</v>
      </c>
      <c r="O359" s="332">
        <v>58</v>
      </c>
      <c r="P359" s="342">
        <v>10.199999999999999</v>
      </c>
      <c r="Q359" s="343">
        <v>9.5794392523364422</v>
      </c>
      <c r="R359" s="344">
        <v>1.702359346642468</v>
      </c>
      <c r="S359" s="344">
        <v>1.712</v>
      </c>
      <c r="T359" s="344">
        <v>1.8759999999999999</v>
      </c>
      <c r="U359" s="344" t="s">
        <v>136</v>
      </c>
      <c r="V359" s="332" t="s">
        <v>137</v>
      </c>
      <c r="W359" s="345">
        <v>8</v>
      </c>
      <c r="X359" s="346">
        <v>4</v>
      </c>
      <c r="Y359" s="208">
        <v>2.8069999999999999</v>
      </c>
      <c r="Z359" s="332"/>
      <c r="AA359" s="342"/>
      <c r="AB359" s="342"/>
      <c r="AC359" s="342"/>
      <c r="AD359" s="347"/>
      <c r="AE359" s="358">
        <v>1.702</v>
      </c>
      <c r="AF359" s="349">
        <v>0</v>
      </c>
      <c r="AG359" s="350"/>
      <c r="AH359" s="351" t="s">
        <v>139</v>
      </c>
      <c r="AI359" s="352" t="s">
        <v>139</v>
      </c>
      <c r="AJ359" s="206" t="s">
        <v>139</v>
      </c>
      <c r="AK359" s="353" t="s">
        <v>603</v>
      </c>
      <c r="AL359" s="206" t="s">
        <v>139</v>
      </c>
      <c r="AM359" s="349">
        <v>100.02111319873489</v>
      </c>
      <c r="AN359" s="354" t="s">
        <v>139</v>
      </c>
      <c r="AO359" s="355" t="s">
        <v>140</v>
      </c>
      <c r="AP359" s="206" t="s">
        <v>139</v>
      </c>
      <c r="AQ359" s="246">
        <v>0</v>
      </c>
      <c r="AR359" s="211"/>
      <c r="AS359" s="297">
        <f>+IF(Table1[[#This Row],[Column40]]="ok",Table1[[#This Row],[Column7]],0)</f>
        <v>1017.88</v>
      </c>
      <c r="AT359" s="295">
        <f>+IF(Table1[[#This Row],[Column40]]="No",Table1[[#This Row],[Column7]],0)</f>
        <v>0</v>
      </c>
      <c r="AU359" s="4" t="str">
        <f>+IF(LEFT(Table1[[#This Row],[Column42]],2)="DN",IF(Table1[[#This Row],[Column40]]="ok","(CA)",_xlfn.CONCAT("(CA)",CHAR(10),"FAIL")),"")</f>
        <v/>
      </c>
      <c r="AV359" s="154" t="str">
        <f>+IF(Table1[[#This Row],[Column6]]=0,"",_xlfn.CONCAT("Sem ",WEEKNUM(Table1[[#This Row],[Column6]],2)))</f>
        <v>Sem 12</v>
      </c>
      <c r="AW359" s="211"/>
    </row>
    <row r="360" spans="2:49" ht="19.5" customHeight="1" x14ac:dyDescent="0.3">
      <c r="B360" s="356" t="s">
        <v>636</v>
      </c>
      <c r="C360" s="331"/>
      <c r="D360" s="332" t="s">
        <v>132</v>
      </c>
      <c r="E360" s="332" t="s">
        <v>133</v>
      </c>
      <c r="F360" s="333"/>
      <c r="G360" s="334">
        <v>46099</v>
      </c>
      <c r="H360" s="335">
        <v>926.65</v>
      </c>
      <c r="I360" s="336">
        <v>500.76</v>
      </c>
      <c r="J360" s="337">
        <v>2500.2800000000002</v>
      </c>
      <c r="K360" s="338" t="s">
        <v>240</v>
      </c>
      <c r="L360" s="339" t="s">
        <v>237</v>
      </c>
      <c r="M360" s="340">
        <v>30</v>
      </c>
      <c r="N360" s="341">
        <v>88653</v>
      </c>
      <c r="O360" s="332">
        <v>58</v>
      </c>
      <c r="P360" s="342">
        <v>10.100000000000001</v>
      </c>
      <c r="Q360" s="343">
        <v>10.526315789473673</v>
      </c>
      <c r="R360" s="344">
        <v>1.7166212534059946</v>
      </c>
      <c r="S360" s="344">
        <v>1.71</v>
      </c>
      <c r="T360" s="344">
        <v>1.89</v>
      </c>
      <c r="U360" s="344" t="s">
        <v>136</v>
      </c>
      <c r="V360" s="332" t="s">
        <v>137</v>
      </c>
      <c r="W360" s="345">
        <v>8</v>
      </c>
      <c r="X360" s="346">
        <v>4</v>
      </c>
      <c r="Y360" s="208">
        <v>2.8069999999999999</v>
      </c>
      <c r="Z360" s="332"/>
      <c r="AA360" s="342"/>
      <c r="AB360" s="342"/>
      <c r="AC360" s="342"/>
      <c r="AD360" s="347"/>
      <c r="AE360" s="358">
        <v>1.7156347341791021</v>
      </c>
      <c r="AF360" s="349">
        <v>16.634713793678323</v>
      </c>
      <c r="AG360" s="350"/>
      <c r="AH360" s="351">
        <v>1.7140396210163651</v>
      </c>
      <c r="AI360" s="352">
        <v>1.99</v>
      </c>
      <c r="AJ360" s="206">
        <v>16.100000000000001</v>
      </c>
      <c r="AK360" s="353" t="s">
        <v>467</v>
      </c>
      <c r="AL360" s="206">
        <v>0.53471379367832128</v>
      </c>
      <c r="AM360" s="349">
        <v>100.05750170518462</v>
      </c>
      <c r="AN360" s="354" t="s">
        <v>139</v>
      </c>
      <c r="AO360" s="355" t="s">
        <v>140</v>
      </c>
      <c r="AP360" s="206" t="s">
        <v>139</v>
      </c>
      <c r="AQ360" s="246" t="s">
        <v>637</v>
      </c>
      <c r="AR360" s="211"/>
      <c r="AS360" s="297">
        <f>+IF(Table1[[#This Row],[Column40]]="ok",Table1[[#This Row],[Column7]],0)</f>
        <v>926.65</v>
      </c>
      <c r="AT360" s="295">
        <f>+IF(Table1[[#This Row],[Column40]]="No",Table1[[#This Row],[Column7]],0)</f>
        <v>0</v>
      </c>
      <c r="AU360" s="4" t="str">
        <f>+IF(LEFT(Table1[[#This Row],[Column42]],2)="DN",IF(Table1[[#This Row],[Column40]]="ok","(CA)",_xlfn.CONCAT("(CA)",CHAR(10),"FAIL")),"")</f>
        <v/>
      </c>
      <c r="AV360" s="154" t="str">
        <f>+IF(Table1[[#This Row],[Column6]]=0,"",_xlfn.CONCAT("Sem ",WEEKNUM(Table1[[#This Row],[Column6]],2)))</f>
        <v>Sem 12</v>
      </c>
      <c r="AW360" s="211"/>
    </row>
    <row r="361" spans="2:49" ht="19.5" customHeight="1" x14ac:dyDescent="0.3">
      <c r="B361" s="356" t="s">
        <v>637</v>
      </c>
      <c r="C361" s="331"/>
      <c r="D361" s="332" t="s">
        <v>132</v>
      </c>
      <c r="E361" s="332" t="s">
        <v>133</v>
      </c>
      <c r="F361" s="333"/>
      <c r="G361" s="334">
        <v>46099</v>
      </c>
      <c r="H361" s="335">
        <v>926.65</v>
      </c>
      <c r="I361" s="336">
        <v>500.76</v>
      </c>
      <c r="J361" s="337">
        <v>2500.2800000000002</v>
      </c>
      <c r="K361" s="338" t="s">
        <v>240</v>
      </c>
      <c r="L361" s="339" t="s">
        <v>237</v>
      </c>
      <c r="M361" s="340">
        <v>15</v>
      </c>
      <c r="N361" s="341"/>
      <c r="O361" s="332"/>
      <c r="P361" s="342">
        <v>10.10342084327765</v>
      </c>
      <c r="Q361" s="343"/>
      <c r="R361" s="344">
        <v>1.6946381560329395</v>
      </c>
      <c r="S361" s="344"/>
      <c r="T361" s="344">
        <v>1.8658545807077074</v>
      </c>
      <c r="U361" s="344" t="s">
        <v>142</v>
      </c>
      <c r="V361" s="332" t="s">
        <v>137</v>
      </c>
      <c r="W361" s="345">
        <v>6</v>
      </c>
      <c r="X361" s="346">
        <v>8</v>
      </c>
      <c r="Y361" s="208"/>
      <c r="Z361" s="332" t="s">
        <v>143</v>
      </c>
      <c r="AA361" s="342">
        <v>98.859718907451608</v>
      </c>
      <c r="AB361" s="342">
        <v>77.751259612834787</v>
      </c>
      <c r="AC361" s="342">
        <v>36.648103951206586</v>
      </c>
      <c r="AD361" s="347">
        <v>12.224874038716536</v>
      </c>
      <c r="AE361" s="358">
        <v>1.7156347341791021</v>
      </c>
      <c r="AF361" s="349">
        <v>16.634713793678323</v>
      </c>
      <c r="AG361" s="350" t="s">
        <v>467</v>
      </c>
      <c r="AH361" s="351">
        <v>1.71339761020798</v>
      </c>
      <c r="AI361" s="352">
        <v>1.9897796231236027</v>
      </c>
      <c r="AJ361" s="206">
        <v>16.130640737970563</v>
      </c>
      <c r="AK361" s="353" t="s">
        <v>467</v>
      </c>
      <c r="AL361" s="206">
        <v>0.50407305570776018</v>
      </c>
      <c r="AM361" s="349">
        <v>98.776162680326649</v>
      </c>
      <c r="AN361" s="354" t="s">
        <v>139</v>
      </c>
      <c r="AO361" s="355" t="s">
        <v>144</v>
      </c>
      <c r="AP361" s="206">
        <v>0</v>
      </c>
      <c r="AQ361" s="246" t="s">
        <v>636</v>
      </c>
      <c r="AR361" s="211"/>
      <c r="AS361" s="297">
        <f>+IF(Table1[[#This Row],[Column40]]="ok",Table1[[#This Row],[Column7]],0)</f>
        <v>926.65</v>
      </c>
      <c r="AT361" s="295">
        <f>+IF(Table1[[#This Row],[Column40]]="No",Table1[[#This Row],[Column7]],0)</f>
        <v>0</v>
      </c>
      <c r="AU361" s="4" t="str">
        <f>+IF(LEFT(Table1[[#This Row],[Column42]],2)="DN",IF(Table1[[#This Row],[Column40]]="ok","(CA)",_xlfn.CONCAT("(CA)",CHAR(10),"FAIL")),"")</f>
        <v>(CA)</v>
      </c>
      <c r="AV361" s="154" t="str">
        <f>+IF(Table1[[#This Row],[Column6]]=0,"",_xlfn.CONCAT("Sem ",WEEKNUM(Table1[[#This Row],[Column6]],2)))</f>
        <v>Sem 12</v>
      </c>
      <c r="AW361" s="211"/>
    </row>
    <row r="362" spans="2:49" ht="19.5" customHeight="1" x14ac:dyDescent="0.3">
      <c r="B362" s="356" t="s">
        <v>638</v>
      </c>
      <c r="C362" s="331"/>
      <c r="D362" s="332" t="s">
        <v>132</v>
      </c>
      <c r="E362" s="332" t="s">
        <v>133</v>
      </c>
      <c r="F362" s="333"/>
      <c r="G362" s="334">
        <v>46099</v>
      </c>
      <c r="H362" s="335">
        <v>981.32</v>
      </c>
      <c r="I362" s="336">
        <v>585.12</v>
      </c>
      <c r="J362" s="337">
        <v>2475.58</v>
      </c>
      <c r="K362" s="338" t="s">
        <v>244</v>
      </c>
      <c r="L362" s="339" t="s">
        <v>280</v>
      </c>
      <c r="M362" s="340">
        <v>30</v>
      </c>
      <c r="N362" s="341">
        <v>88653</v>
      </c>
      <c r="O362" s="332">
        <v>58</v>
      </c>
      <c r="P362" s="342">
        <v>10.199999999999999</v>
      </c>
      <c r="Q362" s="343">
        <v>9.9241097489783936</v>
      </c>
      <c r="R362" s="344">
        <v>1.7087114337568057</v>
      </c>
      <c r="S362" s="344">
        <v>1.7130000000000001</v>
      </c>
      <c r="T362" s="344">
        <v>1.883</v>
      </c>
      <c r="U362" s="344" t="s">
        <v>136</v>
      </c>
      <c r="V362" s="332" t="s">
        <v>137</v>
      </c>
      <c r="W362" s="345">
        <v>8</v>
      </c>
      <c r="X362" s="346">
        <v>4</v>
      </c>
      <c r="Y362" s="208">
        <v>2.8069999999999999</v>
      </c>
      <c r="Z362" s="332"/>
      <c r="AA362" s="342"/>
      <c r="AB362" s="342"/>
      <c r="AC362" s="342"/>
      <c r="AD362" s="347"/>
      <c r="AE362" s="358">
        <v>1.702</v>
      </c>
      <c r="AF362" s="349">
        <v>0</v>
      </c>
      <c r="AG362" s="350"/>
      <c r="AH362" s="351" t="s">
        <v>139</v>
      </c>
      <c r="AI362" s="352" t="s">
        <v>139</v>
      </c>
      <c r="AJ362" s="206" t="s">
        <v>139</v>
      </c>
      <c r="AK362" s="353" t="s">
        <v>603</v>
      </c>
      <c r="AL362" s="206" t="s">
        <v>139</v>
      </c>
      <c r="AM362" s="349">
        <v>100.39432630768542</v>
      </c>
      <c r="AN362" s="354" t="s">
        <v>139</v>
      </c>
      <c r="AO362" s="355" t="s">
        <v>140</v>
      </c>
      <c r="AP362" s="206" t="s">
        <v>139</v>
      </c>
      <c r="AQ362" s="246">
        <v>0</v>
      </c>
      <c r="AR362" s="211"/>
      <c r="AS362" s="297">
        <f>+IF(Table1[[#This Row],[Column40]]="ok",Table1[[#This Row],[Column7]],0)</f>
        <v>981.32</v>
      </c>
      <c r="AT362" s="295">
        <f>+IF(Table1[[#This Row],[Column40]]="No",Table1[[#This Row],[Column7]],0)</f>
        <v>0</v>
      </c>
      <c r="AU362" s="4" t="str">
        <f>+IF(LEFT(Table1[[#This Row],[Column42]],2)="DN",IF(Table1[[#This Row],[Column40]]="ok","(CA)",_xlfn.CONCAT("(CA)",CHAR(10),"FAIL")),"")</f>
        <v/>
      </c>
      <c r="AV362" s="154" t="str">
        <f>+IF(Table1[[#This Row],[Column6]]=0,"",_xlfn.CONCAT("Sem ",WEEKNUM(Table1[[#This Row],[Column6]],2)))</f>
        <v>Sem 12</v>
      </c>
      <c r="AW362" s="211"/>
    </row>
    <row r="363" spans="2:49" ht="19.5" customHeight="1" x14ac:dyDescent="0.3">
      <c r="B363" s="356" t="s">
        <v>639</v>
      </c>
      <c r="C363" s="331"/>
      <c r="D363" s="332" t="s">
        <v>132</v>
      </c>
      <c r="E363" s="332" t="s">
        <v>133</v>
      </c>
      <c r="F363" s="333"/>
      <c r="G363" s="334">
        <v>46099</v>
      </c>
      <c r="H363" s="335">
        <v>1043.97</v>
      </c>
      <c r="I363" s="336">
        <v>586.07000000000005</v>
      </c>
      <c r="J363" s="337">
        <v>2475.27</v>
      </c>
      <c r="K363" s="338" t="s">
        <v>244</v>
      </c>
      <c r="L363" s="339" t="s">
        <v>245</v>
      </c>
      <c r="M363" s="340">
        <v>30</v>
      </c>
      <c r="N363" s="341">
        <v>88653</v>
      </c>
      <c r="O363" s="332">
        <v>58</v>
      </c>
      <c r="P363" s="342">
        <v>10.100000000000001</v>
      </c>
      <c r="Q363" s="343">
        <v>9.3240093240093191</v>
      </c>
      <c r="R363" s="344">
        <v>1.7039055404178018</v>
      </c>
      <c r="S363" s="344">
        <v>1.716</v>
      </c>
      <c r="T363" s="344">
        <v>1.8759999999999999</v>
      </c>
      <c r="U363" s="344" t="s">
        <v>136</v>
      </c>
      <c r="V363" s="332" t="s">
        <v>137</v>
      </c>
      <c r="W363" s="345">
        <v>8</v>
      </c>
      <c r="X363" s="346">
        <v>4</v>
      </c>
      <c r="Y363" s="208">
        <v>2.8069999999999999</v>
      </c>
      <c r="Z363" s="332"/>
      <c r="AA363" s="342"/>
      <c r="AB363" s="342"/>
      <c r="AC363" s="342"/>
      <c r="AD363" s="347"/>
      <c r="AE363" s="358">
        <v>1.702</v>
      </c>
      <c r="AF363" s="349">
        <v>0</v>
      </c>
      <c r="AG363" s="350"/>
      <c r="AH363" s="351" t="s">
        <v>139</v>
      </c>
      <c r="AI363" s="352" t="s">
        <v>139</v>
      </c>
      <c r="AJ363" s="206" t="s">
        <v>139</v>
      </c>
      <c r="AK363" s="353" t="s">
        <v>603</v>
      </c>
      <c r="AL363" s="206" t="s">
        <v>139</v>
      </c>
      <c r="AM363" s="349">
        <v>100.11195889646309</v>
      </c>
      <c r="AN363" s="354" t="s">
        <v>139</v>
      </c>
      <c r="AO363" s="355" t="s">
        <v>140</v>
      </c>
      <c r="AP363" s="206" t="s">
        <v>139</v>
      </c>
      <c r="AQ363" s="246">
        <v>0</v>
      </c>
      <c r="AR363" s="211"/>
      <c r="AS363" s="297">
        <f>+IF(Table1[[#This Row],[Column40]]="ok",Table1[[#This Row],[Column7]],0)</f>
        <v>1043.97</v>
      </c>
      <c r="AT363" s="295">
        <f>+IF(Table1[[#This Row],[Column40]]="No",Table1[[#This Row],[Column7]],0)</f>
        <v>0</v>
      </c>
      <c r="AU363" s="4" t="str">
        <f>+IF(LEFT(Table1[[#This Row],[Column42]],2)="DN",IF(Table1[[#This Row],[Column40]]="ok","(CA)",_xlfn.CONCAT("(CA)",CHAR(10),"FAIL")),"")</f>
        <v/>
      </c>
      <c r="AV363" s="154" t="str">
        <f>+IF(Table1[[#This Row],[Column6]]=0,"",_xlfn.CONCAT("Sem ",WEEKNUM(Table1[[#This Row],[Column6]],2)))</f>
        <v>Sem 12</v>
      </c>
      <c r="AW363" s="211"/>
    </row>
    <row r="364" spans="2:49" ht="19.5" customHeight="1" x14ac:dyDescent="0.3">
      <c r="B364" s="356" t="s">
        <v>640</v>
      </c>
      <c r="C364" s="331"/>
      <c r="D364" s="332" t="s">
        <v>132</v>
      </c>
      <c r="E364" s="332" t="s">
        <v>133</v>
      </c>
      <c r="F364" s="333"/>
      <c r="G364" s="334">
        <v>46099</v>
      </c>
      <c r="H364" s="335">
        <v>1661.24</v>
      </c>
      <c r="I364" s="336">
        <v>39.479999999999997</v>
      </c>
      <c r="J364" s="337">
        <v>2631.22</v>
      </c>
      <c r="K364" s="338" t="s">
        <v>149</v>
      </c>
      <c r="L364" s="339" t="s">
        <v>641</v>
      </c>
      <c r="M364" s="340" t="s">
        <v>293</v>
      </c>
      <c r="N364" s="341" t="s">
        <v>293</v>
      </c>
      <c r="O364" s="332" t="s">
        <v>293</v>
      </c>
      <c r="P364" s="342" t="s">
        <v>293</v>
      </c>
      <c r="Q364" s="343" t="s">
        <v>293</v>
      </c>
      <c r="R364" s="344" t="s">
        <v>293</v>
      </c>
      <c r="S364" s="344" t="s">
        <v>293</v>
      </c>
      <c r="T364" s="344" t="s">
        <v>293</v>
      </c>
      <c r="U364" s="344" t="s">
        <v>294</v>
      </c>
      <c r="V364" s="332" t="s">
        <v>293</v>
      </c>
      <c r="W364" s="345" t="s">
        <v>293</v>
      </c>
      <c r="X364" s="346" t="s">
        <v>293</v>
      </c>
      <c r="Y364" s="208">
        <v>2.7892765336541325</v>
      </c>
      <c r="Z364" s="332" t="s">
        <v>227</v>
      </c>
      <c r="AA364" s="342">
        <v>98.761835396941009</v>
      </c>
      <c r="AB364" s="342">
        <v>78.417091527069672</v>
      </c>
      <c r="AC364" s="342">
        <v>35.372663267783423</v>
      </c>
      <c r="AD364" s="347">
        <v>12.138868657441094</v>
      </c>
      <c r="AE364" s="358">
        <v>1.7022834228382919</v>
      </c>
      <c r="AF364" s="349">
        <v>15.95923055071855</v>
      </c>
      <c r="AG364" s="350" t="s">
        <v>640</v>
      </c>
      <c r="AH364" s="351" t="s">
        <v>293</v>
      </c>
      <c r="AI364" s="352" t="s">
        <v>293</v>
      </c>
      <c r="AJ364" s="206" t="s">
        <v>293</v>
      </c>
      <c r="AK364" s="353" t="s">
        <v>293</v>
      </c>
      <c r="AL364" s="206" t="s">
        <v>293</v>
      </c>
      <c r="AM364" s="349" t="s">
        <v>293</v>
      </c>
      <c r="AN364" s="354" t="s">
        <v>293</v>
      </c>
      <c r="AO364" s="355" t="s">
        <v>293</v>
      </c>
      <c r="AP364" s="206" t="s">
        <v>293</v>
      </c>
      <c r="AQ364" s="246" t="s">
        <v>295</v>
      </c>
      <c r="AR364" s="211"/>
      <c r="AS364" s="297">
        <f>+IF(Table1[[#This Row],[Column40]]="ok",Table1[[#This Row],[Column7]],0)</f>
        <v>0</v>
      </c>
      <c r="AT364" s="295">
        <f>+IF(Table1[[#This Row],[Column40]]="No",Table1[[#This Row],[Column7]],0)</f>
        <v>0</v>
      </c>
      <c r="AU364" s="4" t="str">
        <f>+IF(LEFT(Table1[[#This Row],[Column42]],2)="DN",IF(Table1[[#This Row],[Column40]]="ok","(CA)",_xlfn.CONCAT("(CA)",CHAR(10),"FAIL")),"")</f>
        <v/>
      </c>
      <c r="AV364" s="154" t="str">
        <f>+IF(Table1[[#This Row],[Column6]]=0,"",_xlfn.CONCAT("Sem ",WEEKNUM(Table1[[#This Row],[Column6]],2)))</f>
        <v>Sem 12</v>
      </c>
      <c r="AW364" s="211"/>
    </row>
    <row r="365" spans="2:49" ht="19.5" customHeight="1" x14ac:dyDescent="0.3">
      <c r="B365" s="356" t="s">
        <v>642</v>
      </c>
      <c r="C365" s="331"/>
      <c r="D365" s="332" t="s">
        <v>132</v>
      </c>
      <c r="E365" s="332" t="s">
        <v>176</v>
      </c>
      <c r="F365" s="333"/>
      <c r="G365" s="334">
        <v>46099</v>
      </c>
      <c r="H365" s="335">
        <v>1920.39</v>
      </c>
      <c r="I365" s="336">
        <v>-123.62</v>
      </c>
      <c r="J365" s="337">
        <v>2629.8519999999999</v>
      </c>
      <c r="K365" s="338" t="s">
        <v>218</v>
      </c>
      <c r="L365" s="339" t="s">
        <v>441</v>
      </c>
      <c r="M365" s="340">
        <v>30</v>
      </c>
      <c r="N365" s="341">
        <v>88653</v>
      </c>
      <c r="O365" s="332">
        <v>58</v>
      </c>
      <c r="P365" s="342">
        <v>9</v>
      </c>
      <c r="Q365" s="343">
        <v>9.3767867352772871</v>
      </c>
      <c r="R365" s="344">
        <v>1.7550458715596329</v>
      </c>
      <c r="S365" s="344">
        <v>1.7490000000000001</v>
      </c>
      <c r="T365" s="344">
        <v>1.913</v>
      </c>
      <c r="U365" s="344" t="s">
        <v>136</v>
      </c>
      <c r="V365" s="332" t="s">
        <v>137</v>
      </c>
      <c r="W365" s="345">
        <v>8</v>
      </c>
      <c r="X365" s="346">
        <v>4</v>
      </c>
      <c r="Y365" s="208">
        <v>2.8069999999999999</v>
      </c>
      <c r="Z365" s="332"/>
      <c r="AA365" s="342"/>
      <c r="AB365" s="342"/>
      <c r="AC365" s="342"/>
      <c r="AD365" s="347"/>
      <c r="AE365" s="348">
        <v>1.702</v>
      </c>
      <c r="AF365" s="349">
        <v>0</v>
      </c>
      <c r="AG365" s="350"/>
      <c r="AH365" s="351" t="s">
        <v>139</v>
      </c>
      <c r="AI365" s="352" t="s">
        <v>139</v>
      </c>
      <c r="AJ365" s="206" t="s">
        <v>139</v>
      </c>
      <c r="AK365" s="353" t="s">
        <v>603</v>
      </c>
      <c r="AL365" s="206" t="s">
        <v>139</v>
      </c>
      <c r="AM365" s="349">
        <v>103.11667870503132</v>
      </c>
      <c r="AN365" s="354" t="s">
        <v>139</v>
      </c>
      <c r="AO365" s="355" t="s">
        <v>140</v>
      </c>
      <c r="AP365" s="206" t="s">
        <v>139</v>
      </c>
      <c r="AQ365" s="207">
        <v>0</v>
      </c>
      <c r="AR365" s="211"/>
      <c r="AS365" s="297">
        <f>+IF(Table1[[#This Row],[Column40]]="ok",Table1[[#This Row],[Column7]],0)</f>
        <v>1920.39</v>
      </c>
      <c r="AT365" s="295">
        <f>+IF(Table1[[#This Row],[Column40]]="No",Table1[[#This Row],[Column7]],0)</f>
        <v>0</v>
      </c>
      <c r="AU365" s="4" t="str">
        <f>+IF(LEFT(Table1[[#This Row],[Column42]],2)="DN",IF(Table1[[#This Row],[Column40]]="ok","(CA)",_xlfn.CONCAT("(CA)",CHAR(10),"FAIL")),"")</f>
        <v/>
      </c>
      <c r="AV365" s="154" t="str">
        <f>+IF(Table1[[#This Row],[Column6]]=0,"",_xlfn.CONCAT("Sem ",WEEKNUM(Table1[[#This Row],[Column6]],2)))</f>
        <v>Sem 12</v>
      </c>
      <c r="AW365" s="211"/>
    </row>
    <row r="366" spans="2:49" ht="19.5" customHeight="1" x14ac:dyDescent="0.3">
      <c r="B366" s="356" t="s">
        <v>643</v>
      </c>
      <c r="C366" s="331"/>
      <c r="D366" s="332" t="s">
        <v>132</v>
      </c>
      <c r="E366" s="332" t="s">
        <v>176</v>
      </c>
      <c r="F366" s="333"/>
      <c r="G366" s="334">
        <v>46099</v>
      </c>
      <c r="H366" s="335">
        <v>1865.86</v>
      </c>
      <c r="I366" s="336">
        <v>-99.37</v>
      </c>
      <c r="J366" s="337">
        <v>2630.8429999999998</v>
      </c>
      <c r="K366" s="338" t="s">
        <v>134</v>
      </c>
      <c r="L366" s="339" t="s">
        <v>384</v>
      </c>
      <c r="M366" s="340">
        <v>30</v>
      </c>
      <c r="N366" s="341">
        <v>88653</v>
      </c>
      <c r="O366" s="332">
        <v>58</v>
      </c>
      <c r="P366" s="342">
        <v>10.8</v>
      </c>
      <c r="Q366" s="343">
        <v>9.4657375145180023</v>
      </c>
      <c r="R366" s="344">
        <v>1.7012635379061369</v>
      </c>
      <c r="S366" s="344">
        <v>1.722</v>
      </c>
      <c r="T366" s="344">
        <v>1.885</v>
      </c>
      <c r="U366" s="344" t="s">
        <v>136</v>
      </c>
      <c r="V366" s="332" t="s">
        <v>137</v>
      </c>
      <c r="W366" s="345">
        <v>8</v>
      </c>
      <c r="X366" s="346">
        <v>4</v>
      </c>
      <c r="Y366" s="208">
        <v>2.8069999999999999</v>
      </c>
      <c r="Z366" s="332"/>
      <c r="AA366" s="342"/>
      <c r="AB366" s="342"/>
      <c r="AC366" s="342"/>
      <c r="AD366" s="347"/>
      <c r="AE366" s="348">
        <v>1.702</v>
      </c>
      <c r="AF366" s="349">
        <v>0</v>
      </c>
      <c r="AG366" s="350"/>
      <c r="AH366" s="351" t="s">
        <v>139</v>
      </c>
      <c r="AI366" s="352" t="s">
        <v>139</v>
      </c>
      <c r="AJ366" s="206" t="s">
        <v>139</v>
      </c>
      <c r="AK366" s="353" t="s">
        <v>603</v>
      </c>
      <c r="AL366" s="206" t="s">
        <v>139</v>
      </c>
      <c r="AM366" s="349">
        <v>99.956729606706048</v>
      </c>
      <c r="AN366" s="354" t="s">
        <v>139</v>
      </c>
      <c r="AO366" s="355" t="s">
        <v>140</v>
      </c>
      <c r="AP366" s="206" t="s">
        <v>139</v>
      </c>
      <c r="AQ366" s="207">
        <v>0</v>
      </c>
      <c r="AR366" s="211"/>
      <c r="AS366" s="297">
        <f>+IF(Table1[[#This Row],[Column40]]="ok",Table1[[#This Row],[Column7]],0)</f>
        <v>1865.86</v>
      </c>
      <c r="AT366" s="295">
        <f>+IF(Table1[[#This Row],[Column40]]="No",Table1[[#This Row],[Column7]],0)</f>
        <v>0</v>
      </c>
      <c r="AU366" s="4" t="str">
        <f>+IF(LEFT(Table1[[#This Row],[Column42]],2)="DN",IF(Table1[[#This Row],[Column40]]="ok","(CA)",_xlfn.CONCAT("(CA)",CHAR(10),"FAIL")),"")</f>
        <v/>
      </c>
      <c r="AV366" s="154" t="str">
        <f>+IF(Table1[[#This Row],[Column6]]=0,"",_xlfn.CONCAT("Sem ",WEEKNUM(Table1[[#This Row],[Column6]],2)))</f>
        <v>Sem 12</v>
      </c>
      <c r="AW366" s="211"/>
    </row>
    <row r="367" spans="2:49" ht="19.5" customHeight="1" x14ac:dyDescent="0.3">
      <c r="B367" s="356" t="s">
        <v>644</v>
      </c>
      <c r="C367" s="331"/>
      <c r="D367" s="332" t="s">
        <v>132</v>
      </c>
      <c r="E367" s="332" t="s">
        <v>176</v>
      </c>
      <c r="F367" s="333"/>
      <c r="G367" s="334">
        <v>46099</v>
      </c>
      <c r="H367" s="335">
        <v>1807.3</v>
      </c>
      <c r="I367" s="336">
        <v>-58.74</v>
      </c>
      <c r="J367" s="337">
        <v>2632.567</v>
      </c>
      <c r="K367" s="338" t="s">
        <v>134</v>
      </c>
      <c r="L367" s="339" t="s">
        <v>159</v>
      </c>
      <c r="M367" s="340">
        <v>30</v>
      </c>
      <c r="N367" s="341">
        <v>88653</v>
      </c>
      <c r="O367" s="332">
        <v>58</v>
      </c>
      <c r="P367" s="342">
        <v>10</v>
      </c>
      <c r="Q367" s="343">
        <v>9.8502304147465516</v>
      </c>
      <c r="R367" s="344">
        <v>1.7336363636363634</v>
      </c>
      <c r="S367" s="344">
        <v>1.736</v>
      </c>
      <c r="T367" s="344">
        <v>1.907</v>
      </c>
      <c r="U367" s="344" t="s">
        <v>136</v>
      </c>
      <c r="V367" s="332" t="s">
        <v>137</v>
      </c>
      <c r="W367" s="345">
        <v>8</v>
      </c>
      <c r="X367" s="346">
        <v>4</v>
      </c>
      <c r="Y367" s="208">
        <v>2.8069999999999999</v>
      </c>
      <c r="Z367" s="332"/>
      <c r="AA367" s="342"/>
      <c r="AB367" s="342"/>
      <c r="AC367" s="342"/>
      <c r="AD367" s="347"/>
      <c r="AE367" s="348">
        <v>1.702</v>
      </c>
      <c r="AF367" s="349">
        <v>0</v>
      </c>
      <c r="AG367" s="350"/>
      <c r="AH367" s="351" t="s">
        <v>139</v>
      </c>
      <c r="AI367" s="352" t="s">
        <v>139</v>
      </c>
      <c r="AJ367" s="206" t="s">
        <v>139</v>
      </c>
      <c r="AK367" s="353" t="s">
        <v>603</v>
      </c>
      <c r="AL367" s="206" t="s">
        <v>139</v>
      </c>
      <c r="AM367" s="349">
        <v>101.85877577181924</v>
      </c>
      <c r="AN367" s="354" t="s">
        <v>139</v>
      </c>
      <c r="AO367" s="355" t="s">
        <v>140</v>
      </c>
      <c r="AP367" s="206" t="s">
        <v>139</v>
      </c>
      <c r="AQ367" s="207">
        <v>0</v>
      </c>
      <c r="AR367" s="211"/>
      <c r="AS367" s="297">
        <f>+IF(Table1[[#This Row],[Column40]]="ok",Table1[[#This Row],[Column7]],0)</f>
        <v>1807.3</v>
      </c>
      <c r="AT367" s="295">
        <f>+IF(Table1[[#This Row],[Column40]]="No",Table1[[#This Row],[Column7]],0)</f>
        <v>0</v>
      </c>
      <c r="AU367" s="4" t="str">
        <f>+IF(LEFT(Table1[[#This Row],[Column42]],2)="DN",IF(Table1[[#This Row],[Column40]]="ok","(CA)",_xlfn.CONCAT("(CA)",CHAR(10),"FAIL")),"")</f>
        <v/>
      </c>
      <c r="AV367" s="154" t="str">
        <f>+IF(Table1[[#This Row],[Column6]]=0,"",_xlfn.CONCAT("Sem ",WEEKNUM(Table1[[#This Row],[Column6]],2)))</f>
        <v>Sem 12</v>
      </c>
      <c r="AW367" s="211"/>
    </row>
    <row r="368" spans="2:49" ht="19.5" customHeight="1" x14ac:dyDescent="0.3">
      <c r="B368" s="356" t="s">
        <v>645</v>
      </c>
      <c r="C368" s="331"/>
      <c r="D368" s="332" t="s">
        <v>132</v>
      </c>
      <c r="E368" s="332" t="s">
        <v>176</v>
      </c>
      <c r="F368" s="333"/>
      <c r="G368" s="334">
        <v>46099</v>
      </c>
      <c r="H368" s="335">
        <v>1756.42</v>
      </c>
      <c r="I368" s="336">
        <v>-17.350000000000001</v>
      </c>
      <c r="J368" s="337">
        <v>2633.7069999999999</v>
      </c>
      <c r="K368" s="338" t="s">
        <v>149</v>
      </c>
      <c r="L368" s="339" t="s">
        <v>146</v>
      </c>
      <c r="M368" s="340">
        <v>30</v>
      </c>
      <c r="N368" s="341">
        <v>88653</v>
      </c>
      <c r="O368" s="332">
        <v>58</v>
      </c>
      <c r="P368" s="342">
        <v>9.8000000000000007</v>
      </c>
      <c r="Q368" s="343">
        <v>10.535405872193436</v>
      </c>
      <c r="R368" s="344">
        <v>1.7486338797814205</v>
      </c>
      <c r="S368" s="344">
        <v>1.7370000000000001</v>
      </c>
      <c r="T368" s="344">
        <v>1.92</v>
      </c>
      <c r="U368" s="344" t="s">
        <v>136</v>
      </c>
      <c r="V368" s="332" t="s">
        <v>137</v>
      </c>
      <c r="W368" s="345">
        <v>8</v>
      </c>
      <c r="X368" s="346">
        <v>4</v>
      </c>
      <c r="Y368" s="208">
        <v>2.8069999999999999</v>
      </c>
      <c r="Z368" s="332"/>
      <c r="AA368" s="342"/>
      <c r="AB368" s="342"/>
      <c r="AC368" s="342"/>
      <c r="AD368" s="347"/>
      <c r="AE368" s="348">
        <v>1.702</v>
      </c>
      <c r="AF368" s="349" t="s">
        <v>139</v>
      </c>
      <c r="AG368" s="350"/>
      <c r="AH368" s="351" t="s">
        <v>139</v>
      </c>
      <c r="AI368" s="352" t="s">
        <v>139</v>
      </c>
      <c r="AJ368" s="206" t="s">
        <v>139</v>
      </c>
      <c r="AK368" s="353" t="s">
        <v>603</v>
      </c>
      <c r="AL368" s="206" t="s">
        <v>139</v>
      </c>
      <c r="AM368" s="349">
        <v>102.73994593310346</v>
      </c>
      <c r="AN368" s="354" t="s">
        <v>139</v>
      </c>
      <c r="AO368" s="355" t="s">
        <v>140</v>
      </c>
      <c r="AP368" s="206" t="s">
        <v>139</v>
      </c>
      <c r="AQ368" s="207">
        <v>0</v>
      </c>
      <c r="AR368" s="211"/>
      <c r="AS368" s="297">
        <f>+IF(Table1[[#This Row],[Column40]]="ok",Table1[[#This Row],[Column7]],0)</f>
        <v>1756.42</v>
      </c>
      <c r="AT368" s="295">
        <f>+IF(Table1[[#This Row],[Column40]]="No",Table1[[#This Row],[Column7]],0)</f>
        <v>0</v>
      </c>
      <c r="AU368" s="4" t="str">
        <f>+IF(LEFT(Table1[[#This Row],[Column42]],2)="DN",IF(Table1[[#This Row],[Column40]]="ok","(CA)",_xlfn.CONCAT("(CA)",CHAR(10),"FAIL")),"")</f>
        <v/>
      </c>
      <c r="AV368" s="154" t="str">
        <f>+IF(Table1[[#This Row],[Column6]]=0,"",_xlfn.CONCAT("Sem ",WEEKNUM(Table1[[#This Row],[Column6]],2)))</f>
        <v>Sem 12</v>
      </c>
      <c r="AW368" s="211"/>
    </row>
    <row r="369" spans="2:49" ht="19.5" customHeight="1" x14ac:dyDescent="0.3">
      <c r="B369" s="356" t="s">
        <v>646</v>
      </c>
      <c r="C369" s="331"/>
      <c r="D369" s="332" t="s">
        <v>132</v>
      </c>
      <c r="E369" s="332" t="s">
        <v>176</v>
      </c>
      <c r="F369" s="333"/>
      <c r="G369" s="334">
        <v>46099</v>
      </c>
      <c r="H369" s="335">
        <v>1683.81</v>
      </c>
      <c r="I369" s="336">
        <v>33.979999999999997</v>
      </c>
      <c r="J369" s="337">
        <v>2632.3739999999998</v>
      </c>
      <c r="K369" s="338" t="s">
        <v>149</v>
      </c>
      <c r="L369" s="339" t="s">
        <v>150</v>
      </c>
      <c r="M369" s="340">
        <v>30</v>
      </c>
      <c r="N369" s="341">
        <v>88653</v>
      </c>
      <c r="O369" s="332">
        <v>58</v>
      </c>
      <c r="P369" s="342">
        <v>10.9</v>
      </c>
      <c r="Q369" s="343">
        <v>10.307517084282459</v>
      </c>
      <c r="R369" s="344">
        <v>1.746618575293057</v>
      </c>
      <c r="S369" s="344">
        <v>1.756</v>
      </c>
      <c r="T369" s="344">
        <v>1.9370000000000001</v>
      </c>
      <c r="U369" s="344" t="s">
        <v>136</v>
      </c>
      <c r="V369" s="332" t="s">
        <v>137</v>
      </c>
      <c r="W369" s="345">
        <v>8</v>
      </c>
      <c r="X369" s="346">
        <v>4</v>
      </c>
      <c r="Y369" s="208">
        <v>2.8069999999999999</v>
      </c>
      <c r="Z369" s="332"/>
      <c r="AA369" s="342"/>
      <c r="AB369" s="342"/>
      <c r="AC369" s="342"/>
      <c r="AD369" s="347"/>
      <c r="AE369" s="348">
        <v>1.702</v>
      </c>
      <c r="AF369" s="349">
        <v>0</v>
      </c>
      <c r="AG369" s="350"/>
      <c r="AH369" s="351" t="s">
        <v>139</v>
      </c>
      <c r="AI369" s="352" t="s">
        <v>139</v>
      </c>
      <c r="AJ369" s="206" t="s">
        <v>139</v>
      </c>
      <c r="AK369" s="353" t="s">
        <v>603</v>
      </c>
      <c r="AL369" s="206" t="s">
        <v>139</v>
      </c>
      <c r="AM369" s="349">
        <v>102.62153791381064</v>
      </c>
      <c r="AN369" s="354" t="s">
        <v>139</v>
      </c>
      <c r="AO369" s="355" t="s">
        <v>140</v>
      </c>
      <c r="AP369" s="206" t="s">
        <v>139</v>
      </c>
      <c r="AQ369" s="207">
        <v>0</v>
      </c>
      <c r="AR369" s="211"/>
      <c r="AS369" s="297">
        <f>+IF(Table1[[#This Row],[Column40]]="ok",Table1[[#This Row],[Column7]],0)</f>
        <v>1683.81</v>
      </c>
      <c r="AT369" s="295">
        <f>+IF(Table1[[#This Row],[Column40]]="No",Table1[[#This Row],[Column7]],0)</f>
        <v>0</v>
      </c>
      <c r="AU369" s="4" t="str">
        <f>+IF(LEFT(Table1[[#This Row],[Column42]],2)="DN",IF(Table1[[#This Row],[Column40]]="ok","(CA)",_xlfn.CONCAT("(CA)",CHAR(10),"FAIL")),"")</f>
        <v/>
      </c>
      <c r="AV369" s="154" t="str">
        <f>+IF(Table1[[#This Row],[Column6]]=0,"",_xlfn.CONCAT("Sem ",WEEKNUM(Table1[[#This Row],[Column6]],2)))</f>
        <v>Sem 12</v>
      </c>
      <c r="AW369" s="211"/>
    </row>
    <row r="370" spans="2:49" ht="19.5" customHeight="1" x14ac:dyDescent="0.3">
      <c r="B370" s="356" t="s">
        <v>647</v>
      </c>
      <c r="C370" s="331"/>
      <c r="D370" s="332" t="s">
        <v>132</v>
      </c>
      <c r="E370" s="332" t="s">
        <v>176</v>
      </c>
      <c r="F370" s="333"/>
      <c r="G370" s="334">
        <v>46099</v>
      </c>
      <c r="H370" s="335">
        <v>1641.78</v>
      </c>
      <c r="I370" s="336">
        <v>89.24</v>
      </c>
      <c r="J370" s="337">
        <v>2615.473</v>
      </c>
      <c r="K370" s="338" t="s">
        <v>149</v>
      </c>
      <c r="L370" s="339" t="s">
        <v>641</v>
      </c>
      <c r="M370" s="340">
        <v>30</v>
      </c>
      <c r="N370" s="341">
        <v>88653</v>
      </c>
      <c r="O370" s="332">
        <v>58</v>
      </c>
      <c r="P370" s="342">
        <v>10.6</v>
      </c>
      <c r="Q370" s="343">
        <v>10.928319623971806</v>
      </c>
      <c r="R370" s="344">
        <v>1.7070524412296562</v>
      </c>
      <c r="S370" s="344">
        <v>1.702</v>
      </c>
      <c r="T370" s="344">
        <v>1.8879999999999999</v>
      </c>
      <c r="U370" s="344" t="s">
        <v>136</v>
      </c>
      <c r="V370" s="332" t="s">
        <v>137</v>
      </c>
      <c r="W370" s="345">
        <v>8</v>
      </c>
      <c r="X370" s="346">
        <v>4</v>
      </c>
      <c r="Y370" s="208">
        <v>2.8069999999999999</v>
      </c>
      <c r="Z370" s="332"/>
      <c r="AA370" s="342"/>
      <c r="AB370" s="342"/>
      <c r="AC370" s="342"/>
      <c r="AD370" s="347"/>
      <c r="AE370" s="348">
        <v>1.702</v>
      </c>
      <c r="AF370" s="349" t="s">
        <v>139</v>
      </c>
      <c r="AG370" s="350"/>
      <c r="AH370" s="351" t="s">
        <v>139</v>
      </c>
      <c r="AI370" s="352" t="s">
        <v>139</v>
      </c>
      <c r="AJ370" s="206" t="s">
        <v>139</v>
      </c>
      <c r="AK370" s="353" t="s">
        <v>603</v>
      </c>
      <c r="AL370" s="206" t="s">
        <v>139</v>
      </c>
      <c r="AM370" s="349">
        <v>100.29685318623127</v>
      </c>
      <c r="AN370" s="354" t="s">
        <v>139</v>
      </c>
      <c r="AO370" s="355" t="s">
        <v>140</v>
      </c>
      <c r="AP370" s="206" t="s">
        <v>139</v>
      </c>
      <c r="AQ370" s="207">
        <v>0</v>
      </c>
      <c r="AR370" s="211"/>
      <c r="AS370" s="297">
        <f>+IF(Table1[[#This Row],[Column40]]="ok",Table1[[#This Row],[Column7]],0)</f>
        <v>1641.78</v>
      </c>
      <c r="AT370" s="295">
        <f>+IF(Table1[[#This Row],[Column40]]="No",Table1[[#This Row],[Column7]],0)</f>
        <v>0</v>
      </c>
      <c r="AU370" s="4" t="str">
        <f>+IF(LEFT(Table1[[#This Row],[Column42]],2)="DN",IF(Table1[[#This Row],[Column40]]="ok","(CA)",_xlfn.CONCAT("(CA)",CHAR(10),"FAIL")),"")</f>
        <v/>
      </c>
      <c r="AV370" s="154" t="str">
        <f>+IF(Table1[[#This Row],[Column6]]=0,"",_xlfn.CONCAT("Sem ",WEEKNUM(Table1[[#This Row],[Column6]],2)))</f>
        <v>Sem 12</v>
      </c>
      <c r="AW370" s="211"/>
    </row>
    <row r="371" spans="2:49" ht="19.5" customHeight="1" x14ac:dyDescent="0.3">
      <c r="B371" s="356" t="s">
        <v>648</v>
      </c>
      <c r="C371" s="331"/>
      <c r="D371" s="332" t="s">
        <v>132</v>
      </c>
      <c r="E371" s="332" t="s">
        <v>176</v>
      </c>
      <c r="F371" s="333"/>
      <c r="G371" s="334">
        <v>46099</v>
      </c>
      <c r="H371" s="335">
        <v>1706.44</v>
      </c>
      <c r="I371" s="336">
        <v>108.02</v>
      </c>
      <c r="J371" s="337">
        <v>2609.902</v>
      </c>
      <c r="K371" s="338" t="s">
        <v>149</v>
      </c>
      <c r="L371" s="339" t="s">
        <v>152</v>
      </c>
      <c r="M371" s="340">
        <v>30</v>
      </c>
      <c r="N371" s="341">
        <v>88653</v>
      </c>
      <c r="O371" s="332">
        <v>58</v>
      </c>
      <c r="P371" s="342">
        <v>11.4</v>
      </c>
      <c r="Q371" s="343">
        <v>11.985688729874777</v>
      </c>
      <c r="R371" s="344">
        <v>1.6858168761220824</v>
      </c>
      <c r="S371" s="344">
        <v>1.677</v>
      </c>
      <c r="T371" s="344">
        <v>1.8779999999999999</v>
      </c>
      <c r="U371" s="344" t="s">
        <v>136</v>
      </c>
      <c r="V371" s="332" t="s">
        <v>137</v>
      </c>
      <c r="W371" s="345">
        <v>8</v>
      </c>
      <c r="X371" s="346">
        <v>4</v>
      </c>
      <c r="Y371" s="208">
        <v>2.8069999999999999</v>
      </c>
      <c r="Z371" s="332"/>
      <c r="AA371" s="342"/>
      <c r="AB371" s="342"/>
      <c r="AC371" s="342"/>
      <c r="AD371" s="347"/>
      <c r="AE371" s="348">
        <v>1.709379825755752</v>
      </c>
      <c r="AF371" s="349">
        <v>17.146040795525575</v>
      </c>
      <c r="AG371" s="350"/>
      <c r="AH371" s="351">
        <v>1.7077586206896553</v>
      </c>
      <c r="AI371" s="352">
        <v>1.9810000000000001</v>
      </c>
      <c r="AJ371" s="206">
        <v>16</v>
      </c>
      <c r="AK371" s="353" t="s">
        <v>250</v>
      </c>
      <c r="AL371" s="206">
        <v>1.1460407955255754</v>
      </c>
      <c r="AM371" s="349">
        <v>98.621549799603386</v>
      </c>
      <c r="AN371" s="354" t="s">
        <v>139</v>
      </c>
      <c r="AO371" s="355" t="s">
        <v>140</v>
      </c>
      <c r="AP371" s="206" t="s">
        <v>139</v>
      </c>
      <c r="AQ371" s="207">
        <v>0</v>
      </c>
      <c r="AR371" s="211"/>
      <c r="AS371" s="297">
        <f>+IF(Table1[[#This Row],[Column40]]="ok",Table1[[#This Row],[Column7]],0)</f>
        <v>1706.44</v>
      </c>
      <c r="AT371" s="295">
        <f>+IF(Table1[[#This Row],[Column40]]="No",Table1[[#This Row],[Column7]],0)</f>
        <v>0</v>
      </c>
      <c r="AU371" s="4" t="str">
        <f>+IF(LEFT(Table1[[#This Row],[Column42]],2)="DN",IF(Table1[[#This Row],[Column40]]="ok","(CA)",_xlfn.CONCAT("(CA)",CHAR(10),"FAIL")),"")</f>
        <v/>
      </c>
      <c r="AV371" s="154" t="str">
        <f>+IF(Table1[[#This Row],[Column6]]=0,"",_xlfn.CONCAT("Sem ",WEEKNUM(Table1[[#This Row],[Column6]],2)))</f>
        <v>Sem 12</v>
      </c>
      <c r="AW371" s="211"/>
    </row>
    <row r="372" spans="2:49" ht="19.5" customHeight="1" x14ac:dyDescent="0.3">
      <c r="B372" s="356" t="s">
        <v>649</v>
      </c>
      <c r="C372" s="331"/>
      <c r="D372" s="332" t="s">
        <v>132</v>
      </c>
      <c r="E372" s="332" t="s">
        <v>176</v>
      </c>
      <c r="F372" s="333"/>
      <c r="G372" s="334">
        <v>46099</v>
      </c>
      <c r="H372" s="335">
        <v>1873.25</v>
      </c>
      <c r="I372" s="336">
        <v>30.07</v>
      </c>
      <c r="J372" s="337">
        <v>2602.4609999999998</v>
      </c>
      <c r="K372" s="338" t="s">
        <v>134</v>
      </c>
      <c r="L372" s="339" t="s">
        <v>384</v>
      </c>
      <c r="M372" s="340">
        <v>30</v>
      </c>
      <c r="N372" s="341">
        <v>88653</v>
      </c>
      <c r="O372" s="332">
        <v>58</v>
      </c>
      <c r="P372" s="342">
        <v>13</v>
      </c>
      <c r="Q372" s="343">
        <v>11.033274956217154</v>
      </c>
      <c r="R372" s="344">
        <v>1.6831858407079647</v>
      </c>
      <c r="S372" s="344">
        <v>1.7130000000000001</v>
      </c>
      <c r="T372" s="344">
        <v>1.9019999999999999</v>
      </c>
      <c r="U372" s="344" t="s">
        <v>136</v>
      </c>
      <c r="V372" s="332" t="s">
        <v>137</v>
      </c>
      <c r="W372" s="345">
        <v>8</v>
      </c>
      <c r="X372" s="346">
        <v>4</v>
      </c>
      <c r="Y372" s="208">
        <v>2.8069999999999999</v>
      </c>
      <c r="Z372" s="332"/>
      <c r="AA372" s="342"/>
      <c r="AB372" s="342"/>
      <c r="AC372" s="342"/>
      <c r="AD372" s="347"/>
      <c r="AE372" s="348">
        <v>1.7122495381851834</v>
      </c>
      <c r="AF372" s="349">
        <v>16.174628841893551</v>
      </c>
      <c r="AG372" s="350"/>
      <c r="AH372" s="351">
        <v>1.7120689655172414</v>
      </c>
      <c r="AI372" s="352">
        <v>1.986</v>
      </c>
      <c r="AJ372" s="206">
        <v>16</v>
      </c>
      <c r="AK372" s="353" t="s">
        <v>376</v>
      </c>
      <c r="AL372" s="206">
        <v>0.17462884189355066</v>
      </c>
      <c r="AM372" s="349">
        <v>98.302601529212652</v>
      </c>
      <c r="AN372" s="354" t="s">
        <v>139</v>
      </c>
      <c r="AO372" s="355" t="s">
        <v>140</v>
      </c>
      <c r="AP372" s="206" t="s">
        <v>139</v>
      </c>
      <c r="AQ372" s="207" t="s">
        <v>650</v>
      </c>
      <c r="AR372" s="211"/>
      <c r="AS372" s="297">
        <f>+IF(Table1[[#This Row],[Column40]]="ok",Table1[[#This Row],[Column7]],0)</f>
        <v>1873.25</v>
      </c>
      <c r="AT372" s="295">
        <f>+IF(Table1[[#This Row],[Column40]]="No",Table1[[#This Row],[Column7]],0)</f>
        <v>0</v>
      </c>
      <c r="AU372" s="4" t="str">
        <f>+IF(LEFT(Table1[[#This Row],[Column42]],2)="DN",IF(Table1[[#This Row],[Column40]]="ok","(CA)",_xlfn.CONCAT("(CA)",CHAR(10),"FAIL")),"")</f>
        <v/>
      </c>
      <c r="AV372" s="154" t="str">
        <f>+IF(Table1[[#This Row],[Column6]]=0,"",_xlfn.CONCAT("Sem ",WEEKNUM(Table1[[#This Row],[Column6]],2)))</f>
        <v>Sem 12</v>
      </c>
      <c r="AW372" s="211"/>
    </row>
    <row r="373" spans="2:49" ht="19.5" customHeight="1" x14ac:dyDescent="0.3">
      <c r="B373" s="356" t="s">
        <v>650</v>
      </c>
      <c r="C373" s="331"/>
      <c r="D373" s="332" t="s">
        <v>132</v>
      </c>
      <c r="E373" s="332" t="s">
        <v>176</v>
      </c>
      <c r="F373" s="333"/>
      <c r="G373" s="334">
        <v>46099</v>
      </c>
      <c r="H373" s="335">
        <v>1873.25</v>
      </c>
      <c r="I373" s="336">
        <v>30.07</v>
      </c>
      <c r="J373" s="337">
        <v>2602.4609999999998</v>
      </c>
      <c r="K373" s="338" t="s">
        <v>134</v>
      </c>
      <c r="L373" s="339" t="s">
        <v>384</v>
      </c>
      <c r="M373" s="340">
        <v>15</v>
      </c>
      <c r="N373" s="341"/>
      <c r="O373" s="332"/>
      <c r="P373" s="342">
        <v>12.159594680177358</v>
      </c>
      <c r="Q373" s="343"/>
      <c r="R373" s="344">
        <v>1.7067898594262507</v>
      </c>
      <c r="S373" s="344"/>
      <c r="T373" s="344">
        <v>1.9143285883748515</v>
      </c>
      <c r="U373" s="344" t="s">
        <v>142</v>
      </c>
      <c r="V373" s="332" t="s">
        <v>137</v>
      </c>
      <c r="W373" s="345">
        <v>6</v>
      </c>
      <c r="X373" s="346">
        <v>8</v>
      </c>
      <c r="Y373" s="208"/>
      <c r="Z373" s="332" t="s">
        <v>143</v>
      </c>
      <c r="AA373" s="342">
        <v>98.923369221025965</v>
      </c>
      <c r="AB373" s="342">
        <v>76.757441418619379</v>
      </c>
      <c r="AC373" s="342">
        <v>34.103863204559843</v>
      </c>
      <c r="AD373" s="347">
        <v>12.951234958834704</v>
      </c>
      <c r="AE373" s="348">
        <v>1.7122495381851834</v>
      </c>
      <c r="AF373" s="349">
        <v>16.174628841893551</v>
      </c>
      <c r="AG373" s="350" t="s">
        <v>376</v>
      </c>
      <c r="AH373" s="351">
        <v>1.7114567713934115</v>
      </c>
      <c r="AI373" s="352">
        <v>1.9855211327584372</v>
      </c>
      <c r="AJ373" s="206">
        <v>16.013513513513505</v>
      </c>
      <c r="AK373" s="353" t="s">
        <v>376</v>
      </c>
      <c r="AL373" s="206">
        <v>0.1611153283800455</v>
      </c>
      <c r="AM373" s="349">
        <v>99.681140006922149</v>
      </c>
      <c r="AN373" s="354" t="s">
        <v>139</v>
      </c>
      <c r="AO373" s="355" t="s">
        <v>144</v>
      </c>
      <c r="AP373" s="206">
        <v>0</v>
      </c>
      <c r="AQ373" s="207" t="s">
        <v>649</v>
      </c>
      <c r="AR373" s="211"/>
      <c r="AS373" s="297">
        <f>+IF(Table1[[#This Row],[Column40]]="ok",Table1[[#This Row],[Column7]],0)</f>
        <v>1873.25</v>
      </c>
      <c r="AT373" s="295">
        <f>+IF(Table1[[#This Row],[Column40]]="No",Table1[[#This Row],[Column7]],0)</f>
        <v>0</v>
      </c>
      <c r="AU373" s="4" t="str">
        <f>+IF(LEFT(Table1[[#This Row],[Column42]],2)="DN",IF(Table1[[#This Row],[Column40]]="ok","(CA)",_xlfn.CONCAT("(CA)",CHAR(10),"FAIL")),"")</f>
        <v>(CA)</v>
      </c>
      <c r="AV373" s="154" t="str">
        <f>+IF(Table1[[#This Row],[Column6]]=0,"",_xlfn.CONCAT("Sem ",WEEKNUM(Table1[[#This Row],[Column6]],2)))</f>
        <v>Sem 12</v>
      </c>
      <c r="AW373" s="211"/>
    </row>
    <row r="374" spans="2:49" ht="19.5" customHeight="1" x14ac:dyDescent="0.3">
      <c r="B374" s="356" t="s">
        <v>651</v>
      </c>
      <c r="C374" s="331"/>
      <c r="D374" s="332" t="s">
        <v>132</v>
      </c>
      <c r="E374" s="332" t="s">
        <v>176</v>
      </c>
      <c r="F374" s="333"/>
      <c r="G374" s="334">
        <v>46099</v>
      </c>
      <c r="H374" s="335">
        <v>1800.78</v>
      </c>
      <c r="I374" s="336">
        <v>61.4</v>
      </c>
      <c r="J374" s="337">
        <v>2607.761</v>
      </c>
      <c r="K374" s="338" t="s">
        <v>134</v>
      </c>
      <c r="L374" s="339" t="s">
        <v>154</v>
      </c>
      <c r="M374" s="340">
        <v>30</v>
      </c>
      <c r="N374" s="341">
        <v>88653</v>
      </c>
      <c r="O374" s="332">
        <v>58</v>
      </c>
      <c r="P374" s="342">
        <v>10.7</v>
      </c>
      <c r="Q374" s="343">
        <v>9.4852515905147428</v>
      </c>
      <c r="R374" s="344">
        <v>1.7100271002710028</v>
      </c>
      <c r="S374" s="344">
        <v>1.7290000000000001</v>
      </c>
      <c r="T374" s="344">
        <v>1.893</v>
      </c>
      <c r="U374" s="344" t="s">
        <v>136</v>
      </c>
      <c r="V374" s="332" t="s">
        <v>137</v>
      </c>
      <c r="W374" s="345">
        <v>8</v>
      </c>
      <c r="X374" s="346">
        <v>4</v>
      </c>
      <c r="Y374" s="208">
        <v>2.8069999999999999</v>
      </c>
      <c r="Z374" s="332"/>
      <c r="AA374" s="342"/>
      <c r="AB374" s="342"/>
      <c r="AC374" s="342"/>
      <c r="AD374" s="347"/>
      <c r="AE374" s="348">
        <v>1.702</v>
      </c>
      <c r="AF374" s="349">
        <v>0</v>
      </c>
      <c r="AG374" s="350"/>
      <c r="AH374" s="351" t="s">
        <v>139</v>
      </c>
      <c r="AI374" s="352" t="s">
        <v>139</v>
      </c>
      <c r="AJ374" s="206" t="s">
        <v>139</v>
      </c>
      <c r="AK374" s="353" t="s">
        <v>603</v>
      </c>
      <c r="AL374" s="206" t="s">
        <v>139</v>
      </c>
      <c r="AM374" s="349">
        <v>100.47162751298488</v>
      </c>
      <c r="AN374" s="354" t="s">
        <v>139</v>
      </c>
      <c r="AO374" s="355" t="s">
        <v>140</v>
      </c>
      <c r="AP374" s="206" t="s">
        <v>139</v>
      </c>
      <c r="AQ374" s="207">
        <v>0</v>
      </c>
      <c r="AR374" s="211"/>
      <c r="AS374" s="297">
        <f>+IF(Table1[[#This Row],[Column40]]="ok",Table1[[#This Row],[Column7]],0)</f>
        <v>1800.78</v>
      </c>
      <c r="AT374" s="295">
        <f>+IF(Table1[[#This Row],[Column40]]="No",Table1[[#This Row],[Column7]],0)</f>
        <v>0</v>
      </c>
      <c r="AU374" s="4" t="str">
        <f>+IF(LEFT(Table1[[#This Row],[Column42]],2)="DN",IF(Table1[[#This Row],[Column40]]="ok","(CA)",_xlfn.CONCAT("(CA)",CHAR(10),"FAIL")),"")</f>
        <v/>
      </c>
      <c r="AV374" s="154" t="str">
        <f>+IF(Table1[[#This Row],[Column6]]=0,"",_xlfn.CONCAT("Sem ",WEEKNUM(Table1[[#This Row],[Column6]],2)))</f>
        <v>Sem 12</v>
      </c>
      <c r="AW374" s="211"/>
    </row>
    <row r="375" spans="2:49" ht="19.5" customHeight="1" x14ac:dyDescent="0.3">
      <c r="B375" s="356" t="s">
        <v>652</v>
      </c>
      <c r="C375" s="331"/>
      <c r="D375" s="332" t="s">
        <v>132</v>
      </c>
      <c r="E375" s="332" t="s">
        <v>176</v>
      </c>
      <c r="F375" s="333"/>
      <c r="G375" s="334">
        <v>46099</v>
      </c>
      <c r="H375" s="335">
        <v>1953.85</v>
      </c>
      <c r="I375" s="336">
        <v>-11.92</v>
      </c>
      <c r="J375" s="337">
        <v>2600.0410000000002</v>
      </c>
      <c r="K375" s="338" t="s">
        <v>218</v>
      </c>
      <c r="L375" s="339" t="s">
        <v>452</v>
      </c>
      <c r="M375" s="340">
        <v>30</v>
      </c>
      <c r="N375" s="341">
        <v>88653</v>
      </c>
      <c r="O375" s="332">
        <v>58</v>
      </c>
      <c r="P375" s="342">
        <v>11.700000000000001</v>
      </c>
      <c r="Q375" s="343">
        <v>11.292134831460675</v>
      </c>
      <c r="R375" s="344">
        <v>1.773500447627574</v>
      </c>
      <c r="S375" s="344">
        <v>1.78</v>
      </c>
      <c r="T375" s="344">
        <v>1.9810000000000001</v>
      </c>
      <c r="U375" s="344" t="s">
        <v>136</v>
      </c>
      <c r="V375" s="332" t="s">
        <v>137</v>
      </c>
      <c r="W375" s="345">
        <v>8</v>
      </c>
      <c r="X375" s="346">
        <v>4</v>
      </c>
      <c r="Y375" s="208">
        <v>2.8069999999999999</v>
      </c>
      <c r="Z375" s="332"/>
      <c r="AA375" s="342"/>
      <c r="AB375" s="342"/>
      <c r="AC375" s="342"/>
      <c r="AD375" s="347"/>
      <c r="AE375" s="348">
        <v>1.702</v>
      </c>
      <c r="AF375" s="349">
        <v>0</v>
      </c>
      <c r="AG375" s="350"/>
      <c r="AH375" s="351" t="s">
        <v>139</v>
      </c>
      <c r="AI375" s="352" t="s">
        <v>139</v>
      </c>
      <c r="AJ375" s="206" t="s">
        <v>139</v>
      </c>
      <c r="AK375" s="353" t="s">
        <v>603</v>
      </c>
      <c r="AL375" s="206" t="s">
        <v>139</v>
      </c>
      <c r="AM375" s="349">
        <v>104.20096637059777</v>
      </c>
      <c r="AN375" s="354" t="s">
        <v>139</v>
      </c>
      <c r="AO375" s="355" t="s">
        <v>140</v>
      </c>
      <c r="AP375" s="206" t="s">
        <v>139</v>
      </c>
      <c r="AQ375" s="207">
        <v>0</v>
      </c>
      <c r="AR375" s="211"/>
      <c r="AS375" s="297">
        <f>+IF(Table1[[#This Row],[Column40]]="ok",Table1[[#This Row],[Column7]],0)</f>
        <v>1953.85</v>
      </c>
      <c r="AT375" s="295">
        <f>+IF(Table1[[#This Row],[Column40]]="No",Table1[[#This Row],[Column7]],0)</f>
        <v>0</v>
      </c>
      <c r="AU375" s="4" t="str">
        <f>+IF(LEFT(Table1[[#This Row],[Column42]],2)="DN",IF(Table1[[#This Row],[Column40]]="ok","(CA)",_xlfn.CONCAT("(CA)",CHAR(10),"FAIL")),"")</f>
        <v/>
      </c>
      <c r="AV375" s="154" t="str">
        <f>+IF(Table1[[#This Row],[Column6]]=0,"",_xlfn.CONCAT("Sem ",WEEKNUM(Table1[[#This Row],[Column6]],2)))</f>
        <v>Sem 12</v>
      </c>
      <c r="AW375" s="211"/>
    </row>
    <row r="376" spans="2:49" ht="19.5" customHeight="1" x14ac:dyDescent="0.3">
      <c r="B376" s="356" t="s">
        <v>653</v>
      </c>
      <c r="C376" s="331"/>
      <c r="D376" s="332" t="s">
        <v>132</v>
      </c>
      <c r="E376" s="332" t="s">
        <v>176</v>
      </c>
      <c r="F376" s="333"/>
      <c r="G376" s="334">
        <v>46099</v>
      </c>
      <c r="H376" s="335">
        <v>1952.49</v>
      </c>
      <c r="I376" s="336">
        <v>84.72</v>
      </c>
      <c r="J376" s="337">
        <v>2579.422</v>
      </c>
      <c r="K376" s="338" t="s">
        <v>218</v>
      </c>
      <c r="L376" s="339" t="s">
        <v>452</v>
      </c>
      <c r="M376" s="340">
        <v>30</v>
      </c>
      <c r="N376" s="341">
        <v>88653</v>
      </c>
      <c r="O376" s="332">
        <v>58</v>
      </c>
      <c r="P376" s="342">
        <v>11.600000000000001</v>
      </c>
      <c r="Q376" s="343">
        <v>11.794871794871797</v>
      </c>
      <c r="R376" s="344">
        <v>1.758064516129032</v>
      </c>
      <c r="S376" s="344">
        <v>1.7549999999999999</v>
      </c>
      <c r="T376" s="344">
        <v>1.962</v>
      </c>
      <c r="U376" s="344" t="s">
        <v>136</v>
      </c>
      <c r="V376" s="332" t="s">
        <v>137</v>
      </c>
      <c r="W376" s="345">
        <v>8</v>
      </c>
      <c r="X376" s="346">
        <v>4</v>
      </c>
      <c r="Y376" s="208">
        <v>2.8069999999999999</v>
      </c>
      <c r="Z376" s="332"/>
      <c r="AA376" s="342"/>
      <c r="AB376" s="342"/>
      <c r="AC376" s="342"/>
      <c r="AD376" s="347"/>
      <c r="AE376" s="348">
        <v>1.702</v>
      </c>
      <c r="AF376" s="349">
        <v>0</v>
      </c>
      <c r="AG376" s="350"/>
      <c r="AH376" s="351" t="s">
        <v>139</v>
      </c>
      <c r="AI376" s="352" t="s">
        <v>139</v>
      </c>
      <c r="AJ376" s="206" t="s">
        <v>139</v>
      </c>
      <c r="AK376" s="353" t="s">
        <v>603</v>
      </c>
      <c r="AL376" s="206" t="s">
        <v>139</v>
      </c>
      <c r="AM376" s="349">
        <v>103.29403737538378</v>
      </c>
      <c r="AN376" s="354" t="s">
        <v>139</v>
      </c>
      <c r="AO376" s="355" t="s">
        <v>140</v>
      </c>
      <c r="AP376" s="206" t="s">
        <v>139</v>
      </c>
      <c r="AQ376" s="207">
        <v>0</v>
      </c>
      <c r="AR376" s="211"/>
      <c r="AS376" s="297">
        <f>+IF(Table1[[#This Row],[Column40]]="ok",Table1[[#This Row],[Column7]],0)</f>
        <v>1952.49</v>
      </c>
      <c r="AT376" s="295">
        <f>+IF(Table1[[#This Row],[Column40]]="No",Table1[[#This Row],[Column7]],0)</f>
        <v>0</v>
      </c>
      <c r="AU376" s="4" t="str">
        <f>+IF(LEFT(Table1[[#This Row],[Column42]],2)="DN",IF(Table1[[#This Row],[Column40]]="ok","(CA)",_xlfn.CONCAT("(CA)",CHAR(10),"FAIL")),"")</f>
        <v/>
      </c>
      <c r="AV376" s="154" t="str">
        <f>+IF(Table1[[#This Row],[Column6]]=0,"",_xlfn.CONCAT("Sem ",WEEKNUM(Table1[[#This Row],[Column6]],2)))</f>
        <v>Sem 12</v>
      </c>
      <c r="AW376" s="211"/>
    </row>
    <row r="377" spans="2:49" ht="19.5" customHeight="1" x14ac:dyDescent="0.3">
      <c r="B377" s="356" t="s">
        <v>654</v>
      </c>
      <c r="C377" s="331"/>
      <c r="D377" s="332" t="s">
        <v>132</v>
      </c>
      <c r="E377" s="332" t="s">
        <v>176</v>
      </c>
      <c r="F377" s="333"/>
      <c r="G377" s="334">
        <v>46099</v>
      </c>
      <c r="H377" s="335">
        <v>1884.11</v>
      </c>
      <c r="I377" s="336">
        <v>113</v>
      </c>
      <c r="J377" s="337">
        <v>2582.6680000000001</v>
      </c>
      <c r="K377" s="338" t="s">
        <v>134</v>
      </c>
      <c r="L377" s="339" t="s">
        <v>384</v>
      </c>
      <c r="M377" s="340">
        <v>30</v>
      </c>
      <c r="N377" s="341">
        <v>88653</v>
      </c>
      <c r="O377" s="332">
        <v>58</v>
      </c>
      <c r="P377" s="342">
        <v>12.7</v>
      </c>
      <c r="Q377" s="343">
        <v>10.822998872604273</v>
      </c>
      <c r="R377" s="344">
        <v>1.7444543034605147</v>
      </c>
      <c r="S377" s="344">
        <v>1.774</v>
      </c>
      <c r="T377" s="344">
        <v>1.966</v>
      </c>
      <c r="U377" s="344" t="s">
        <v>136</v>
      </c>
      <c r="V377" s="332" t="s">
        <v>137</v>
      </c>
      <c r="W377" s="345">
        <v>8</v>
      </c>
      <c r="X377" s="346">
        <v>4</v>
      </c>
      <c r="Y377" s="208">
        <v>2.8069999999999999</v>
      </c>
      <c r="Z377" s="332"/>
      <c r="AA377" s="342"/>
      <c r="AB377" s="342"/>
      <c r="AC377" s="342"/>
      <c r="AD377" s="347"/>
      <c r="AE377" s="348">
        <v>1.702</v>
      </c>
      <c r="AF377" s="349">
        <v>0</v>
      </c>
      <c r="AG377" s="350"/>
      <c r="AH377" s="351" t="s">
        <v>139</v>
      </c>
      <c r="AI377" s="352" t="s">
        <v>139</v>
      </c>
      <c r="AJ377" s="206" t="s">
        <v>139</v>
      </c>
      <c r="AK377" s="353" t="s">
        <v>603</v>
      </c>
      <c r="AL377" s="206" t="s">
        <v>139</v>
      </c>
      <c r="AM377" s="349">
        <v>102.49437740661074</v>
      </c>
      <c r="AN377" s="354" t="s">
        <v>139</v>
      </c>
      <c r="AO377" s="355" t="s">
        <v>140</v>
      </c>
      <c r="AP377" s="206" t="s">
        <v>139</v>
      </c>
      <c r="AQ377" s="207">
        <v>0</v>
      </c>
      <c r="AR377" s="211"/>
      <c r="AS377" s="297">
        <f>+IF(Table1[[#This Row],[Column40]]="ok",Table1[[#This Row],[Column7]],0)</f>
        <v>1884.11</v>
      </c>
      <c r="AT377" s="295">
        <f>+IF(Table1[[#This Row],[Column40]]="No",Table1[[#This Row],[Column7]],0)</f>
        <v>0</v>
      </c>
      <c r="AU377" s="4" t="str">
        <f>+IF(LEFT(Table1[[#This Row],[Column42]],2)="DN",IF(Table1[[#This Row],[Column40]]="ok","(CA)",_xlfn.CONCAT("(CA)",CHAR(10),"FAIL")),"")</f>
        <v/>
      </c>
      <c r="AV377" s="154" t="str">
        <f>+IF(Table1[[#This Row],[Column6]]=0,"",_xlfn.CONCAT("Sem ",WEEKNUM(Table1[[#This Row],[Column6]],2)))</f>
        <v>Sem 12</v>
      </c>
      <c r="AW377" s="211"/>
    </row>
    <row r="378" spans="2:49" ht="19.5" customHeight="1" x14ac:dyDescent="0.3">
      <c r="B378" s="356" t="s">
        <v>655</v>
      </c>
      <c r="C378" s="331"/>
      <c r="D378" s="332" t="s">
        <v>132</v>
      </c>
      <c r="E378" s="332" t="s">
        <v>176</v>
      </c>
      <c r="F378" s="333"/>
      <c r="G378" s="334">
        <v>46099</v>
      </c>
      <c r="H378" s="335">
        <v>1495.65</v>
      </c>
      <c r="I378" s="336">
        <v>-3.25</v>
      </c>
      <c r="J378" s="337">
        <v>2636.25</v>
      </c>
      <c r="K378" s="338" t="s">
        <v>162</v>
      </c>
      <c r="L378" s="339" t="s">
        <v>179</v>
      </c>
      <c r="M378" s="340" t="s">
        <v>293</v>
      </c>
      <c r="N378" s="341" t="s">
        <v>293</v>
      </c>
      <c r="O378" s="332" t="s">
        <v>293</v>
      </c>
      <c r="P378" s="342" t="s">
        <v>293</v>
      </c>
      <c r="Q378" s="343" t="s">
        <v>293</v>
      </c>
      <c r="R378" s="344" t="s">
        <v>293</v>
      </c>
      <c r="S378" s="344" t="s">
        <v>293</v>
      </c>
      <c r="T378" s="344" t="s">
        <v>293</v>
      </c>
      <c r="U378" s="344" t="s">
        <v>294</v>
      </c>
      <c r="V378" s="332" t="s">
        <v>293</v>
      </c>
      <c r="W378" s="345" t="s">
        <v>293</v>
      </c>
      <c r="X378" s="346" t="s">
        <v>293</v>
      </c>
      <c r="Y378" s="208">
        <v>2.8150656770136457</v>
      </c>
      <c r="Z378" s="332" t="s">
        <v>227</v>
      </c>
      <c r="AA378" s="342">
        <v>98.757225433526017</v>
      </c>
      <c r="AB378" s="342">
        <v>75.895953757225442</v>
      </c>
      <c r="AC378" s="342">
        <v>35.375722543352595</v>
      </c>
      <c r="AD378" s="347">
        <v>11.156069364161851</v>
      </c>
      <c r="AE378" s="348">
        <v>1.7335601946928447</v>
      </c>
      <c r="AF378" s="349">
        <v>16.089592355110089</v>
      </c>
      <c r="AG378" s="350" t="s">
        <v>655</v>
      </c>
      <c r="AH378" s="351" t="s">
        <v>293</v>
      </c>
      <c r="AI378" s="352" t="s">
        <v>293</v>
      </c>
      <c r="AJ378" s="206" t="s">
        <v>293</v>
      </c>
      <c r="AK378" s="353" t="s">
        <v>293</v>
      </c>
      <c r="AL378" s="206" t="s">
        <v>293</v>
      </c>
      <c r="AM378" s="349" t="s">
        <v>293</v>
      </c>
      <c r="AN378" s="354" t="s">
        <v>293</v>
      </c>
      <c r="AO378" s="355" t="s">
        <v>293</v>
      </c>
      <c r="AP378" s="206" t="s">
        <v>293</v>
      </c>
      <c r="AQ378" s="207" t="s">
        <v>295</v>
      </c>
      <c r="AR378" s="211"/>
      <c r="AS378" s="297">
        <f>+IF(Table1[[#This Row],[Column40]]="ok",Table1[[#This Row],[Column7]],0)</f>
        <v>0</v>
      </c>
      <c r="AT378" s="295">
        <f>+IF(Table1[[#This Row],[Column40]]="No",Table1[[#This Row],[Column7]],0)</f>
        <v>0</v>
      </c>
      <c r="AU378" s="4" t="str">
        <f>+IF(LEFT(Table1[[#This Row],[Column42]],2)="DN",IF(Table1[[#This Row],[Column40]]="ok","(CA)",_xlfn.CONCAT("(CA)",CHAR(10),"FAIL")),"")</f>
        <v/>
      </c>
      <c r="AV378" s="154" t="str">
        <f>+IF(Table1[[#This Row],[Column6]]=0,"",_xlfn.CONCAT("Sem ",WEEKNUM(Table1[[#This Row],[Column6]],2)))</f>
        <v>Sem 12</v>
      </c>
      <c r="AW378" s="211"/>
    </row>
    <row r="379" spans="2:49" ht="19.5" customHeight="1" x14ac:dyDescent="0.3">
      <c r="B379" s="356" t="s">
        <v>656</v>
      </c>
      <c r="C379" s="331"/>
      <c r="D379" s="332" t="s">
        <v>132</v>
      </c>
      <c r="E379" s="332" t="s">
        <v>133</v>
      </c>
      <c r="F379" s="333"/>
      <c r="G379" s="334">
        <v>46100</v>
      </c>
      <c r="H379" s="335">
        <v>2151.91</v>
      </c>
      <c r="I379" s="336">
        <v>-171.88</v>
      </c>
      <c r="J379" s="337">
        <v>2630.71</v>
      </c>
      <c r="K379" s="338" t="s">
        <v>218</v>
      </c>
      <c r="L379" s="339" t="s">
        <v>657</v>
      </c>
      <c r="M379" s="340">
        <v>30</v>
      </c>
      <c r="N379" s="341">
        <v>88653</v>
      </c>
      <c r="O379" s="332">
        <v>58</v>
      </c>
      <c r="P379" s="342">
        <v>13.100000000000001</v>
      </c>
      <c r="Q379" s="343">
        <v>11.498257839721248</v>
      </c>
      <c r="R379" s="344">
        <v>1.6976127320954906</v>
      </c>
      <c r="S379" s="344">
        <v>1.722</v>
      </c>
      <c r="T379" s="344">
        <v>1.92</v>
      </c>
      <c r="U379" s="344" t="s">
        <v>136</v>
      </c>
      <c r="V379" s="332" t="s">
        <v>137</v>
      </c>
      <c r="W379" s="345">
        <v>8</v>
      </c>
      <c r="X379" s="346">
        <v>4</v>
      </c>
      <c r="Y379" s="208">
        <v>2.8069999999999999</v>
      </c>
      <c r="Z379" s="332"/>
      <c r="AA379" s="342"/>
      <c r="AB379" s="342"/>
      <c r="AC379" s="342"/>
      <c r="AD379" s="347"/>
      <c r="AE379" s="348">
        <v>1.702</v>
      </c>
      <c r="AF379" s="349">
        <v>0</v>
      </c>
      <c r="AG379" s="350"/>
      <c r="AH379" s="351" t="s">
        <v>139</v>
      </c>
      <c r="AI379" s="352" t="s">
        <v>139</v>
      </c>
      <c r="AJ379" s="206" t="s">
        <v>139</v>
      </c>
      <c r="AK379" s="353" t="s">
        <v>640</v>
      </c>
      <c r="AL379" s="206" t="s">
        <v>139</v>
      </c>
      <c r="AM379" s="349">
        <v>99.742228677760906</v>
      </c>
      <c r="AN379" s="354" t="s">
        <v>139</v>
      </c>
      <c r="AO379" s="355" t="s">
        <v>140</v>
      </c>
      <c r="AP379" s="206"/>
      <c r="AQ379" s="207"/>
      <c r="AR379" s="211"/>
      <c r="AS379" s="297">
        <f>+IF(Table1[[#This Row],[Column40]]="ok",Table1[[#This Row],[Column7]],0)</f>
        <v>2151.91</v>
      </c>
      <c r="AT379" s="295">
        <f>+IF(Table1[[#This Row],[Column40]]="No",Table1[[#This Row],[Column7]],0)</f>
        <v>0</v>
      </c>
      <c r="AU379" s="4" t="str">
        <f>+IF(LEFT(Table1[[#This Row],[Column42]],2)="DN",IF(Table1[[#This Row],[Column40]]="ok","(CA)",_xlfn.CONCAT("(CA)",CHAR(10),"FAIL")),"")</f>
        <v/>
      </c>
      <c r="AV379" s="154" t="str">
        <f>+IF(Table1[[#This Row],[Column6]]=0,"",_xlfn.CONCAT("Sem ",WEEKNUM(Table1[[#This Row],[Column6]],2)))</f>
        <v>Sem 12</v>
      </c>
      <c r="AW379" s="211"/>
    </row>
    <row r="380" spans="2:49" ht="19.5" customHeight="1" x14ac:dyDescent="0.3">
      <c r="B380" s="356" t="s">
        <v>658</v>
      </c>
      <c r="C380" s="331"/>
      <c r="D380" s="332" t="s">
        <v>132</v>
      </c>
      <c r="E380" s="332" t="s">
        <v>133</v>
      </c>
      <c r="F380" s="333"/>
      <c r="G380" s="334">
        <v>46100</v>
      </c>
      <c r="H380" s="335">
        <v>2075.79</v>
      </c>
      <c r="I380" s="336">
        <v>-133.86000000000001</v>
      </c>
      <c r="J380" s="337">
        <v>2622.68</v>
      </c>
      <c r="K380" s="338" t="s">
        <v>218</v>
      </c>
      <c r="L380" s="339" t="s">
        <v>455</v>
      </c>
      <c r="M380" s="340">
        <v>30</v>
      </c>
      <c r="N380" s="341">
        <v>88653</v>
      </c>
      <c r="O380" s="332">
        <v>58</v>
      </c>
      <c r="P380" s="342">
        <v>11.799999999999999</v>
      </c>
      <c r="Q380" s="343">
        <v>11.338398597311517</v>
      </c>
      <c r="R380" s="344">
        <v>1.7039355992844367</v>
      </c>
      <c r="S380" s="344">
        <v>1.7110000000000001</v>
      </c>
      <c r="T380" s="344">
        <v>1.905</v>
      </c>
      <c r="U380" s="344" t="s">
        <v>136</v>
      </c>
      <c r="V380" s="332" t="s">
        <v>137</v>
      </c>
      <c r="W380" s="345">
        <v>8</v>
      </c>
      <c r="X380" s="346">
        <v>4</v>
      </c>
      <c r="Y380" s="208">
        <v>2.8069999999999999</v>
      </c>
      <c r="Z380" s="332"/>
      <c r="AA380" s="342"/>
      <c r="AB380" s="342"/>
      <c r="AC380" s="342"/>
      <c r="AD380" s="347"/>
      <c r="AE380" s="348">
        <v>1.702</v>
      </c>
      <c r="AF380" s="349">
        <v>0</v>
      </c>
      <c r="AG380" s="350"/>
      <c r="AH380" s="351" t="s">
        <v>139</v>
      </c>
      <c r="AI380" s="352" t="s">
        <v>139</v>
      </c>
      <c r="AJ380" s="206" t="s">
        <v>139</v>
      </c>
      <c r="AK380" s="353" t="s">
        <v>640</v>
      </c>
      <c r="AL380" s="206" t="s">
        <v>139</v>
      </c>
      <c r="AM380" s="349">
        <v>100.11372498733471</v>
      </c>
      <c r="AN380" s="354" t="s">
        <v>139</v>
      </c>
      <c r="AO380" s="355" t="s">
        <v>140</v>
      </c>
      <c r="AP380" s="206"/>
      <c r="AQ380" s="207"/>
      <c r="AR380" s="211"/>
      <c r="AS380" s="297">
        <f>+IF(Table1[[#This Row],[Column40]]="ok",Table1[[#This Row],[Column7]],0)</f>
        <v>2075.79</v>
      </c>
      <c r="AT380" s="295">
        <f>+IF(Table1[[#This Row],[Column40]]="No",Table1[[#This Row],[Column7]],0)</f>
        <v>0</v>
      </c>
      <c r="AU380" s="4" t="str">
        <f>+IF(LEFT(Table1[[#This Row],[Column42]],2)="DN",IF(Table1[[#This Row],[Column40]]="ok","(CA)",_xlfn.CONCAT("(CA)",CHAR(10),"FAIL")),"")</f>
        <v/>
      </c>
      <c r="AV380" s="154" t="str">
        <f>+IF(Table1[[#This Row],[Column6]]=0,"",_xlfn.CONCAT("Sem ",WEEKNUM(Table1[[#This Row],[Column6]],2)))</f>
        <v>Sem 12</v>
      </c>
      <c r="AW380" s="211"/>
    </row>
    <row r="381" spans="2:49" ht="19.5" customHeight="1" x14ac:dyDescent="0.3">
      <c r="B381" s="356" t="s">
        <v>659</v>
      </c>
      <c r="C381" s="331"/>
      <c r="D381" s="332" t="s">
        <v>132</v>
      </c>
      <c r="E381" s="332" t="s">
        <v>133</v>
      </c>
      <c r="F381" s="333"/>
      <c r="G381" s="334">
        <v>46100</v>
      </c>
      <c r="H381" s="335">
        <v>1989.7</v>
      </c>
      <c r="I381" s="336">
        <v>-146.97999999999999</v>
      </c>
      <c r="J381" s="337">
        <v>2631.82</v>
      </c>
      <c r="K381" s="338" t="s">
        <v>218</v>
      </c>
      <c r="L381" s="339" t="s">
        <v>660</v>
      </c>
      <c r="M381" s="340">
        <v>30</v>
      </c>
      <c r="N381" s="341">
        <v>88653</v>
      </c>
      <c r="O381" s="332">
        <v>58</v>
      </c>
      <c r="P381" s="342">
        <v>16.600000000000001</v>
      </c>
      <c r="Q381" s="343">
        <v>14.139693356047701</v>
      </c>
      <c r="R381" s="344">
        <v>1.7238421955403087</v>
      </c>
      <c r="S381" s="344">
        <v>1.7609999999999999</v>
      </c>
      <c r="T381" s="344">
        <v>2.0099999999999998</v>
      </c>
      <c r="U381" s="344" t="s">
        <v>136</v>
      </c>
      <c r="V381" s="332" t="s">
        <v>137</v>
      </c>
      <c r="W381" s="345">
        <v>8</v>
      </c>
      <c r="X381" s="346">
        <v>4</v>
      </c>
      <c r="Y381" s="208">
        <v>2.8069999999999999</v>
      </c>
      <c r="Z381" s="332"/>
      <c r="AA381" s="342"/>
      <c r="AB381" s="342"/>
      <c r="AC381" s="342"/>
      <c r="AD381" s="347"/>
      <c r="AE381" s="348">
        <v>1.702</v>
      </c>
      <c r="AF381" s="349">
        <v>0</v>
      </c>
      <c r="AG381" s="350"/>
      <c r="AH381" s="351" t="s">
        <v>139</v>
      </c>
      <c r="AI381" s="352" t="s">
        <v>139</v>
      </c>
      <c r="AJ381" s="206" t="s">
        <v>139</v>
      </c>
      <c r="AK381" s="353" t="s">
        <v>640</v>
      </c>
      <c r="AL381" s="206" t="s">
        <v>139</v>
      </c>
      <c r="AM381" s="349">
        <v>101.28332523738595</v>
      </c>
      <c r="AN381" s="354" t="s">
        <v>139</v>
      </c>
      <c r="AO381" s="355" t="s">
        <v>140</v>
      </c>
      <c r="AP381" s="206"/>
      <c r="AQ381" s="207"/>
      <c r="AR381" s="211"/>
      <c r="AS381" s="297">
        <f>+IF(Table1[[#This Row],[Column40]]="ok",Table1[[#This Row],[Column7]],0)</f>
        <v>1989.7</v>
      </c>
      <c r="AT381" s="295">
        <f>+IF(Table1[[#This Row],[Column40]]="No",Table1[[#This Row],[Column7]],0)</f>
        <v>0</v>
      </c>
      <c r="AU381" s="4" t="str">
        <f>+IF(LEFT(Table1[[#This Row],[Column42]],2)="DN",IF(Table1[[#This Row],[Column40]]="ok","(CA)",_xlfn.CONCAT("(CA)",CHAR(10),"FAIL")),"")</f>
        <v/>
      </c>
      <c r="AV381" s="154" t="str">
        <f>+IF(Table1[[#This Row],[Column6]]=0,"",_xlfn.CONCAT("Sem ",WEEKNUM(Table1[[#This Row],[Column6]],2)))</f>
        <v>Sem 12</v>
      </c>
      <c r="AW381" s="211"/>
    </row>
    <row r="382" spans="2:49" ht="19.5" customHeight="1" x14ac:dyDescent="0.3">
      <c r="B382" s="356" t="s">
        <v>661</v>
      </c>
      <c r="C382" s="331"/>
      <c r="D382" s="332" t="s">
        <v>132</v>
      </c>
      <c r="E382" s="332" t="s">
        <v>133</v>
      </c>
      <c r="F382" s="333"/>
      <c r="G382" s="334">
        <v>46100</v>
      </c>
      <c r="H382" s="335">
        <v>1966.84</v>
      </c>
      <c r="I382" s="336">
        <v>-57.09</v>
      </c>
      <c r="J382" s="337">
        <v>2610.1799999999998</v>
      </c>
      <c r="K382" s="338" t="s">
        <v>218</v>
      </c>
      <c r="L382" s="339" t="s">
        <v>452</v>
      </c>
      <c r="M382" s="340">
        <v>30</v>
      </c>
      <c r="N382" s="341">
        <v>88653</v>
      </c>
      <c r="O382" s="332">
        <v>58</v>
      </c>
      <c r="P382" s="342">
        <v>9.4</v>
      </c>
      <c r="Q382" s="343">
        <v>10.31048623315758</v>
      </c>
      <c r="R382" s="344">
        <v>1.7212065813528334</v>
      </c>
      <c r="S382" s="344">
        <v>1.7070000000000001</v>
      </c>
      <c r="T382" s="344">
        <v>1.883</v>
      </c>
      <c r="U382" s="344" t="s">
        <v>136</v>
      </c>
      <c r="V382" s="332" t="s">
        <v>137</v>
      </c>
      <c r="W382" s="345">
        <v>8</v>
      </c>
      <c r="X382" s="346">
        <v>4</v>
      </c>
      <c r="Y382" s="208">
        <v>2.8069999999999999</v>
      </c>
      <c r="Z382" s="332"/>
      <c r="AA382" s="342"/>
      <c r="AB382" s="342"/>
      <c r="AC382" s="342"/>
      <c r="AD382" s="347"/>
      <c r="AE382" s="348">
        <v>1.702</v>
      </c>
      <c r="AF382" s="349" t="s">
        <v>139</v>
      </c>
      <c r="AG382" s="350"/>
      <c r="AH382" s="351" t="s">
        <v>139</v>
      </c>
      <c r="AI382" s="352" t="s">
        <v>139</v>
      </c>
      <c r="AJ382" s="206" t="s">
        <v>139</v>
      </c>
      <c r="AK382" s="353" t="s">
        <v>640</v>
      </c>
      <c r="AL382" s="206" t="s">
        <v>139</v>
      </c>
      <c r="AM382" s="349">
        <v>101.1284712898257</v>
      </c>
      <c r="AN382" s="354" t="s">
        <v>139</v>
      </c>
      <c r="AO382" s="355" t="s">
        <v>140</v>
      </c>
      <c r="AP382" s="206"/>
      <c r="AQ382" s="207"/>
      <c r="AR382" s="211"/>
      <c r="AS382" s="297">
        <f>+IF(Table1[[#This Row],[Column40]]="ok",Table1[[#This Row],[Column7]],0)</f>
        <v>1966.84</v>
      </c>
      <c r="AT382" s="295">
        <f>+IF(Table1[[#This Row],[Column40]]="No",Table1[[#This Row],[Column7]],0)</f>
        <v>0</v>
      </c>
      <c r="AU382" s="4" t="str">
        <f>+IF(LEFT(Table1[[#This Row],[Column42]],2)="DN",IF(Table1[[#This Row],[Column40]]="ok","(CA)",_xlfn.CONCAT("(CA)",CHAR(10),"FAIL")),"")</f>
        <v/>
      </c>
      <c r="AV382" s="154" t="str">
        <f>+IF(Table1[[#This Row],[Column6]]=0,"",_xlfn.CONCAT("Sem ",WEEKNUM(Table1[[#This Row],[Column6]],2)))</f>
        <v>Sem 12</v>
      </c>
      <c r="AW382" s="211"/>
    </row>
    <row r="383" spans="2:49" ht="19.5" customHeight="1" x14ac:dyDescent="0.3">
      <c r="B383" s="356" t="s">
        <v>662</v>
      </c>
      <c r="C383" s="331"/>
      <c r="D383" s="332" t="s">
        <v>132</v>
      </c>
      <c r="E383" s="332" t="s">
        <v>133</v>
      </c>
      <c r="F383" s="333"/>
      <c r="G383" s="334">
        <v>46100</v>
      </c>
      <c r="H383" s="335" t="s">
        <v>663</v>
      </c>
      <c r="I383" s="336" t="s">
        <v>664</v>
      </c>
      <c r="J383" s="337">
        <v>2517.89</v>
      </c>
      <c r="K383" s="338" t="s">
        <v>290</v>
      </c>
      <c r="L383" s="339" t="s">
        <v>311</v>
      </c>
      <c r="M383" s="340" t="s">
        <v>293</v>
      </c>
      <c r="N383" s="341" t="s">
        <v>293</v>
      </c>
      <c r="O383" s="332" t="s">
        <v>293</v>
      </c>
      <c r="P383" s="342" t="s">
        <v>293</v>
      </c>
      <c r="Q383" s="343" t="s">
        <v>293</v>
      </c>
      <c r="R383" s="344" t="s">
        <v>293</v>
      </c>
      <c r="S383" s="344" t="s">
        <v>293</v>
      </c>
      <c r="T383" s="344" t="s">
        <v>293</v>
      </c>
      <c r="U383" s="344" t="s">
        <v>294</v>
      </c>
      <c r="V383" s="332" t="s">
        <v>293</v>
      </c>
      <c r="W383" s="345" t="s">
        <v>293</v>
      </c>
      <c r="X383" s="346" t="s">
        <v>293</v>
      </c>
      <c r="Y383" s="208">
        <v>2.8464986739768965</v>
      </c>
      <c r="Z383" s="332" t="s">
        <v>227</v>
      </c>
      <c r="AA383" s="342">
        <v>98.716941607750726</v>
      </c>
      <c r="AB383" s="342">
        <v>78.18800733176225</v>
      </c>
      <c r="AC383" s="342">
        <v>34.878240377062085</v>
      </c>
      <c r="AD383" s="347">
        <v>10.081173081958667</v>
      </c>
      <c r="AE383" s="348">
        <v>1.7066118779969237</v>
      </c>
      <c r="AF383" s="349">
        <v>16.014526427353776</v>
      </c>
      <c r="AG383" s="350" t="s">
        <v>662</v>
      </c>
      <c r="AH383" s="351" t="s">
        <v>293</v>
      </c>
      <c r="AI383" s="352" t="s">
        <v>293</v>
      </c>
      <c r="AJ383" s="206" t="s">
        <v>293</v>
      </c>
      <c r="AK383" s="353" t="s">
        <v>293</v>
      </c>
      <c r="AL383" s="206" t="s">
        <v>293</v>
      </c>
      <c r="AM383" s="349" t="s">
        <v>293</v>
      </c>
      <c r="AN383" s="354" t="s">
        <v>293</v>
      </c>
      <c r="AO383" s="355" t="s">
        <v>293</v>
      </c>
      <c r="AP383" s="206" t="s">
        <v>293</v>
      </c>
      <c r="AQ383" s="207" t="s">
        <v>295</v>
      </c>
      <c r="AR383" s="211"/>
      <c r="AS383" s="297">
        <f>+IF(Table1[[#This Row],[Column40]]="ok",Table1[[#This Row],[Column7]],0)</f>
        <v>0</v>
      </c>
      <c r="AT383" s="295">
        <f>+IF(Table1[[#This Row],[Column40]]="No",Table1[[#This Row],[Column7]],0)</f>
        <v>0</v>
      </c>
      <c r="AU383" s="4" t="str">
        <f>+IF(LEFT(Table1[[#This Row],[Column42]],2)="DN",IF(Table1[[#This Row],[Column40]]="ok","(CA)",_xlfn.CONCAT("(CA)",CHAR(10),"FAIL")),"")</f>
        <v/>
      </c>
      <c r="AV383" s="154" t="str">
        <f>+IF(Table1[[#This Row],[Column6]]=0,"",_xlfn.CONCAT("Sem ",WEEKNUM(Table1[[#This Row],[Column6]],2)))</f>
        <v>Sem 12</v>
      </c>
      <c r="AW383" s="211"/>
    </row>
    <row r="384" spans="2:49" ht="19.5" customHeight="1" x14ac:dyDescent="0.3">
      <c r="B384" s="356" t="s">
        <v>665</v>
      </c>
      <c r="C384" s="331"/>
      <c r="D384" s="332" t="s">
        <v>132</v>
      </c>
      <c r="E384" s="332" t="s">
        <v>176</v>
      </c>
      <c r="F384" s="333"/>
      <c r="G384" s="334">
        <v>46100</v>
      </c>
      <c r="H384" s="335">
        <v>1147.5999999999999</v>
      </c>
      <c r="I384" s="336">
        <v>-3.1</v>
      </c>
      <c r="J384" s="337">
        <v>2636.1640000000002</v>
      </c>
      <c r="K384" s="338" t="s">
        <v>208</v>
      </c>
      <c r="L384" s="339" t="s">
        <v>209</v>
      </c>
      <c r="M384" s="340">
        <v>30</v>
      </c>
      <c r="N384" s="341">
        <v>88653</v>
      </c>
      <c r="O384" s="332">
        <v>58</v>
      </c>
      <c r="P384" s="342">
        <v>6.6000000000000005</v>
      </c>
      <c r="Q384" s="343">
        <v>7.9275198187995333</v>
      </c>
      <c r="R384" s="344">
        <v>1.7879924953095683</v>
      </c>
      <c r="S384" s="344">
        <v>1.766</v>
      </c>
      <c r="T384" s="344">
        <v>1.9059999999999999</v>
      </c>
      <c r="U384" s="344" t="s">
        <v>136</v>
      </c>
      <c r="V384" s="332" t="s">
        <v>137</v>
      </c>
      <c r="W384" s="345">
        <v>8</v>
      </c>
      <c r="X384" s="346">
        <v>4</v>
      </c>
      <c r="Y384" s="208">
        <v>2.8069999999999999</v>
      </c>
      <c r="Z384" s="332"/>
      <c r="AA384" s="342"/>
      <c r="AB384" s="342"/>
      <c r="AC384" s="342"/>
      <c r="AD384" s="347"/>
      <c r="AE384" s="348">
        <v>1.734</v>
      </c>
      <c r="AF384" s="349">
        <v>0</v>
      </c>
      <c r="AG384" s="350"/>
      <c r="AH384" s="351" t="s">
        <v>139</v>
      </c>
      <c r="AI384" s="352" t="s">
        <v>139</v>
      </c>
      <c r="AJ384" s="206" t="s">
        <v>139</v>
      </c>
      <c r="AK384" s="353" t="s">
        <v>655</v>
      </c>
      <c r="AL384" s="206" t="s">
        <v>139</v>
      </c>
      <c r="AM384" s="349">
        <v>103.11375405476173</v>
      </c>
      <c r="AN384" s="354" t="s">
        <v>139</v>
      </c>
      <c r="AO384" s="355" t="s">
        <v>140</v>
      </c>
      <c r="AP384" s="206" t="s">
        <v>139</v>
      </c>
      <c r="AQ384" s="207">
        <v>0</v>
      </c>
      <c r="AR384" s="211"/>
      <c r="AS384" s="297">
        <f>+IF(Table1[[#This Row],[Column40]]="ok",Table1[[#This Row],[Column7]],0)</f>
        <v>1147.5999999999999</v>
      </c>
      <c r="AT384" s="295">
        <f>+IF(Table1[[#This Row],[Column40]]="No",Table1[[#This Row],[Column7]],0)</f>
        <v>0</v>
      </c>
      <c r="AU384" s="4" t="str">
        <f>+IF(LEFT(Table1[[#This Row],[Column42]],2)="DN",IF(Table1[[#This Row],[Column40]]="ok","(CA)",_xlfn.CONCAT("(CA)",CHAR(10),"FAIL")),"")</f>
        <v/>
      </c>
      <c r="AV384" s="154" t="str">
        <f>+IF(Table1[[#This Row],[Column6]]=0,"",_xlfn.CONCAT("Sem ",WEEKNUM(Table1[[#This Row],[Column6]],2)))</f>
        <v>Sem 12</v>
      </c>
      <c r="AW384" s="211"/>
    </row>
    <row r="385" spans="2:49" ht="19.5" customHeight="1" x14ac:dyDescent="0.3">
      <c r="B385" s="356" t="s">
        <v>666</v>
      </c>
      <c r="C385" s="331"/>
      <c r="D385" s="332" t="s">
        <v>132</v>
      </c>
      <c r="E385" s="332" t="s">
        <v>176</v>
      </c>
      <c r="F385" s="333"/>
      <c r="G385" s="334">
        <v>46100</v>
      </c>
      <c r="H385" s="335">
        <v>1347.77</v>
      </c>
      <c r="I385" s="336">
        <v>-5.33</v>
      </c>
      <c r="J385" s="337">
        <v>2636.2179999999998</v>
      </c>
      <c r="K385" s="338" t="s">
        <v>221</v>
      </c>
      <c r="L385" s="339" t="s">
        <v>400</v>
      </c>
      <c r="M385" s="340">
        <v>30</v>
      </c>
      <c r="N385" s="341">
        <v>88653</v>
      </c>
      <c r="O385" s="332">
        <v>58</v>
      </c>
      <c r="P385" s="342">
        <v>7.7</v>
      </c>
      <c r="Q385" s="343">
        <v>7.2963800904977338</v>
      </c>
      <c r="R385" s="344">
        <v>1.7613741875580318</v>
      </c>
      <c r="S385" s="344">
        <v>1.768</v>
      </c>
      <c r="T385" s="344">
        <v>1.897</v>
      </c>
      <c r="U385" s="344" t="s">
        <v>136</v>
      </c>
      <c r="V385" s="332" t="s">
        <v>137</v>
      </c>
      <c r="W385" s="345">
        <v>8</v>
      </c>
      <c r="X385" s="346">
        <v>4</v>
      </c>
      <c r="Y385" s="208">
        <v>2.8069999999999999</v>
      </c>
      <c r="Z385" s="332"/>
      <c r="AA385" s="342"/>
      <c r="AB385" s="342"/>
      <c r="AC385" s="342"/>
      <c r="AD385" s="347"/>
      <c r="AE385" s="348">
        <v>1.7418123034423978</v>
      </c>
      <c r="AF385" s="349">
        <v>16.307953049274118</v>
      </c>
      <c r="AG385" s="350"/>
      <c r="AH385" s="351">
        <v>1.7409326424870468</v>
      </c>
      <c r="AI385" s="352">
        <v>2.016</v>
      </c>
      <c r="AJ385" s="206">
        <v>15.8</v>
      </c>
      <c r="AK385" s="353" t="s">
        <v>513</v>
      </c>
      <c r="AL385" s="206">
        <v>0.50795304927411777</v>
      </c>
      <c r="AM385" s="349">
        <v>101.12307646908758</v>
      </c>
      <c r="AN385" s="354" t="s">
        <v>139</v>
      </c>
      <c r="AO385" s="355" t="s">
        <v>140</v>
      </c>
      <c r="AP385" s="206" t="s">
        <v>139</v>
      </c>
      <c r="AQ385" s="207" t="s">
        <v>667</v>
      </c>
      <c r="AR385" s="211"/>
      <c r="AS385" s="297">
        <f>+IF(Table1[[#This Row],[Column40]]="ok",Table1[[#This Row],[Column7]],0)</f>
        <v>1347.77</v>
      </c>
      <c r="AT385" s="295">
        <f>+IF(Table1[[#This Row],[Column40]]="No",Table1[[#This Row],[Column7]],0)</f>
        <v>0</v>
      </c>
      <c r="AU385" s="4" t="str">
        <f>+IF(LEFT(Table1[[#This Row],[Column42]],2)="DN",IF(Table1[[#This Row],[Column40]]="ok","(CA)",_xlfn.CONCAT("(CA)",CHAR(10),"FAIL")),"")</f>
        <v/>
      </c>
      <c r="AV385" s="154" t="str">
        <f>+IF(Table1[[#This Row],[Column6]]=0,"",_xlfn.CONCAT("Sem ",WEEKNUM(Table1[[#This Row],[Column6]],2)))</f>
        <v>Sem 12</v>
      </c>
      <c r="AW385" s="211"/>
    </row>
    <row r="386" spans="2:49" ht="19.5" customHeight="1" x14ac:dyDescent="0.3">
      <c r="B386" s="356" t="s">
        <v>667</v>
      </c>
      <c r="C386" s="331"/>
      <c r="D386" s="332" t="s">
        <v>132</v>
      </c>
      <c r="E386" s="332" t="s">
        <v>176</v>
      </c>
      <c r="F386" s="333"/>
      <c r="G386" s="334">
        <v>46100</v>
      </c>
      <c r="H386" s="335">
        <v>1347.77</v>
      </c>
      <c r="I386" s="336">
        <v>-5.33</v>
      </c>
      <c r="J386" s="337">
        <v>2636.2179999999998</v>
      </c>
      <c r="K386" s="338" t="s">
        <v>221</v>
      </c>
      <c r="L386" s="339" t="s">
        <v>400</v>
      </c>
      <c r="M386" s="340">
        <v>15</v>
      </c>
      <c r="N386" s="341"/>
      <c r="O386" s="332"/>
      <c r="P386" s="342">
        <v>8.048048048048031</v>
      </c>
      <c r="Q386" s="343"/>
      <c r="R386" s="344">
        <v>1.7268722874792246</v>
      </c>
      <c r="S386" s="344"/>
      <c r="T386" s="344">
        <v>1.8658517989039789</v>
      </c>
      <c r="U386" s="344" t="s">
        <v>142</v>
      </c>
      <c r="V386" s="332" t="s">
        <v>137</v>
      </c>
      <c r="W386" s="345">
        <v>6</v>
      </c>
      <c r="X386" s="346">
        <v>8</v>
      </c>
      <c r="Y386" s="208"/>
      <c r="Z386" s="332" t="s">
        <v>143</v>
      </c>
      <c r="AA386" s="342">
        <v>98.528528528528525</v>
      </c>
      <c r="AB386" s="342">
        <v>77.297297297297305</v>
      </c>
      <c r="AC386" s="342">
        <v>36.696696696696719</v>
      </c>
      <c r="AD386" s="347">
        <v>14.474474474474505</v>
      </c>
      <c r="AE386" s="348">
        <v>1.7418123034423978</v>
      </c>
      <c r="AF386" s="349">
        <v>16.307953049274118</v>
      </c>
      <c r="AG386" s="350" t="s">
        <v>513</v>
      </c>
      <c r="AH386" s="351">
        <v>1.7409151487438614</v>
      </c>
      <c r="AI386" s="352">
        <v>2.0163951879058875</v>
      </c>
      <c r="AJ386" s="206">
        <v>15.823863636363649</v>
      </c>
      <c r="AK386" s="353" t="s">
        <v>513</v>
      </c>
      <c r="AL386" s="206">
        <v>0.48408941291046936</v>
      </c>
      <c r="AM386" s="349">
        <v>99.142271762942144</v>
      </c>
      <c r="AN386" s="354" t="s">
        <v>139</v>
      </c>
      <c r="AO386" s="355" t="s">
        <v>144</v>
      </c>
      <c r="AP386" s="206">
        <v>0</v>
      </c>
      <c r="AQ386" s="207" t="s">
        <v>666</v>
      </c>
      <c r="AR386" s="211"/>
      <c r="AS386" s="297">
        <f>+IF(Table1[[#This Row],[Column40]]="ok",Table1[[#This Row],[Column7]],0)</f>
        <v>1347.77</v>
      </c>
      <c r="AT386" s="295">
        <f>+IF(Table1[[#This Row],[Column40]]="No",Table1[[#This Row],[Column7]],0)</f>
        <v>0</v>
      </c>
      <c r="AU386" s="4" t="str">
        <f>+IF(LEFT(Table1[[#This Row],[Column42]],2)="DN",IF(Table1[[#This Row],[Column40]]="ok","(CA)",_xlfn.CONCAT("(CA)",CHAR(10),"FAIL")),"")</f>
        <v>(CA)</v>
      </c>
      <c r="AV386" s="154" t="str">
        <f>+IF(Table1[[#This Row],[Column6]]=0,"",_xlfn.CONCAT("Sem ",WEEKNUM(Table1[[#This Row],[Column6]],2)))</f>
        <v>Sem 12</v>
      </c>
      <c r="AW386" s="211"/>
    </row>
    <row r="387" spans="2:49" ht="19.5" customHeight="1" x14ac:dyDescent="0.3">
      <c r="B387" s="356" t="s">
        <v>668</v>
      </c>
      <c r="C387" s="331"/>
      <c r="D387" s="332" t="s">
        <v>132</v>
      </c>
      <c r="E387" s="332" t="s">
        <v>176</v>
      </c>
      <c r="F387" s="333"/>
      <c r="G387" s="334">
        <v>46100</v>
      </c>
      <c r="H387" s="335">
        <v>464.14</v>
      </c>
      <c r="I387" s="336">
        <v>234.27</v>
      </c>
      <c r="J387" s="337">
        <v>2598.241</v>
      </c>
      <c r="K387" s="338" t="s">
        <v>349</v>
      </c>
      <c r="L387" s="339" t="s">
        <v>546</v>
      </c>
      <c r="M387" s="340">
        <v>30</v>
      </c>
      <c r="N387" s="341">
        <v>88653</v>
      </c>
      <c r="O387" s="332">
        <v>58</v>
      </c>
      <c r="P387" s="342">
        <v>10.299999999999999</v>
      </c>
      <c r="Q387" s="343">
        <v>11.871345029239766</v>
      </c>
      <c r="R387" s="344">
        <v>1.7343608340888486</v>
      </c>
      <c r="S387" s="344">
        <v>1.71</v>
      </c>
      <c r="T387" s="344">
        <v>1.913</v>
      </c>
      <c r="U387" s="344" t="s">
        <v>136</v>
      </c>
      <c r="V387" s="332" t="s">
        <v>137</v>
      </c>
      <c r="W387" s="345">
        <v>8</v>
      </c>
      <c r="X387" s="346">
        <v>4</v>
      </c>
      <c r="Y387" s="208">
        <v>2.8069999999999999</v>
      </c>
      <c r="Z387" s="332"/>
      <c r="AA387" s="342"/>
      <c r="AB387" s="342"/>
      <c r="AC387" s="342"/>
      <c r="AD387" s="347"/>
      <c r="AE387" s="348">
        <v>1.7070000000000001</v>
      </c>
      <c r="AF387" s="349">
        <v>0</v>
      </c>
      <c r="AG387" s="350"/>
      <c r="AH387" s="351" t="s">
        <v>139</v>
      </c>
      <c r="AI387" s="352" t="s">
        <v>139</v>
      </c>
      <c r="AJ387" s="206" t="s">
        <v>139</v>
      </c>
      <c r="AK387" s="353" t="s">
        <v>662</v>
      </c>
      <c r="AL387" s="206" t="s">
        <v>139</v>
      </c>
      <c r="AM387" s="349">
        <v>101.6028608136408</v>
      </c>
      <c r="AN387" s="354" t="s">
        <v>139</v>
      </c>
      <c r="AO387" s="355" t="s">
        <v>140</v>
      </c>
      <c r="AP387" s="206" t="s">
        <v>139</v>
      </c>
      <c r="AQ387" s="207">
        <v>0</v>
      </c>
      <c r="AR387" s="211"/>
      <c r="AS387" s="297">
        <f>+IF(Table1[[#This Row],[Column40]]="ok",Table1[[#This Row],[Column7]],0)</f>
        <v>464.14</v>
      </c>
      <c r="AT387" s="295">
        <f>+IF(Table1[[#This Row],[Column40]]="No",Table1[[#This Row],[Column7]],0)</f>
        <v>0</v>
      </c>
      <c r="AU387" s="4" t="str">
        <f>+IF(LEFT(Table1[[#This Row],[Column42]],2)="DN",IF(Table1[[#This Row],[Column40]]="ok","(CA)",_xlfn.CONCAT("(CA)",CHAR(10),"FAIL")),"")</f>
        <v/>
      </c>
      <c r="AV387" s="154" t="str">
        <f>+IF(Table1[[#This Row],[Column6]]=0,"",_xlfn.CONCAT("Sem ",WEEKNUM(Table1[[#This Row],[Column6]],2)))</f>
        <v>Sem 12</v>
      </c>
      <c r="AW387" s="211"/>
    </row>
    <row r="388" spans="2:49" ht="19.5" customHeight="1" x14ac:dyDescent="0.3">
      <c r="B388" s="356" t="s">
        <v>669</v>
      </c>
      <c r="C388" s="331"/>
      <c r="D388" s="332" t="s">
        <v>132</v>
      </c>
      <c r="E388" s="332" t="s">
        <v>176</v>
      </c>
      <c r="F388" s="333"/>
      <c r="G388" s="334">
        <v>46100</v>
      </c>
      <c r="H388" s="335">
        <v>528.17999999999995</v>
      </c>
      <c r="I388" s="336">
        <v>264.72000000000003</v>
      </c>
      <c r="J388" s="337">
        <v>2589.4319999999998</v>
      </c>
      <c r="K388" s="338" t="s">
        <v>331</v>
      </c>
      <c r="L388" s="339" t="s">
        <v>342</v>
      </c>
      <c r="M388" s="340">
        <v>30</v>
      </c>
      <c r="N388" s="341">
        <v>88653</v>
      </c>
      <c r="O388" s="332">
        <v>58</v>
      </c>
      <c r="P388" s="342">
        <v>9.5</v>
      </c>
      <c r="Q388" s="343">
        <v>10.912240184757515</v>
      </c>
      <c r="R388" s="344">
        <v>1.7543378995433792</v>
      </c>
      <c r="S388" s="344">
        <v>1.732</v>
      </c>
      <c r="T388" s="344">
        <v>1.921</v>
      </c>
      <c r="U388" s="344" t="s">
        <v>136</v>
      </c>
      <c r="V388" s="332" t="s">
        <v>137</v>
      </c>
      <c r="W388" s="345">
        <v>8</v>
      </c>
      <c r="X388" s="346">
        <v>4</v>
      </c>
      <c r="Y388" s="208">
        <v>2.8069999999999999</v>
      </c>
      <c r="Z388" s="332"/>
      <c r="AA388" s="342"/>
      <c r="AB388" s="342"/>
      <c r="AC388" s="342"/>
      <c r="AD388" s="347"/>
      <c r="AE388" s="348">
        <v>1.7070000000000001</v>
      </c>
      <c r="AF388" s="349" t="s">
        <v>139</v>
      </c>
      <c r="AG388" s="350"/>
      <c r="AH388" s="351" t="s">
        <v>139</v>
      </c>
      <c r="AI388" s="352" t="s">
        <v>139</v>
      </c>
      <c r="AJ388" s="206" t="s">
        <v>139</v>
      </c>
      <c r="AK388" s="353" t="s">
        <v>662</v>
      </c>
      <c r="AL388" s="206" t="s">
        <v>139</v>
      </c>
      <c r="AM388" s="349">
        <v>102.7731634178898</v>
      </c>
      <c r="AN388" s="354" t="s">
        <v>139</v>
      </c>
      <c r="AO388" s="355" t="s">
        <v>140</v>
      </c>
      <c r="AP388" s="206" t="s">
        <v>139</v>
      </c>
      <c r="AQ388" s="207">
        <v>0</v>
      </c>
      <c r="AR388" s="211"/>
      <c r="AS388" s="297">
        <f>+IF(Table1[[#This Row],[Column40]]="ok",Table1[[#This Row],[Column7]],0)</f>
        <v>528.17999999999995</v>
      </c>
      <c r="AT388" s="295">
        <f>+IF(Table1[[#This Row],[Column40]]="No",Table1[[#This Row],[Column7]],0)</f>
        <v>0</v>
      </c>
      <c r="AU388" s="4" t="str">
        <f>+IF(LEFT(Table1[[#This Row],[Column42]],2)="DN",IF(Table1[[#This Row],[Column40]]="ok","(CA)",_xlfn.CONCAT("(CA)",CHAR(10),"FAIL")),"")</f>
        <v/>
      </c>
      <c r="AV388" s="154" t="str">
        <f>+IF(Table1[[#This Row],[Column6]]=0,"",_xlfn.CONCAT("Sem ",WEEKNUM(Table1[[#This Row],[Column6]],2)))</f>
        <v>Sem 12</v>
      </c>
      <c r="AW388" s="211"/>
    </row>
    <row r="389" spans="2:49" ht="19.5" customHeight="1" x14ac:dyDescent="0.3">
      <c r="B389" s="356" t="s">
        <v>670</v>
      </c>
      <c r="C389" s="331"/>
      <c r="D389" s="332" t="s">
        <v>132</v>
      </c>
      <c r="E389" s="332" t="s">
        <v>176</v>
      </c>
      <c r="F389" s="333"/>
      <c r="G389" s="334">
        <v>46100</v>
      </c>
      <c r="H389" s="335">
        <v>576.75</v>
      </c>
      <c r="I389" s="336">
        <v>314.55</v>
      </c>
      <c r="J389" s="337">
        <v>2574.1370000000002</v>
      </c>
      <c r="K389" s="338" t="s">
        <v>331</v>
      </c>
      <c r="L389" s="339" t="s">
        <v>340</v>
      </c>
      <c r="M389" s="340">
        <v>30</v>
      </c>
      <c r="N389" s="341">
        <v>88653</v>
      </c>
      <c r="O389" s="332">
        <v>58</v>
      </c>
      <c r="P389" s="342">
        <v>11.700000000000001</v>
      </c>
      <c r="Q389" s="343">
        <v>10.628571428571432</v>
      </c>
      <c r="R389" s="344">
        <v>1.7332139659803043</v>
      </c>
      <c r="S389" s="344">
        <v>1.75</v>
      </c>
      <c r="T389" s="344">
        <v>1.9359999999999999</v>
      </c>
      <c r="U389" s="344" t="s">
        <v>136</v>
      </c>
      <c r="V389" s="332" t="s">
        <v>137</v>
      </c>
      <c r="W389" s="345">
        <v>8</v>
      </c>
      <c r="X389" s="346">
        <v>4</v>
      </c>
      <c r="Y389" s="208">
        <v>2.8069999999999999</v>
      </c>
      <c r="Z389" s="332"/>
      <c r="AA389" s="342"/>
      <c r="AB389" s="342"/>
      <c r="AC389" s="342"/>
      <c r="AD389" s="347"/>
      <c r="AE389" s="348">
        <v>1.7070000000000001</v>
      </c>
      <c r="AF389" s="349">
        <v>0</v>
      </c>
      <c r="AG389" s="350"/>
      <c r="AH389" s="351" t="s">
        <v>139</v>
      </c>
      <c r="AI389" s="352" t="s">
        <v>139</v>
      </c>
      <c r="AJ389" s="206" t="s">
        <v>139</v>
      </c>
      <c r="AK389" s="353" t="s">
        <v>662</v>
      </c>
      <c r="AL389" s="206" t="s">
        <v>139</v>
      </c>
      <c r="AM389" s="349">
        <v>101.53567463270674</v>
      </c>
      <c r="AN389" s="354" t="s">
        <v>139</v>
      </c>
      <c r="AO389" s="355" t="s">
        <v>140</v>
      </c>
      <c r="AP389" s="206" t="s">
        <v>139</v>
      </c>
      <c r="AQ389" s="207">
        <v>0</v>
      </c>
      <c r="AR389" s="211"/>
      <c r="AS389" s="297">
        <f>+IF(Table1[[#This Row],[Column40]]="ok",Table1[[#This Row],[Column7]],0)</f>
        <v>576.75</v>
      </c>
      <c r="AT389" s="295">
        <f>+IF(Table1[[#This Row],[Column40]]="No",Table1[[#This Row],[Column7]],0)</f>
        <v>0</v>
      </c>
      <c r="AU389" s="4" t="str">
        <f>+IF(LEFT(Table1[[#This Row],[Column42]],2)="DN",IF(Table1[[#This Row],[Column40]]="ok","(CA)",_xlfn.CONCAT("(CA)",CHAR(10),"FAIL")),"")</f>
        <v/>
      </c>
      <c r="AV389" s="154" t="str">
        <f>+IF(Table1[[#This Row],[Column6]]=0,"",_xlfn.CONCAT("Sem ",WEEKNUM(Table1[[#This Row],[Column6]],2)))</f>
        <v>Sem 12</v>
      </c>
      <c r="AW389" s="211"/>
    </row>
    <row r="390" spans="2:49" ht="19.5" customHeight="1" x14ac:dyDescent="0.3">
      <c r="B390" s="356" t="s">
        <v>671</v>
      </c>
      <c r="C390" s="331"/>
      <c r="D390" s="332" t="s">
        <v>132</v>
      </c>
      <c r="E390" s="332" t="s">
        <v>176</v>
      </c>
      <c r="F390" s="333"/>
      <c r="G390" s="334">
        <v>46100</v>
      </c>
      <c r="H390" s="335">
        <v>570.64</v>
      </c>
      <c r="I390" s="336">
        <v>420.85</v>
      </c>
      <c r="J390" s="337">
        <v>2544.23</v>
      </c>
      <c r="K390" s="338" t="s">
        <v>331</v>
      </c>
      <c r="L390" s="339" t="s">
        <v>332</v>
      </c>
      <c r="M390" s="340">
        <v>30</v>
      </c>
      <c r="N390" s="341">
        <v>88653</v>
      </c>
      <c r="O390" s="332">
        <v>58</v>
      </c>
      <c r="P390" s="342">
        <v>13.4</v>
      </c>
      <c r="Q390" s="343">
        <v>10.855829982768505</v>
      </c>
      <c r="R390" s="344">
        <v>1.7019400352733687</v>
      </c>
      <c r="S390" s="344">
        <v>1.7410000000000001</v>
      </c>
      <c r="T390" s="344">
        <v>1.93</v>
      </c>
      <c r="U390" s="344" t="s">
        <v>136</v>
      </c>
      <c r="V390" s="332" t="s">
        <v>137</v>
      </c>
      <c r="W390" s="345">
        <v>8</v>
      </c>
      <c r="X390" s="346">
        <v>4</v>
      </c>
      <c r="Y390" s="208">
        <v>2.8069999999999999</v>
      </c>
      <c r="Z390" s="332"/>
      <c r="AA390" s="342"/>
      <c r="AB390" s="342"/>
      <c r="AC390" s="342"/>
      <c r="AD390" s="347"/>
      <c r="AE390" s="348">
        <v>1.7070000000000001</v>
      </c>
      <c r="AF390" s="349" t="s">
        <v>139</v>
      </c>
      <c r="AG390" s="350"/>
      <c r="AH390" s="351" t="s">
        <v>139</v>
      </c>
      <c r="AI390" s="352" t="s">
        <v>139</v>
      </c>
      <c r="AJ390" s="206" t="s">
        <v>139</v>
      </c>
      <c r="AK390" s="353" t="s">
        <v>662</v>
      </c>
      <c r="AL390" s="206" t="s">
        <v>139</v>
      </c>
      <c r="AM390" s="349">
        <v>99.703575587192077</v>
      </c>
      <c r="AN390" s="354" t="s">
        <v>139</v>
      </c>
      <c r="AO390" s="355" t="s">
        <v>140</v>
      </c>
      <c r="AP390" s="206" t="s">
        <v>139</v>
      </c>
      <c r="AQ390" s="207">
        <v>0</v>
      </c>
      <c r="AR390" s="211"/>
      <c r="AS390" s="297">
        <f>+IF(Table1[[#This Row],[Column40]]="ok",Table1[[#This Row],[Column7]],0)</f>
        <v>570.64</v>
      </c>
      <c r="AT390" s="295">
        <f>+IF(Table1[[#This Row],[Column40]]="No",Table1[[#This Row],[Column7]],0)</f>
        <v>0</v>
      </c>
      <c r="AU390" s="4" t="str">
        <f>+IF(LEFT(Table1[[#This Row],[Column42]],2)="DN",IF(Table1[[#This Row],[Column40]]="ok","(CA)",_xlfn.CONCAT("(CA)",CHAR(10),"FAIL")),"")</f>
        <v/>
      </c>
      <c r="AV390" s="154" t="str">
        <f>+IF(Table1[[#This Row],[Column6]]=0,"",_xlfn.CONCAT("Sem ",WEEKNUM(Table1[[#This Row],[Column6]],2)))</f>
        <v>Sem 12</v>
      </c>
      <c r="AW390" s="211"/>
    </row>
    <row r="391" spans="2:49" ht="19.5" customHeight="1" x14ac:dyDescent="0.3">
      <c r="B391" s="356" t="s">
        <v>672</v>
      </c>
      <c r="C391" s="331"/>
      <c r="D391" s="332" t="s">
        <v>132</v>
      </c>
      <c r="E391" s="332" t="s">
        <v>176</v>
      </c>
      <c r="F391" s="333"/>
      <c r="G391" s="334">
        <v>46100</v>
      </c>
      <c r="H391" s="335">
        <v>523.52</v>
      </c>
      <c r="I391" s="336">
        <v>339.41</v>
      </c>
      <c r="J391" s="337">
        <v>2568.2939999999999</v>
      </c>
      <c r="K391" s="338" t="s">
        <v>331</v>
      </c>
      <c r="L391" s="339" t="s">
        <v>342</v>
      </c>
      <c r="M391" s="340">
        <v>30</v>
      </c>
      <c r="N391" s="341">
        <v>88653</v>
      </c>
      <c r="O391" s="332">
        <v>58</v>
      </c>
      <c r="P391" s="342">
        <v>12.6</v>
      </c>
      <c r="Q391" s="343">
        <v>10.778097982708923</v>
      </c>
      <c r="R391" s="344">
        <v>1.7069271758436946</v>
      </c>
      <c r="S391" s="344">
        <v>1.7350000000000001</v>
      </c>
      <c r="T391" s="344">
        <v>1.9219999999999999</v>
      </c>
      <c r="U391" s="344" t="s">
        <v>136</v>
      </c>
      <c r="V391" s="332" t="s">
        <v>137</v>
      </c>
      <c r="W391" s="345">
        <v>8</v>
      </c>
      <c r="X391" s="346">
        <v>4</v>
      </c>
      <c r="Y391" s="208">
        <v>2.8069999999999999</v>
      </c>
      <c r="Z391" s="332"/>
      <c r="AA391" s="342"/>
      <c r="AB391" s="342"/>
      <c r="AC391" s="342"/>
      <c r="AD391" s="347"/>
      <c r="AE391" s="348">
        <v>1.7070000000000001</v>
      </c>
      <c r="AF391" s="349">
        <v>0</v>
      </c>
      <c r="AG391" s="350"/>
      <c r="AH391" s="351" t="s">
        <v>139</v>
      </c>
      <c r="AI391" s="352" t="s">
        <v>139</v>
      </c>
      <c r="AJ391" s="206" t="s">
        <v>139</v>
      </c>
      <c r="AK391" s="353" t="s">
        <v>662</v>
      </c>
      <c r="AL391" s="206" t="s">
        <v>139</v>
      </c>
      <c r="AM391" s="349">
        <v>99.995733792835068</v>
      </c>
      <c r="AN391" s="354" t="s">
        <v>139</v>
      </c>
      <c r="AO391" s="355" t="s">
        <v>140</v>
      </c>
      <c r="AP391" s="206" t="s">
        <v>139</v>
      </c>
      <c r="AQ391" s="207">
        <v>0</v>
      </c>
      <c r="AR391" s="211"/>
      <c r="AS391" s="297">
        <f>+IF(Table1[[#This Row],[Column40]]="ok",Table1[[#This Row],[Column7]],0)</f>
        <v>523.52</v>
      </c>
      <c r="AT391" s="295">
        <f>+IF(Table1[[#This Row],[Column40]]="No",Table1[[#This Row],[Column7]],0)</f>
        <v>0</v>
      </c>
      <c r="AU391" s="4" t="str">
        <f>+IF(LEFT(Table1[[#This Row],[Column42]],2)="DN",IF(Table1[[#This Row],[Column40]]="ok","(CA)",_xlfn.CONCAT("(CA)",CHAR(10),"FAIL")),"")</f>
        <v/>
      </c>
      <c r="AV391" s="154" t="str">
        <f>+IF(Table1[[#This Row],[Column6]]=0,"",_xlfn.CONCAT("Sem ",WEEKNUM(Table1[[#This Row],[Column6]],2)))</f>
        <v>Sem 12</v>
      </c>
      <c r="AW391" s="211"/>
    </row>
    <row r="392" spans="2:49" ht="19.5" customHeight="1" x14ac:dyDescent="0.3">
      <c r="B392" s="356" t="s">
        <v>673</v>
      </c>
      <c r="C392" s="331"/>
      <c r="D392" s="332" t="s">
        <v>132</v>
      </c>
      <c r="E392" s="332" t="s">
        <v>176</v>
      </c>
      <c r="F392" s="333"/>
      <c r="G392" s="334">
        <v>46100</v>
      </c>
      <c r="H392" s="335">
        <v>442.96</v>
      </c>
      <c r="I392" s="336">
        <v>344.3</v>
      </c>
      <c r="J392" s="337">
        <v>2564.998</v>
      </c>
      <c r="K392" s="338" t="s">
        <v>331</v>
      </c>
      <c r="L392" s="339" t="s">
        <v>546</v>
      </c>
      <c r="M392" s="340">
        <v>30</v>
      </c>
      <c r="N392" s="341">
        <v>88653</v>
      </c>
      <c r="O392" s="332">
        <v>58</v>
      </c>
      <c r="P392" s="342">
        <v>13.4</v>
      </c>
      <c r="Q392" s="343">
        <v>11.798727588201263</v>
      </c>
      <c r="R392" s="344">
        <v>1.7045855379188715</v>
      </c>
      <c r="S392" s="344">
        <v>1.7290000000000001</v>
      </c>
      <c r="T392" s="344">
        <v>1.9330000000000001</v>
      </c>
      <c r="U392" s="344" t="s">
        <v>136</v>
      </c>
      <c r="V392" s="332" t="s">
        <v>137</v>
      </c>
      <c r="W392" s="345">
        <v>8</v>
      </c>
      <c r="X392" s="346">
        <v>4</v>
      </c>
      <c r="Y392" s="208">
        <v>2.8069999999999999</v>
      </c>
      <c r="Z392" s="332"/>
      <c r="AA392" s="342"/>
      <c r="AB392" s="342"/>
      <c r="AC392" s="342"/>
      <c r="AD392" s="347"/>
      <c r="AE392" s="348">
        <v>1.7070000000000001</v>
      </c>
      <c r="AF392" s="349">
        <v>0</v>
      </c>
      <c r="AG392" s="350"/>
      <c r="AH392" s="351" t="s">
        <v>139</v>
      </c>
      <c r="AI392" s="352" t="s">
        <v>139</v>
      </c>
      <c r="AJ392" s="206" t="s">
        <v>139</v>
      </c>
      <c r="AK392" s="353" t="s">
        <v>662</v>
      </c>
      <c r="AL392" s="206" t="s">
        <v>139</v>
      </c>
      <c r="AM392" s="349">
        <v>99.858555238363877</v>
      </c>
      <c r="AN392" s="354" t="s">
        <v>139</v>
      </c>
      <c r="AO392" s="355" t="s">
        <v>140</v>
      </c>
      <c r="AP392" s="206" t="s">
        <v>139</v>
      </c>
      <c r="AQ392" s="207">
        <v>0</v>
      </c>
      <c r="AR392" s="211"/>
      <c r="AS392" s="297">
        <f>+IF(Table1[[#This Row],[Column40]]="ok",Table1[[#This Row],[Column7]],0)</f>
        <v>442.96</v>
      </c>
      <c r="AT392" s="295">
        <f>+IF(Table1[[#This Row],[Column40]]="No",Table1[[#This Row],[Column7]],0)</f>
        <v>0</v>
      </c>
      <c r="AU392" s="4" t="str">
        <f>+IF(LEFT(Table1[[#This Row],[Column42]],2)="DN",IF(Table1[[#This Row],[Column40]]="ok","(CA)",_xlfn.CONCAT("(CA)",CHAR(10),"FAIL")),"")</f>
        <v/>
      </c>
      <c r="AV392" s="154" t="str">
        <f>+IF(Table1[[#This Row],[Column6]]=0,"",_xlfn.CONCAT("Sem ",WEEKNUM(Table1[[#This Row],[Column6]],2)))</f>
        <v>Sem 12</v>
      </c>
      <c r="AW392" s="211"/>
    </row>
    <row r="393" spans="2:49" ht="19.5" customHeight="1" x14ac:dyDescent="0.3">
      <c r="B393" s="356" t="s">
        <v>674</v>
      </c>
      <c r="C393" s="331"/>
      <c r="D393" s="332" t="s">
        <v>132</v>
      </c>
      <c r="E393" s="332" t="s">
        <v>176</v>
      </c>
      <c r="F393" s="333"/>
      <c r="G393" s="334">
        <v>46100</v>
      </c>
      <c r="H393" s="335">
        <v>463.61</v>
      </c>
      <c r="I393" s="336">
        <v>406.18</v>
      </c>
      <c r="J393" s="337">
        <v>2547.5819999999999</v>
      </c>
      <c r="K393" s="338" t="s">
        <v>331</v>
      </c>
      <c r="L393" s="339" t="s">
        <v>546</v>
      </c>
      <c r="M393" s="340">
        <v>30</v>
      </c>
      <c r="N393" s="341">
        <v>88653</v>
      </c>
      <c r="O393" s="332">
        <v>58</v>
      </c>
      <c r="P393" s="342">
        <v>10.6</v>
      </c>
      <c r="Q393" s="343">
        <v>12.772050400916379</v>
      </c>
      <c r="R393" s="344">
        <v>1.7802893309222423</v>
      </c>
      <c r="S393" s="344">
        <v>1.746</v>
      </c>
      <c r="T393" s="344">
        <v>1.9690000000000001</v>
      </c>
      <c r="U393" s="344" t="s">
        <v>136</v>
      </c>
      <c r="V393" s="332" t="s">
        <v>137</v>
      </c>
      <c r="W393" s="345">
        <v>8</v>
      </c>
      <c r="X393" s="346">
        <v>4</v>
      </c>
      <c r="Y393" s="208">
        <v>2.8069999999999999</v>
      </c>
      <c r="Z393" s="332"/>
      <c r="AA393" s="342"/>
      <c r="AB393" s="342"/>
      <c r="AC393" s="342"/>
      <c r="AD393" s="347"/>
      <c r="AE393" s="348">
        <v>1.7070000000000001</v>
      </c>
      <c r="AF393" s="349">
        <v>0</v>
      </c>
      <c r="AG393" s="350"/>
      <c r="AH393" s="351" t="s">
        <v>139</v>
      </c>
      <c r="AI393" s="352" t="s">
        <v>139</v>
      </c>
      <c r="AJ393" s="206" t="s">
        <v>139</v>
      </c>
      <c r="AK393" s="353" t="s">
        <v>662</v>
      </c>
      <c r="AL393" s="206" t="s">
        <v>139</v>
      </c>
      <c r="AM393" s="349">
        <v>104.29345816767675</v>
      </c>
      <c r="AN393" s="354" t="s">
        <v>139</v>
      </c>
      <c r="AO393" s="355" t="s">
        <v>140</v>
      </c>
      <c r="AP393" s="206" t="s">
        <v>139</v>
      </c>
      <c r="AQ393" s="207">
        <v>0</v>
      </c>
      <c r="AR393" s="211"/>
      <c r="AS393" s="297">
        <f>+IF(Table1[[#This Row],[Column40]]="ok",Table1[[#This Row],[Column7]],0)</f>
        <v>463.61</v>
      </c>
      <c r="AT393" s="295">
        <f>+IF(Table1[[#This Row],[Column40]]="No",Table1[[#This Row],[Column7]],0)</f>
        <v>0</v>
      </c>
      <c r="AU393" s="4" t="str">
        <f>+IF(LEFT(Table1[[#This Row],[Column42]],2)="DN",IF(Table1[[#This Row],[Column40]]="ok","(CA)",_xlfn.CONCAT("(CA)",CHAR(10),"FAIL")),"")</f>
        <v/>
      </c>
      <c r="AV393" s="154" t="str">
        <f>+IF(Table1[[#This Row],[Column6]]=0,"",_xlfn.CONCAT("Sem ",WEEKNUM(Table1[[#This Row],[Column6]],2)))</f>
        <v>Sem 12</v>
      </c>
      <c r="AW393" s="211"/>
    </row>
    <row r="394" spans="2:49" ht="19.5" customHeight="1" x14ac:dyDescent="0.3">
      <c r="B394" s="356" t="s">
        <v>675</v>
      </c>
      <c r="C394" s="331"/>
      <c r="D394" s="332" t="s">
        <v>132</v>
      </c>
      <c r="E394" s="332" t="s">
        <v>176</v>
      </c>
      <c r="F394" s="333"/>
      <c r="G394" s="334">
        <v>46100</v>
      </c>
      <c r="H394" s="335">
        <v>538.17999999999995</v>
      </c>
      <c r="I394" s="336">
        <v>471.19</v>
      </c>
      <c r="J394" s="337">
        <v>2528.6619999999998</v>
      </c>
      <c r="K394" s="338" t="s">
        <v>331</v>
      </c>
      <c r="L394" s="339" t="s">
        <v>342</v>
      </c>
      <c r="M394" s="340">
        <v>30</v>
      </c>
      <c r="N394" s="341">
        <v>88653</v>
      </c>
      <c r="O394" s="332">
        <v>58</v>
      </c>
      <c r="P394" s="342">
        <v>11.1</v>
      </c>
      <c r="Q394" s="343">
        <v>11.803084223013061</v>
      </c>
      <c r="R394" s="344">
        <v>1.6966696669666967</v>
      </c>
      <c r="S394" s="344">
        <v>1.6859999999999999</v>
      </c>
      <c r="T394" s="344">
        <v>1.885</v>
      </c>
      <c r="U394" s="344" t="s">
        <v>136</v>
      </c>
      <c r="V394" s="332" t="s">
        <v>137</v>
      </c>
      <c r="W394" s="345">
        <v>8</v>
      </c>
      <c r="X394" s="346">
        <v>4</v>
      </c>
      <c r="Y394" s="208">
        <v>2.8069999999999999</v>
      </c>
      <c r="Z394" s="332"/>
      <c r="AA394" s="342"/>
      <c r="AB394" s="342"/>
      <c r="AC394" s="342"/>
      <c r="AD394" s="347"/>
      <c r="AE394" s="348">
        <v>1.694</v>
      </c>
      <c r="AF394" s="349">
        <v>16.8</v>
      </c>
      <c r="AG394" s="350"/>
      <c r="AH394" s="351">
        <v>1.6931034482758622</v>
      </c>
      <c r="AI394" s="352">
        <v>1.964</v>
      </c>
      <c r="AJ394" s="206">
        <v>16</v>
      </c>
      <c r="AK394" s="353" t="s">
        <v>676</v>
      </c>
      <c r="AL394" s="206">
        <v>0.80000000000000071</v>
      </c>
      <c r="AM394" s="349">
        <v>100.1575954525795</v>
      </c>
      <c r="AN394" s="354" t="s">
        <v>139</v>
      </c>
      <c r="AO394" s="355" t="s">
        <v>140</v>
      </c>
      <c r="AP394" s="206" t="s">
        <v>139</v>
      </c>
      <c r="AQ394" s="207">
        <v>0</v>
      </c>
      <c r="AR394" s="211"/>
      <c r="AS394" s="297">
        <f>+IF(Table1[[#This Row],[Column40]]="ok",Table1[[#This Row],[Column7]],0)</f>
        <v>538.17999999999995</v>
      </c>
      <c r="AT394" s="295">
        <f>+IF(Table1[[#This Row],[Column40]]="No",Table1[[#This Row],[Column7]],0)</f>
        <v>0</v>
      </c>
      <c r="AU394" s="4" t="str">
        <f>+IF(LEFT(Table1[[#This Row],[Column42]],2)="DN",IF(Table1[[#This Row],[Column40]]="ok","(CA)",_xlfn.CONCAT("(CA)",CHAR(10),"FAIL")),"")</f>
        <v/>
      </c>
      <c r="AV394" s="154" t="str">
        <f>+IF(Table1[[#This Row],[Column6]]=0,"",_xlfn.CONCAT("Sem ",WEEKNUM(Table1[[#This Row],[Column6]],2)))</f>
        <v>Sem 12</v>
      </c>
      <c r="AW394" s="211"/>
    </row>
    <row r="395" spans="2:49" ht="19.5" customHeight="1" x14ac:dyDescent="0.3">
      <c r="B395" s="356" t="s">
        <v>677</v>
      </c>
      <c r="C395" s="331"/>
      <c r="D395" s="332" t="s">
        <v>132</v>
      </c>
      <c r="E395" s="332" t="s">
        <v>133</v>
      </c>
      <c r="F395" s="333"/>
      <c r="G395" s="334">
        <v>46101</v>
      </c>
      <c r="H395" s="335">
        <v>1492.62</v>
      </c>
      <c r="I395" s="336">
        <v>-3.98</v>
      </c>
      <c r="J395" s="337">
        <v>2636.2</v>
      </c>
      <c r="K395" s="338" t="s">
        <v>162</v>
      </c>
      <c r="L395" s="339" t="s">
        <v>168</v>
      </c>
      <c r="M395" s="340">
        <v>30</v>
      </c>
      <c r="N395" s="341">
        <v>88653</v>
      </c>
      <c r="O395" s="332">
        <v>58</v>
      </c>
      <c r="P395" s="342">
        <v>10.7</v>
      </c>
      <c r="Q395" s="343">
        <v>8.9345172031076494</v>
      </c>
      <c r="R395" s="344">
        <v>1.7732610659439929</v>
      </c>
      <c r="S395" s="344">
        <v>1.802</v>
      </c>
      <c r="T395" s="344">
        <v>1.9630000000000001</v>
      </c>
      <c r="U395" s="344" t="s">
        <v>136</v>
      </c>
      <c r="V395" s="332" t="s">
        <v>169</v>
      </c>
      <c r="W395" s="345">
        <v>4</v>
      </c>
      <c r="X395" s="346">
        <v>2</v>
      </c>
      <c r="Y395" s="208">
        <v>2.8069999999999999</v>
      </c>
      <c r="Z395" s="332"/>
      <c r="AA395" s="342"/>
      <c r="AB395" s="342"/>
      <c r="AC395" s="342"/>
      <c r="AD395" s="347"/>
      <c r="AE395" s="348">
        <v>1.734</v>
      </c>
      <c r="AF395" s="349">
        <v>0</v>
      </c>
      <c r="AG395" s="350"/>
      <c r="AH395" s="351" t="s">
        <v>139</v>
      </c>
      <c r="AI395" s="352" t="s">
        <v>139</v>
      </c>
      <c r="AJ395" s="206" t="s">
        <v>139</v>
      </c>
      <c r="AK395" s="353" t="s">
        <v>655</v>
      </c>
      <c r="AL395" s="206" t="s">
        <v>139</v>
      </c>
      <c r="AM395" s="349">
        <v>102.26419065420951</v>
      </c>
      <c r="AN395" s="354" t="s">
        <v>139</v>
      </c>
      <c r="AO395" s="355" t="s">
        <v>140</v>
      </c>
      <c r="AP395" s="206" t="s">
        <v>139</v>
      </c>
      <c r="AQ395" s="207"/>
      <c r="AR395" s="211"/>
      <c r="AS395" s="297">
        <f>+IF(Table1[[#This Row],[Column40]]="ok",Table1[[#This Row],[Column7]],0)</f>
        <v>1492.62</v>
      </c>
      <c r="AT395" s="295">
        <f>+IF(Table1[[#This Row],[Column40]]="No",Table1[[#This Row],[Column7]],0)</f>
        <v>0</v>
      </c>
      <c r="AU395" s="4" t="str">
        <f>+IF(LEFT(Table1[[#This Row],[Column42]],2)="DN",IF(Table1[[#This Row],[Column40]]="ok","(CA)",_xlfn.CONCAT("(CA)",CHAR(10),"FAIL")),"")</f>
        <v/>
      </c>
      <c r="AV395" s="154" t="str">
        <f>+IF(Table1[[#This Row],[Column6]]=0,"",_xlfn.CONCAT("Sem ",WEEKNUM(Table1[[#This Row],[Column6]],2)))</f>
        <v>Sem 12</v>
      </c>
      <c r="AW395" s="211"/>
    </row>
    <row r="396" spans="2:49" ht="19.5" customHeight="1" x14ac:dyDescent="0.3">
      <c r="B396" s="356" t="s">
        <v>678</v>
      </c>
      <c r="C396" s="331"/>
      <c r="D396" s="332" t="s">
        <v>132</v>
      </c>
      <c r="E396" s="332" t="s">
        <v>133</v>
      </c>
      <c r="F396" s="333"/>
      <c r="G396" s="334">
        <v>46101</v>
      </c>
      <c r="H396" s="335">
        <v>1509.76</v>
      </c>
      <c r="I396" s="336">
        <v>26.7</v>
      </c>
      <c r="J396" s="337">
        <v>2636.18</v>
      </c>
      <c r="K396" s="338" t="s">
        <v>162</v>
      </c>
      <c r="L396" s="339" t="s">
        <v>198</v>
      </c>
      <c r="M396" s="340">
        <v>30</v>
      </c>
      <c r="N396" s="341">
        <v>88653</v>
      </c>
      <c r="O396" s="332">
        <v>58</v>
      </c>
      <c r="P396" s="342">
        <v>10.8</v>
      </c>
      <c r="Q396" s="343">
        <v>11.2197928653625</v>
      </c>
      <c r="R396" s="344">
        <v>1.7445848375451263</v>
      </c>
      <c r="S396" s="344">
        <v>1.738</v>
      </c>
      <c r="T396" s="344">
        <v>1.9330000000000001</v>
      </c>
      <c r="U396" s="344" t="s">
        <v>136</v>
      </c>
      <c r="V396" s="332" t="s">
        <v>169</v>
      </c>
      <c r="W396" s="345">
        <v>4</v>
      </c>
      <c r="X396" s="346">
        <v>2</v>
      </c>
      <c r="Y396" s="208">
        <v>2.8069999999999999</v>
      </c>
      <c r="Z396" s="332"/>
      <c r="AA396" s="342"/>
      <c r="AB396" s="342"/>
      <c r="AC396" s="342"/>
      <c r="AD396" s="347"/>
      <c r="AE396" s="348">
        <v>1.7318323651699545</v>
      </c>
      <c r="AF396" s="349">
        <v>16.288403519930068</v>
      </c>
      <c r="AG396" s="350"/>
      <c r="AH396" s="351">
        <v>1.7312661498708009</v>
      </c>
      <c r="AI396" s="352">
        <v>2.0099999999999998</v>
      </c>
      <c r="AJ396" s="206">
        <v>16.100000000000001</v>
      </c>
      <c r="AK396" s="353" t="s">
        <v>298</v>
      </c>
      <c r="AL396" s="206">
        <v>0.18840351993006621</v>
      </c>
      <c r="AM396" s="349">
        <v>100.73635720359806</v>
      </c>
      <c r="AN396" s="354" t="s">
        <v>139</v>
      </c>
      <c r="AO396" s="355" t="s">
        <v>140</v>
      </c>
      <c r="AP396" s="206" t="s">
        <v>139</v>
      </c>
      <c r="AQ396" s="207" t="s">
        <v>679</v>
      </c>
      <c r="AR396" s="211"/>
      <c r="AS396" s="297">
        <f>+IF(Table1[[#This Row],[Column40]]="ok",Table1[[#This Row],[Column7]],0)</f>
        <v>1509.76</v>
      </c>
      <c r="AT396" s="295">
        <f>+IF(Table1[[#This Row],[Column40]]="No",Table1[[#This Row],[Column7]],0)</f>
        <v>0</v>
      </c>
      <c r="AU396" s="4" t="str">
        <f>+IF(LEFT(Table1[[#This Row],[Column42]],2)="DN",IF(Table1[[#This Row],[Column40]]="ok","(CA)",_xlfn.CONCAT("(CA)",CHAR(10),"FAIL")),"")</f>
        <v/>
      </c>
      <c r="AV396" s="154" t="str">
        <f>+IF(Table1[[#This Row],[Column6]]=0,"",_xlfn.CONCAT("Sem ",WEEKNUM(Table1[[#This Row],[Column6]],2)))</f>
        <v>Sem 12</v>
      </c>
      <c r="AW396" s="211"/>
    </row>
    <row r="397" spans="2:49" ht="19.5" customHeight="1" x14ac:dyDescent="0.3">
      <c r="B397" s="356" t="s">
        <v>679</v>
      </c>
      <c r="C397" s="331"/>
      <c r="D397" s="332" t="s">
        <v>132</v>
      </c>
      <c r="E397" s="332" t="s">
        <v>133</v>
      </c>
      <c r="F397" s="333"/>
      <c r="G397" s="334">
        <v>46101</v>
      </c>
      <c r="H397" s="335">
        <v>1509.76</v>
      </c>
      <c r="I397" s="336">
        <v>26.7</v>
      </c>
      <c r="J397" s="337">
        <v>2636.18</v>
      </c>
      <c r="K397" s="338" t="s">
        <v>162</v>
      </c>
      <c r="L397" s="339" t="s">
        <v>198</v>
      </c>
      <c r="M397" s="340">
        <v>15</v>
      </c>
      <c r="N397" s="341"/>
      <c r="O397" s="332"/>
      <c r="P397" s="342">
        <v>10.758027143330022</v>
      </c>
      <c r="Q397" s="343"/>
      <c r="R397" s="344">
        <v>1.7154611223151657</v>
      </c>
      <c r="S397" s="344"/>
      <c r="T397" s="344">
        <v>1.9000108954871051</v>
      </c>
      <c r="U397" s="344" t="s">
        <v>142</v>
      </c>
      <c r="V397" s="332" t="s">
        <v>137</v>
      </c>
      <c r="W397" s="345" t="s">
        <v>173</v>
      </c>
      <c r="X397" s="346" t="s">
        <v>680</v>
      </c>
      <c r="Y397" s="208"/>
      <c r="Z397" s="332" t="s">
        <v>143</v>
      </c>
      <c r="AA397" s="342">
        <v>98.278715657067195</v>
      </c>
      <c r="AB397" s="342">
        <v>74.081429990069509</v>
      </c>
      <c r="AC397" s="342">
        <v>33.200926845415438</v>
      </c>
      <c r="AD397" s="123">
        <v>12.446209864283361</v>
      </c>
      <c r="AE397" s="358">
        <v>1.7318323651699545</v>
      </c>
      <c r="AF397" s="349">
        <v>16.288403519930068</v>
      </c>
      <c r="AG397" s="350" t="s">
        <v>298</v>
      </c>
      <c r="AH397" s="351">
        <v>1.7318716935079979</v>
      </c>
      <c r="AI397" s="352">
        <v>2.0100074523581393</v>
      </c>
      <c r="AJ397" s="206">
        <v>16.059836296923503</v>
      </c>
      <c r="AK397" s="353" t="s">
        <v>298</v>
      </c>
      <c r="AL397" s="206">
        <v>0.22856722300656429</v>
      </c>
      <c r="AM397" s="349">
        <v>99.054686632260612</v>
      </c>
      <c r="AN397" s="354" t="s">
        <v>139</v>
      </c>
      <c r="AO397" s="355" t="s">
        <v>144</v>
      </c>
      <c r="AP397" s="206">
        <v>0</v>
      </c>
      <c r="AQ397" s="207" t="s">
        <v>678</v>
      </c>
      <c r="AR397" s="211"/>
      <c r="AS397" s="297">
        <f>+IF(Table1[[#This Row],[Column40]]="ok",Table1[[#This Row],[Column7]],0)</f>
        <v>1509.76</v>
      </c>
      <c r="AT397" s="295">
        <f>+IF(Table1[[#This Row],[Column40]]="No",Table1[[#This Row],[Column7]],0)</f>
        <v>0</v>
      </c>
      <c r="AU397" s="4" t="str">
        <f>+IF(LEFT(Table1[[#This Row],[Column42]],2)="DN",IF(Table1[[#This Row],[Column40]]="ok","(CA)",_xlfn.CONCAT("(CA)",CHAR(10),"FAIL")),"")</f>
        <v>(CA)</v>
      </c>
      <c r="AV397" s="154" t="str">
        <f>+IF(Table1[[#This Row],[Column6]]=0,"",_xlfn.CONCAT("Sem ",WEEKNUM(Table1[[#This Row],[Column6]],2)))</f>
        <v>Sem 12</v>
      </c>
      <c r="AW397" s="211"/>
    </row>
    <row r="398" spans="2:49" ht="19.5" customHeight="1" x14ac:dyDescent="0.3">
      <c r="B398" s="356" t="s">
        <v>681</v>
      </c>
      <c r="C398" s="331"/>
      <c r="D398" s="332" t="s">
        <v>132</v>
      </c>
      <c r="E398" s="332" t="s">
        <v>133</v>
      </c>
      <c r="F398" s="333"/>
      <c r="G398" s="334">
        <v>46101</v>
      </c>
      <c r="H398" s="335">
        <v>1207.47</v>
      </c>
      <c r="I398" s="336">
        <v>-29.44</v>
      </c>
      <c r="J398" s="337">
        <v>2636.2</v>
      </c>
      <c r="K398" s="338" t="s">
        <v>208</v>
      </c>
      <c r="L398" s="339" t="s">
        <v>193</v>
      </c>
      <c r="M398" s="340">
        <v>30</v>
      </c>
      <c r="N398" s="341">
        <v>88653</v>
      </c>
      <c r="O398" s="332">
        <v>58</v>
      </c>
      <c r="P398" s="342">
        <v>9.3000000000000007</v>
      </c>
      <c r="Q398" s="343">
        <v>9.8559077809798232</v>
      </c>
      <c r="R398" s="344">
        <v>1.7438243366880146</v>
      </c>
      <c r="S398" s="344">
        <v>1.7350000000000001</v>
      </c>
      <c r="T398" s="344">
        <v>1.9059999999999999</v>
      </c>
      <c r="U398" s="344" t="s">
        <v>136</v>
      </c>
      <c r="V398" s="332" t="s">
        <v>169</v>
      </c>
      <c r="W398" s="345">
        <v>4</v>
      </c>
      <c r="X398" s="346">
        <v>2</v>
      </c>
      <c r="Y398" s="208">
        <v>2.8069999999999999</v>
      </c>
      <c r="Z398" s="332"/>
      <c r="AA398" s="342"/>
      <c r="AB398" s="342"/>
      <c r="AC398" s="342"/>
      <c r="AD398" s="347"/>
      <c r="AE398" s="348">
        <v>1.734</v>
      </c>
      <c r="AF398" s="349">
        <v>0</v>
      </c>
      <c r="AG398" s="350"/>
      <c r="AH398" s="351" t="s">
        <v>139</v>
      </c>
      <c r="AI398" s="352" t="s">
        <v>139</v>
      </c>
      <c r="AJ398" s="206" t="s">
        <v>139</v>
      </c>
      <c r="AK398" s="353" t="s">
        <v>655</v>
      </c>
      <c r="AL398" s="206" t="s">
        <v>139</v>
      </c>
      <c r="AM398" s="349">
        <v>100.56657074325344</v>
      </c>
      <c r="AN398" s="354" t="s">
        <v>139</v>
      </c>
      <c r="AO398" s="355" t="s">
        <v>140</v>
      </c>
      <c r="AP398" s="206" t="s">
        <v>139</v>
      </c>
      <c r="AQ398" s="207">
        <v>0</v>
      </c>
      <c r="AR398" s="211"/>
      <c r="AS398" s="297">
        <f>+IF(Table1[[#This Row],[Column40]]="ok",Table1[[#This Row],[Column7]],0)</f>
        <v>1207.47</v>
      </c>
      <c r="AT398" s="295">
        <f>+IF(Table1[[#This Row],[Column40]]="No",Table1[[#This Row],[Column7]],0)</f>
        <v>0</v>
      </c>
      <c r="AU398" s="4" t="str">
        <f>+IF(LEFT(Table1[[#This Row],[Column42]],2)="DN",IF(Table1[[#This Row],[Column40]]="ok","(CA)",_xlfn.CONCAT("(CA)",CHAR(10),"FAIL")),"")</f>
        <v/>
      </c>
      <c r="AV398" s="154" t="str">
        <f>+IF(Table1[[#This Row],[Column6]]=0,"",_xlfn.CONCAT("Sem ",WEEKNUM(Table1[[#This Row],[Column6]],2)))</f>
        <v>Sem 12</v>
      </c>
      <c r="AW398" s="211"/>
    </row>
    <row r="399" spans="2:49" ht="19.5" customHeight="1" x14ac:dyDescent="0.3">
      <c r="B399" s="356" t="s">
        <v>682</v>
      </c>
      <c r="C399" s="331"/>
      <c r="D399" s="332" t="s">
        <v>132</v>
      </c>
      <c r="E399" s="332" t="s">
        <v>133</v>
      </c>
      <c r="F399" s="333"/>
      <c r="G399" s="334">
        <v>46101</v>
      </c>
      <c r="H399" s="335">
        <v>609.86</v>
      </c>
      <c r="I399" s="336">
        <v>305.8</v>
      </c>
      <c r="J399" s="337">
        <v>2575.6930000000002</v>
      </c>
      <c r="K399" s="338" t="s">
        <v>306</v>
      </c>
      <c r="L399" s="339" t="s">
        <v>324</v>
      </c>
      <c r="M399" s="340">
        <v>30</v>
      </c>
      <c r="N399" s="341">
        <v>88653</v>
      </c>
      <c r="O399" s="332">
        <v>58</v>
      </c>
      <c r="P399" s="342">
        <v>14.6</v>
      </c>
      <c r="Q399" s="343">
        <v>10.914285714285722</v>
      </c>
      <c r="R399" s="344">
        <v>1.6937172774869111</v>
      </c>
      <c r="S399" s="344">
        <v>1.75</v>
      </c>
      <c r="T399" s="344">
        <v>1.9410000000000001</v>
      </c>
      <c r="U399" s="344" t="s">
        <v>136</v>
      </c>
      <c r="V399" s="332" t="s">
        <v>137</v>
      </c>
      <c r="W399" s="345">
        <v>8</v>
      </c>
      <c r="X399" s="346">
        <v>4</v>
      </c>
      <c r="Y399" s="208">
        <v>2.8069999999999999</v>
      </c>
      <c r="Z399" s="332"/>
      <c r="AA399" s="342"/>
      <c r="AB399" s="342"/>
      <c r="AC399" s="342"/>
      <c r="AD399" s="347"/>
      <c r="AE399" s="348">
        <v>1.7070000000000001</v>
      </c>
      <c r="AF399" s="349">
        <v>0</v>
      </c>
      <c r="AG399" s="350"/>
      <c r="AH399" s="351" t="s">
        <v>139</v>
      </c>
      <c r="AI399" s="352" t="s">
        <v>139</v>
      </c>
      <c r="AJ399" s="206" t="s">
        <v>139</v>
      </c>
      <c r="AK399" s="353" t="s">
        <v>662</v>
      </c>
      <c r="AL399" s="206" t="s">
        <v>139</v>
      </c>
      <c r="AM399" s="349">
        <v>99.221867456761046</v>
      </c>
      <c r="AN399" s="354" t="s">
        <v>139</v>
      </c>
      <c r="AO399" s="355" t="s">
        <v>140</v>
      </c>
      <c r="AP399" s="206" t="s">
        <v>139</v>
      </c>
      <c r="AQ399" s="207">
        <v>0</v>
      </c>
      <c r="AR399" s="211"/>
      <c r="AS399" s="297">
        <f>+IF(Table1[[#This Row],[Column40]]="ok",Table1[[#This Row],[Column7]],0)</f>
        <v>609.86</v>
      </c>
      <c r="AT399" s="295">
        <f>+IF(Table1[[#This Row],[Column40]]="No",Table1[[#This Row],[Column7]],0)</f>
        <v>0</v>
      </c>
      <c r="AU399" s="4" t="str">
        <f>+IF(LEFT(Table1[[#This Row],[Column42]],2)="DN",IF(Table1[[#This Row],[Column40]]="ok","(CA)",_xlfn.CONCAT("(CA)",CHAR(10),"FAIL")),"")</f>
        <v/>
      </c>
      <c r="AV399" s="154" t="str">
        <f>+IF(Table1[[#This Row],[Column6]]=0,"",_xlfn.CONCAT("Sem ",WEEKNUM(Table1[[#This Row],[Column6]],2)))</f>
        <v>Sem 12</v>
      </c>
      <c r="AW399" s="211"/>
    </row>
    <row r="400" spans="2:49" ht="19.5" customHeight="1" x14ac:dyDescent="0.3">
      <c r="B400" s="356" t="s">
        <v>683</v>
      </c>
      <c r="C400" s="331"/>
      <c r="D400" s="332" t="s">
        <v>132</v>
      </c>
      <c r="E400" s="332" t="s">
        <v>133</v>
      </c>
      <c r="F400" s="333"/>
      <c r="G400" s="334">
        <v>46101</v>
      </c>
      <c r="H400" s="335">
        <v>685.29</v>
      </c>
      <c r="I400" s="336">
        <v>330.64</v>
      </c>
      <c r="J400" s="337">
        <v>2567.4659999999999</v>
      </c>
      <c r="K400" s="338" t="s">
        <v>306</v>
      </c>
      <c r="L400" s="339" t="s">
        <v>347</v>
      </c>
      <c r="M400" s="340">
        <v>30</v>
      </c>
      <c r="N400" s="341">
        <v>88653</v>
      </c>
      <c r="O400" s="332">
        <v>58</v>
      </c>
      <c r="P400" s="342">
        <v>14.899999999999999</v>
      </c>
      <c r="Q400" s="343">
        <v>13.048566413107077</v>
      </c>
      <c r="R400" s="344">
        <v>1.6814621409921671</v>
      </c>
      <c r="S400" s="344">
        <v>1.7090000000000001</v>
      </c>
      <c r="T400" s="344">
        <v>1.9319999999999999</v>
      </c>
      <c r="U400" s="344" t="s">
        <v>136</v>
      </c>
      <c r="V400" s="332" t="s">
        <v>137</v>
      </c>
      <c r="W400" s="345">
        <v>8</v>
      </c>
      <c r="X400" s="346">
        <v>4</v>
      </c>
      <c r="Y400" s="208">
        <v>2.8069999999999999</v>
      </c>
      <c r="Z400" s="332"/>
      <c r="AA400" s="342"/>
      <c r="AB400" s="342"/>
      <c r="AC400" s="342"/>
      <c r="AD400" s="347"/>
      <c r="AE400" s="348">
        <v>1.7070000000000001</v>
      </c>
      <c r="AF400" s="349">
        <v>0</v>
      </c>
      <c r="AG400" s="350"/>
      <c r="AH400" s="351" t="s">
        <v>139</v>
      </c>
      <c r="AI400" s="352" t="s">
        <v>139</v>
      </c>
      <c r="AJ400" s="206" t="s">
        <v>139</v>
      </c>
      <c r="AK400" s="353" t="s">
        <v>662</v>
      </c>
      <c r="AL400" s="206" t="s">
        <v>139</v>
      </c>
      <c r="AM400" s="349">
        <v>98.503933274292152</v>
      </c>
      <c r="AN400" s="354" t="s">
        <v>139</v>
      </c>
      <c r="AO400" s="355" t="s">
        <v>140</v>
      </c>
      <c r="AP400" s="206" t="s">
        <v>139</v>
      </c>
      <c r="AQ400" s="207">
        <v>0</v>
      </c>
      <c r="AR400" s="211"/>
      <c r="AS400" s="297">
        <f>+IF(Table1[[#This Row],[Column40]]="ok",Table1[[#This Row],[Column7]],0)</f>
        <v>685.29</v>
      </c>
      <c r="AT400" s="295">
        <f>+IF(Table1[[#This Row],[Column40]]="No",Table1[[#This Row],[Column7]],0)</f>
        <v>0</v>
      </c>
      <c r="AU400" s="4" t="str">
        <f>+IF(LEFT(Table1[[#This Row],[Column42]],2)="DN",IF(Table1[[#This Row],[Column40]]="ok","(CA)",_xlfn.CONCAT("(CA)",CHAR(10),"FAIL")),"")</f>
        <v/>
      </c>
      <c r="AV400" s="154" t="str">
        <f>+IF(Table1[[#This Row],[Column6]]=0,"",_xlfn.CONCAT("Sem ",WEEKNUM(Table1[[#This Row],[Column6]],2)))</f>
        <v>Sem 12</v>
      </c>
      <c r="AW400" s="211"/>
    </row>
    <row r="401" spans="2:49" ht="19.5" customHeight="1" x14ac:dyDescent="0.3">
      <c r="B401" s="356" t="s">
        <v>684</v>
      </c>
      <c r="C401" s="331"/>
      <c r="D401" s="332" t="s">
        <v>132</v>
      </c>
      <c r="E401" s="332" t="s">
        <v>133</v>
      </c>
      <c r="F401" s="333"/>
      <c r="G401" s="334">
        <v>46101</v>
      </c>
      <c r="H401" s="335">
        <v>784.85</v>
      </c>
      <c r="I401" s="336">
        <v>350.36</v>
      </c>
      <c r="J401" s="337">
        <v>2551.6709999999998</v>
      </c>
      <c r="K401" s="338" t="s">
        <v>290</v>
      </c>
      <c r="L401" s="339" t="s">
        <v>354</v>
      </c>
      <c r="M401" s="340">
        <v>30</v>
      </c>
      <c r="N401" s="341">
        <v>88653</v>
      </c>
      <c r="O401" s="332">
        <v>58</v>
      </c>
      <c r="P401" s="342">
        <v>13.100000000000001</v>
      </c>
      <c r="Q401" s="343">
        <v>10.127314814814813</v>
      </c>
      <c r="R401" s="344">
        <v>1.6825817860300618</v>
      </c>
      <c r="S401" s="344">
        <v>1.728</v>
      </c>
      <c r="T401" s="344">
        <v>1.903</v>
      </c>
      <c r="U401" s="344" t="s">
        <v>136</v>
      </c>
      <c r="V401" s="332" t="s">
        <v>137</v>
      </c>
      <c r="W401" s="345">
        <v>8</v>
      </c>
      <c r="X401" s="346">
        <v>4</v>
      </c>
      <c r="Y401" s="208">
        <v>2.8069999999999999</v>
      </c>
      <c r="Z401" s="332"/>
      <c r="AA401" s="342"/>
      <c r="AB401" s="342"/>
      <c r="AC401" s="342"/>
      <c r="AD401" s="347"/>
      <c r="AE401" s="348">
        <v>1.7070000000000001</v>
      </c>
      <c r="AF401" s="349">
        <v>0</v>
      </c>
      <c r="AG401" s="350"/>
      <c r="AH401" s="351" t="s">
        <v>139</v>
      </c>
      <c r="AI401" s="352" t="s">
        <v>139</v>
      </c>
      <c r="AJ401" s="206" t="s">
        <v>139</v>
      </c>
      <c r="AK401" s="353" t="s">
        <v>662</v>
      </c>
      <c r="AL401" s="206" t="s">
        <v>139</v>
      </c>
      <c r="AM401" s="349">
        <v>98.569524664912805</v>
      </c>
      <c r="AN401" s="354" t="s">
        <v>139</v>
      </c>
      <c r="AO401" s="355" t="s">
        <v>140</v>
      </c>
      <c r="AP401" s="206" t="s">
        <v>139</v>
      </c>
      <c r="AQ401" s="207">
        <v>0</v>
      </c>
      <c r="AR401" s="211"/>
      <c r="AS401" s="297">
        <f>+IF(Table1[[#This Row],[Column40]]="ok",Table1[[#This Row],[Column7]],0)</f>
        <v>784.85</v>
      </c>
      <c r="AT401" s="295">
        <f>+IF(Table1[[#This Row],[Column40]]="No",Table1[[#This Row],[Column7]],0)</f>
        <v>0</v>
      </c>
      <c r="AU401" s="4" t="str">
        <f>+IF(LEFT(Table1[[#This Row],[Column42]],2)="DN",IF(Table1[[#This Row],[Column40]]="ok","(CA)",_xlfn.CONCAT("(CA)",CHAR(10),"FAIL")),"")</f>
        <v/>
      </c>
      <c r="AV401" s="154" t="str">
        <f>+IF(Table1[[#This Row],[Column6]]=0,"",_xlfn.CONCAT("Sem ",WEEKNUM(Table1[[#This Row],[Column6]],2)))</f>
        <v>Sem 12</v>
      </c>
      <c r="AW401" s="211"/>
    </row>
    <row r="402" spans="2:49" ht="19.5" customHeight="1" x14ac:dyDescent="0.3">
      <c r="B402" s="356" t="s">
        <v>685</v>
      </c>
      <c r="C402" s="331"/>
      <c r="D402" s="332" t="s">
        <v>132</v>
      </c>
      <c r="E402" s="332" t="s">
        <v>133</v>
      </c>
      <c r="F402" s="333"/>
      <c r="G402" s="334">
        <v>46101</v>
      </c>
      <c r="H402" s="335">
        <v>890.38</v>
      </c>
      <c r="I402" s="336">
        <v>373.41</v>
      </c>
      <c r="J402" s="337">
        <v>2537.7559999999999</v>
      </c>
      <c r="K402" s="338" t="s">
        <v>290</v>
      </c>
      <c r="L402" s="339" t="s">
        <v>311</v>
      </c>
      <c r="M402" s="340">
        <v>30</v>
      </c>
      <c r="N402" s="341">
        <v>88653</v>
      </c>
      <c r="O402" s="332">
        <v>58</v>
      </c>
      <c r="P402" s="342">
        <v>13.100000000000001</v>
      </c>
      <c r="Q402" s="343">
        <v>13.211845102505704</v>
      </c>
      <c r="R402" s="344">
        <v>1.7577365163572061</v>
      </c>
      <c r="S402" s="344">
        <v>1.756</v>
      </c>
      <c r="T402" s="344">
        <v>1.988</v>
      </c>
      <c r="U402" s="344" t="s">
        <v>136</v>
      </c>
      <c r="V402" s="332" t="s">
        <v>137</v>
      </c>
      <c r="W402" s="345">
        <v>8</v>
      </c>
      <c r="X402" s="346">
        <v>4</v>
      </c>
      <c r="Y402" s="208">
        <v>2.8069999999999999</v>
      </c>
      <c r="Z402" s="332"/>
      <c r="AA402" s="342"/>
      <c r="AB402" s="342"/>
      <c r="AC402" s="342"/>
      <c r="AD402" s="347"/>
      <c r="AE402" s="348">
        <v>1.7070000000000001</v>
      </c>
      <c r="AF402" s="349">
        <v>0</v>
      </c>
      <c r="AG402" s="350"/>
      <c r="AH402" s="351" t="s">
        <v>139</v>
      </c>
      <c r="AI402" s="352" t="s">
        <v>139</v>
      </c>
      <c r="AJ402" s="206" t="s">
        <v>139</v>
      </c>
      <c r="AK402" s="353" t="s">
        <v>662</v>
      </c>
      <c r="AL402" s="206" t="s">
        <v>139</v>
      </c>
      <c r="AM402" s="349">
        <v>102.9722622353372</v>
      </c>
      <c r="AN402" s="354" t="s">
        <v>139</v>
      </c>
      <c r="AO402" s="355" t="s">
        <v>140</v>
      </c>
      <c r="AP402" s="206" t="s">
        <v>139</v>
      </c>
      <c r="AQ402" s="207">
        <v>0</v>
      </c>
      <c r="AR402" s="211"/>
      <c r="AS402" s="297">
        <f>+IF(Table1[[#This Row],[Column40]]="ok",Table1[[#This Row],[Column7]],0)</f>
        <v>890.38</v>
      </c>
      <c r="AT402" s="295">
        <f>+IF(Table1[[#This Row],[Column40]]="No",Table1[[#This Row],[Column7]],0)</f>
        <v>0</v>
      </c>
      <c r="AU402" s="4" t="str">
        <f>+IF(LEFT(Table1[[#This Row],[Column42]],2)="DN",IF(Table1[[#This Row],[Column40]]="ok","(CA)",_xlfn.CONCAT("(CA)",CHAR(10),"FAIL")),"")</f>
        <v/>
      </c>
      <c r="AV402" s="154" t="str">
        <f>+IF(Table1[[#This Row],[Column6]]=0,"",_xlfn.CONCAT("Sem ",WEEKNUM(Table1[[#This Row],[Column6]],2)))</f>
        <v>Sem 12</v>
      </c>
      <c r="AW402" s="211"/>
    </row>
    <row r="403" spans="2:49" ht="19.5" customHeight="1" x14ac:dyDescent="0.3">
      <c r="B403" s="356" t="s">
        <v>686</v>
      </c>
      <c r="C403" s="331"/>
      <c r="D403" s="332" t="s">
        <v>132</v>
      </c>
      <c r="E403" s="332" t="s">
        <v>133</v>
      </c>
      <c r="F403" s="333"/>
      <c r="G403" s="334">
        <v>46101</v>
      </c>
      <c r="H403" s="335">
        <v>914.51</v>
      </c>
      <c r="I403" s="336">
        <v>462.29</v>
      </c>
      <c r="J403" s="337">
        <v>2511.3000000000002</v>
      </c>
      <c r="K403" s="338" t="s">
        <v>290</v>
      </c>
      <c r="L403" s="339" t="s">
        <v>311</v>
      </c>
      <c r="M403" s="340">
        <v>30</v>
      </c>
      <c r="N403" s="341">
        <v>88653</v>
      </c>
      <c r="O403" s="332">
        <v>58</v>
      </c>
      <c r="P403" s="342">
        <v>13.5</v>
      </c>
      <c r="Q403" s="343">
        <v>11.372774267662255</v>
      </c>
      <c r="R403" s="344">
        <v>1.7083700440528635</v>
      </c>
      <c r="S403" s="344">
        <v>1.7410000000000001</v>
      </c>
      <c r="T403" s="344">
        <v>1.9390000000000001</v>
      </c>
      <c r="U403" s="344" t="s">
        <v>136</v>
      </c>
      <c r="V403" s="332" t="s">
        <v>137</v>
      </c>
      <c r="W403" s="345">
        <v>8</v>
      </c>
      <c r="X403" s="346">
        <v>4</v>
      </c>
      <c r="Y403" s="208">
        <v>2.8069999999999999</v>
      </c>
      <c r="Z403" s="332"/>
      <c r="AA403" s="342"/>
      <c r="AB403" s="342"/>
      <c r="AC403" s="342"/>
      <c r="AD403" s="347"/>
      <c r="AE403" s="348">
        <v>1.7070000000000001</v>
      </c>
      <c r="AF403" s="349">
        <v>0</v>
      </c>
      <c r="AG403" s="350"/>
      <c r="AH403" s="351" t="s">
        <v>139</v>
      </c>
      <c r="AI403" s="352" t="s">
        <v>139</v>
      </c>
      <c r="AJ403" s="206" t="s">
        <v>139</v>
      </c>
      <c r="AK403" s="353" t="s">
        <v>662</v>
      </c>
      <c r="AL403" s="206" t="s">
        <v>139</v>
      </c>
      <c r="AM403" s="349">
        <v>100.08026034287425</v>
      </c>
      <c r="AN403" s="354" t="s">
        <v>139</v>
      </c>
      <c r="AO403" s="355" t="s">
        <v>140</v>
      </c>
      <c r="AP403" s="206" t="s">
        <v>139</v>
      </c>
      <c r="AQ403" s="207">
        <v>0</v>
      </c>
      <c r="AR403" s="211"/>
      <c r="AS403" s="297">
        <f>+IF(Table1[[#This Row],[Column40]]="ok",Table1[[#This Row],[Column7]],0)</f>
        <v>914.51</v>
      </c>
      <c r="AT403" s="295">
        <f>+IF(Table1[[#This Row],[Column40]]="No",Table1[[#This Row],[Column7]],0)</f>
        <v>0</v>
      </c>
      <c r="AU403" s="4" t="str">
        <f>+IF(LEFT(Table1[[#This Row],[Column42]],2)="DN",IF(Table1[[#This Row],[Column40]]="ok","(CA)",_xlfn.CONCAT("(CA)",CHAR(10),"FAIL")),"")</f>
        <v/>
      </c>
      <c r="AV403" s="154" t="str">
        <f>+IF(Table1[[#This Row],[Column6]]=0,"",_xlfn.CONCAT("Sem ",WEEKNUM(Table1[[#This Row],[Column6]],2)))</f>
        <v>Sem 12</v>
      </c>
      <c r="AW403" s="211"/>
    </row>
    <row r="404" spans="2:49" ht="19.5" customHeight="1" x14ac:dyDescent="0.3">
      <c r="B404" s="356" t="s">
        <v>687</v>
      </c>
      <c r="C404" s="331"/>
      <c r="D404" s="332" t="s">
        <v>132</v>
      </c>
      <c r="E404" s="332" t="s">
        <v>133</v>
      </c>
      <c r="F404" s="333"/>
      <c r="G404" s="334">
        <v>46101</v>
      </c>
      <c r="H404" s="335">
        <v>819.49</v>
      </c>
      <c r="I404" s="336">
        <v>436.38</v>
      </c>
      <c r="J404" s="337">
        <v>2525.2289999999998</v>
      </c>
      <c r="K404" s="338" t="s">
        <v>290</v>
      </c>
      <c r="L404" s="339" t="s">
        <v>304</v>
      </c>
      <c r="M404" s="340">
        <v>30</v>
      </c>
      <c r="N404" s="341">
        <v>88653</v>
      </c>
      <c r="O404" s="332">
        <v>58</v>
      </c>
      <c r="P404" s="342">
        <v>12.6</v>
      </c>
      <c r="Q404" s="343">
        <v>13.417431192660544</v>
      </c>
      <c r="R404" s="344">
        <v>1.7566607460035526</v>
      </c>
      <c r="S404" s="344">
        <v>1.744</v>
      </c>
      <c r="T404" s="344">
        <v>1.978</v>
      </c>
      <c r="U404" s="344" t="s">
        <v>136</v>
      </c>
      <c r="V404" s="332" t="s">
        <v>137</v>
      </c>
      <c r="W404" s="345">
        <v>8</v>
      </c>
      <c r="X404" s="346">
        <v>4</v>
      </c>
      <c r="Y404" s="208">
        <v>2.8069999999999999</v>
      </c>
      <c r="Z404" s="332"/>
      <c r="AA404" s="342"/>
      <c r="AB404" s="342"/>
      <c r="AC404" s="342"/>
      <c r="AD404" s="347"/>
      <c r="AE404" s="348">
        <v>1.7070000000000001</v>
      </c>
      <c r="AF404" s="349">
        <v>0</v>
      </c>
      <c r="AG404" s="350"/>
      <c r="AH404" s="351" t="s">
        <v>139</v>
      </c>
      <c r="AI404" s="352" t="s">
        <v>139</v>
      </c>
      <c r="AJ404" s="206" t="s">
        <v>139</v>
      </c>
      <c r="AK404" s="353" t="s">
        <v>662</v>
      </c>
      <c r="AL404" s="206" t="s">
        <v>139</v>
      </c>
      <c r="AM404" s="349">
        <v>102.90924112498843</v>
      </c>
      <c r="AN404" s="354" t="s">
        <v>139</v>
      </c>
      <c r="AO404" s="355" t="s">
        <v>140</v>
      </c>
      <c r="AP404" s="206" t="s">
        <v>139</v>
      </c>
      <c r="AQ404" s="207">
        <v>0</v>
      </c>
      <c r="AR404" s="211"/>
      <c r="AS404" s="297">
        <f>+IF(Table1[[#This Row],[Column40]]="ok",Table1[[#This Row],[Column7]],0)</f>
        <v>819.49</v>
      </c>
      <c r="AT404" s="295">
        <f>+IF(Table1[[#This Row],[Column40]]="No",Table1[[#This Row],[Column7]],0)</f>
        <v>0</v>
      </c>
      <c r="AU404" s="4" t="str">
        <f>+IF(LEFT(Table1[[#This Row],[Column42]],2)="DN",IF(Table1[[#This Row],[Column40]]="ok","(CA)",_xlfn.CONCAT("(CA)",CHAR(10),"FAIL")),"")</f>
        <v/>
      </c>
      <c r="AV404" s="154" t="str">
        <f>+IF(Table1[[#This Row],[Column6]]=0,"",_xlfn.CONCAT("Sem ",WEEKNUM(Table1[[#This Row],[Column6]],2)))</f>
        <v>Sem 12</v>
      </c>
      <c r="AW404" s="211"/>
    </row>
    <row r="405" spans="2:49" ht="19.5" customHeight="1" x14ac:dyDescent="0.3">
      <c r="B405" s="356" t="s">
        <v>688</v>
      </c>
      <c r="C405" s="331"/>
      <c r="D405" s="332" t="s">
        <v>132</v>
      </c>
      <c r="E405" s="332" t="s">
        <v>133</v>
      </c>
      <c r="F405" s="333"/>
      <c r="G405" s="334">
        <v>46101</v>
      </c>
      <c r="H405" s="335">
        <v>716.45</v>
      </c>
      <c r="I405" s="336">
        <v>432.89</v>
      </c>
      <c r="J405" s="337">
        <v>2534.7779999999998</v>
      </c>
      <c r="K405" s="338" t="s">
        <v>306</v>
      </c>
      <c r="L405" s="339" t="s">
        <v>504</v>
      </c>
      <c r="M405" s="340">
        <v>30</v>
      </c>
      <c r="N405" s="341">
        <v>88653</v>
      </c>
      <c r="O405" s="332">
        <v>58</v>
      </c>
      <c r="P405" s="342">
        <v>11.899999999999999</v>
      </c>
      <c r="Q405" s="343">
        <v>12.692763938315533</v>
      </c>
      <c r="R405" s="344">
        <v>1.6979445933869526</v>
      </c>
      <c r="S405" s="344">
        <v>1.6859999999999999</v>
      </c>
      <c r="T405" s="344">
        <v>1.9</v>
      </c>
      <c r="U405" s="344" t="s">
        <v>136</v>
      </c>
      <c r="V405" s="332" t="s">
        <v>137</v>
      </c>
      <c r="W405" s="345">
        <v>0</v>
      </c>
      <c r="X405" s="346">
        <v>4</v>
      </c>
      <c r="Y405" s="208">
        <v>2.8069999999999999</v>
      </c>
      <c r="Z405" s="332"/>
      <c r="AA405" s="342"/>
      <c r="AB405" s="342"/>
      <c r="AC405" s="342"/>
      <c r="AD405" s="347"/>
      <c r="AE405" s="348">
        <v>1.6938027979453976</v>
      </c>
      <c r="AF405" s="349">
        <v>16.846407269546319</v>
      </c>
      <c r="AG405" s="350"/>
      <c r="AH405" s="351">
        <v>1.6905172413793106</v>
      </c>
      <c r="AI405" s="352">
        <v>1.9610000000000001</v>
      </c>
      <c r="AJ405" s="206">
        <v>16</v>
      </c>
      <c r="AK405" s="353" t="s">
        <v>689</v>
      </c>
      <c r="AL405" s="206">
        <v>0.84640726954631873</v>
      </c>
      <c r="AM405" s="349">
        <v>100.24452642577867</v>
      </c>
      <c r="AN405" s="354" t="s">
        <v>139</v>
      </c>
      <c r="AO405" s="355" t="s">
        <v>140</v>
      </c>
      <c r="AP405" s="206" t="s">
        <v>139</v>
      </c>
      <c r="AQ405" s="207">
        <v>0</v>
      </c>
      <c r="AR405" s="211"/>
      <c r="AS405" s="297">
        <f>+IF(Table1[[#This Row],[Column40]]="ok",Table1[[#This Row],[Column7]],0)</f>
        <v>716.45</v>
      </c>
      <c r="AT405" s="295">
        <f>+IF(Table1[[#This Row],[Column40]]="No",Table1[[#This Row],[Column7]],0)</f>
        <v>0</v>
      </c>
      <c r="AU405" s="4" t="str">
        <f>+IF(LEFT(Table1[[#This Row],[Column42]],2)="DN",IF(Table1[[#This Row],[Column40]]="ok","(CA)",_xlfn.CONCAT("(CA)",CHAR(10),"FAIL")),"")</f>
        <v/>
      </c>
      <c r="AV405" s="154" t="str">
        <f>+IF(Table1[[#This Row],[Column6]]=0,"",_xlfn.CONCAT("Sem ",WEEKNUM(Table1[[#This Row],[Column6]],2)))</f>
        <v>Sem 12</v>
      </c>
      <c r="AW405" s="211"/>
    </row>
    <row r="406" spans="2:49" ht="19.5" customHeight="1" x14ac:dyDescent="0.3">
      <c r="B406" s="356" t="s">
        <v>690</v>
      </c>
      <c r="C406" s="331"/>
      <c r="D406" s="332" t="s">
        <v>132</v>
      </c>
      <c r="E406" s="332" t="s">
        <v>133</v>
      </c>
      <c r="F406" s="333"/>
      <c r="G406" s="334">
        <v>46101</v>
      </c>
      <c r="H406" s="335">
        <v>619.78</v>
      </c>
      <c r="I406" s="336">
        <v>416.58</v>
      </c>
      <c r="J406" s="337">
        <v>2543.8980000000001</v>
      </c>
      <c r="K406" s="338" t="s">
        <v>306</v>
      </c>
      <c r="L406" s="339" t="s">
        <v>324</v>
      </c>
      <c r="M406" s="340">
        <v>30</v>
      </c>
      <c r="N406" s="341">
        <v>88653</v>
      </c>
      <c r="O406" s="332">
        <v>58</v>
      </c>
      <c r="P406" s="342">
        <v>10.9</v>
      </c>
      <c r="Q406" s="343">
        <v>12.56575102279367</v>
      </c>
      <c r="R406" s="344">
        <v>1.7366997294860234</v>
      </c>
      <c r="S406" s="344">
        <v>1.7110000000000001</v>
      </c>
      <c r="T406" s="344">
        <v>1.9259999999999999</v>
      </c>
      <c r="U406" s="344" t="s">
        <v>136</v>
      </c>
      <c r="V406" s="332" t="s">
        <v>137</v>
      </c>
      <c r="W406" s="345">
        <v>8</v>
      </c>
      <c r="X406" s="346">
        <v>4</v>
      </c>
      <c r="Y406" s="208">
        <v>2.8069999999999999</v>
      </c>
      <c r="Z406" s="332"/>
      <c r="AA406" s="342"/>
      <c r="AB406" s="342"/>
      <c r="AC406" s="342"/>
      <c r="AD406" s="347"/>
      <c r="AE406" s="348">
        <v>1.7070000000000001</v>
      </c>
      <c r="AF406" s="349">
        <v>0</v>
      </c>
      <c r="AG406" s="350"/>
      <c r="AH406" s="351" t="s">
        <v>139</v>
      </c>
      <c r="AI406" s="352" t="s">
        <v>139</v>
      </c>
      <c r="AJ406" s="206" t="s">
        <v>139</v>
      </c>
      <c r="AK406" s="353" t="s">
        <v>691</v>
      </c>
      <c r="AL406" s="206" t="s">
        <v>139</v>
      </c>
      <c r="AM406" s="349">
        <v>101.73987870451219</v>
      </c>
      <c r="AN406" s="354" t="s">
        <v>139</v>
      </c>
      <c r="AO406" s="355" t="s">
        <v>140</v>
      </c>
      <c r="AP406" s="206" t="s">
        <v>139</v>
      </c>
      <c r="AQ406" s="207">
        <v>0</v>
      </c>
      <c r="AR406" s="211"/>
      <c r="AS406" s="297">
        <f>+IF(Table1[[#This Row],[Column40]]="ok",Table1[[#This Row],[Column7]],0)</f>
        <v>619.78</v>
      </c>
      <c r="AT406" s="295">
        <f>+IF(Table1[[#This Row],[Column40]]="No",Table1[[#This Row],[Column7]],0)</f>
        <v>0</v>
      </c>
      <c r="AU406" s="4" t="str">
        <f>+IF(LEFT(Table1[[#This Row],[Column42]],2)="DN",IF(Table1[[#This Row],[Column40]]="ok","(CA)",_xlfn.CONCAT("(CA)",CHAR(10),"FAIL")),"")</f>
        <v/>
      </c>
      <c r="AV406" s="154" t="str">
        <f>+IF(Table1[[#This Row],[Column6]]=0,"",_xlfn.CONCAT("Sem ",WEEKNUM(Table1[[#This Row],[Column6]],2)))</f>
        <v>Sem 12</v>
      </c>
      <c r="AW406" s="211"/>
    </row>
    <row r="407" spans="2:49" ht="19.5" customHeight="1" x14ac:dyDescent="0.3">
      <c r="B407" s="356" t="s">
        <v>692</v>
      </c>
      <c r="C407" s="331"/>
      <c r="D407" s="332" t="s">
        <v>132</v>
      </c>
      <c r="E407" s="332" t="s">
        <v>133</v>
      </c>
      <c r="F407" s="333"/>
      <c r="G407" s="334">
        <v>46101</v>
      </c>
      <c r="H407" s="335">
        <v>736.67</v>
      </c>
      <c r="I407" s="336">
        <v>526.92999999999995</v>
      </c>
      <c r="J407" s="337">
        <v>2508.4479999999999</v>
      </c>
      <c r="K407" s="338" t="s">
        <v>326</v>
      </c>
      <c r="L407" s="339" t="s">
        <v>307</v>
      </c>
      <c r="M407" s="340">
        <v>30</v>
      </c>
      <c r="N407" s="341">
        <v>88653</v>
      </c>
      <c r="O407" s="332">
        <v>58</v>
      </c>
      <c r="P407" s="342">
        <v>11.3</v>
      </c>
      <c r="Q407" s="343">
        <v>12.243702401874623</v>
      </c>
      <c r="R407" s="344">
        <v>1.7214734950584007</v>
      </c>
      <c r="S407" s="344">
        <v>1.7070000000000001</v>
      </c>
      <c r="T407" s="344">
        <v>1.9159999999999999</v>
      </c>
      <c r="U407" s="344" t="s">
        <v>136</v>
      </c>
      <c r="V407" s="332" t="s">
        <v>137</v>
      </c>
      <c r="W407" s="345">
        <v>8</v>
      </c>
      <c r="X407" s="346">
        <v>4</v>
      </c>
      <c r="Y407" s="208">
        <v>2.8069999999999999</v>
      </c>
      <c r="Z407" s="332"/>
      <c r="AA407" s="342"/>
      <c r="AB407" s="342"/>
      <c r="AC407" s="342"/>
      <c r="AD407" s="347"/>
      <c r="AE407" s="348">
        <v>1.6938027979453976</v>
      </c>
      <c r="AF407" s="349">
        <v>16.846407269546319</v>
      </c>
      <c r="AG407" s="350"/>
      <c r="AH407" s="351">
        <v>1.6925064599483204</v>
      </c>
      <c r="AI407" s="352">
        <v>1.9650000000000001</v>
      </c>
      <c r="AJ407" s="206">
        <v>16.100000000000001</v>
      </c>
      <c r="AK407" s="353" t="s">
        <v>689</v>
      </c>
      <c r="AL407" s="206">
        <v>0.74640726954631731</v>
      </c>
      <c r="AM407" s="349">
        <v>101.63364337020626</v>
      </c>
      <c r="AN407" s="354" t="s">
        <v>139</v>
      </c>
      <c r="AO407" s="355" t="s">
        <v>140</v>
      </c>
      <c r="AP407" s="206" t="s">
        <v>139</v>
      </c>
      <c r="AQ407" s="207" t="s">
        <v>693</v>
      </c>
      <c r="AR407" s="211"/>
      <c r="AS407" s="297">
        <f>+IF(Table1[[#This Row],[Column40]]="ok",Table1[[#This Row],[Column7]],0)</f>
        <v>736.67</v>
      </c>
      <c r="AT407" s="295">
        <f>+IF(Table1[[#This Row],[Column40]]="No",Table1[[#This Row],[Column7]],0)</f>
        <v>0</v>
      </c>
      <c r="AU407" s="4" t="str">
        <f>+IF(LEFT(Table1[[#This Row],[Column42]],2)="DN",IF(Table1[[#This Row],[Column40]]="ok","(CA)",_xlfn.CONCAT("(CA)",CHAR(10),"FAIL")),"")</f>
        <v/>
      </c>
      <c r="AV407" s="154" t="str">
        <f>+IF(Table1[[#This Row],[Column6]]=0,"",_xlfn.CONCAT("Sem ",WEEKNUM(Table1[[#This Row],[Column6]],2)))</f>
        <v>Sem 12</v>
      </c>
      <c r="AW407" s="211"/>
    </row>
    <row r="408" spans="2:49" ht="19.5" customHeight="1" x14ac:dyDescent="0.3">
      <c r="B408" s="356" t="s">
        <v>693</v>
      </c>
      <c r="C408" s="331"/>
      <c r="D408" s="332" t="s">
        <v>132</v>
      </c>
      <c r="E408" s="332" t="s">
        <v>133</v>
      </c>
      <c r="F408" s="333"/>
      <c r="G408" s="334">
        <v>46101</v>
      </c>
      <c r="H408" s="335">
        <v>736.67</v>
      </c>
      <c r="I408" s="336">
        <v>526.92999999999995</v>
      </c>
      <c r="J408" s="337">
        <v>2508.4479999999999</v>
      </c>
      <c r="K408" s="338" t="s">
        <v>326</v>
      </c>
      <c r="L408" s="339" t="s">
        <v>307</v>
      </c>
      <c r="M408" s="340">
        <v>15</v>
      </c>
      <c r="N408" s="341"/>
      <c r="O408" s="332"/>
      <c r="P408" s="342">
        <v>11.297798377752029</v>
      </c>
      <c r="Q408" s="343"/>
      <c r="R408" s="344">
        <v>1.6979772663850592</v>
      </c>
      <c r="S408" s="344"/>
      <c r="T408" s="344">
        <v>1.8898113144413085</v>
      </c>
      <c r="U408" s="344" t="s">
        <v>142</v>
      </c>
      <c r="V408" s="332" t="s">
        <v>137</v>
      </c>
      <c r="W408" s="345" t="s">
        <v>173</v>
      </c>
      <c r="X408" s="346" t="s">
        <v>680</v>
      </c>
      <c r="Y408" s="208"/>
      <c r="Z408" s="332" t="s">
        <v>227</v>
      </c>
      <c r="AA408" s="342">
        <v>98.899188876013909</v>
      </c>
      <c r="AB408" s="342">
        <v>79.692931633835457</v>
      </c>
      <c r="AC408" s="342">
        <v>37.485515643105444</v>
      </c>
      <c r="AD408" s="347">
        <v>12.63035921205099</v>
      </c>
      <c r="AE408" s="348">
        <v>1.6938027979453976</v>
      </c>
      <c r="AF408" s="349">
        <v>16.846407269546319</v>
      </c>
      <c r="AG408" s="350" t="s">
        <v>689</v>
      </c>
      <c r="AH408" s="351">
        <v>1.6933883556559988</v>
      </c>
      <c r="AI408" s="352">
        <v>1.9652933035239009</v>
      </c>
      <c r="AJ408" s="206">
        <v>16.056857067649382</v>
      </c>
      <c r="AK408" s="353" t="s">
        <v>689</v>
      </c>
      <c r="AL408" s="206">
        <v>0.7895502018969367</v>
      </c>
      <c r="AM408" s="349">
        <v>100.24645539874686</v>
      </c>
      <c r="AN408" s="354" t="s">
        <v>139</v>
      </c>
      <c r="AO408" s="355" t="s">
        <v>144</v>
      </c>
      <c r="AP408" s="206">
        <v>0</v>
      </c>
      <c r="AQ408" s="207" t="s">
        <v>692</v>
      </c>
      <c r="AR408" s="211"/>
      <c r="AS408" s="297">
        <f>+IF(Table1[[#This Row],[Column40]]="ok",Table1[[#This Row],[Column7]],0)</f>
        <v>736.67</v>
      </c>
      <c r="AT408" s="295">
        <f>+IF(Table1[[#This Row],[Column40]]="No",Table1[[#This Row],[Column7]],0)</f>
        <v>0</v>
      </c>
      <c r="AU408" s="4" t="str">
        <f>+IF(LEFT(Table1[[#This Row],[Column42]],2)="DN",IF(Table1[[#This Row],[Column40]]="ok","(CA)",_xlfn.CONCAT("(CA)",CHAR(10),"FAIL")),"")</f>
        <v>(CA)</v>
      </c>
      <c r="AV408" s="154" t="str">
        <f>+IF(Table1[[#This Row],[Column6]]=0,"",_xlfn.CONCAT("Sem ",WEEKNUM(Table1[[#This Row],[Column6]],2)))</f>
        <v>Sem 12</v>
      </c>
      <c r="AW408" s="211"/>
    </row>
    <row r="409" spans="2:49" ht="19.5" customHeight="1" x14ac:dyDescent="0.3">
      <c r="B409" s="356" t="s">
        <v>694</v>
      </c>
      <c r="C409" s="331"/>
      <c r="D409" s="332" t="s">
        <v>132</v>
      </c>
      <c r="E409" s="332" t="s">
        <v>133</v>
      </c>
      <c r="F409" s="333"/>
      <c r="G409" s="334">
        <v>46101</v>
      </c>
      <c r="H409" s="335">
        <v>825.02</v>
      </c>
      <c r="I409" s="336">
        <v>533.91999999999996</v>
      </c>
      <c r="J409" s="337">
        <v>2497.8539999999998</v>
      </c>
      <c r="K409" s="338" t="s">
        <v>240</v>
      </c>
      <c r="L409" s="339" t="s">
        <v>313</v>
      </c>
      <c r="M409" s="340">
        <v>30</v>
      </c>
      <c r="N409" s="341">
        <v>88653</v>
      </c>
      <c r="O409" s="332">
        <v>58</v>
      </c>
      <c r="P409" s="342">
        <v>10.9</v>
      </c>
      <c r="Q409" s="343">
        <v>11.809191390343221</v>
      </c>
      <c r="R409" s="344">
        <v>1.733092876465284</v>
      </c>
      <c r="S409" s="344">
        <v>1.7190000000000001</v>
      </c>
      <c r="T409" s="344">
        <v>1.9219999999999999</v>
      </c>
      <c r="U409" s="344" t="s">
        <v>136</v>
      </c>
      <c r="V409" s="332" t="s">
        <v>137</v>
      </c>
      <c r="W409" s="345">
        <v>8</v>
      </c>
      <c r="X409" s="346">
        <v>4</v>
      </c>
      <c r="Y409" s="208">
        <v>2.8069999999999999</v>
      </c>
      <c r="Z409" s="332"/>
      <c r="AA409" s="342"/>
      <c r="AB409" s="342"/>
      <c r="AC409" s="342"/>
      <c r="AD409" s="347"/>
      <c r="AE409" s="348">
        <v>1.7070000000000001</v>
      </c>
      <c r="AF409" s="349">
        <v>0</v>
      </c>
      <c r="AG409" s="350"/>
      <c r="AH409" s="351" t="s">
        <v>139</v>
      </c>
      <c r="AI409" s="352" t="s">
        <v>139</v>
      </c>
      <c r="AJ409" s="206" t="s">
        <v>139</v>
      </c>
      <c r="AK409" s="353" t="s">
        <v>662</v>
      </c>
      <c r="AL409" s="206" t="s">
        <v>139</v>
      </c>
      <c r="AM409" s="349">
        <v>101.52858092942496</v>
      </c>
      <c r="AN409" s="354" t="s">
        <v>139</v>
      </c>
      <c r="AO409" s="355" t="s">
        <v>140</v>
      </c>
      <c r="AP409" s="206" t="s">
        <v>139</v>
      </c>
      <c r="AQ409" s="207">
        <v>0</v>
      </c>
      <c r="AR409" s="211"/>
      <c r="AS409" s="297">
        <f>+IF(Table1[[#This Row],[Column40]]="ok",Table1[[#This Row],[Column7]],0)</f>
        <v>825.02</v>
      </c>
      <c r="AT409" s="295">
        <f>+IF(Table1[[#This Row],[Column40]]="No",Table1[[#This Row],[Column7]],0)</f>
        <v>0</v>
      </c>
      <c r="AU409" s="4" t="str">
        <f>+IF(LEFT(Table1[[#This Row],[Column42]],2)="DN",IF(Table1[[#This Row],[Column40]]="ok","(CA)",_xlfn.CONCAT("(CA)",CHAR(10),"FAIL")),"")</f>
        <v/>
      </c>
      <c r="AV409" s="154" t="str">
        <f>+IF(Table1[[#This Row],[Column6]]=0,"",_xlfn.CONCAT("Sem ",WEEKNUM(Table1[[#This Row],[Column6]],2)))</f>
        <v>Sem 12</v>
      </c>
      <c r="AW409" s="211"/>
    </row>
    <row r="410" spans="2:49" ht="19.5" customHeight="1" x14ac:dyDescent="0.3">
      <c r="B410" s="356" t="s">
        <v>695</v>
      </c>
      <c r="C410" s="331"/>
      <c r="D410" s="332" t="s">
        <v>132</v>
      </c>
      <c r="E410" s="332" t="s">
        <v>133</v>
      </c>
      <c r="F410" s="333"/>
      <c r="G410" s="334">
        <v>46101</v>
      </c>
      <c r="H410" s="335">
        <v>912.34</v>
      </c>
      <c r="I410" s="336">
        <v>543.95000000000005</v>
      </c>
      <c r="J410" s="337">
        <v>2488.6550000000002</v>
      </c>
      <c r="K410" s="338" t="s">
        <v>240</v>
      </c>
      <c r="L410" s="339" t="s">
        <v>311</v>
      </c>
      <c r="M410" s="340">
        <v>30</v>
      </c>
      <c r="N410" s="341">
        <v>88653</v>
      </c>
      <c r="O410" s="332">
        <v>58</v>
      </c>
      <c r="P410" s="342">
        <v>10.7</v>
      </c>
      <c r="Q410" s="343">
        <v>12.080924855491325</v>
      </c>
      <c r="R410" s="344">
        <v>1.7515808491418248</v>
      </c>
      <c r="S410" s="344">
        <v>1.73</v>
      </c>
      <c r="T410" s="344">
        <v>1.9390000000000001</v>
      </c>
      <c r="U410" s="344" t="s">
        <v>136</v>
      </c>
      <c r="V410" s="332" t="s">
        <v>137</v>
      </c>
      <c r="W410" s="345">
        <v>8</v>
      </c>
      <c r="X410" s="346">
        <v>4</v>
      </c>
      <c r="Y410" s="208">
        <v>2.8069999999999999</v>
      </c>
      <c r="Z410" s="332"/>
      <c r="AA410" s="342"/>
      <c r="AB410" s="342"/>
      <c r="AC410" s="342"/>
      <c r="AD410" s="347"/>
      <c r="AE410" s="348">
        <v>1.7070000000000001</v>
      </c>
      <c r="AF410" s="349">
        <v>0</v>
      </c>
      <c r="AG410" s="350"/>
      <c r="AH410" s="351" t="s">
        <v>139</v>
      </c>
      <c r="AI410" s="352" t="s">
        <v>139</v>
      </c>
      <c r="AJ410" s="206" t="s">
        <v>139</v>
      </c>
      <c r="AK410" s="353" t="s">
        <v>662</v>
      </c>
      <c r="AL410" s="206" t="s">
        <v>139</v>
      </c>
      <c r="AM410" s="349">
        <v>102.61164904170033</v>
      </c>
      <c r="AN410" s="354" t="s">
        <v>139</v>
      </c>
      <c r="AO410" s="355" t="s">
        <v>140</v>
      </c>
      <c r="AP410" s="206" t="s">
        <v>139</v>
      </c>
      <c r="AQ410" s="207">
        <v>0</v>
      </c>
      <c r="AR410" s="211"/>
      <c r="AS410" s="297">
        <f>+IF(Table1[[#This Row],[Column40]]="ok",Table1[[#This Row],[Column7]],0)</f>
        <v>912.34</v>
      </c>
      <c r="AT410" s="295">
        <f>+IF(Table1[[#This Row],[Column40]]="No",Table1[[#This Row],[Column7]],0)</f>
        <v>0</v>
      </c>
      <c r="AU410" s="4" t="str">
        <f>+IF(LEFT(Table1[[#This Row],[Column42]],2)="DN",IF(Table1[[#This Row],[Column40]]="ok","(CA)",_xlfn.CONCAT("(CA)",CHAR(10),"FAIL")),"")</f>
        <v/>
      </c>
      <c r="AV410" s="154" t="str">
        <f>+IF(Table1[[#This Row],[Column6]]=0,"",_xlfn.CONCAT("Sem ",WEEKNUM(Table1[[#This Row],[Column6]],2)))</f>
        <v>Sem 12</v>
      </c>
      <c r="AW410" s="211"/>
    </row>
    <row r="411" spans="2:49" ht="19.5" customHeight="1" x14ac:dyDescent="0.3">
      <c r="B411" s="441" t="s">
        <v>696</v>
      </c>
      <c r="C411" s="360"/>
      <c r="D411" s="332" t="s">
        <v>132</v>
      </c>
      <c r="E411" s="332" t="s">
        <v>133</v>
      </c>
      <c r="F411" s="332"/>
      <c r="G411" s="334">
        <v>46101</v>
      </c>
      <c r="H411" s="335">
        <v>855.61</v>
      </c>
      <c r="I411" s="336">
        <v>598.66</v>
      </c>
      <c r="J411" s="337">
        <v>2477.605</v>
      </c>
      <c r="K411" s="338" t="s">
        <v>240</v>
      </c>
      <c r="L411" s="339" t="s">
        <v>313</v>
      </c>
      <c r="M411" s="362">
        <v>30</v>
      </c>
      <c r="N411" s="341">
        <v>88653</v>
      </c>
      <c r="O411" s="332">
        <v>58</v>
      </c>
      <c r="P411" s="342">
        <v>13.8</v>
      </c>
      <c r="Q411" s="343">
        <v>12.289855072463762</v>
      </c>
      <c r="R411" s="344">
        <v>1.7021089630931461</v>
      </c>
      <c r="S411" s="344">
        <v>1.7250000000000001</v>
      </c>
      <c r="T411" s="344">
        <v>1.9370000000000001</v>
      </c>
      <c r="U411" s="344" t="s">
        <v>136</v>
      </c>
      <c r="V411" s="332" t="s">
        <v>137</v>
      </c>
      <c r="W411" s="345">
        <v>8</v>
      </c>
      <c r="X411" s="346">
        <v>4</v>
      </c>
      <c r="Y411" s="208">
        <v>2.8069999999999999</v>
      </c>
      <c r="Z411" s="332"/>
      <c r="AA411" s="342"/>
      <c r="AB411" s="342"/>
      <c r="AC411" s="342"/>
      <c r="AD411" s="123"/>
      <c r="AE411" s="358">
        <v>1.7070000000000001</v>
      </c>
      <c r="AF411" s="349">
        <v>0</v>
      </c>
      <c r="AG411" s="350"/>
      <c r="AH411" s="351" t="s">
        <v>139</v>
      </c>
      <c r="AI411" s="351" t="s">
        <v>139</v>
      </c>
      <c r="AJ411" s="206" t="s">
        <v>139</v>
      </c>
      <c r="AK411" s="359" t="s">
        <v>662</v>
      </c>
      <c r="AL411" s="206" t="s">
        <v>139</v>
      </c>
      <c r="AM411" s="349">
        <v>99.713471768784174</v>
      </c>
      <c r="AN411" s="354" t="s">
        <v>139</v>
      </c>
      <c r="AO411" s="350" t="s">
        <v>140</v>
      </c>
      <c r="AP411" s="206" t="s">
        <v>139</v>
      </c>
      <c r="AQ411" s="246">
        <v>0</v>
      </c>
      <c r="AR411" s="211"/>
      <c r="AS411" s="297">
        <f>+IF(Table1[[#This Row],[Column40]]="ok",Table1[[#This Row],[Column7]],0)</f>
        <v>855.61</v>
      </c>
      <c r="AT411" s="295">
        <f>+IF(Table1[[#This Row],[Column40]]="No",Table1[[#This Row],[Column7]],0)</f>
        <v>0</v>
      </c>
      <c r="AU411" s="4" t="str">
        <f>+IF(LEFT(Table1[[#This Row],[Column42]],2)="DN",IF(Table1[[#This Row],[Column40]]="ok","(CA)",_xlfn.CONCAT("(CA)",CHAR(10),"FAIL")),"")</f>
        <v/>
      </c>
      <c r="AV411" s="154" t="str">
        <f>+IF(Table1[[#This Row],[Column6]]=0,"",_xlfn.CONCAT("Sem ",WEEKNUM(Table1[[#This Row],[Column6]],2)))</f>
        <v>Sem 12</v>
      </c>
      <c r="AW411" s="211"/>
    </row>
    <row r="412" spans="2:49" ht="19.5" customHeight="1" x14ac:dyDescent="0.3">
      <c r="B412" s="356" t="s">
        <v>697</v>
      </c>
      <c r="C412" s="331"/>
      <c r="D412" s="332" t="s">
        <v>132</v>
      </c>
      <c r="E412" s="332" t="s">
        <v>133</v>
      </c>
      <c r="F412" s="333"/>
      <c r="G412" s="334">
        <v>46101</v>
      </c>
      <c r="H412" s="335">
        <v>26.73</v>
      </c>
      <c r="I412" s="336">
        <v>-22.56</v>
      </c>
      <c r="J412" s="337">
        <v>2636.2</v>
      </c>
      <c r="K412" s="338" t="s">
        <v>356</v>
      </c>
      <c r="L412" s="339" t="s">
        <v>698</v>
      </c>
      <c r="M412" s="340">
        <v>30</v>
      </c>
      <c r="N412" s="341">
        <v>88653</v>
      </c>
      <c r="O412" s="332">
        <v>58</v>
      </c>
      <c r="P412" s="342">
        <v>13.8</v>
      </c>
      <c r="Q412" s="343">
        <v>12.155963302752282</v>
      </c>
      <c r="R412" s="344">
        <v>1.718804920913884</v>
      </c>
      <c r="S412" s="344">
        <v>1.744</v>
      </c>
      <c r="T412" s="344">
        <v>1.956</v>
      </c>
      <c r="U412" s="344" t="s">
        <v>136</v>
      </c>
      <c r="V412" s="332" t="s">
        <v>169</v>
      </c>
      <c r="W412" s="345">
        <v>4</v>
      </c>
      <c r="X412" s="346">
        <v>2</v>
      </c>
      <c r="Y412" s="208">
        <v>2.8069999999999999</v>
      </c>
      <c r="Z412" s="332"/>
      <c r="AA412" s="342"/>
      <c r="AB412" s="342"/>
      <c r="AC412" s="342"/>
      <c r="AD412" s="347"/>
      <c r="AE412" s="348">
        <v>1.7070000000000001</v>
      </c>
      <c r="AF412" s="349">
        <v>0</v>
      </c>
      <c r="AG412" s="350"/>
      <c r="AH412" s="351" t="s">
        <v>139</v>
      </c>
      <c r="AI412" s="352" t="s">
        <v>139</v>
      </c>
      <c r="AJ412" s="206" t="s">
        <v>139</v>
      </c>
      <c r="AK412" s="353" t="s">
        <v>662</v>
      </c>
      <c r="AL412" s="206" t="s">
        <v>139</v>
      </c>
      <c r="AM412" s="349">
        <v>100.69155951458019</v>
      </c>
      <c r="AN412" s="354" t="s">
        <v>139</v>
      </c>
      <c r="AO412" s="355" t="s">
        <v>140</v>
      </c>
      <c r="AP412" s="206" t="s">
        <v>139</v>
      </c>
      <c r="AQ412" s="207">
        <v>0</v>
      </c>
      <c r="AR412" s="211"/>
      <c r="AS412" s="297">
        <f>+IF(Table1[[#This Row],[Column40]]="ok",Table1[[#This Row],[Column7]],0)</f>
        <v>26.73</v>
      </c>
      <c r="AT412" s="295">
        <f>+IF(Table1[[#This Row],[Column40]]="No",Table1[[#This Row],[Column7]],0)</f>
        <v>0</v>
      </c>
      <c r="AU412" s="4" t="str">
        <f>+IF(LEFT(Table1[[#This Row],[Column42]],2)="DN",IF(Table1[[#This Row],[Column40]]="ok","(CA)",_xlfn.CONCAT("(CA)",CHAR(10),"FAIL")),"")</f>
        <v/>
      </c>
      <c r="AV412" s="154" t="str">
        <f>+IF(Table1[[#This Row],[Column6]]=0,"",_xlfn.CONCAT("Sem ",WEEKNUM(Table1[[#This Row],[Column6]],2)))</f>
        <v>Sem 12</v>
      </c>
      <c r="AW412" s="211"/>
    </row>
    <row r="413" spans="2:49" ht="19.5" customHeight="1" x14ac:dyDescent="0.3">
      <c r="B413" s="356" t="s">
        <v>699</v>
      </c>
      <c r="C413" s="331"/>
      <c r="D413" s="332" t="s">
        <v>132</v>
      </c>
      <c r="E413" s="332" t="s">
        <v>176</v>
      </c>
      <c r="F413" s="333"/>
      <c r="G413" s="334">
        <v>46101</v>
      </c>
      <c r="H413" s="335">
        <v>27.76</v>
      </c>
      <c r="I413" s="336">
        <v>-23.08</v>
      </c>
      <c r="J413" s="337">
        <v>2636.4690000000001</v>
      </c>
      <c r="K413" s="338" t="s">
        <v>356</v>
      </c>
      <c r="L413" s="339" t="s">
        <v>700</v>
      </c>
      <c r="M413" s="340">
        <v>30</v>
      </c>
      <c r="N413" s="341">
        <v>88653</v>
      </c>
      <c r="O413" s="332">
        <v>58</v>
      </c>
      <c r="P413" s="342">
        <v>10.9</v>
      </c>
      <c r="Q413" s="343">
        <v>10.969239698200806</v>
      </c>
      <c r="R413" s="344">
        <v>1.7240757439134355</v>
      </c>
      <c r="S413" s="344">
        <v>1.7230000000000001</v>
      </c>
      <c r="T413" s="344">
        <v>1.9119999999999999</v>
      </c>
      <c r="U413" s="344" t="s">
        <v>136</v>
      </c>
      <c r="V413" s="332" t="s">
        <v>169</v>
      </c>
      <c r="W413" s="345">
        <v>4</v>
      </c>
      <c r="X413" s="346">
        <v>2</v>
      </c>
      <c r="Y413" s="208">
        <v>2.8069999999999999</v>
      </c>
      <c r="Z413" s="332"/>
      <c r="AA413" s="342"/>
      <c r="AB413" s="342"/>
      <c r="AC413" s="342"/>
      <c r="AD413" s="347"/>
      <c r="AE413" s="348">
        <v>1.702</v>
      </c>
      <c r="AF413" s="349">
        <v>0</v>
      </c>
      <c r="AG413" s="350"/>
      <c r="AH413" s="351" t="s">
        <v>139</v>
      </c>
      <c r="AI413" s="352" t="s">
        <v>139</v>
      </c>
      <c r="AJ413" s="206" t="s">
        <v>139</v>
      </c>
      <c r="AK413" s="353" t="s">
        <v>640</v>
      </c>
      <c r="AL413" s="206" t="s">
        <v>139</v>
      </c>
      <c r="AM413" s="349">
        <v>101.29704723345685</v>
      </c>
      <c r="AN413" s="354" t="s">
        <v>139</v>
      </c>
      <c r="AO413" s="355" t="s">
        <v>140</v>
      </c>
      <c r="AP413" s="206" t="s">
        <v>139</v>
      </c>
      <c r="AQ413" s="207">
        <v>0</v>
      </c>
      <c r="AR413" s="211"/>
      <c r="AS413" s="297">
        <f>+IF(Table1[[#This Row],[Column40]]="ok",Table1[[#This Row],[Column7]],0)</f>
        <v>27.76</v>
      </c>
      <c r="AT413" s="295">
        <f>+IF(Table1[[#This Row],[Column40]]="No",Table1[[#This Row],[Column7]],0)</f>
        <v>0</v>
      </c>
      <c r="AU413" s="4" t="str">
        <f>+IF(LEFT(Table1[[#This Row],[Column42]],2)="DN",IF(Table1[[#This Row],[Column40]]="ok","(CA)",_xlfn.CONCAT("(CA)",CHAR(10),"FAIL")),"")</f>
        <v/>
      </c>
      <c r="AV413" s="154" t="str">
        <f>+IF(Table1[[#This Row],[Column6]]=0,"",_xlfn.CONCAT("Sem ",WEEKNUM(Table1[[#This Row],[Column6]],2)))</f>
        <v>Sem 12</v>
      </c>
      <c r="AW413" s="211"/>
    </row>
    <row r="414" spans="2:49" ht="19.5" customHeight="1" x14ac:dyDescent="0.3">
      <c r="B414" s="356" t="s">
        <v>701</v>
      </c>
      <c r="C414" s="331"/>
      <c r="D414" s="332" t="s">
        <v>132</v>
      </c>
      <c r="E414" s="332" t="s">
        <v>176</v>
      </c>
      <c r="F414" s="333"/>
      <c r="G414" s="334">
        <v>46101</v>
      </c>
      <c r="H414" s="335">
        <v>432.58</v>
      </c>
      <c r="I414" s="336">
        <v>110.87</v>
      </c>
      <c r="J414" s="337">
        <v>2633.346</v>
      </c>
      <c r="K414" s="338" t="s">
        <v>335</v>
      </c>
      <c r="L414" s="339" t="s">
        <v>336</v>
      </c>
      <c r="M414" s="340">
        <v>30</v>
      </c>
      <c r="N414" s="341">
        <v>88653</v>
      </c>
      <c r="O414" s="332">
        <v>58</v>
      </c>
      <c r="P414" s="342">
        <v>10.5</v>
      </c>
      <c r="Q414" s="343">
        <v>9.8575498575498521</v>
      </c>
      <c r="R414" s="344">
        <v>1.7447963800904978</v>
      </c>
      <c r="S414" s="344">
        <v>1.7549999999999999</v>
      </c>
      <c r="T414" s="344">
        <v>1.9279999999999999</v>
      </c>
      <c r="U414" s="344" t="s">
        <v>136</v>
      </c>
      <c r="V414" s="332" t="s">
        <v>137</v>
      </c>
      <c r="W414" s="345">
        <v>8</v>
      </c>
      <c r="X414" s="346">
        <v>4</v>
      </c>
      <c r="Y414" s="208">
        <v>2.8069999999999999</v>
      </c>
      <c r="Z414" s="332"/>
      <c r="AA414" s="342"/>
      <c r="AB414" s="342"/>
      <c r="AC414" s="342"/>
      <c r="AD414" s="347"/>
      <c r="AE414" s="348">
        <v>1.7070000000000001</v>
      </c>
      <c r="AF414" s="349">
        <v>0</v>
      </c>
      <c r="AG414" s="350"/>
      <c r="AH414" s="351" t="s">
        <v>139</v>
      </c>
      <c r="AI414" s="352" t="s">
        <v>139</v>
      </c>
      <c r="AJ414" s="206" t="s">
        <v>139</v>
      </c>
      <c r="AK414" s="353" t="s">
        <v>662</v>
      </c>
      <c r="AL414" s="206" t="s">
        <v>139</v>
      </c>
      <c r="AM414" s="349">
        <v>102.21419918514924</v>
      </c>
      <c r="AN414" s="354" t="s">
        <v>139</v>
      </c>
      <c r="AO414" s="355" t="s">
        <v>140</v>
      </c>
      <c r="AP414" s="206" t="s">
        <v>139</v>
      </c>
      <c r="AQ414" s="207">
        <v>0</v>
      </c>
      <c r="AR414" s="211"/>
      <c r="AS414" s="297">
        <f>+IF(Table1[[#This Row],[Column40]]="ok",Table1[[#This Row],[Column7]],0)</f>
        <v>432.58</v>
      </c>
      <c r="AT414" s="295">
        <f>+IF(Table1[[#This Row],[Column40]]="No",Table1[[#This Row],[Column7]],0)</f>
        <v>0</v>
      </c>
      <c r="AU414" s="4" t="str">
        <f>+IF(LEFT(Table1[[#This Row],[Column42]],2)="DN",IF(Table1[[#This Row],[Column40]]="ok","(CA)",_xlfn.CONCAT("(CA)",CHAR(10),"FAIL")),"")</f>
        <v/>
      </c>
      <c r="AV414" s="154" t="str">
        <f>+IF(Table1[[#This Row],[Column6]]=0,"",_xlfn.CONCAT("Sem ",WEEKNUM(Table1[[#This Row],[Column6]],2)))</f>
        <v>Sem 12</v>
      </c>
      <c r="AW414" s="211"/>
    </row>
    <row r="415" spans="2:49" ht="19.5" customHeight="1" x14ac:dyDescent="0.3">
      <c r="B415" s="356" t="s">
        <v>702</v>
      </c>
      <c r="C415" s="331"/>
      <c r="D415" s="332" t="s">
        <v>132</v>
      </c>
      <c r="E415" s="332" t="s">
        <v>176</v>
      </c>
      <c r="F415" s="333"/>
      <c r="G415" s="334">
        <v>46101</v>
      </c>
      <c r="H415" s="335">
        <v>396.33</v>
      </c>
      <c r="I415" s="336">
        <v>191.7</v>
      </c>
      <c r="J415" s="337">
        <v>2609.895</v>
      </c>
      <c r="K415" s="338" t="s">
        <v>335</v>
      </c>
      <c r="L415" s="339" t="s">
        <v>703</v>
      </c>
      <c r="M415" s="340">
        <v>30</v>
      </c>
      <c r="N415" s="341">
        <v>88653</v>
      </c>
      <c r="O415" s="332">
        <v>58</v>
      </c>
      <c r="P415" s="342">
        <v>9.1</v>
      </c>
      <c r="Q415" s="343">
        <v>9.5398428731761964</v>
      </c>
      <c r="R415" s="344">
        <v>1.7891842346471127</v>
      </c>
      <c r="S415" s="344">
        <v>1.782</v>
      </c>
      <c r="T415" s="344">
        <v>1.952</v>
      </c>
      <c r="U415" s="344" t="s">
        <v>136</v>
      </c>
      <c r="V415" s="332" t="s">
        <v>137</v>
      </c>
      <c r="W415" s="345">
        <v>8</v>
      </c>
      <c r="X415" s="346">
        <v>4</v>
      </c>
      <c r="Y415" s="208">
        <v>2.8069999999999999</v>
      </c>
      <c r="Z415" s="332"/>
      <c r="AA415" s="342"/>
      <c r="AB415" s="342"/>
      <c r="AC415" s="342"/>
      <c r="AD415" s="347"/>
      <c r="AE415" s="348">
        <v>1.7070000000000001</v>
      </c>
      <c r="AF415" s="349">
        <v>0</v>
      </c>
      <c r="AG415" s="350"/>
      <c r="AH415" s="351" t="s">
        <v>139</v>
      </c>
      <c r="AI415" s="352" t="s">
        <v>139</v>
      </c>
      <c r="AJ415" s="206" t="s">
        <v>139</v>
      </c>
      <c r="AK415" s="353" t="s">
        <v>662</v>
      </c>
      <c r="AL415" s="206" t="s">
        <v>139</v>
      </c>
      <c r="AM415" s="349">
        <v>104.81454215858889</v>
      </c>
      <c r="AN415" s="354" t="s">
        <v>139</v>
      </c>
      <c r="AO415" s="355" t="s">
        <v>140</v>
      </c>
      <c r="AP415" s="206" t="s">
        <v>139</v>
      </c>
      <c r="AQ415" s="207">
        <v>0</v>
      </c>
      <c r="AR415" s="211"/>
      <c r="AS415" s="297">
        <f>+IF(Table1[[#This Row],[Column40]]="ok",Table1[[#This Row],[Column7]],0)</f>
        <v>396.33</v>
      </c>
      <c r="AT415" s="295">
        <f>+IF(Table1[[#This Row],[Column40]]="No",Table1[[#This Row],[Column7]],0)</f>
        <v>0</v>
      </c>
      <c r="AU415" s="4" t="str">
        <f>+IF(LEFT(Table1[[#This Row],[Column42]],2)="DN",IF(Table1[[#This Row],[Column40]]="ok","(CA)",_xlfn.CONCAT("(CA)",CHAR(10),"FAIL")),"")</f>
        <v/>
      </c>
      <c r="AV415" s="154" t="str">
        <f>+IF(Table1[[#This Row],[Column6]]=0,"",_xlfn.CONCAT("Sem ",WEEKNUM(Table1[[#This Row],[Column6]],2)))</f>
        <v>Sem 12</v>
      </c>
      <c r="AW415" s="211"/>
    </row>
    <row r="416" spans="2:49" ht="19.5" customHeight="1" x14ac:dyDescent="0.3">
      <c r="B416" s="356" t="s">
        <v>704</v>
      </c>
      <c r="C416" s="331"/>
      <c r="D416" s="332" t="s">
        <v>132</v>
      </c>
      <c r="E416" s="332" t="s">
        <v>176</v>
      </c>
      <c r="F416" s="333"/>
      <c r="G416" s="334">
        <v>46101</v>
      </c>
      <c r="H416" s="335">
        <v>421.06</v>
      </c>
      <c r="I416" s="336">
        <v>244.07</v>
      </c>
      <c r="J416" s="337">
        <v>2595.35</v>
      </c>
      <c r="K416" s="338" t="s">
        <v>335</v>
      </c>
      <c r="L416" s="339" t="s">
        <v>336</v>
      </c>
      <c r="M416" s="340">
        <v>30</v>
      </c>
      <c r="N416" s="341">
        <v>88653</v>
      </c>
      <c r="O416" s="332">
        <v>58</v>
      </c>
      <c r="P416" s="342">
        <v>10.299999999999999</v>
      </c>
      <c r="Q416" s="343">
        <v>9.0382387022016175</v>
      </c>
      <c r="R416" s="344">
        <v>1.7062556663644606</v>
      </c>
      <c r="S416" s="344">
        <v>1.726</v>
      </c>
      <c r="T416" s="344">
        <v>1.8819999999999999</v>
      </c>
      <c r="U416" s="344" t="s">
        <v>136</v>
      </c>
      <c r="V416" s="332" t="s">
        <v>137</v>
      </c>
      <c r="W416" s="345">
        <v>8</v>
      </c>
      <c r="X416" s="346">
        <v>4</v>
      </c>
      <c r="Y416" s="208">
        <v>2.8069999999999999</v>
      </c>
      <c r="Z416" s="332"/>
      <c r="AA416" s="342"/>
      <c r="AB416" s="342"/>
      <c r="AC416" s="342"/>
      <c r="AD416" s="347"/>
      <c r="AE416" s="348">
        <v>1.7070000000000001</v>
      </c>
      <c r="AF416" s="349">
        <v>0</v>
      </c>
      <c r="AG416" s="350"/>
      <c r="AH416" s="351" t="s">
        <v>139</v>
      </c>
      <c r="AI416" s="352" t="s">
        <v>139</v>
      </c>
      <c r="AJ416" s="206" t="s">
        <v>139</v>
      </c>
      <c r="AK416" s="353" t="s">
        <v>662</v>
      </c>
      <c r="AL416" s="206" t="s">
        <v>139</v>
      </c>
      <c r="AM416" s="349">
        <v>99.956395217601667</v>
      </c>
      <c r="AN416" s="354" t="s">
        <v>139</v>
      </c>
      <c r="AO416" s="355" t="s">
        <v>140</v>
      </c>
      <c r="AP416" s="206" t="s">
        <v>139</v>
      </c>
      <c r="AQ416" s="207">
        <v>0</v>
      </c>
      <c r="AR416" s="211"/>
      <c r="AS416" s="297">
        <f>+IF(Table1[[#This Row],[Column40]]="ok",Table1[[#This Row],[Column7]],0)</f>
        <v>421.06</v>
      </c>
      <c r="AT416" s="295">
        <f>+IF(Table1[[#This Row],[Column40]]="No",Table1[[#This Row],[Column7]],0)</f>
        <v>0</v>
      </c>
      <c r="AU416" s="4" t="str">
        <f>+IF(LEFT(Table1[[#This Row],[Column42]],2)="DN",IF(Table1[[#This Row],[Column40]]="ok","(CA)",_xlfn.CONCAT("(CA)",CHAR(10),"FAIL")),"")</f>
        <v/>
      </c>
      <c r="AV416" s="154" t="str">
        <f>+IF(Table1[[#This Row],[Column6]]=0,"",_xlfn.CONCAT("Sem ",WEEKNUM(Table1[[#This Row],[Column6]],2)))</f>
        <v>Sem 12</v>
      </c>
      <c r="AW416" s="211"/>
    </row>
    <row r="417" spans="2:49" ht="19.5" customHeight="1" x14ac:dyDescent="0.3">
      <c r="B417" s="356" t="s">
        <v>705</v>
      </c>
      <c r="C417" s="331"/>
      <c r="D417" s="332" t="s">
        <v>132</v>
      </c>
      <c r="E417" s="332" t="s">
        <v>176</v>
      </c>
      <c r="F417" s="333"/>
      <c r="G417" s="334">
        <v>46101</v>
      </c>
      <c r="H417" s="335">
        <v>564.6</v>
      </c>
      <c r="I417" s="336">
        <v>111.98</v>
      </c>
      <c r="J417" s="337">
        <v>2633.953</v>
      </c>
      <c r="K417" s="338" t="s">
        <v>349</v>
      </c>
      <c r="L417" s="339" t="s">
        <v>332</v>
      </c>
      <c r="M417" s="340">
        <v>30</v>
      </c>
      <c r="N417" s="341">
        <v>88653</v>
      </c>
      <c r="O417" s="332">
        <v>58</v>
      </c>
      <c r="P417" s="342">
        <v>8.2000000000000011</v>
      </c>
      <c r="Q417" s="343">
        <v>9.5180722891566418</v>
      </c>
      <c r="R417" s="344">
        <v>1.6802218114602587</v>
      </c>
      <c r="S417" s="344">
        <v>1.66</v>
      </c>
      <c r="T417" s="344">
        <v>1.8180000000000001</v>
      </c>
      <c r="U417" s="344" t="s">
        <v>136</v>
      </c>
      <c r="V417" s="332" t="s">
        <v>137</v>
      </c>
      <c r="W417" s="345">
        <v>8</v>
      </c>
      <c r="X417" s="346">
        <v>4</v>
      </c>
      <c r="Y417" s="208">
        <v>2.8069999999999999</v>
      </c>
      <c r="Z417" s="332"/>
      <c r="AA417" s="342"/>
      <c r="AB417" s="342"/>
      <c r="AC417" s="342"/>
      <c r="AD417" s="347"/>
      <c r="AE417" s="348">
        <v>1.706</v>
      </c>
      <c r="AF417" s="349">
        <v>16.100000000000001</v>
      </c>
      <c r="AG417" s="350"/>
      <c r="AH417" s="351">
        <v>1.7049180327868851</v>
      </c>
      <c r="AI417" s="352">
        <v>1.976</v>
      </c>
      <c r="AJ417" s="206">
        <v>15.9</v>
      </c>
      <c r="AK417" s="353" t="s">
        <v>542</v>
      </c>
      <c r="AL417" s="206">
        <v>0.20000000000000107</v>
      </c>
      <c r="AM417" s="349">
        <v>98.488969018772494</v>
      </c>
      <c r="AN417" s="354" t="s">
        <v>139</v>
      </c>
      <c r="AO417" s="355" t="s">
        <v>140</v>
      </c>
      <c r="AP417" s="206" t="s">
        <v>139</v>
      </c>
      <c r="AQ417" s="207">
        <v>0</v>
      </c>
      <c r="AR417" s="211"/>
      <c r="AS417" s="297">
        <f>+IF(Table1[[#This Row],[Column40]]="ok",Table1[[#This Row],[Column7]],0)</f>
        <v>564.6</v>
      </c>
      <c r="AT417" s="295">
        <f>+IF(Table1[[#This Row],[Column40]]="No",Table1[[#This Row],[Column7]],0)</f>
        <v>0</v>
      </c>
      <c r="AU417" s="4" t="str">
        <f>+IF(LEFT(Table1[[#This Row],[Column42]],2)="DN",IF(Table1[[#This Row],[Column40]]="ok","(CA)",_xlfn.CONCAT("(CA)",CHAR(10),"FAIL")),"")</f>
        <v/>
      </c>
      <c r="AV417" s="154" t="str">
        <f>+IF(Table1[[#This Row],[Column6]]=0,"",_xlfn.CONCAT("Sem ",WEEKNUM(Table1[[#This Row],[Column6]],2)))</f>
        <v>Sem 12</v>
      </c>
      <c r="AW417" s="211"/>
    </row>
    <row r="418" spans="2:49" ht="19.5" customHeight="1" x14ac:dyDescent="0.3">
      <c r="B418" s="356" t="s">
        <v>706</v>
      </c>
      <c r="C418" s="331"/>
      <c r="D418" s="332" t="s">
        <v>132</v>
      </c>
      <c r="E418" s="332" t="s">
        <v>176</v>
      </c>
      <c r="F418" s="333"/>
      <c r="G418" s="334">
        <v>46101</v>
      </c>
      <c r="H418" s="335">
        <v>463.91</v>
      </c>
      <c r="I418" s="336">
        <v>161.04</v>
      </c>
      <c r="J418" s="337">
        <v>2620.23</v>
      </c>
      <c r="K418" s="338" t="s">
        <v>349</v>
      </c>
      <c r="L418" s="339" t="s">
        <v>546</v>
      </c>
      <c r="M418" s="340">
        <v>30</v>
      </c>
      <c r="N418" s="341">
        <v>88653</v>
      </c>
      <c r="O418" s="332">
        <v>58</v>
      </c>
      <c r="P418" s="342">
        <v>9.1</v>
      </c>
      <c r="Q418" s="343">
        <v>10.104529616724744</v>
      </c>
      <c r="R418" s="344">
        <v>1.7378551787351053</v>
      </c>
      <c r="S418" s="344">
        <v>1.722</v>
      </c>
      <c r="T418" s="344">
        <v>1.8959999999999999</v>
      </c>
      <c r="U418" s="344" t="s">
        <v>136</v>
      </c>
      <c r="V418" s="332" t="s">
        <v>137</v>
      </c>
      <c r="W418" s="345">
        <v>8</v>
      </c>
      <c r="X418" s="346">
        <v>4</v>
      </c>
      <c r="Y418" s="208">
        <v>2.8069999999999999</v>
      </c>
      <c r="Z418" s="332"/>
      <c r="AA418" s="342"/>
      <c r="AB418" s="342"/>
      <c r="AC418" s="342"/>
      <c r="AD418" s="347"/>
      <c r="AE418" s="348">
        <v>1.702</v>
      </c>
      <c r="AF418" s="349">
        <v>16</v>
      </c>
      <c r="AG418" s="350"/>
      <c r="AH418" s="351">
        <v>1.7017241379310346</v>
      </c>
      <c r="AI418" s="352">
        <v>1.974</v>
      </c>
      <c r="AJ418" s="206">
        <v>16</v>
      </c>
      <c r="AK418" s="353" t="s">
        <v>640</v>
      </c>
      <c r="AL418" s="206">
        <v>0</v>
      </c>
      <c r="AM418" s="349">
        <v>102.10664974941865</v>
      </c>
      <c r="AN418" s="354" t="s">
        <v>139</v>
      </c>
      <c r="AO418" s="355" t="s">
        <v>140</v>
      </c>
      <c r="AP418" s="206" t="s">
        <v>139</v>
      </c>
      <c r="AQ418" s="207" t="s">
        <v>707</v>
      </c>
      <c r="AR418" s="211"/>
      <c r="AS418" s="297">
        <f>+IF(Table1[[#This Row],[Column40]]="ok",Table1[[#This Row],[Column7]],0)</f>
        <v>463.91</v>
      </c>
      <c r="AT418" s="295">
        <f>+IF(Table1[[#This Row],[Column40]]="No",Table1[[#This Row],[Column7]],0)</f>
        <v>0</v>
      </c>
      <c r="AU418" s="4" t="str">
        <f>+IF(LEFT(Table1[[#This Row],[Column42]],2)="DN",IF(Table1[[#This Row],[Column40]]="ok","(CA)",_xlfn.CONCAT("(CA)",CHAR(10),"FAIL")),"")</f>
        <v/>
      </c>
      <c r="AV418" s="154" t="str">
        <f>+IF(Table1[[#This Row],[Column6]]=0,"",_xlfn.CONCAT("Sem ",WEEKNUM(Table1[[#This Row],[Column6]],2)))</f>
        <v>Sem 12</v>
      </c>
      <c r="AW418" s="211"/>
    </row>
    <row r="419" spans="2:49" ht="19.5" customHeight="1" x14ac:dyDescent="0.3">
      <c r="B419" s="356" t="s">
        <v>707</v>
      </c>
      <c r="C419" s="331"/>
      <c r="D419" s="332" t="s">
        <v>132</v>
      </c>
      <c r="E419" s="332" t="s">
        <v>176</v>
      </c>
      <c r="F419" s="333"/>
      <c r="G419" s="334">
        <v>46101</v>
      </c>
      <c r="H419" s="335">
        <v>463.91</v>
      </c>
      <c r="I419" s="336">
        <v>161.04</v>
      </c>
      <c r="J419" s="337">
        <v>2620.23</v>
      </c>
      <c r="K419" s="338" t="s">
        <v>349</v>
      </c>
      <c r="L419" s="339" t="s">
        <v>546</v>
      </c>
      <c r="M419" s="340">
        <v>15</v>
      </c>
      <c r="N419" s="341"/>
      <c r="O419" s="332"/>
      <c r="P419" s="342">
        <v>9.0573012939001423</v>
      </c>
      <c r="Q419" s="343"/>
      <c r="R419" s="344">
        <v>1.6883781435476968</v>
      </c>
      <c r="S419" s="344"/>
      <c r="T419" s="344">
        <v>1.8412996389891696</v>
      </c>
      <c r="U419" s="344" t="s">
        <v>142</v>
      </c>
      <c r="V419" s="332" t="s">
        <v>137</v>
      </c>
      <c r="W419" s="345">
        <v>6</v>
      </c>
      <c r="X419" s="346">
        <v>8</v>
      </c>
      <c r="Y419" s="208"/>
      <c r="Z419" s="332" t="s">
        <v>143</v>
      </c>
      <c r="AA419" s="342">
        <v>98.921749845964257</v>
      </c>
      <c r="AB419" s="342">
        <v>79.359211337030189</v>
      </c>
      <c r="AC419" s="342">
        <v>39.279112754158966</v>
      </c>
      <c r="AD419" s="347">
        <v>13.647566235366611</v>
      </c>
      <c r="AE419" s="348">
        <v>1.702</v>
      </c>
      <c r="AF419" s="349">
        <v>16</v>
      </c>
      <c r="AG419" s="350" t="s">
        <v>640</v>
      </c>
      <c r="AH419" s="351">
        <v>1.7021629122070367</v>
      </c>
      <c r="AI419" s="352">
        <v>1.973810284254232</v>
      </c>
      <c r="AJ419" s="206">
        <v>15.95895258315641</v>
      </c>
      <c r="AK419" s="353" t="s">
        <v>640</v>
      </c>
      <c r="AL419" s="206">
        <v>4.1047416843589701E-2</v>
      </c>
      <c r="AM419" s="349">
        <v>99.199655907620254</v>
      </c>
      <c r="AN419" s="354" t="s">
        <v>139</v>
      </c>
      <c r="AO419" s="355" t="s">
        <v>144</v>
      </c>
      <c r="AP419" s="206">
        <v>0</v>
      </c>
      <c r="AQ419" s="207" t="s">
        <v>706</v>
      </c>
      <c r="AR419" s="211"/>
      <c r="AS419" s="297">
        <f>+IF(Table1[[#This Row],[Column40]]="ok",Table1[[#This Row],[Column7]],0)</f>
        <v>463.91</v>
      </c>
      <c r="AT419" s="295">
        <f>+IF(Table1[[#This Row],[Column40]]="No",Table1[[#This Row],[Column7]],0)</f>
        <v>0</v>
      </c>
      <c r="AU419" s="4" t="str">
        <f>+IF(LEFT(Table1[[#This Row],[Column42]],2)="DN",IF(Table1[[#This Row],[Column40]]="ok","(CA)",_xlfn.CONCAT("(CA)",CHAR(10),"FAIL")),"")</f>
        <v>(CA)</v>
      </c>
      <c r="AV419" s="154" t="str">
        <f>+IF(Table1[[#This Row],[Column6]]=0,"",_xlfn.CONCAT("Sem ",WEEKNUM(Table1[[#This Row],[Column6]],2)))</f>
        <v>Sem 12</v>
      </c>
      <c r="AW419" s="211"/>
    </row>
    <row r="420" spans="2:49" ht="19.5" customHeight="1" x14ac:dyDescent="0.3">
      <c r="B420" s="356" t="s">
        <v>708</v>
      </c>
      <c r="C420" s="331"/>
      <c r="D420" s="332" t="s">
        <v>132</v>
      </c>
      <c r="E420" s="332" t="s">
        <v>176</v>
      </c>
      <c r="F420" s="333"/>
      <c r="G420" s="334">
        <v>46101</v>
      </c>
      <c r="H420" s="335">
        <v>506.4</v>
      </c>
      <c r="I420" s="336">
        <v>108.42</v>
      </c>
      <c r="J420" s="337">
        <v>2634.2730000000001</v>
      </c>
      <c r="K420" s="338" t="s">
        <v>349</v>
      </c>
      <c r="L420" s="339" t="s">
        <v>342</v>
      </c>
      <c r="M420" s="340">
        <v>30</v>
      </c>
      <c r="N420" s="341">
        <v>88653</v>
      </c>
      <c r="O420" s="332">
        <v>58</v>
      </c>
      <c r="P420" s="342">
        <v>9.7000000000000011</v>
      </c>
      <c r="Q420" s="343">
        <v>10.251903925014627</v>
      </c>
      <c r="R420" s="344">
        <v>1.715587967183227</v>
      </c>
      <c r="S420" s="344">
        <v>1.7070000000000001</v>
      </c>
      <c r="T420" s="344">
        <v>1.8819999999999999</v>
      </c>
      <c r="U420" s="344" t="s">
        <v>136</v>
      </c>
      <c r="V420" s="332" t="s">
        <v>137</v>
      </c>
      <c r="W420" s="345">
        <v>8</v>
      </c>
      <c r="X420" s="346">
        <v>4</v>
      </c>
      <c r="Y420" s="208">
        <v>2.8069999999999999</v>
      </c>
      <c r="Z420" s="332"/>
      <c r="AA420" s="342"/>
      <c r="AB420" s="342"/>
      <c r="AC420" s="342"/>
      <c r="AD420" s="347"/>
      <c r="AE420" s="348">
        <v>1.7070000000000001</v>
      </c>
      <c r="AF420" s="349">
        <v>0</v>
      </c>
      <c r="AG420" s="350"/>
      <c r="AH420" s="351" t="s">
        <v>139</v>
      </c>
      <c r="AI420" s="352" t="s">
        <v>139</v>
      </c>
      <c r="AJ420" s="206" t="s">
        <v>139</v>
      </c>
      <c r="AK420" s="353" t="s">
        <v>662</v>
      </c>
      <c r="AL420" s="206" t="s">
        <v>139</v>
      </c>
      <c r="AM420" s="349">
        <v>100.50310293984927</v>
      </c>
      <c r="AN420" s="354" t="s">
        <v>139</v>
      </c>
      <c r="AO420" s="355" t="s">
        <v>140</v>
      </c>
      <c r="AP420" s="206" t="s">
        <v>139</v>
      </c>
      <c r="AQ420" s="207">
        <v>0</v>
      </c>
      <c r="AR420" s="211"/>
      <c r="AS420" s="297">
        <f>+IF(Table1[[#This Row],[Column40]]="ok",Table1[[#This Row],[Column7]],0)</f>
        <v>506.4</v>
      </c>
      <c r="AT420" s="295">
        <f>+IF(Table1[[#This Row],[Column40]]="No",Table1[[#This Row],[Column7]],0)</f>
        <v>0</v>
      </c>
      <c r="AU420" s="4" t="str">
        <f>+IF(LEFT(Table1[[#This Row],[Column42]],2)="DN",IF(Table1[[#This Row],[Column40]]="ok","(CA)",_xlfn.CONCAT("(CA)",CHAR(10),"FAIL")),"")</f>
        <v/>
      </c>
      <c r="AV420" s="154" t="str">
        <f>+IF(Table1[[#This Row],[Column6]]=0,"",_xlfn.CONCAT("Sem ",WEEKNUM(Table1[[#This Row],[Column6]],2)))</f>
        <v>Sem 12</v>
      </c>
      <c r="AW420" s="211"/>
    </row>
    <row r="421" spans="2:49" ht="19.5" customHeight="1" x14ac:dyDescent="0.3">
      <c r="B421" s="356" t="s">
        <v>709</v>
      </c>
      <c r="C421" s="331"/>
      <c r="D421" s="332" t="s">
        <v>132</v>
      </c>
      <c r="E421" s="332" t="s">
        <v>176</v>
      </c>
      <c r="F421" s="333"/>
      <c r="G421" s="334">
        <v>46101</v>
      </c>
      <c r="H421" s="335">
        <v>500.33</v>
      </c>
      <c r="I421" s="336">
        <v>246.12</v>
      </c>
      <c r="J421" s="337">
        <v>2595.5990000000002</v>
      </c>
      <c r="K421" s="338" t="s">
        <v>349</v>
      </c>
      <c r="L421" s="339" t="s">
        <v>338</v>
      </c>
      <c r="M421" s="340">
        <v>30</v>
      </c>
      <c r="N421" s="341">
        <v>88653</v>
      </c>
      <c r="O421" s="332">
        <v>58</v>
      </c>
      <c r="P421" s="342">
        <v>10.4</v>
      </c>
      <c r="Q421" s="343">
        <v>9.2807424593967411</v>
      </c>
      <c r="R421" s="344">
        <v>1.7065217391304346</v>
      </c>
      <c r="S421" s="344">
        <v>1.724</v>
      </c>
      <c r="T421" s="344">
        <v>1.8839999999999999</v>
      </c>
      <c r="U421" s="344" t="s">
        <v>136</v>
      </c>
      <c r="V421" s="332" t="s">
        <v>137</v>
      </c>
      <c r="W421" s="345">
        <v>8</v>
      </c>
      <c r="X421" s="346">
        <v>4</v>
      </c>
      <c r="Y421" s="208">
        <v>2.8069999999999999</v>
      </c>
      <c r="Z421" s="332"/>
      <c r="AA421" s="342"/>
      <c r="AB421" s="342"/>
      <c r="AC421" s="342"/>
      <c r="AD421" s="347"/>
      <c r="AE421" s="348">
        <v>1.7070000000000001</v>
      </c>
      <c r="AF421" s="349">
        <v>0</v>
      </c>
      <c r="AG421" s="350"/>
      <c r="AH421" s="351" t="s">
        <v>139</v>
      </c>
      <c r="AI421" s="352" t="s">
        <v>139</v>
      </c>
      <c r="AJ421" s="206" t="s">
        <v>139</v>
      </c>
      <c r="AK421" s="353" t="s">
        <v>662</v>
      </c>
      <c r="AL421" s="206" t="s">
        <v>139</v>
      </c>
      <c r="AM421" s="349">
        <v>99.971982374366405</v>
      </c>
      <c r="AN421" s="354" t="s">
        <v>139</v>
      </c>
      <c r="AO421" s="355" t="s">
        <v>140</v>
      </c>
      <c r="AP421" s="206" t="s">
        <v>139</v>
      </c>
      <c r="AQ421" s="207">
        <v>0</v>
      </c>
      <c r="AR421" s="211"/>
      <c r="AS421" s="297">
        <f>+IF(Table1[[#This Row],[Column40]]="ok",Table1[[#This Row],[Column7]],0)</f>
        <v>500.33</v>
      </c>
      <c r="AT421" s="295">
        <f>+IF(Table1[[#This Row],[Column40]]="No",Table1[[#This Row],[Column7]],0)</f>
        <v>0</v>
      </c>
      <c r="AU421" s="4" t="str">
        <f>+IF(LEFT(Table1[[#This Row],[Column42]],2)="DN",IF(Table1[[#This Row],[Column40]]="ok","(CA)",_xlfn.CONCAT("(CA)",CHAR(10),"FAIL")),"")</f>
        <v/>
      </c>
      <c r="AV421" s="154" t="str">
        <f>+IF(Table1[[#This Row],[Column6]]=0,"",_xlfn.CONCAT("Sem ",WEEKNUM(Table1[[#This Row],[Column6]],2)))</f>
        <v>Sem 12</v>
      </c>
      <c r="AW421" s="211"/>
    </row>
    <row r="422" spans="2:49" ht="19.5" customHeight="1" x14ac:dyDescent="0.3">
      <c r="B422" s="356" t="s">
        <v>710</v>
      </c>
      <c r="C422" s="331"/>
      <c r="D422" s="332" t="s">
        <v>132</v>
      </c>
      <c r="E422" s="332" t="s">
        <v>176</v>
      </c>
      <c r="F422" s="333"/>
      <c r="G422" s="334">
        <v>46101</v>
      </c>
      <c r="H422" s="335">
        <v>541.9</v>
      </c>
      <c r="I422" s="336">
        <v>205.65</v>
      </c>
      <c r="J422" s="337">
        <v>2608.259</v>
      </c>
      <c r="K422" s="338" t="s">
        <v>349</v>
      </c>
      <c r="L422" s="339" t="s">
        <v>332</v>
      </c>
      <c r="M422" s="340">
        <v>30</v>
      </c>
      <c r="N422" s="341">
        <v>88653</v>
      </c>
      <c r="O422" s="332">
        <v>58</v>
      </c>
      <c r="P422" s="342">
        <v>10.5</v>
      </c>
      <c r="Q422" s="343">
        <v>10.069848661233994</v>
      </c>
      <c r="R422" s="344">
        <v>1.7113122171945703</v>
      </c>
      <c r="S422" s="344">
        <v>1.718</v>
      </c>
      <c r="T422" s="344">
        <v>1.891</v>
      </c>
      <c r="U422" s="344" t="s">
        <v>136</v>
      </c>
      <c r="V422" s="332" t="s">
        <v>137</v>
      </c>
      <c r="W422" s="345">
        <v>8</v>
      </c>
      <c r="X422" s="346">
        <v>4</v>
      </c>
      <c r="Y422" s="208">
        <v>2.8069999999999999</v>
      </c>
      <c r="Z422" s="332"/>
      <c r="AA422" s="342"/>
      <c r="AB422" s="342"/>
      <c r="AC422" s="342"/>
      <c r="AD422" s="347"/>
      <c r="AE422" s="348">
        <v>1.7070000000000001</v>
      </c>
      <c r="AF422" s="349">
        <v>0</v>
      </c>
      <c r="AG422" s="350"/>
      <c r="AH422" s="351" t="s">
        <v>139</v>
      </c>
      <c r="AI422" s="352" t="s">
        <v>139</v>
      </c>
      <c r="AJ422" s="206" t="s">
        <v>139</v>
      </c>
      <c r="AK422" s="353" t="s">
        <v>662</v>
      </c>
      <c r="AL422" s="206" t="s">
        <v>139</v>
      </c>
      <c r="AM422" s="349">
        <v>100.25261963647161</v>
      </c>
      <c r="AN422" s="354" t="s">
        <v>139</v>
      </c>
      <c r="AO422" s="355" t="s">
        <v>140</v>
      </c>
      <c r="AP422" s="206" t="s">
        <v>139</v>
      </c>
      <c r="AQ422" s="207">
        <v>0</v>
      </c>
      <c r="AR422" s="211"/>
      <c r="AS422" s="297">
        <f>+IF(Table1[[#This Row],[Column40]]="ok",Table1[[#This Row],[Column7]],0)</f>
        <v>541.9</v>
      </c>
      <c r="AT422" s="295">
        <f>+IF(Table1[[#This Row],[Column40]]="No",Table1[[#This Row],[Column7]],0)</f>
        <v>0</v>
      </c>
      <c r="AU422" s="4" t="str">
        <f>+IF(LEFT(Table1[[#This Row],[Column42]],2)="DN",IF(Table1[[#This Row],[Column40]]="ok","(CA)",_xlfn.CONCAT("(CA)",CHAR(10),"FAIL")),"")</f>
        <v/>
      </c>
      <c r="AV422" s="154" t="str">
        <f>+IF(Table1[[#This Row],[Column6]]=0,"",_xlfn.CONCAT("Sem ",WEEKNUM(Table1[[#This Row],[Column6]],2)))</f>
        <v>Sem 12</v>
      </c>
      <c r="AW422" s="211"/>
    </row>
    <row r="423" spans="2:49" ht="19.5" customHeight="1" x14ac:dyDescent="0.3">
      <c r="B423" s="356" t="s">
        <v>711</v>
      </c>
      <c r="C423" s="331"/>
      <c r="D423" s="332" t="s">
        <v>132</v>
      </c>
      <c r="E423" s="332" t="s">
        <v>176</v>
      </c>
      <c r="F423" s="333"/>
      <c r="G423" s="334">
        <v>46101</v>
      </c>
      <c r="H423" s="335">
        <v>759.55</v>
      </c>
      <c r="I423" s="336">
        <v>48.93</v>
      </c>
      <c r="J423" s="337">
        <v>2631.4879999999998</v>
      </c>
      <c r="K423" s="338" t="s">
        <v>167</v>
      </c>
      <c r="L423" s="339" t="s">
        <v>354</v>
      </c>
      <c r="M423" s="340">
        <v>30</v>
      </c>
      <c r="N423" s="341">
        <v>88653</v>
      </c>
      <c r="O423" s="332">
        <v>58</v>
      </c>
      <c r="P423" s="342">
        <v>9.7000000000000011</v>
      </c>
      <c r="Q423" s="343">
        <v>11.643835616438359</v>
      </c>
      <c r="R423" s="344">
        <v>1.7830446672743847</v>
      </c>
      <c r="S423" s="344">
        <v>1.752</v>
      </c>
      <c r="T423" s="344">
        <v>1.956</v>
      </c>
      <c r="U423" s="344" t="s">
        <v>136</v>
      </c>
      <c r="V423" s="332" t="s">
        <v>137</v>
      </c>
      <c r="W423" s="345">
        <v>8</v>
      </c>
      <c r="X423" s="346">
        <v>4</v>
      </c>
      <c r="Y423" s="208">
        <v>2.8069999999999999</v>
      </c>
      <c r="Z423" s="332"/>
      <c r="AA423" s="342"/>
      <c r="AB423" s="342"/>
      <c r="AC423" s="342"/>
      <c r="AD423" s="347"/>
      <c r="AE423" s="348">
        <v>1.7070000000000001</v>
      </c>
      <c r="AF423" s="349">
        <v>0</v>
      </c>
      <c r="AG423" s="350"/>
      <c r="AH423" s="351" t="s">
        <v>139</v>
      </c>
      <c r="AI423" s="352" t="s">
        <v>139</v>
      </c>
      <c r="AJ423" s="206" t="s">
        <v>139</v>
      </c>
      <c r="AK423" s="353" t="s">
        <v>662</v>
      </c>
      <c r="AL423" s="206" t="s">
        <v>139</v>
      </c>
      <c r="AM423" s="349">
        <v>104.45487213089541</v>
      </c>
      <c r="AN423" s="354" t="s">
        <v>139</v>
      </c>
      <c r="AO423" s="355" t="s">
        <v>140</v>
      </c>
      <c r="AP423" s="206" t="s">
        <v>139</v>
      </c>
      <c r="AQ423" s="207">
        <v>0</v>
      </c>
      <c r="AR423" s="211"/>
      <c r="AS423" s="297">
        <f>+IF(Table1[[#This Row],[Column40]]="ok",Table1[[#This Row],[Column7]],0)</f>
        <v>759.55</v>
      </c>
      <c r="AT423" s="295">
        <f>+IF(Table1[[#This Row],[Column40]]="No",Table1[[#This Row],[Column7]],0)</f>
        <v>0</v>
      </c>
      <c r="AU423" s="4" t="str">
        <f>+IF(LEFT(Table1[[#This Row],[Column42]],2)="DN",IF(Table1[[#This Row],[Column40]]="ok","(CA)",_xlfn.CONCAT("(CA)",CHAR(10),"FAIL")),"")</f>
        <v/>
      </c>
      <c r="AV423" s="154" t="str">
        <f>+IF(Table1[[#This Row],[Column6]]=0,"",_xlfn.CONCAT("Sem ",WEEKNUM(Table1[[#This Row],[Column6]],2)))</f>
        <v>Sem 12</v>
      </c>
      <c r="AW423" s="211"/>
    </row>
    <row r="424" spans="2:49" ht="19.5" customHeight="1" x14ac:dyDescent="0.3">
      <c r="B424" s="356" t="s">
        <v>712</v>
      </c>
      <c r="C424" s="331"/>
      <c r="D424" s="332" t="s">
        <v>132</v>
      </c>
      <c r="E424" s="332" t="s">
        <v>176</v>
      </c>
      <c r="F424" s="333"/>
      <c r="G424" s="334">
        <v>46101</v>
      </c>
      <c r="H424" s="335">
        <v>776.75</v>
      </c>
      <c r="I424" s="336">
        <v>131.37</v>
      </c>
      <c r="J424" s="337">
        <v>2610.7840000000001</v>
      </c>
      <c r="K424" s="338" t="s">
        <v>167</v>
      </c>
      <c r="L424" s="339" t="s">
        <v>354</v>
      </c>
      <c r="M424" s="340">
        <v>30</v>
      </c>
      <c r="N424" s="341">
        <v>88653</v>
      </c>
      <c r="O424" s="332">
        <v>58</v>
      </c>
      <c r="P424" s="342">
        <v>10.9</v>
      </c>
      <c r="Q424" s="343">
        <v>12.344280860702138</v>
      </c>
      <c r="R424" s="344">
        <v>1.7889990982867447</v>
      </c>
      <c r="S424" s="344">
        <v>1.766</v>
      </c>
      <c r="T424" s="344">
        <v>1.984</v>
      </c>
      <c r="U424" s="344" t="s">
        <v>136</v>
      </c>
      <c r="V424" s="332" t="s">
        <v>137</v>
      </c>
      <c r="W424" s="345">
        <v>8</v>
      </c>
      <c r="X424" s="346">
        <v>4</v>
      </c>
      <c r="Y424" s="208">
        <v>2.8069999999999999</v>
      </c>
      <c r="Z424" s="332"/>
      <c r="AA424" s="342"/>
      <c r="AB424" s="342"/>
      <c r="AC424" s="342"/>
      <c r="AD424" s="347"/>
      <c r="AE424" s="348">
        <v>1.7070000000000001</v>
      </c>
      <c r="AF424" s="349">
        <v>0</v>
      </c>
      <c r="AG424" s="350"/>
      <c r="AH424" s="351" t="s">
        <v>139</v>
      </c>
      <c r="AI424" s="352" t="s">
        <v>139</v>
      </c>
      <c r="AJ424" s="206" t="s">
        <v>139</v>
      </c>
      <c r="AK424" s="353" t="s">
        <v>662</v>
      </c>
      <c r="AL424" s="206" t="s">
        <v>139</v>
      </c>
      <c r="AM424" s="349">
        <v>104.80369644327736</v>
      </c>
      <c r="AN424" s="354" t="s">
        <v>139</v>
      </c>
      <c r="AO424" s="355" t="s">
        <v>140</v>
      </c>
      <c r="AP424" s="206" t="s">
        <v>139</v>
      </c>
      <c r="AQ424" s="207">
        <v>0</v>
      </c>
      <c r="AR424" s="211"/>
      <c r="AS424" s="297">
        <f>+IF(Table1[[#This Row],[Column40]]="ok",Table1[[#This Row],[Column7]],0)</f>
        <v>776.75</v>
      </c>
      <c r="AT424" s="295">
        <f>+IF(Table1[[#This Row],[Column40]]="No",Table1[[#This Row],[Column7]],0)</f>
        <v>0</v>
      </c>
      <c r="AU424" s="4" t="str">
        <f>+IF(LEFT(Table1[[#This Row],[Column42]],2)="DN",IF(Table1[[#This Row],[Column40]]="ok","(CA)",_xlfn.CONCAT("(CA)",CHAR(10),"FAIL")),"")</f>
        <v/>
      </c>
      <c r="AV424" s="154" t="str">
        <f>+IF(Table1[[#This Row],[Column6]]=0,"",_xlfn.CONCAT("Sem ",WEEKNUM(Table1[[#This Row],[Column6]],2)))</f>
        <v>Sem 12</v>
      </c>
      <c r="AW424" s="211"/>
    </row>
    <row r="425" spans="2:49" ht="19.5" customHeight="1" x14ac:dyDescent="0.3">
      <c r="B425" s="356" t="s">
        <v>713</v>
      </c>
      <c r="C425" s="331"/>
      <c r="D425" s="332" t="s">
        <v>132</v>
      </c>
      <c r="E425" s="332" t="s">
        <v>176</v>
      </c>
      <c r="F425" s="333"/>
      <c r="G425" s="334">
        <v>46101</v>
      </c>
      <c r="H425" s="335">
        <v>804.67</v>
      </c>
      <c r="I425" s="336">
        <v>240.48</v>
      </c>
      <c r="J425" s="337">
        <v>2579.0059999999999</v>
      </c>
      <c r="K425" s="338" t="s">
        <v>200</v>
      </c>
      <c r="L425" s="339" t="s">
        <v>304</v>
      </c>
      <c r="M425" s="340">
        <v>30</v>
      </c>
      <c r="N425" s="341">
        <v>88653</v>
      </c>
      <c r="O425" s="332">
        <v>58</v>
      </c>
      <c r="P425" s="342">
        <v>10.6</v>
      </c>
      <c r="Q425" s="343">
        <v>11.318619128466345</v>
      </c>
      <c r="R425" s="344">
        <v>1.7784810126582278</v>
      </c>
      <c r="S425" s="344">
        <v>1.7669999999999999</v>
      </c>
      <c r="T425" s="344">
        <v>1.9670000000000001</v>
      </c>
      <c r="U425" s="344" t="s">
        <v>136</v>
      </c>
      <c r="V425" s="332" t="s">
        <v>137</v>
      </c>
      <c r="W425" s="345">
        <v>8</v>
      </c>
      <c r="X425" s="346">
        <v>4</v>
      </c>
      <c r="Y425" s="208">
        <v>2.8069999999999999</v>
      </c>
      <c r="Z425" s="332"/>
      <c r="AA425" s="342"/>
      <c r="AB425" s="342"/>
      <c r="AC425" s="342"/>
      <c r="AD425" s="347"/>
      <c r="AE425" s="348">
        <v>1.7070000000000001</v>
      </c>
      <c r="AF425" s="349">
        <v>0</v>
      </c>
      <c r="AG425" s="350"/>
      <c r="AH425" s="351" t="s">
        <v>139</v>
      </c>
      <c r="AI425" s="352" t="s">
        <v>139</v>
      </c>
      <c r="AJ425" s="206" t="s">
        <v>139</v>
      </c>
      <c r="AK425" s="353" t="s">
        <v>662</v>
      </c>
      <c r="AL425" s="206" t="s">
        <v>139</v>
      </c>
      <c r="AM425" s="349">
        <v>104.18752270991376</v>
      </c>
      <c r="AN425" s="354" t="s">
        <v>139</v>
      </c>
      <c r="AO425" s="355" t="s">
        <v>140</v>
      </c>
      <c r="AP425" s="206" t="s">
        <v>139</v>
      </c>
      <c r="AQ425" s="207">
        <v>0</v>
      </c>
      <c r="AR425" s="211"/>
      <c r="AS425" s="297">
        <f>+IF(Table1[[#This Row],[Column40]]="ok",Table1[[#This Row],[Column7]],0)</f>
        <v>804.67</v>
      </c>
      <c r="AT425" s="295">
        <f>+IF(Table1[[#This Row],[Column40]]="No",Table1[[#This Row],[Column7]],0)</f>
        <v>0</v>
      </c>
      <c r="AU425" s="4" t="str">
        <f>+IF(LEFT(Table1[[#This Row],[Column42]],2)="DN",IF(Table1[[#This Row],[Column40]]="ok","(CA)",_xlfn.CONCAT("(CA)",CHAR(10),"FAIL")),"")</f>
        <v/>
      </c>
      <c r="AV425" s="154" t="str">
        <f>+IF(Table1[[#This Row],[Column6]]=0,"",_xlfn.CONCAT("Sem ",WEEKNUM(Table1[[#This Row],[Column6]],2)))</f>
        <v>Sem 12</v>
      </c>
      <c r="AW425" s="211"/>
    </row>
    <row r="426" spans="2:49" ht="19.5" customHeight="1" x14ac:dyDescent="0.3">
      <c r="B426" s="356" t="s">
        <v>714</v>
      </c>
      <c r="C426" s="331"/>
      <c r="D426" s="332" t="s">
        <v>132</v>
      </c>
      <c r="E426" s="332" t="s">
        <v>176</v>
      </c>
      <c r="F426" s="333"/>
      <c r="G426" s="334">
        <v>46101</v>
      </c>
      <c r="H426" s="335">
        <v>1700.25</v>
      </c>
      <c r="I426" s="336">
        <v>360.01</v>
      </c>
      <c r="J426" s="337">
        <v>2537.9299999999998</v>
      </c>
      <c r="K426" s="338" t="s">
        <v>715</v>
      </c>
      <c r="L426" s="339" t="s">
        <v>150</v>
      </c>
      <c r="M426" s="340" t="s">
        <v>293</v>
      </c>
      <c r="N426" s="341" t="s">
        <v>293</v>
      </c>
      <c r="O426" s="332" t="s">
        <v>293</v>
      </c>
      <c r="P426" s="342" t="s">
        <v>293</v>
      </c>
      <c r="Q426" s="343" t="s">
        <v>293</v>
      </c>
      <c r="R426" s="344" t="s">
        <v>293</v>
      </c>
      <c r="S426" s="344" t="s">
        <v>293</v>
      </c>
      <c r="T426" s="344" t="s">
        <v>293</v>
      </c>
      <c r="U426" s="344" t="s">
        <v>294</v>
      </c>
      <c r="V426" s="332" t="s">
        <v>293</v>
      </c>
      <c r="W426" s="345" t="s">
        <v>293</v>
      </c>
      <c r="X426" s="346" t="s">
        <v>293</v>
      </c>
      <c r="Y426" s="208">
        <v>2.7232813932079201</v>
      </c>
      <c r="Z426" s="332" t="s">
        <v>227</v>
      </c>
      <c r="AA426" s="342">
        <v>99.309392265193367</v>
      </c>
      <c r="AB426" s="342">
        <v>82.513812154696126</v>
      </c>
      <c r="AC426" s="342">
        <v>41.160220994475139</v>
      </c>
      <c r="AD426" s="347">
        <v>13.370165745856355</v>
      </c>
      <c r="AE426" s="348">
        <v>1.7001949569191295</v>
      </c>
      <c r="AF426" s="349">
        <v>16.209844880317426</v>
      </c>
      <c r="AG426" s="350" t="s">
        <v>714</v>
      </c>
      <c r="AH426" s="351" t="s">
        <v>293</v>
      </c>
      <c r="AI426" s="352" t="s">
        <v>293</v>
      </c>
      <c r="AJ426" s="206" t="s">
        <v>293</v>
      </c>
      <c r="AK426" s="353" t="s">
        <v>293</v>
      </c>
      <c r="AL426" s="206" t="s">
        <v>293</v>
      </c>
      <c r="AM426" s="349" t="s">
        <v>293</v>
      </c>
      <c r="AN426" s="354" t="s">
        <v>293</v>
      </c>
      <c r="AO426" s="355" t="s">
        <v>293</v>
      </c>
      <c r="AP426" s="206" t="s">
        <v>293</v>
      </c>
      <c r="AQ426" s="207" t="s">
        <v>295</v>
      </c>
      <c r="AR426" s="211"/>
      <c r="AS426" s="297">
        <f>+IF(Table1[[#This Row],[Column40]]="ok",Table1[[#This Row],[Column7]],0)</f>
        <v>0</v>
      </c>
      <c r="AT426" s="295">
        <f>+IF(Table1[[#This Row],[Column40]]="No",Table1[[#This Row],[Column7]],0)</f>
        <v>0</v>
      </c>
      <c r="AU426" s="4" t="str">
        <f>+IF(LEFT(Table1[[#This Row],[Column42]],2)="DN",IF(Table1[[#This Row],[Column40]]="ok","(CA)",_xlfn.CONCAT("(CA)",CHAR(10),"FAIL")),"")</f>
        <v/>
      </c>
      <c r="AV426" s="154" t="str">
        <f>+IF(Table1[[#This Row],[Column6]]=0,"",_xlfn.CONCAT("Sem ",WEEKNUM(Table1[[#This Row],[Column6]],2)))</f>
        <v>Sem 12</v>
      </c>
      <c r="AW426" s="211"/>
    </row>
    <row r="427" spans="2:49" ht="19.5" customHeight="1" x14ac:dyDescent="0.3">
      <c r="B427" s="356" t="s">
        <v>716</v>
      </c>
      <c r="C427" s="331"/>
      <c r="D427" s="332" t="s">
        <v>132</v>
      </c>
      <c r="E427" s="332" t="s">
        <v>133</v>
      </c>
      <c r="F427" s="333"/>
      <c r="G427" s="334">
        <v>46102</v>
      </c>
      <c r="H427" s="335">
        <v>699.71</v>
      </c>
      <c r="I427" s="336">
        <v>78.81</v>
      </c>
      <c r="J427" s="337">
        <v>2631.85</v>
      </c>
      <c r="K427" s="338" t="s">
        <v>167</v>
      </c>
      <c r="L427" s="339" t="s">
        <v>504</v>
      </c>
      <c r="M427" s="340">
        <v>30</v>
      </c>
      <c r="N427" s="341">
        <v>88653</v>
      </c>
      <c r="O427" s="332">
        <v>58</v>
      </c>
      <c r="P427" s="342">
        <v>9.8000000000000007</v>
      </c>
      <c r="Q427" s="343">
        <v>10.818713450292394</v>
      </c>
      <c r="R427" s="344">
        <v>1.7258652094717668</v>
      </c>
      <c r="S427" s="344">
        <v>1.71</v>
      </c>
      <c r="T427" s="344">
        <v>1.895</v>
      </c>
      <c r="U427" s="344" t="s">
        <v>136</v>
      </c>
      <c r="V427" s="332" t="s">
        <v>137</v>
      </c>
      <c r="W427" s="345">
        <v>8</v>
      </c>
      <c r="X427" s="346">
        <v>4</v>
      </c>
      <c r="Y427" s="208">
        <v>2.8069999999999999</v>
      </c>
      <c r="Z427" s="332"/>
      <c r="AA427" s="342"/>
      <c r="AB427" s="342"/>
      <c r="AC427" s="342"/>
      <c r="AD427" s="347"/>
      <c r="AE427" s="348">
        <v>1.7070000000000001</v>
      </c>
      <c r="AF427" s="349">
        <v>0</v>
      </c>
      <c r="AG427" s="350"/>
      <c r="AH427" s="351" t="s">
        <v>139</v>
      </c>
      <c r="AI427" s="352" t="s">
        <v>139</v>
      </c>
      <c r="AJ427" s="206" t="s">
        <v>139</v>
      </c>
      <c r="AK427" s="353" t="s">
        <v>662</v>
      </c>
      <c r="AL427" s="206" t="s">
        <v>139</v>
      </c>
      <c r="AM427" s="349">
        <v>101.10516751445617</v>
      </c>
      <c r="AN427" s="354" t="s">
        <v>139</v>
      </c>
      <c r="AO427" s="355" t="s">
        <v>140</v>
      </c>
      <c r="AP427" s="206" t="s">
        <v>139</v>
      </c>
      <c r="AQ427" s="207">
        <v>0</v>
      </c>
      <c r="AR427" s="211"/>
      <c r="AS427" s="297">
        <f>+IF(Table1[[#This Row],[Column40]]="ok",Table1[[#This Row],[Column7]],0)</f>
        <v>699.71</v>
      </c>
      <c r="AT427" s="295">
        <f>+IF(Table1[[#This Row],[Column40]]="No",Table1[[#This Row],[Column7]],0)</f>
        <v>0</v>
      </c>
      <c r="AU427" s="4" t="str">
        <f>+IF(LEFT(Table1[[#This Row],[Column42]],2)="DN",IF(Table1[[#This Row],[Column40]]="ok","(CA)",_xlfn.CONCAT("(CA)",CHAR(10),"FAIL")),"")</f>
        <v/>
      </c>
      <c r="AV427" s="154" t="str">
        <f>+IF(Table1[[#This Row],[Column6]]=0,"",_xlfn.CONCAT("Sem ",WEEKNUM(Table1[[#This Row],[Column6]],2)))</f>
        <v>Sem 12</v>
      </c>
      <c r="AW427" s="211"/>
    </row>
    <row r="428" spans="2:49" ht="19.5" customHeight="1" x14ac:dyDescent="0.3">
      <c r="B428" s="356" t="s">
        <v>717</v>
      </c>
      <c r="C428" s="331"/>
      <c r="D428" s="332" t="s">
        <v>132</v>
      </c>
      <c r="E428" s="332" t="s">
        <v>133</v>
      </c>
      <c r="F428" s="333"/>
      <c r="G428" s="334">
        <v>46102</v>
      </c>
      <c r="H428" s="335">
        <v>661.82</v>
      </c>
      <c r="I428" s="336">
        <v>128.19</v>
      </c>
      <c r="J428" s="337">
        <v>2622.64</v>
      </c>
      <c r="K428" s="338" t="s">
        <v>167</v>
      </c>
      <c r="L428" s="339" t="s">
        <v>322</v>
      </c>
      <c r="M428" s="340">
        <v>30</v>
      </c>
      <c r="N428" s="341">
        <v>88653</v>
      </c>
      <c r="O428" s="332">
        <v>58</v>
      </c>
      <c r="P428" s="342">
        <v>9.8000000000000007</v>
      </c>
      <c r="Q428" s="343">
        <v>9.6846846846846866</v>
      </c>
      <c r="R428" s="344">
        <v>1.774134790528233</v>
      </c>
      <c r="S428" s="344">
        <v>1.776</v>
      </c>
      <c r="T428" s="344">
        <v>1.948</v>
      </c>
      <c r="U428" s="344" t="s">
        <v>136</v>
      </c>
      <c r="V428" s="332" t="s">
        <v>137</v>
      </c>
      <c r="W428" s="345">
        <v>8</v>
      </c>
      <c r="X428" s="346">
        <v>4</v>
      </c>
      <c r="Y428" s="208">
        <v>2.8069999999999999</v>
      </c>
      <c r="Z428" s="332"/>
      <c r="AA428" s="342"/>
      <c r="AB428" s="342"/>
      <c r="AC428" s="342"/>
      <c r="AD428" s="347"/>
      <c r="AE428" s="348">
        <v>1.7070000000000001</v>
      </c>
      <c r="AF428" s="349">
        <v>0</v>
      </c>
      <c r="AG428" s="350"/>
      <c r="AH428" s="351" t="s">
        <v>139</v>
      </c>
      <c r="AI428" s="352" t="s">
        <v>139</v>
      </c>
      <c r="AJ428" s="206" t="s">
        <v>139</v>
      </c>
      <c r="AK428" s="353" t="s">
        <v>662</v>
      </c>
      <c r="AL428" s="206" t="s">
        <v>139</v>
      </c>
      <c r="AM428" s="349">
        <v>103.93291098583673</v>
      </c>
      <c r="AN428" s="354" t="s">
        <v>139</v>
      </c>
      <c r="AO428" s="355" t="s">
        <v>140</v>
      </c>
      <c r="AP428" s="206" t="s">
        <v>139</v>
      </c>
      <c r="AQ428" s="207">
        <v>0</v>
      </c>
      <c r="AR428" s="211"/>
      <c r="AS428" s="297">
        <f>+IF(Table1[[#This Row],[Column40]]="ok",Table1[[#This Row],[Column7]],0)</f>
        <v>661.82</v>
      </c>
      <c r="AT428" s="295">
        <f>+IF(Table1[[#This Row],[Column40]]="No",Table1[[#This Row],[Column7]],0)</f>
        <v>0</v>
      </c>
      <c r="AU428" s="4" t="str">
        <f>+IF(LEFT(Table1[[#This Row],[Column42]],2)="DN",IF(Table1[[#This Row],[Column40]]="ok","(CA)",_xlfn.CONCAT("(CA)",CHAR(10),"FAIL")),"")</f>
        <v/>
      </c>
      <c r="AV428" s="154" t="str">
        <f>+IF(Table1[[#This Row],[Column6]]=0,"",_xlfn.CONCAT("Sem ",WEEKNUM(Table1[[#This Row],[Column6]],2)))</f>
        <v>Sem 12</v>
      </c>
      <c r="AW428" s="211"/>
    </row>
    <row r="429" spans="2:49" ht="19.5" customHeight="1" x14ac:dyDescent="0.3">
      <c r="B429" s="356" t="s">
        <v>718</v>
      </c>
      <c r="C429" s="331"/>
      <c r="D429" s="332" t="s">
        <v>132</v>
      </c>
      <c r="E429" s="332" t="s">
        <v>133</v>
      </c>
      <c r="F429" s="333"/>
      <c r="G429" s="334">
        <v>46102</v>
      </c>
      <c r="H429" s="335">
        <v>630.76</v>
      </c>
      <c r="I429" s="336">
        <v>206.99</v>
      </c>
      <c r="J429" s="337">
        <v>2602.89</v>
      </c>
      <c r="K429" s="338" t="s">
        <v>167</v>
      </c>
      <c r="L429" s="339" t="s">
        <v>324</v>
      </c>
      <c r="M429" s="340">
        <v>30</v>
      </c>
      <c r="N429" s="341">
        <v>88653</v>
      </c>
      <c r="O429" s="332">
        <v>58</v>
      </c>
      <c r="P429" s="342">
        <v>8.3000000000000007</v>
      </c>
      <c r="Q429" s="343">
        <v>8.7260034904014017</v>
      </c>
      <c r="R429" s="344">
        <v>1.7257617728531855</v>
      </c>
      <c r="S429" s="344">
        <v>1.7190000000000001</v>
      </c>
      <c r="T429" s="344">
        <v>1.869</v>
      </c>
      <c r="U429" s="344" t="s">
        <v>136</v>
      </c>
      <c r="V429" s="332" t="s">
        <v>137</v>
      </c>
      <c r="W429" s="345">
        <v>8</v>
      </c>
      <c r="X429" s="346">
        <v>4</v>
      </c>
      <c r="Y429" s="208">
        <v>2.8069999999999999</v>
      </c>
      <c r="Z429" s="332"/>
      <c r="AA429" s="342"/>
      <c r="AB429" s="342"/>
      <c r="AC429" s="342"/>
      <c r="AD429" s="347"/>
      <c r="AE429" s="348">
        <v>1.7070000000000001</v>
      </c>
      <c r="AF429" s="349">
        <v>0</v>
      </c>
      <c r="AG429" s="350"/>
      <c r="AH429" s="351" t="s">
        <v>139</v>
      </c>
      <c r="AI429" s="352" t="s">
        <v>139</v>
      </c>
      <c r="AJ429" s="206" t="s">
        <v>139</v>
      </c>
      <c r="AK429" s="353" t="s">
        <v>662</v>
      </c>
      <c r="AL429" s="206" t="s">
        <v>139</v>
      </c>
      <c r="AM429" s="349">
        <v>101.09910795859318</v>
      </c>
      <c r="AN429" s="354" t="s">
        <v>139</v>
      </c>
      <c r="AO429" s="355" t="s">
        <v>140</v>
      </c>
      <c r="AP429" s="206" t="s">
        <v>139</v>
      </c>
      <c r="AQ429" s="207">
        <v>0</v>
      </c>
      <c r="AR429" s="211"/>
      <c r="AS429" s="297">
        <f>+IF(Table1[[#This Row],[Column40]]="ok",Table1[[#This Row],[Column7]],0)</f>
        <v>630.76</v>
      </c>
      <c r="AT429" s="295">
        <f>+IF(Table1[[#This Row],[Column40]]="No",Table1[[#This Row],[Column7]],0)</f>
        <v>0</v>
      </c>
      <c r="AU429" s="4" t="str">
        <f>+IF(LEFT(Table1[[#This Row],[Column42]],2)="DN",IF(Table1[[#This Row],[Column40]]="ok","(CA)",_xlfn.CONCAT("(CA)",CHAR(10),"FAIL")),"")</f>
        <v/>
      </c>
      <c r="AV429" s="154" t="str">
        <f>+IF(Table1[[#This Row],[Column6]]=0,"",_xlfn.CONCAT("Sem ",WEEKNUM(Table1[[#This Row],[Column6]],2)))</f>
        <v>Sem 12</v>
      </c>
      <c r="AW429" s="211"/>
    </row>
    <row r="430" spans="2:49" ht="19.5" customHeight="1" x14ac:dyDescent="0.3">
      <c r="B430" s="356" t="s">
        <v>719</v>
      </c>
      <c r="C430" s="331"/>
      <c r="D430" s="332" t="s">
        <v>132</v>
      </c>
      <c r="E430" s="332" t="s">
        <v>133</v>
      </c>
      <c r="F430" s="333"/>
      <c r="G430" s="334">
        <v>46102</v>
      </c>
      <c r="H430" s="335">
        <v>693.25</v>
      </c>
      <c r="I430" s="336">
        <v>209.34</v>
      </c>
      <c r="J430" s="337">
        <v>2598.42</v>
      </c>
      <c r="K430" s="338" t="s">
        <v>167</v>
      </c>
      <c r="L430" s="339" t="s">
        <v>347</v>
      </c>
      <c r="M430" s="340">
        <v>30</v>
      </c>
      <c r="N430" s="341">
        <v>88653</v>
      </c>
      <c r="O430" s="332">
        <v>58</v>
      </c>
      <c r="P430" s="342">
        <v>8.6999999999999993</v>
      </c>
      <c r="Q430" s="343">
        <v>10.138805069402522</v>
      </c>
      <c r="R430" s="344">
        <v>1.6789328426862926</v>
      </c>
      <c r="S430" s="344">
        <v>1.657</v>
      </c>
      <c r="T430" s="344">
        <v>1.825</v>
      </c>
      <c r="U430" s="344" t="s">
        <v>136</v>
      </c>
      <c r="V430" s="332" t="s">
        <v>137</v>
      </c>
      <c r="W430" s="345">
        <v>8</v>
      </c>
      <c r="X430" s="346">
        <v>4</v>
      </c>
      <c r="Y430" s="208">
        <v>2.8069999999999999</v>
      </c>
      <c r="Z430" s="332"/>
      <c r="AA430" s="342"/>
      <c r="AB430" s="342"/>
      <c r="AC430" s="342"/>
      <c r="AD430" s="347"/>
      <c r="AE430" s="348">
        <v>1.7002619372103567</v>
      </c>
      <c r="AF430" s="349">
        <v>16.498992474009615</v>
      </c>
      <c r="AG430" s="350"/>
      <c r="AH430" s="351">
        <v>1.6987951807228916</v>
      </c>
      <c r="AI430" s="352">
        <v>1.974</v>
      </c>
      <c r="AJ430" s="206">
        <v>16.2</v>
      </c>
      <c r="AK430" s="353" t="s">
        <v>720</v>
      </c>
      <c r="AL430" s="206">
        <v>0.29899247400961571</v>
      </c>
      <c r="AM430" s="349">
        <v>98.745540668924278</v>
      </c>
      <c r="AN430" s="354" t="s">
        <v>139</v>
      </c>
      <c r="AO430" s="355" t="s">
        <v>140</v>
      </c>
      <c r="AP430" s="206" t="s">
        <v>139</v>
      </c>
      <c r="AQ430" s="207" t="s">
        <v>721</v>
      </c>
      <c r="AR430" s="211"/>
      <c r="AS430" s="297">
        <f>+IF(Table1[[#This Row],[Column40]]="ok",Table1[[#This Row],[Column7]],0)</f>
        <v>693.25</v>
      </c>
      <c r="AT430" s="295">
        <f>+IF(Table1[[#This Row],[Column40]]="No",Table1[[#This Row],[Column7]],0)</f>
        <v>0</v>
      </c>
      <c r="AU430" s="4" t="str">
        <f>+IF(LEFT(Table1[[#This Row],[Column42]],2)="DN",IF(Table1[[#This Row],[Column40]]="ok","(CA)",_xlfn.CONCAT("(CA)",CHAR(10),"FAIL")),"")</f>
        <v/>
      </c>
      <c r="AV430" s="154" t="str">
        <f>+IF(Table1[[#This Row],[Column6]]=0,"",_xlfn.CONCAT("Sem ",WEEKNUM(Table1[[#This Row],[Column6]],2)))</f>
        <v>Sem 12</v>
      </c>
      <c r="AW430" s="211"/>
    </row>
    <row r="431" spans="2:49" ht="19.5" customHeight="1" x14ac:dyDescent="0.3">
      <c r="B431" s="356" t="s">
        <v>721</v>
      </c>
      <c r="C431" s="331"/>
      <c r="D431" s="332" t="s">
        <v>132</v>
      </c>
      <c r="E431" s="332" t="s">
        <v>133</v>
      </c>
      <c r="F431" s="333"/>
      <c r="G431" s="334">
        <v>46102</v>
      </c>
      <c r="H431" s="335">
        <v>693.25</v>
      </c>
      <c r="I431" s="336">
        <v>209.34</v>
      </c>
      <c r="J431" s="337">
        <v>2598.42</v>
      </c>
      <c r="K431" s="338" t="s">
        <v>167</v>
      </c>
      <c r="L431" s="339" t="s">
        <v>347</v>
      </c>
      <c r="M431" s="340">
        <v>15</v>
      </c>
      <c r="N431" s="341"/>
      <c r="O431" s="332"/>
      <c r="P431" s="342">
        <v>8.6837793555434057</v>
      </c>
      <c r="Q431" s="343"/>
      <c r="R431" s="344">
        <v>1.7089632166079496</v>
      </c>
      <c r="S431" s="344"/>
      <c r="T431" s="344">
        <v>1.8573658116055813</v>
      </c>
      <c r="U431" s="344" t="s">
        <v>142</v>
      </c>
      <c r="V431" s="332" t="s">
        <v>137</v>
      </c>
      <c r="W431" s="345" t="s">
        <v>173</v>
      </c>
      <c r="X431" s="346" t="s">
        <v>680</v>
      </c>
      <c r="Y431" s="208"/>
      <c r="Z431" s="332" t="s">
        <v>143</v>
      </c>
      <c r="AA431" s="342">
        <v>98.853085745494269</v>
      </c>
      <c r="AB431" s="342">
        <v>76.679410158383405</v>
      </c>
      <c r="AC431" s="342">
        <v>31.10322228290552</v>
      </c>
      <c r="AD431" s="347">
        <v>9.9945385035499896</v>
      </c>
      <c r="AE431" s="348">
        <v>1.7002619372103567</v>
      </c>
      <c r="AF431" s="349">
        <v>16.498992474009615</v>
      </c>
      <c r="AG431" s="350" t="s">
        <v>720</v>
      </c>
      <c r="AH431" s="351">
        <v>1.6992147906208761</v>
      </c>
      <c r="AI431" s="352">
        <v>1.973810284254232</v>
      </c>
      <c r="AJ431" s="206">
        <v>16.160140268848611</v>
      </c>
      <c r="AK431" s="353" t="s">
        <v>720</v>
      </c>
      <c r="AL431" s="206">
        <v>0.33885220516100389</v>
      </c>
      <c r="AM431" s="349">
        <v>100.51176111204778</v>
      </c>
      <c r="AN431" s="354" t="s">
        <v>139</v>
      </c>
      <c r="AO431" s="355" t="s">
        <v>144</v>
      </c>
      <c r="AP431" s="206">
        <v>0</v>
      </c>
      <c r="AQ431" s="207" t="s">
        <v>719</v>
      </c>
      <c r="AR431" s="211"/>
      <c r="AS431" s="297">
        <f>+IF(Table1[[#This Row],[Column40]]="ok",Table1[[#This Row],[Column7]],0)</f>
        <v>693.25</v>
      </c>
      <c r="AT431" s="295">
        <f>+IF(Table1[[#This Row],[Column40]]="No",Table1[[#This Row],[Column7]],0)</f>
        <v>0</v>
      </c>
      <c r="AU431" s="4" t="str">
        <f>+IF(LEFT(Table1[[#This Row],[Column42]],2)="DN",IF(Table1[[#This Row],[Column40]]="ok","(CA)",_xlfn.CONCAT("(CA)",CHAR(10),"FAIL")),"")</f>
        <v>(CA)</v>
      </c>
      <c r="AV431" s="154" t="str">
        <f>+IF(Table1[[#This Row],[Column6]]=0,"",_xlfn.CONCAT("Sem ",WEEKNUM(Table1[[#This Row],[Column6]],2)))</f>
        <v>Sem 12</v>
      </c>
      <c r="AW431" s="211"/>
    </row>
    <row r="432" spans="2:49" ht="19.5" customHeight="1" x14ac:dyDescent="0.3">
      <c r="B432" s="356" t="s">
        <v>722</v>
      </c>
      <c r="C432" s="331"/>
      <c r="D432" s="332" t="s">
        <v>132</v>
      </c>
      <c r="E432" s="332" t="s">
        <v>133</v>
      </c>
      <c r="F432" s="333"/>
      <c r="G432" s="334">
        <v>46102</v>
      </c>
      <c r="H432" s="335">
        <v>724.75</v>
      </c>
      <c r="I432" s="336">
        <v>151.13999999999999</v>
      </c>
      <c r="J432" s="337">
        <v>2611.44</v>
      </c>
      <c r="K432" s="338" t="s">
        <v>167</v>
      </c>
      <c r="L432" s="339" t="s">
        <v>504</v>
      </c>
      <c r="M432" s="340">
        <v>30</v>
      </c>
      <c r="N432" s="341">
        <v>88653</v>
      </c>
      <c r="O432" s="332">
        <v>58</v>
      </c>
      <c r="P432" s="342">
        <v>8.2000000000000011</v>
      </c>
      <c r="Q432" s="343">
        <v>8.5959885386819543</v>
      </c>
      <c r="R432" s="344">
        <v>1.7513863216266172</v>
      </c>
      <c r="S432" s="344">
        <v>1.7450000000000001</v>
      </c>
      <c r="T432" s="344">
        <v>1.895</v>
      </c>
      <c r="U432" s="344" t="s">
        <v>136</v>
      </c>
      <c r="V432" s="332" t="s">
        <v>137</v>
      </c>
      <c r="W432" s="345">
        <v>8</v>
      </c>
      <c r="X432" s="346">
        <v>4</v>
      </c>
      <c r="Y432" s="208">
        <v>2.8069999999999999</v>
      </c>
      <c r="Z432" s="332"/>
      <c r="AA432" s="342"/>
      <c r="AB432" s="342"/>
      <c r="AC432" s="342"/>
      <c r="AD432" s="347"/>
      <c r="AE432" s="358">
        <v>1.7070000000000001</v>
      </c>
      <c r="AF432" s="349">
        <v>0</v>
      </c>
      <c r="AG432" s="350"/>
      <c r="AH432" s="351" t="s">
        <v>139</v>
      </c>
      <c r="AI432" s="351" t="s">
        <v>139</v>
      </c>
      <c r="AJ432" s="206" t="s">
        <v>139</v>
      </c>
      <c r="AK432" s="353" t="s">
        <v>662</v>
      </c>
      <c r="AL432" s="206" t="s">
        <v>139</v>
      </c>
      <c r="AM432" s="349">
        <v>102.60025317086216</v>
      </c>
      <c r="AN432" s="354" t="s">
        <v>139</v>
      </c>
      <c r="AO432" s="355" t="s">
        <v>140</v>
      </c>
      <c r="AP432" s="206" t="s">
        <v>139</v>
      </c>
      <c r="AQ432" s="207">
        <v>0</v>
      </c>
      <c r="AR432" s="211"/>
      <c r="AS432" s="297">
        <f>+IF(Table1[[#This Row],[Column40]]="ok",Table1[[#This Row],[Column7]],0)</f>
        <v>724.75</v>
      </c>
      <c r="AT432" s="295">
        <f>+IF(Table1[[#This Row],[Column40]]="No",Table1[[#This Row],[Column7]],0)</f>
        <v>0</v>
      </c>
      <c r="AU432" s="4" t="str">
        <f>+IF(LEFT(Table1[[#This Row],[Column42]],2)="DN",IF(Table1[[#This Row],[Column40]]="ok","(CA)",_xlfn.CONCAT("(CA)",CHAR(10),"FAIL")),"")</f>
        <v/>
      </c>
      <c r="AV432" s="154" t="str">
        <f>+IF(Table1[[#This Row],[Column6]]=0,"",_xlfn.CONCAT("Sem ",WEEKNUM(Table1[[#This Row],[Column6]],2)))</f>
        <v>Sem 12</v>
      </c>
      <c r="AW432" s="211"/>
    </row>
    <row r="433" spans="2:49" ht="19.5" customHeight="1" x14ac:dyDescent="0.3">
      <c r="B433" s="356" t="s">
        <v>723</v>
      </c>
      <c r="C433" s="331"/>
      <c r="D433" s="332" t="s">
        <v>132</v>
      </c>
      <c r="E433" s="332" t="s">
        <v>133</v>
      </c>
      <c r="F433" s="333"/>
      <c r="G433" s="334">
        <v>46102</v>
      </c>
      <c r="H433" s="335">
        <v>739.7</v>
      </c>
      <c r="I433" s="336">
        <v>270.82</v>
      </c>
      <c r="J433" s="337">
        <v>2576.48</v>
      </c>
      <c r="K433" s="338" t="s">
        <v>306</v>
      </c>
      <c r="L433" s="339" t="s">
        <v>307</v>
      </c>
      <c r="M433" s="340">
        <v>30</v>
      </c>
      <c r="N433" s="341">
        <v>88653</v>
      </c>
      <c r="O433" s="332">
        <v>58</v>
      </c>
      <c r="P433" s="342">
        <v>7.9</v>
      </c>
      <c r="Q433" s="343">
        <v>10.066707095209203</v>
      </c>
      <c r="R433" s="344">
        <v>1.6821130676552363</v>
      </c>
      <c r="S433" s="344">
        <v>1.649</v>
      </c>
      <c r="T433" s="344">
        <v>1.8149999999999999</v>
      </c>
      <c r="U433" s="344" t="s">
        <v>136</v>
      </c>
      <c r="V433" s="332" t="s">
        <v>137</v>
      </c>
      <c r="W433" s="345">
        <v>8</v>
      </c>
      <c r="X433" s="346">
        <v>4</v>
      </c>
      <c r="Y433" s="208">
        <v>2.8069999999999999</v>
      </c>
      <c r="Z433" s="332"/>
      <c r="AA433" s="342"/>
      <c r="AB433" s="342"/>
      <c r="AC433" s="342"/>
      <c r="AD433" s="123"/>
      <c r="AE433" s="358">
        <v>1.7122495381851834</v>
      </c>
      <c r="AF433" s="349">
        <v>16.174628841893551</v>
      </c>
      <c r="AG433" s="350"/>
      <c r="AH433" s="351">
        <v>1.7129310344827589</v>
      </c>
      <c r="AI433" s="351">
        <v>1.9870000000000001</v>
      </c>
      <c r="AJ433" s="206">
        <v>16</v>
      </c>
      <c r="AK433" s="353" t="s">
        <v>376</v>
      </c>
      <c r="AL433" s="206">
        <v>0.17462884189355066</v>
      </c>
      <c r="AM433" s="349">
        <v>98.239948684004972</v>
      </c>
      <c r="AN433" s="354" t="s">
        <v>139</v>
      </c>
      <c r="AO433" s="355" t="s">
        <v>140</v>
      </c>
      <c r="AP433" s="206" t="s">
        <v>139</v>
      </c>
      <c r="AQ433" s="207">
        <v>0</v>
      </c>
      <c r="AR433" s="211"/>
      <c r="AS433" s="297">
        <f>+IF(Table1[[#This Row],[Column40]]="ok",Table1[[#This Row],[Column7]],0)</f>
        <v>739.7</v>
      </c>
      <c r="AT433" s="295">
        <f>+IF(Table1[[#This Row],[Column40]]="No",Table1[[#This Row],[Column7]],0)</f>
        <v>0</v>
      </c>
      <c r="AU433" s="4" t="str">
        <f>+IF(LEFT(Table1[[#This Row],[Column42]],2)="DN",IF(Table1[[#This Row],[Column40]]="ok","(CA)",_xlfn.CONCAT("(CA)",CHAR(10),"FAIL")),"")</f>
        <v/>
      </c>
      <c r="AV433" s="154" t="str">
        <f>+IF(Table1[[#This Row],[Column6]]=0,"",_xlfn.CONCAT("Sem ",WEEKNUM(Table1[[#This Row],[Column6]],2)))</f>
        <v>Sem 12</v>
      </c>
      <c r="AW433" s="211"/>
    </row>
    <row r="434" spans="2:49" ht="19.5" customHeight="1" x14ac:dyDescent="0.3">
      <c r="B434" s="356" t="s">
        <v>724</v>
      </c>
      <c r="C434" s="331"/>
      <c r="D434" s="332" t="s">
        <v>132</v>
      </c>
      <c r="E434" s="332" t="s">
        <v>133</v>
      </c>
      <c r="F434" s="333"/>
      <c r="G434" s="334">
        <v>46102</v>
      </c>
      <c r="H434" s="335">
        <v>646.17999999999995</v>
      </c>
      <c r="I434" s="336">
        <v>261.45</v>
      </c>
      <c r="J434" s="337">
        <v>2587.3200000000002</v>
      </c>
      <c r="K434" s="338" t="s">
        <v>306</v>
      </c>
      <c r="L434" s="339" t="s">
        <v>322</v>
      </c>
      <c r="M434" s="340">
        <v>30</v>
      </c>
      <c r="N434" s="341">
        <v>88653</v>
      </c>
      <c r="O434" s="332">
        <v>58</v>
      </c>
      <c r="P434" s="342">
        <v>7.3999999999999995</v>
      </c>
      <c r="Q434" s="343">
        <v>9.5898673100120568</v>
      </c>
      <c r="R434" s="344">
        <v>1.6918063314711358</v>
      </c>
      <c r="S434" s="344">
        <v>1.6579999999999999</v>
      </c>
      <c r="T434" s="344">
        <v>1.8169999999999999</v>
      </c>
      <c r="U434" s="344" t="s">
        <v>136</v>
      </c>
      <c r="V434" s="332" t="s">
        <v>137</v>
      </c>
      <c r="W434" s="345">
        <v>8</v>
      </c>
      <c r="X434" s="346">
        <v>4</v>
      </c>
      <c r="Y434" s="208">
        <v>2.8069999999999999</v>
      </c>
      <c r="Z434" s="332"/>
      <c r="AA434" s="342"/>
      <c r="AB434" s="342"/>
      <c r="AC434" s="342"/>
      <c r="AD434" s="347"/>
      <c r="AE434" s="358">
        <v>1.707717445579684</v>
      </c>
      <c r="AF434" s="349">
        <v>16.555434287810652</v>
      </c>
      <c r="AG434" s="350"/>
      <c r="AH434" s="351">
        <v>1.7071490094745909</v>
      </c>
      <c r="AI434" s="351">
        <v>1.982</v>
      </c>
      <c r="AJ434" s="206">
        <v>16.100000000000001</v>
      </c>
      <c r="AK434" s="353" t="s">
        <v>501</v>
      </c>
      <c r="AL434" s="206">
        <v>0.45543428781065032</v>
      </c>
      <c r="AM434" s="349">
        <v>99.068281807992705</v>
      </c>
      <c r="AN434" s="354" t="s">
        <v>139</v>
      </c>
      <c r="AO434" s="355" t="s">
        <v>140</v>
      </c>
      <c r="AP434" s="206" t="s">
        <v>139</v>
      </c>
      <c r="AQ434" s="207">
        <v>0</v>
      </c>
      <c r="AR434" s="211"/>
      <c r="AS434" s="297">
        <f>+IF(Table1[[#This Row],[Column40]]="ok",Table1[[#This Row],[Column7]],0)</f>
        <v>646.17999999999995</v>
      </c>
      <c r="AT434" s="295">
        <f>+IF(Table1[[#This Row],[Column40]]="No",Table1[[#This Row],[Column7]],0)</f>
        <v>0</v>
      </c>
      <c r="AU434" s="4" t="str">
        <f>+IF(LEFT(Table1[[#This Row],[Column42]],2)="DN",IF(Table1[[#This Row],[Column40]]="ok","(CA)",_xlfn.CONCAT("(CA)",CHAR(10),"FAIL")),"")</f>
        <v/>
      </c>
      <c r="AV434" s="154" t="str">
        <f>+IF(Table1[[#This Row],[Column6]]=0,"",_xlfn.CONCAT("Sem ",WEEKNUM(Table1[[#This Row],[Column6]],2)))</f>
        <v>Sem 12</v>
      </c>
      <c r="AW434" s="211"/>
    </row>
    <row r="435" spans="2:49" ht="19.5" customHeight="1" x14ac:dyDescent="0.3">
      <c r="B435" s="356" t="s">
        <v>725</v>
      </c>
      <c r="C435" s="331"/>
      <c r="D435" s="332" t="s">
        <v>132</v>
      </c>
      <c r="E435" s="332" t="s">
        <v>133</v>
      </c>
      <c r="F435" s="333"/>
      <c r="G435" s="334">
        <v>46102</v>
      </c>
      <c r="H435" s="335">
        <v>1761.33</v>
      </c>
      <c r="I435" s="336">
        <v>335.16</v>
      </c>
      <c r="J435" s="337">
        <v>2542.2600000000002</v>
      </c>
      <c r="K435" s="338" t="s">
        <v>158</v>
      </c>
      <c r="L435" s="339" t="s">
        <v>146</v>
      </c>
      <c r="M435" s="340">
        <v>30</v>
      </c>
      <c r="N435" s="341">
        <v>88653</v>
      </c>
      <c r="O435" s="332">
        <v>58</v>
      </c>
      <c r="P435" s="342">
        <v>14.6</v>
      </c>
      <c r="Q435" s="343">
        <v>11.362351611079703</v>
      </c>
      <c r="R435" s="344">
        <v>1.7190226876090751</v>
      </c>
      <c r="S435" s="344">
        <v>1.7689999999999999</v>
      </c>
      <c r="T435" s="344">
        <v>1.97</v>
      </c>
      <c r="U435" s="344" t="s">
        <v>136</v>
      </c>
      <c r="V435" s="332" t="s">
        <v>137</v>
      </c>
      <c r="W435" s="345">
        <v>8</v>
      </c>
      <c r="X435" s="346">
        <v>4</v>
      </c>
      <c r="Y435" s="208">
        <v>2.8069999999999999</v>
      </c>
      <c r="Z435" s="332"/>
      <c r="AA435" s="342"/>
      <c r="AB435" s="342"/>
      <c r="AC435" s="342"/>
      <c r="AD435" s="347"/>
      <c r="AE435" s="358">
        <v>1.7</v>
      </c>
      <c r="AF435" s="349">
        <v>0</v>
      </c>
      <c r="AG435" s="350"/>
      <c r="AH435" s="351" t="s">
        <v>139</v>
      </c>
      <c r="AI435" s="351" t="s">
        <v>139</v>
      </c>
      <c r="AJ435" s="206" t="s">
        <v>139</v>
      </c>
      <c r="AK435" s="353" t="s">
        <v>714</v>
      </c>
      <c r="AL435" s="206" t="s">
        <v>139</v>
      </c>
      <c r="AM435" s="349">
        <v>101.11898162406322</v>
      </c>
      <c r="AN435" s="354" t="s">
        <v>139</v>
      </c>
      <c r="AO435" s="355" t="s">
        <v>140</v>
      </c>
      <c r="AP435" s="206" t="s">
        <v>139</v>
      </c>
      <c r="AQ435" s="207">
        <v>0</v>
      </c>
      <c r="AR435" s="211"/>
      <c r="AS435" s="297">
        <f>+IF(Table1[[#This Row],[Column40]]="ok",Table1[[#This Row],[Column7]],0)</f>
        <v>1761.33</v>
      </c>
      <c r="AT435" s="295">
        <f>+IF(Table1[[#This Row],[Column40]]="No",Table1[[#This Row],[Column7]],0)</f>
        <v>0</v>
      </c>
      <c r="AU435" s="4" t="str">
        <f>+IF(LEFT(Table1[[#This Row],[Column42]],2)="DN",IF(Table1[[#This Row],[Column40]]="ok","(CA)",_xlfn.CONCAT("(CA)",CHAR(10),"FAIL")),"")</f>
        <v/>
      </c>
      <c r="AV435" s="154" t="str">
        <f>+IF(Table1[[#This Row],[Column6]]=0,"",_xlfn.CONCAT("Sem ",WEEKNUM(Table1[[#This Row],[Column6]],2)))</f>
        <v>Sem 12</v>
      </c>
      <c r="AW435" s="211"/>
    </row>
    <row r="436" spans="2:49" ht="19.5" customHeight="1" x14ac:dyDescent="0.3">
      <c r="B436" s="356" t="s">
        <v>726</v>
      </c>
      <c r="C436" s="331"/>
      <c r="D436" s="332" t="s">
        <v>132</v>
      </c>
      <c r="E436" s="332" t="s">
        <v>133</v>
      </c>
      <c r="F436" s="333"/>
      <c r="G436" s="334">
        <v>46102</v>
      </c>
      <c r="H436" s="335">
        <v>1688.41</v>
      </c>
      <c r="I436" s="336">
        <v>302.64999999999998</v>
      </c>
      <c r="J436" s="337">
        <v>2553.94</v>
      </c>
      <c r="K436" s="338" t="s">
        <v>715</v>
      </c>
      <c r="L436" s="339" t="s">
        <v>150</v>
      </c>
      <c r="M436" s="340">
        <v>30</v>
      </c>
      <c r="N436" s="341">
        <v>88653</v>
      </c>
      <c r="O436" s="332">
        <v>58</v>
      </c>
      <c r="P436" s="342">
        <v>11.799999999999999</v>
      </c>
      <c r="Q436" s="343">
        <v>10.998877665544327</v>
      </c>
      <c r="R436" s="344">
        <v>1.7692307692307694</v>
      </c>
      <c r="S436" s="344">
        <v>1.782</v>
      </c>
      <c r="T436" s="344">
        <v>1.978</v>
      </c>
      <c r="U436" s="344" t="s">
        <v>136</v>
      </c>
      <c r="V436" s="332" t="s">
        <v>137</v>
      </c>
      <c r="W436" s="345">
        <v>8</v>
      </c>
      <c r="X436" s="346">
        <v>4</v>
      </c>
      <c r="Y436" s="208">
        <v>2.8069999999999999</v>
      </c>
      <c r="Z436" s="332"/>
      <c r="AA436" s="342"/>
      <c r="AB436" s="342"/>
      <c r="AC436" s="342"/>
      <c r="AD436" s="347"/>
      <c r="AE436" s="348">
        <v>1.7</v>
      </c>
      <c r="AF436" s="349">
        <v>0</v>
      </c>
      <c r="AG436" s="350"/>
      <c r="AH436" s="351" t="s">
        <v>139</v>
      </c>
      <c r="AI436" s="352" t="s">
        <v>139</v>
      </c>
      <c r="AJ436" s="206" t="s">
        <v>139</v>
      </c>
      <c r="AK436" s="353" t="s">
        <v>714</v>
      </c>
      <c r="AL436" s="206" t="s">
        <v>139</v>
      </c>
      <c r="AM436" s="349">
        <v>104.07239819004526</v>
      </c>
      <c r="AN436" s="354" t="s">
        <v>139</v>
      </c>
      <c r="AO436" s="355" t="s">
        <v>140</v>
      </c>
      <c r="AP436" s="206" t="s">
        <v>139</v>
      </c>
      <c r="AQ436" s="207">
        <v>0</v>
      </c>
      <c r="AR436" s="211"/>
      <c r="AS436" s="297">
        <f>+IF(Table1[[#This Row],[Column40]]="ok",Table1[[#This Row],[Column7]],0)</f>
        <v>1688.41</v>
      </c>
      <c r="AT436" s="295">
        <f>+IF(Table1[[#This Row],[Column40]]="No",Table1[[#This Row],[Column7]],0)</f>
        <v>0</v>
      </c>
      <c r="AU436" s="4" t="str">
        <f>+IF(LEFT(Table1[[#This Row],[Column42]],2)="DN",IF(Table1[[#This Row],[Column40]]="ok","(CA)",_xlfn.CONCAT("(CA)",CHAR(10),"FAIL")),"")</f>
        <v/>
      </c>
      <c r="AV436" s="154" t="str">
        <f>+IF(Table1[[#This Row],[Column6]]=0,"",_xlfn.CONCAT("Sem ",WEEKNUM(Table1[[#This Row],[Column6]],2)))</f>
        <v>Sem 12</v>
      </c>
      <c r="AW436" s="211"/>
    </row>
    <row r="437" spans="2:49" ht="19.5" customHeight="1" x14ac:dyDescent="0.3">
      <c r="B437" s="356" t="s">
        <v>727</v>
      </c>
      <c r="C437" s="331"/>
      <c r="D437" s="332" t="s">
        <v>132</v>
      </c>
      <c r="E437" s="332" t="s">
        <v>133</v>
      </c>
      <c r="F437" s="333"/>
      <c r="G437" s="334">
        <v>46102</v>
      </c>
      <c r="H437" s="335">
        <v>1616.87</v>
      </c>
      <c r="I437" s="336">
        <v>302.08999999999997</v>
      </c>
      <c r="J437" s="337">
        <v>2553.5500000000002</v>
      </c>
      <c r="K437" s="338" t="s">
        <v>184</v>
      </c>
      <c r="L437" s="339" t="s">
        <v>163</v>
      </c>
      <c r="M437" s="340">
        <v>30</v>
      </c>
      <c r="N437" s="341">
        <v>88653</v>
      </c>
      <c r="O437" s="332">
        <v>58</v>
      </c>
      <c r="P437" s="342">
        <v>11.200000000000001</v>
      </c>
      <c r="Q437" s="343">
        <v>12.273524254821734</v>
      </c>
      <c r="R437" s="344">
        <v>1.7275179856115106</v>
      </c>
      <c r="S437" s="344">
        <v>1.7110000000000001</v>
      </c>
      <c r="T437" s="344">
        <v>1.921</v>
      </c>
      <c r="U437" s="344" t="s">
        <v>136</v>
      </c>
      <c r="V437" s="332" t="s">
        <v>137</v>
      </c>
      <c r="W437" s="345">
        <v>8</v>
      </c>
      <c r="X437" s="346">
        <v>4</v>
      </c>
      <c r="Y437" s="208">
        <v>2.8069999999999999</v>
      </c>
      <c r="Z437" s="332"/>
      <c r="AA437" s="342"/>
      <c r="AB437" s="342"/>
      <c r="AC437" s="342"/>
      <c r="AD437" s="347"/>
      <c r="AE437" s="348">
        <v>1.7</v>
      </c>
      <c r="AF437" s="349">
        <v>0</v>
      </c>
      <c r="AG437" s="350"/>
      <c r="AH437" s="351" t="s">
        <v>139</v>
      </c>
      <c r="AI437" s="352" t="s">
        <v>139</v>
      </c>
      <c r="AJ437" s="206" t="s">
        <v>139</v>
      </c>
      <c r="AK437" s="353" t="s">
        <v>714</v>
      </c>
      <c r="AL437" s="206" t="s">
        <v>139</v>
      </c>
      <c r="AM437" s="349">
        <v>101.61870503597122</v>
      </c>
      <c r="AN437" s="354" t="s">
        <v>139</v>
      </c>
      <c r="AO437" s="355" t="s">
        <v>140</v>
      </c>
      <c r="AP437" s="206" t="s">
        <v>139</v>
      </c>
      <c r="AQ437" s="207">
        <v>0</v>
      </c>
      <c r="AR437" s="211"/>
      <c r="AS437" s="297">
        <f>+IF(Table1[[#This Row],[Column40]]="ok",Table1[[#This Row],[Column7]],0)</f>
        <v>1616.87</v>
      </c>
      <c r="AT437" s="295">
        <f>+IF(Table1[[#This Row],[Column40]]="No",Table1[[#This Row],[Column7]],0)</f>
        <v>0</v>
      </c>
      <c r="AU437" s="4" t="str">
        <f>+IF(LEFT(Table1[[#This Row],[Column42]],2)="DN",IF(Table1[[#This Row],[Column40]]="ok","(CA)",_xlfn.CONCAT("(CA)",CHAR(10),"FAIL")),"")</f>
        <v/>
      </c>
      <c r="AV437" s="154" t="str">
        <f>+IF(Table1[[#This Row],[Column6]]=0,"",_xlfn.CONCAT("Sem ",WEEKNUM(Table1[[#This Row],[Column6]],2)))</f>
        <v>Sem 12</v>
      </c>
      <c r="AW437" s="211"/>
    </row>
    <row r="438" spans="2:49" ht="19.5" customHeight="1" x14ac:dyDescent="0.3">
      <c r="B438" s="356" t="s">
        <v>728</v>
      </c>
      <c r="C438" s="331"/>
      <c r="D438" s="332" t="s">
        <v>132</v>
      </c>
      <c r="E438" s="332" t="s">
        <v>133</v>
      </c>
      <c r="F438" s="333"/>
      <c r="G438" s="334">
        <v>46102</v>
      </c>
      <c r="H438" s="335">
        <v>1611.72</v>
      </c>
      <c r="I438" s="336">
        <v>397.48</v>
      </c>
      <c r="J438" s="337">
        <v>2527.7399999999998</v>
      </c>
      <c r="K438" s="338" t="s">
        <v>184</v>
      </c>
      <c r="L438" s="339" t="s">
        <v>163</v>
      </c>
      <c r="M438" s="340">
        <v>30</v>
      </c>
      <c r="N438" s="341">
        <v>88653</v>
      </c>
      <c r="O438" s="332">
        <v>58</v>
      </c>
      <c r="P438" s="342">
        <v>13.4</v>
      </c>
      <c r="Q438" s="343">
        <v>11.085844229675956</v>
      </c>
      <c r="R438" s="344">
        <v>1.7231040564373898</v>
      </c>
      <c r="S438" s="344">
        <v>1.7589999999999999</v>
      </c>
      <c r="T438" s="344">
        <v>1.954</v>
      </c>
      <c r="U438" s="344" t="s">
        <v>136</v>
      </c>
      <c r="V438" s="332" t="s">
        <v>137</v>
      </c>
      <c r="W438" s="345">
        <v>8</v>
      </c>
      <c r="X438" s="346">
        <v>4</v>
      </c>
      <c r="Y438" s="208">
        <v>2.8069999999999999</v>
      </c>
      <c r="Z438" s="332"/>
      <c r="AA438" s="342"/>
      <c r="AB438" s="342"/>
      <c r="AC438" s="342"/>
      <c r="AD438" s="347"/>
      <c r="AE438" s="348">
        <v>1.7</v>
      </c>
      <c r="AF438" s="349">
        <v>0</v>
      </c>
      <c r="AG438" s="350"/>
      <c r="AH438" s="351" t="s">
        <v>139</v>
      </c>
      <c r="AI438" s="352" t="s">
        <v>139</v>
      </c>
      <c r="AJ438" s="206" t="s">
        <v>139</v>
      </c>
      <c r="AK438" s="353" t="s">
        <v>714</v>
      </c>
      <c r="AL438" s="206" t="s">
        <v>139</v>
      </c>
      <c r="AM438" s="349">
        <v>101.35906214337587</v>
      </c>
      <c r="AN438" s="354" t="s">
        <v>139</v>
      </c>
      <c r="AO438" s="355" t="s">
        <v>140</v>
      </c>
      <c r="AP438" s="206" t="s">
        <v>139</v>
      </c>
      <c r="AQ438" s="207">
        <v>0</v>
      </c>
      <c r="AR438" s="211"/>
      <c r="AS438" s="297">
        <f>+IF(Table1[[#This Row],[Column40]]="ok",Table1[[#This Row],[Column7]],0)</f>
        <v>1611.72</v>
      </c>
      <c r="AT438" s="295">
        <f>+IF(Table1[[#This Row],[Column40]]="No",Table1[[#This Row],[Column7]],0)</f>
        <v>0</v>
      </c>
      <c r="AU438" s="4" t="str">
        <f>+IF(LEFT(Table1[[#This Row],[Column42]],2)="DN",IF(Table1[[#This Row],[Column40]]="ok","(CA)",_xlfn.CONCAT("(CA)",CHAR(10),"FAIL")),"")</f>
        <v/>
      </c>
      <c r="AV438" s="154" t="str">
        <f>+IF(Table1[[#This Row],[Column6]]=0,"",_xlfn.CONCAT("Sem ",WEEKNUM(Table1[[#This Row],[Column6]],2)))</f>
        <v>Sem 12</v>
      </c>
      <c r="AW438" s="211"/>
    </row>
    <row r="439" spans="2:49" ht="19.5" customHeight="1" x14ac:dyDescent="0.3">
      <c r="B439" s="356" t="s">
        <v>729</v>
      </c>
      <c r="C439" s="331"/>
      <c r="D439" s="332" t="s">
        <v>132</v>
      </c>
      <c r="E439" s="332" t="s">
        <v>133</v>
      </c>
      <c r="F439" s="333"/>
      <c r="G439" s="334">
        <v>46102</v>
      </c>
      <c r="H439" s="335">
        <v>1678.46</v>
      </c>
      <c r="I439" s="336">
        <v>392.19</v>
      </c>
      <c r="J439" s="337">
        <v>2528.83</v>
      </c>
      <c r="K439" s="338" t="s">
        <v>715</v>
      </c>
      <c r="L439" s="339" t="s">
        <v>150</v>
      </c>
      <c r="M439" s="340">
        <v>30</v>
      </c>
      <c r="N439" s="341">
        <v>88653</v>
      </c>
      <c r="O439" s="332">
        <v>58</v>
      </c>
      <c r="P439" s="342">
        <v>11.600000000000001</v>
      </c>
      <c r="Q439" s="343">
        <v>10.882352941176476</v>
      </c>
      <c r="R439" s="344">
        <v>1.6890681003584227</v>
      </c>
      <c r="S439" s="344">
        <v>1.7</v>
      </c>
      <c r="T439" s="344">
        <v>1.885</v>
      </c>
      <c r="U439" s="344" t="s">
        <v>136</v>
      </c>
      <c r="V439" s="332" t="s">
        <v>137</v>
      </c>
      <c r="W439" s="345">
        <v>8</v>
      </c>
      <c r="X439" s="346">
        <v>4</v>
      </c>
      <c r="Y439" s="208">
        <v>2.8069999999999999</v>
      </c>
      <c r="Z439" s="332"/>
      <c r="AA439" s="342"/>
      <c r="AB439" s="342"/>
      <c r="AC439" s="342"/>
      <c r="AD439" s="347"/>
      <c r="AE439" s="348">
        <v>1.7</v>
      </c>
      <c r="AF439" s="349">
        <v>0</v>
      </c>
      <c r="AG439" s="350"/>
      <c r="AH439" s="351" t="s">
        <v>139</v>
      </c>
      <c r="AI439" s="352" t="s">
        <v>139</v>
      </c>
      <c r="AJ439" s="206" t="s">
        <v>139</v>
      </c>
      <c r="AK439" s="353" t="s">
        <v>714</v>
      </c>
      <c r="AL439" s="206" t="s">
        <v>139</v>
      </c>
      <c r="AM439" s="349">
        <v>99.356947079907215</v>
      </c>
      <c r="AN439" s="354" t="s">
        <v>139</v>
      </c>
      <c r="AO439" s="355" t="s">
        <v>140</v>
      </c>
      <c r="AP439" s="206" t="s">
        <v>139</v>
      </c>
      <c r="AQ439" s="207">
        <v>0</v>
      </c>
      <c r="AR439" s="211"/>
      <c r="AS439" s="297">
        <f>+IF(Table1[[#This Row],[Column40]]="ok",Table1[[#This Row],[Column7]],0)</f>
        <v>1678.46</v>
      </c>
      <c r="AT439" s="295">
        <f>+IF(Table1[[#This Row],[Column40]]="No",Table1[[#This Row],[Column7]],0)</f>
        <v>0</v>
      </c>
      <c r="AU439" s="4" t="str">
        <f>+IF(LEFT(Table1[[#This Row],[Column42]],2)="DN",IF(Table1[[#This Row],[Column40]]="ok","(CA)",_xlfn.CONCAT("(CA)",CHAR(10),"FAIL")),"")</f>
        <v/>
      </c>
      <c r="AV439" s="154" t="str">
        <f>+IF(Table1[[#This Row],[Column6]]=0,"",_xlfn.CONCAT("Sem ",WEEKNUM(Table1[[#This Row],[Column6]],2)))</f>
        <v>Sem 12</v>
      </c>
      <c r="AW439" s="211"/>
    </row>
    <row r="440" spans="2:49" ht="19.5" customHeight="1" x14ac:dyDescent="0.3">
      <c r="B440" s="356" t="s">
        <v>730</v>
      </c>
      <c r="C440" s="331"/>
      <c r="D440" s="332" t="s">
        <v>132</v>
      </c>
      <c r="E440" s="332" t="s">
        <v>133</v>
      </c>
      <c r="F440" s="333"/>
      <c r="G440" s="334">
        <v>46102</v>
      </c>
      <c r="H440" s="335">
        <v>1745.21</v>
      </c>
      <c r="I440" s="336">
        <v>406.67</v>
      </c>
      <c r="J440" s="337">
        <v>2520.19</v>
      </c>
      <c r="K440" s="338" t="s">
        <v>715</v>
      </c>
      <c r="L440" s="339" t="s">
        <v>387</v>
      </c>
      <c r="M440" s="340">
        <v>30</v>
      </c>
      <c r="N440" s="341">
        <v>88653</v>
      </c>
      <c r="O440" s="332">
        <v>58</v>
      </c>
      <c r="P440" s="342">
        <v>13.8</v>
      </c>
      <c r="Q440" s="343">
        <v>11.111111111111116</v>
      </c>
      <c r="R440" s="344">
        <v>1.7047451669595783</v>
      </c>
      <c r="S440" s="344">
        <v>1.746</v>
      </c>
      <c r="T440" s="344">
        <v>1.94</v>
      </c>
      <c r="U440" s="344" t="s">
        <v>136</v>
      </c>
      <c r="V440" s="332" t="s">
        <v>137</v>
      </c>
      <c r="W440" s="345">
        <v>8</v>
      </c>
      <c r="X440" s="346">
        <v>4</v>
      </c>
      <c r="Y440" s="208">
        <v>2.8069999999999999</v>
      </c>
      <c r="Z440" s="332"/>
      <c r="AA440" s="342"/>
      <c r="AB440" s="342"/>
      <c r="AC440" s="342"/>
      <c r="AD440" s="347"/>
      <c r="AE440" s="348">
        <v>1.7</v>
      </c>
      <c r="AF440" s="349">
        <v>0</v>
      </c>
      <c r="AG440" s="350"/>
      <c r="AH440" s="351" t="s">
        <v>139</v>
      </c>
      <c r="AI440" s="352" t="s">
        <v>139</v>
      </c>
      <c r="AJ440" s="206" t="s">
        <v>139</v>
      </c>
      <c r="AK440" s="353" t="s">
        <v>714</v>
      </c>
      <c r="AL440" s="206" t="s">
        <v>139</v>
      </c>
      <c r="AM440" s="349">
        <v>100.27912746821048</v>
      </c>
      <c r="AN440" s="354" t="s">
        <v>139</v>
      </c>
      <c r="AO440" s="355" t="s">
        <v>140</v>
      </c>
      <c r="AP440" s="206" t="s">
        <v>139</v>
      </c>
      <c r="AQ440" s="207">
        <v>0</v>
      </c>
      <c r="AR440" s="211"/>
      <c r="AS440" s="297">
        <f>+IF(Table1[[#This Row],[Column40]]="ok",Table1[[#This Row],[Column7]],0)</f>
        <v>1745.21</v>
      </c>
      <c r="AT440" s="295">
        <f>+IF(Table1[[#This Row],[Column40]]="No",Table1[[#This Row],[Column7]],0)</f>
        <v>0</v>
      </c>
      <c r="AU440" s="4" t="str">
        <f>+IF(LEFT(Table1[[#This Row],[Column42]],2)="DN",IF(Table1[[#This Row],[Column40]]="ok","(CA)",_xlfn.CONCAT("(CA)",CHAR(10),"FAIL")),"")</f>
        <v/>
      </c>
      <c r="AV440" s="154" t="str">
        <f>+IF(Table1[[#This Row],[Column6]]=0,"",_xlfn.CONCAT("Sem ",WEEKNUM(Table1[[#This Row],[Column6]],2)))</f>
        <v>Sem 12</v>
      </c>
      <c r="AW440" s="211"/>
    </row>
    <row r="441" spans="2:49" ht="19.5" customHeight="1" x14ac:dyDescent="0.3">
      <c r="B441" s="356" t="s">
        <v>731</v>
      </c>
      <c r="C441" s="331"/>
      <c r="D441" s="332" t="s">
        <v>132</v>
      </c>
      <c r="E441" s="332" t="s">
        <v>176</v>
      </c>
      <c r="F441" s="333"/>
      <c r="G441" s="334">
        <v>46102</v>
      </c>
      <c r="H441" s="335">
        <v>1372.06</v>
      </c>
      <c r="I441" s="336">
        <v>232.42</v>
      </c>
      <c r="J441" s="337">
        <v>2579.1320000000001</v>
      </c>
      <c r="K441" s="338" t="s">
        <v>221</v>
      </c>
      <c r="L441" s="339" t="s">
        <v>224</v>
      </c>
      <c r="M441" s="340">
        <v>30</v>
      </c>
      <c r="N441" s="341">
        <v>88653</v>
      </c>
      <c r="O441" s="332">
        <v>58</v>
      </c>
      <c r="P441" s="342">
        <v>11.3</v>
      </c>
      <c r="Q441" s="343">
        <v>10.643141718838933</v>
      </c>
      <c r="R441" s="344">
        <v>1.7466307277628033</v>
      </c>
      <c r="S441" s="344">
        <v>1.7569999999999999</v>
      </c>
      <c r="T441" s="344">
        <v>1.944</v>
      </c>
      <c r="U441" s="344" t="s">
        <v>136</v>
      </c>
      <c r="V441" s="332" t="s">
        <v>137</v>
      </c>
      <c r="W441" s="345">
        <v>8</v>
      </c>
      <c r="X441" s="346">
        <v>4</v>
      </c>
      <c r="Y441" s="208">
        <v>2.8069999999999999</v>
      </c>
      <c r="Z441" s="332"/>
      <c r="AA441" s="342"/>
      <c r="AB441" s="342"/>
      <c r="AC441" s="342"/>
      <c r="AD441" s="347"/>
      <c r="AE441" s="348">
        <v>1.712</v>
      </c>
      <c r="AF441" s="349">
        <v>16.100000000000001</v>
      </c>
      <c r="AG441" s="350"/>
      <c r="AH441" s="351">
        <v>1.710344827586207</v>
      </c>
      <c r="AI441" s="352">
        <v>1.984</v>
      </c>
      <c r="AJ441" s="206">
        <v>16</v>
      </c>
      <c r="AK441" s="353" t="s">
        <v>376</v>
      </c>
      <c r="AL441" s="206">
        <v>0.10000000000000142</v>
      </c>
      <c r="AM441" s="349">
        <v>102.02282288334132</v>
      </c>
      <c r="AN441" s="354" t="s">
        <v>139</v>
      </c>
      <c r="AO441" s="355" t="s">
        <v>140</v>
      </c>
      <c r="AP441" s="206" t="s">
        <v>139</v>
      </c>
      <c r="AQ441" s="207" t="s">
        <v>732</v>
      </c>
      <c r="AR441" s="211"/>
      <c r="AS441" s="297">
        <f>+IF(Table1[[#This Row],[Column40]]="ok",Table1[[#This Row],[Column7]],0)</f>
        <v>1372.06</v>
      </c>
      <c r="AT441" s="295">
        <f>+IF(Table1[[#This Row],[Column40]]="No",Table1[[#This Row],[Column7]],0)</f>
        <v>0</v>
      </c>
      <c r="AU441" s="4" t="str">
        <f>+IF(LEFT(Table1[[#This Row],[Column42]],2)="DN",IF(Table1[[#This Row],[Column40]]="ok","(CA)",_xlfn.CONCAT("(CA)",CHAR(10),"FAIL")),"")</f>
        <v/>
      </c>
      <c r="AV441" s="154" t="str">
        <f>+IF(Table1[[#This Row],[Column6]]=0,"",_xlfn.CONCAT("Sem ",WEEKNUM(Table1[[#This Row],[Column6]],2)))</f>
        <v>Sem 12</v>
      </c>
      <c r="AW441" s="211"/>
    </row>
    <row r="442" spans="2:49" ht="19.5" customHeight="1" x14ac:dyDescent="0.3">
      <c r="B442" s="356" t="s">
        <v>732</v>
      </c>
      <c r="C442" s="331"/>
      <c r="D442" s="332" t="s">
        <v>132</v>
      </c>
      <c r="E442" s="332" t="s">
        <v>176</v>
      </c>
      <c r="F442" s="333"/>
      <c r="G442" s="334">
        <v>46102</v>
      </c>
      <c r="H442" s="335">
        <v>1372.06</v>
      </c>
      <c r="I442" s="336">
        <v>232.42</v>
      </c>
      <c r="J442" s="337">
        <v>2579.1320000000001</v>
      </c>
      <c r="K442" s="338" t="s">
        <v>221</v>
      </c>
      <c r="L442" s="339" t="s">
        <v>224</v>
      </c>
      <c r="M442" s="340">
        <v>15</v>
      </c>
      <c r="N442" s="341"/>
      <c r="O442" s="332"/>
      <c r="P442" s="342">
        <v>11.304347826086968</v>
      </c>
      <c r="Q442" s="343"/>
      <c r="R442" s="344">
        <v>1.7508602795847856</v>
      </c>
      <c r="S442" s="344"/>
      <c r="T442" s="344">
        <v>1.9487836155378484</v>
      </c>
      <c r="U442" s="344" t="s">
        <v>142</v>
      </c>
      <c r="V442" s="332" t="s">
        <v>137</v>
      </c>
      <c r="W442" s="345">
        <v>6</v>
      </c>
      <c r="X442" s="346">
        <v>8</v>
      </c>
      <c r="Y442" s="208"/>
      <c r="Z442" s="332" t="s">
        <v>143</v>
      </c>
      <c r="AA442" s="342">
        <v>99.232736572890019</v>
      </c>
      <c r="AB442" s="342">
        <v>82.531969309462909</v>
      </c>
      <c r="AC442" s="342">
        <v>40.511508951406654</v>
      </c>
      <c r="AD442" s="347">
        <v>14.884910485933517</v>
      </c>
      <c r="AE442" s="358">
        <v>1.712</v>
      </c>
      <c r="AF442" s="349">
        <v>16.100000000000001</v>
      </c>
      <c r="AG442" s="350" t="s">
        <v>376</v>
      </c>
      <c r="AH442" s="351">
        <v>1.7101327997290268</v>
      </c>
      <c r="AI442" s="351">
        <v>1.9844565101671459</v>
      </c>
      <c r="AJ442" s="206">
        <v>16.041076487252106</v>
      </c>
      <c r="AK442" s="353" t="s">
        <v>376</v>
      </c>
      <c r="AL442" s="206">
        <v>5.8923512747895757E-2</v>
      </c>
      <c r="AM442" s="349">
        <v>102.26987614397112</v>
      </c>
      <c r="AN442" s="354" t="s">
        <v>139</v>
      </c>
      <c r="AO442" s="355" t="s">
        <v>144</v>
      </c>
      <c r="AP442" s="206">
        <v>0</v>
      </c>
      <c r="AQ442" s="246" t="s">
        <v>731</v>
      </c>
      <c r="AR442" s="211"/>
      <c r="AS442" s="297">
        <f>+IF(Table1[[#This Row],[Column40]]="ok",Table1[[#This Row],[Column7]],0)</f>
        <v>1372.06</v>
      </c>
      <c r="AT442" s="295">
        <f>+IF(Table1[[#This Row],[Column40]]="No",Table1[[#This Row],[Column7]],0)</f>
        <v>0</v>
      </c>
      <c r="AU442" s="4" t="str">
        <f>+IF(LEFT(Table1[[#This Row],[Column42]],2)="DN",IF(Table1[[#This Row],[Column40]]="ok","(CA)",_xlfn.CONCAT("(CA)",CHAR(10),"FAIL")),"")</f>
        <v>(CA)</v>
      </c>
      <c r="AV442" s="154" t="str">
        <f>+IF(Table1[[#This Row],[Column6]]=0,"",_xlfn.CONCAT("Sem ",WEEKNUM(Table1[[#This Row],[Column6]],2)))</f>
        <v>Sem 12</v>
      </c>
      <c r="AW442" s="211"/>
    </row>
    <row r="443" spans="2:49" ht="19.5" customHeight="1" x14ac:dyDescent="0.3">
      <c r="B443" s="356" t="s">
        <v>733</v>
      </c>
      <c r="C443" s="331"/>
      <c r="D443" s="332" t="s">
        <v>132</v>
      </c>
      <c r="E443" s="332" t="s">
        <v>176</v>
      </c>
      <c r="F443" s="333"/>
      <c r="G443" s="334">
        <v>46102</v>
      </c>
      <c r="H443" s="335">
        <v>27.44</v>
      </c>
      <c r="I443" s="336">
        <v>-25.04</v>
      </c>
      <c r="J443" s="337">
        <v>2636.9029999999998</v>
      </c>
      <c r="K443" s="338" t="s">
        <v>356</v>
      </c>
      <c r="L443" s="339" t="s">
        <v>734</v>
      </c>
      <c r="M443" s="340">
        <v>30</v>
      </c>
      <c r="N443" s="341">
        <v>88653</v>
      </c>
      <c r="O443" s="332">
        <v>58</v>
      </c>
      <c r="P443" s="342">
        <v>14.2</v>
      </c>
      <c r="Q443" s="343">
        <v>10.862068965517246</v>
      </c>
      <c r="R443" s="344">
        <v>1.6891418563922944</v>
      </c>
      <c r="S443" s="344">
        <v>1.74</v>
      </c>
      <c r="T443" s="344">
        <v>1.929</v>
      </c>
      <c r="U443" s="344" t="s">
        <v>136</v>
      </c>
      <c r="V443" s="332" t="s">
        <v>169</v>
      </c>
      <c r="W443" s="345">
        <v>4</v>
      </c>
      <c r="X443" s="346">
        <v>2</v>
      </c>
      <c r="Y443" s="208">
        <v>2.8069999999999999</v>
      </c>
      <c r="Z443" s="332"/>
      <c r="AA443" s="342"/>
      <c r="AB443" s="342"/>
      <c r="AC443" s="342"/>
      <c r="AD443" s="347"/>
      <c r="AE443" s="358">
        <v>1.702</v>
      </c>
      <c r="AF443" s="349">
        <v>0</v>
      </c>
      <c r="AG443" s="350"/>
      <c r="AH443" s="351" t="s">
        <v>139</v>
      </c>
      <c r="AI443" s="351" t="s">
        <v>139</v>
      </c>
      <c r="AJ443" s="206" t="s">
        <v>139</v>
      </c>
      <c r="AK443" s="353" t="s">
        <v>640</v>
      </c>
      <c r="AL443" s="206" t="s">
        <v>139</v>
      </c>
      <c r="AM443" s="349">
        <v>99.244527402602486</v>
      </c>
      <c r="AN443" s="354" t="s">
        <v>139</v>
      </c>
      <c r="AO443" s="355" t="s">
        <v>140</v>
      </c>
      <c r="AP443" s="206" t="s">
        <v>139</v>
      </c>
      <c r="AQ443" s="246">
        <v>0</v>
      </c>
      <c r="AR443" s="211"/>
      <c r="AS443" s="297">
        <f>+IF(Table1[[#This Row],[Column40]]="ok",Table1[[#This Row],[Column7]],0)</f>
        <v>27.44</v>
      </c>
      <c r="AT443" s="295">
        <f>+IF(Table1[[#This Row],[Column40]]="No",Table1[[#This Row],[Column7]],0)</f>
        <v>0</v>
      </c>
      <c r="AU443" s="4" t="str">
        <f>+IF(LEFT(Table1[[#This Row],[Column42]],2)="DN",IF(Table1[[#This Row],[Column40]]="ok","(CA)",_xlfn.CONCAT("(CA)",CHAR(10),"FAIL")),"")</f>
        <v/>
      </c>
      <c r="AV443" s="154" t="str">
        <f>+IF(Table1[[#This Row],[Column6]]=0,"",_xlfn.CONCAT("Sem ",WEEKNUM(Table1[[#This Row],[Column6]],2)))</f>
        <v>Sem 12</v>
      </c>
      <c r="AW443" s="211"/>
    </row>
    <row r="444" spans="2:49" ht="19.5" customHeight="1" x14ac:dyDescent="0.3">
      <c r="B444" s="356" t="s">
        <v>735</v>
      </c>
      <c r="C444" s="331"/>
      <c r="D444" s="332" t="s">
        <v>132</v>
      </c>
      <c r="E444" s="332" t="s">
        <v>176</v>
      </c>
      <c r="F444" s="333"/>
      <c r="G444" s="334">
        <v>46102</v>
      </c>
      <c r="H444" s="335">
        <v>1291.6199999999999</v>
      </c>
      <c r="I444" s="336">
        <v>203.72</v>
      </c>
      <c r="J444" s="337">
        <v>2586.0859999999998</v>
      </c>
      <c r="K444" s="338" t="s">
        <v>221</v>
      </c>
      <c r="L444" s="339" t="s">
        <v>402</v>
      </c>
      <c r="M444" s="340">
        <v>30</v>
      </c>
      <c r="N444" s="341">
        <v>88653</v>
      </c>
      <c r="O444" s="332">
        <v>58</v>
      </c>
      <c r="P444" s="342">
        <v>10.4</v>
      </c>
      <c r="Q444" s="343">
        <v>11.634844868735094</v>
      </c>
      <c r="R444" s="344">
        <v>1.694746376811594</v>
      </c>
      <c r="S444" s="344">
        <v>1.6759999999999999</v>
      </c>
      <c r="T444" s="344">
        <v>1.871</v>
      </c>
      <c r="U444" s="344" t="s">
        <v>136</v>
      </c>
      <c r="V444" s="332" t="s">
        <v>137</v>
      </c>
      <c r="W444" s="345">
        <v>8</v>
      </c>
      <c r="X444" s="346">
        <v>4</v>
      </c>
      <c r="Y444" s="208">
        <v>2.8069999999999999</v>
      </c>
      <c r="Z444" s="332"/>
      <c r="AA444" s="342"/>
      <c r="AB444" s="342"/>
      <c r="AC444" s="342"/>
      <c r="AD444" s="347"/>
      <c r="AE444" s="358">
        <v>1.704</v>
      </c>
      <c r="AF444" s="349">
        <v>16.100000000000001</v>
      </c>
      <c r="AG444" s="350"/>
      <c r="AH444" s="351">
        <v>1.7040552200172563</v>
      </c>
      <c r="AI444" s="352">
        <v>1.9750000000000001</v>
      </c>
      <c r="AJ444" s="206">
        <v>15.9</v>
      </c>
      <c r="AK444" s="353" t="s">
        <v>484</v>
      </c>
      <c r="AL444" s="206">
        <v>0.20000000000000107</v>
      </c>
      <c r="AM444" s="349">
        <v>99.456946995985561</v>
      </c>
      <c r="AN444" s="354" t="s">
        <v>139</v>
      </c>
      <c r="AO444" s="355" t="s">
        <v>140</v>
      </c>
      <c r="AP444" s="206" t="s">
        <v>139</v>
      </c>
      <c r="AQ444" s="246">
        <v>0</v>
      </c>
      <c r="AR444" s="211"/>
      <c r="AS444" s="297">
        <f>+IF(Table1[[#This Row],[Column40]]="ok",Table1[[#This Row],[Column7]],0)</f>
        <v>1291.6199999999999</v>
      </c>
      <c r="AT444" s="295">
        <f>+IF(Table1[[#This Row],[Column40]]="No",Table1[[#This Row],[Column7]],0)</f>
        <v>0</v>
      </c>
      <c r="AU444" s="4" t="str">
        <f>+IF(LEFT(Table1[[#This Row],[Column42]],2)="DN",IF(Table1[[#This Row],[Column40]]="ok","(CA)",_xlfn.CONCAT("(CA)",CHAR(10),"FAIL")),"")</f>
        <v/>
      </c>
      <c r="AV444" s="154" t="str">
        <f>+IF(Table1[[#This Row],[Column6]]=0,"",_xlfn.CONCAT("Sem ",WEEKNUM(Table1[[#This Row],[Column6]],2)))</f>
        <v>Sem 12</v>
      </c>
      <c r="AW444" s="211"/>
    </row>
    <row r="445" spans="2:49" ht="19.5" customHeight="1" x14ac:dyDescent="0.3">
      <c r="B445" s="356" t="s">
        <v>736</v>
      </c>
      <c r="C445" s="331"/>
      <c r="D445" s="332" t="s">
        <v>132</v>
      </c>
      <c r="E445" s="332" t="s">
        <v>176</v>
      </c>
      <c r="F445" s="333"/>
      <c r="G445" s="334">
        <v>46102</v>
      </c>
      <c r="H445" s="335">
        <v>1487.72</v>
      </c>
      <c r="I445" s="336">
        <v>247</v>
      </c>
      <c r="J445" s="337">
        <v>2573.0709999999999</v>
      </c>
      <c r="K445" s="338" t="s">
        <v>162</v>
      </c>
      <c r="L445" s="339" t="s">
        <v>179</v>
      </c>
      <c r="M445" s="340">
        <v>30</v>
      </c>
      <c r="N445" s="341">
        <v>88653</v>
      </c>
      <c r="O445" s="332">
        <v>58</v>
      </c>
      <c r="P445" s="342">
        <v>10.100000000000001</v>
      </c>
      <c r="Q445" s="343">
        <v>10.179977502812143</v>
      </c>
      <c r="R445" s="344">
        <v>1.7792915531335152</v>
      </c>
      <c r="S445" s="344">
        <v>1.778</v>
      </c>
      <c r="T445" s="344">
        <v>1.9590000000000001</v>
      </c>
      <c r="U445" s="344" t="s">
        <v>136</v>
      </c>
      <c r="V445" s="332" t="s">
        <v>137</v>
      </c>
      <c r="W445" s="345">
        <v>8</v>
      </c>
      <c r="X445" s="346">
        <v>4</v>
      </c>
      <c r="Y445" s="208">
        <v>2.8069999999999999</v>
      </c>
      <c r="Z445" s="332"/>
      <c r="AA445" s="342"/>
      <c r="AB445" s="342"/>
      <c r="AC445" s="342"/>
      <c r="AD445" s="347"/>
      <c r="AE445" s="358">
        <v>1.7</v>
      </c>
      <c r="AF445" s="349">
        <v>0</v>
      </c>
      <c r="AG445" s="350"/>
      <c r="AH445" s="351" t="s">
        <v>139</v>
      </c>
      <c r="AI445" s="352" t="s">
        <v>139</v>
      </c>
      <c r="AJ445" s="206" t="s">
        <v>139</v>
      </c>
      <c r="AK445" s="353" t="s">
        <v>714</v>
      </c>
      <c r="AL445" s="206" t="s">
        <v>139</v>
      </c>
      <c r="AM445" s="349">
        <v>104.66420900785383</v>
      </c>
      <c r="AN445" s="354" t="s">
        <v>139</v>
      </c>
      <c r="AO445" s="355" t="s">
        <v>140</v>
      </c>
      <c r="AP445" s="206" t="s">
        <v>139</v>
      </c>
      <c r="AQ445" s="246">
        <v>0</v>
      </c>
      <c r="AR445" s="211"/>
      <c r="AS445" s="297">
        <f>+IF(Table1[[#This Row],[Column40]]="ok",Table1[[#This Row],[Column7]],0)</f>
        <v>1487.72</v>
      </c>
      <c r="AT445" s="295">
        <f>+IF(Table1[[#This Row],[Column40]]="No",Table1[[#This Row],[Column7]],0)</f>
        <v>0</v>
      </c>
      <c r="AU445" s="4" t="str">
        <f>+IF(LEFT(Table1[[#This Row],[Column42]],2)="DN",IF(Table1[[#This Row],[Column40]]="ok","(CA)",_xlfn.CONCAT("(CA)",CHAR(10),"FAIL")),"")</f>
        <v/>
      </c>
      <c r="AV445" s="154" t="str">
        <f>+IF(Table1[[#This Row],[Column6]]=0,"",_xlfn.CONCAT("Sem ",WEEKNUM(Table1[[#This Row],[Column6]],2)))</f>
        <v>Sem 12</v>
      </c>
      <c r="AW445" s="211"/>
    </row>
    <row r="446" spans="2:49" ht="19.5" customHeight="1" x14ac:dyDescent="0.3">
      <c r="B446" s="356" t="s">
        <v>737</v>
      </c>
      <c r="C446" s="331"/>
      <c r="D446" s="332" t="s">
        <v>132</v>
      </c>
      <c r="E446" s="332" t="s">
        <v>176</v>
      </c>
      <c r="F446" s="333"/>
      <c r="G446" s="334">
        <v>46102</v>
      </c>
      <c r="H446" s="335">
        <v>1569.07</v>
      </c>
      <c r="I446" s="336">
        <v>294.66000000000003</v>
      </c>
      <c r="J446" s="337">
        <v>2558.308</v>
      </c>
      <c r="K446" s="338" t="s">
        <v>184</v>
      </c>
      <c r="L446" s="339" t="s">
        <v>185</v>
      </c>
      <c r="M446" s="340">
        <v>30</v>
      </c>
      <c r="N446" s="341">
        <v>88653</v>
      </c>
      <c r="O446" s="332">
        <v>58</v>
      </c>
      <c r="P446" s="342">
        <v>10.7</v>
      </c>
      <c r="Q446" s="343">
        <v>9.8094170403587366</v>
      </c>
      <c r="R446" s="344">
        <v>1.769647696476965</v>
      </c>
      <c r="S446" s="344">
        <v>1.784</v>
      </c>
      <c r="T446" s="344">
        <v>1.9590000000000001</v>
      </c>
      <c r="U446" s="344" t="s">
        <v>136</v>
      </c>
      <c r="V446" s="332" t="s">
        <v>137</v>
      </c>
      <c r="W446" s="345">
        <v>8</v>
      </c>
      <c r="X446" s="346">
        <v>4</v>
      </c>
      <c r="Y446" s="208">
        <v>2.8069999999999999</v>
      </c>
      <c r="Z446" s="332"/>
      <c r="AA446" s="342"/>
      <c r="AB446" s="342"/>
      <c r="AC446" s="342"/>
      <c r="AD446" s="347"/>
      <c r="AE446" s="358">
        <v>1.7</v>
      </c>
      <c r="AF446" s="349">
        <v>0</v>
      </c>
      <c r="AG446" s="350"/>
      <c r="AH446" s="351" t="s">
        <v>139</v>
      </c>
      <c r="AI446" s="352" t="s">
        <v>139</v>
      </c>
      <c r="AJ446" s="206" t="s">
        <v>139</v>
      </c>
      <c r="AK446" s="353" t="s">
        <v>714</v>
      </c>
      <c r="AL446" s="206" t="s">
        <v>139</v>
      </c>
      <c r="AM446" s="349">
        <v>104.09692332217442</v>
      </c>
      <c r="AN446" s="354" t="s">
        <v>139</v>
      </c>
      <c r="AO446" s="355" t="s">
        <v>140</v>
      </c>
      <c r="AP446" s="206" t="s">
        <v>139</v>
      </c>
      <c r="AQ446" s="246">
        <v>0</v>
      </c>
      <c r="AR446" s="211"/>
      <c r="AS446" s="297">
        <f>+IF(Table1[[#This Row],[Column40]]="ok",Table1[[#This Row],[Column7]],0)</f>
        <v>1569.07</v>
      </c>
      <c r="AT446" s="295">
        <f>+IF(Table1[[#This Row],[Column40]]="No",Table1[[#This Row],[Column7]],0)</f>
        <v>0</v>
      </c>
      <c r="AU446" s="4" t="str">
        <f>+IF(LEFT(Table1[[#This Row],[Column42]],2)="DN",IF(Table1[[#This Row],[Column40]]="ok","(CA)",_xlfn.CONCAT("(CA)",CHAR(10),"FAIL")),"")</f>
        <v/>
      </c>
      <c r="AV446" s="154" t="str">
        <f>+IF(Table1[[#This Row],[Column6]]=0,"",_xlfn.CONCAT("Sem ",WEEKNUM(Table1[[#This Row],[Column6]],2)))</f>
        <v>Sem 12</v>
      </c>
      <c r="AW446" s="211"/>
    </row>
    <row r="447" spans="2:49" ht="19.5" customHeight="1" x14ac:dyDescent="0.3">
      <c r="B447" s="356" t="s">
        <v>738</v>
      </c>
      <c r="C447" s="331"/>
      <c r="D447" s="332" t="s">
        <v>132</v>
      </c>
      <c r="E447" s="332" t="s">
        <v>176</v>
      </c>
      <c r="F447" s="333"/>
      <c r="G447" s="334">
        <v>46102</v>
      </c>
      <c r="H447" s="335">
        <v>1560.3</v>
      </c>
      <c r="I447" s="336">
        <v>383.01</v>
      </c>
      <c r="J447" s="337">
        <v>2533.2060000000001</v>
      </c>
      <c r="K447" s="338" t="s">
        <v>184</v>
      </c>
      <c r="L447" s="339" t="s">
        <v>177</v>
      </c>
      <c r="M447" s="340">
        <v>30</v>
      </c>
      <c r="N447" s="341">
        <v>88653</v>
      </c>
      <c r="O447" s="332">
        <v>58</v>
      </c>
      <c r="P447" s="342">
        <v>11.799999999999999</v>
      </c>
      <c r="Q447" s="343">
        <v>10.159817351598166</v>
      </c>
      <c r="R447" s="344">
        <v>1.7262969588550985</v>
      </c>
      <c r="S447" s="344">
        <v>1.752</v>
      </c>
      <c r="T447" s="344">
        <v>1.93</v>
      </c>
      <c r="U447" s="344" t="s">
        <v>136</v>
      </c>
      <c r="V447" s="332" t="s">
        <v>137</v>
      </c>
      <c r="W447" s="345">
        <v>8</v>
      </c>
      <c r="X447" s="346">
        <v>4</v>
      </c>
      <c r="Y447" s="208">
        <v>2.8069999999999999</v>
      </c>
      <c r="Z447" s="332"/>
      <c r="AA447" s="342"/>
      <c r="AB447" s="342"/>
      <c r="AC447" s="342"/>
      <c r="AD447" s="347"/>
      <c r="AE447" s="358">
        <v>1.7</v>
      </c>
      <c r="AF447" s="349">
        <v>0</v>
      </c>
      <c r="AG447" s="350"/>
      <c r="AH447" s="351" t="s">
        <v>139</v>
      </c>
      <c r="AI447" s="351" t="s">
        <v>139</v>
      </c>
      <c r="AJ447" s="206" t="s">
        <v>139</v>
      </c>
      <c r="AK447" s="353" t="s">
        <v>714</v>
      </c>
      <c r="AL447" s="206" t="s">
        <v>139</v>
      </c>
      <c r="AM447" s="349">
        <v>101.54687993265286</v>
      </c>
      <c r="AN447" s="354" t="s">
        <v>139</v>
      </c>
      <c r="AO447" s="355" t="s">
        <v>140</v>
      </c>
      <c r="AP447" s="206" t="s">
        <v>139</v>
      </c>
      <c r="AQ447" s="246">
        <v>0</v>
      </c>
      <c r="AR447" s="211"/>
      <c r="AS447" s="297">
        <f>+IF(Table1[[#This Row],[Column40]]="ok",Table1[[#This Row],[Column7]],0)</f>
        <v>1560.3</v>
      </c>
      <c r="AT447" s="295">
        <f>+IF(Table1[[#This Row],[Column40]]="No",Table1[[#This Row],[Column7]],0)</f>
        <v>0</v>
      </c>
      <c r="AU447" s="4" t="str">
        <f>+IF(LEFT(Table1[[#This Row],[Column42]],2)="DN",IF(Table1[[#This Row],[Column40]]="ok","(CA)",_xlfn.CONCAT("(CA)",CHAR(10),"FAIL")),"")</f>
        <v/>
      </c>
      <c r="AV447" s="154" t="str">
        <f>+IF(Table1[[#This Row],[Column6]]=0,"",_xlfn.CONCAT("Sem ",WEEKNUM(Table1[[#This Row],[Column6]],2)))</f>
        <v>Sem 12</v>
      </c>
      <c r="AW447" s="211"/>
    </row>
    <row r="448" spans="2:49" ht="19.5" customHeight="1" x14ac:dyDescent="0.3">
      <c r="B448" s="356" t="s">
        <v>739</v>
      </c>
      <c r="C448" s="331"/>
      <c r="D448" s="332" t="s">
        <v>132</v>
      </c>
      <c r="E448" s="332" t="s">
        <v>176</v>
      </c>
      <c r="F448" s="333"/>
      <c r="G448" s="334">
        <v>46102</v>
      </c>
      <c r="H448" s="335">
        <v>1485.41</v>
      </c>
      <c r="I448" s="336">
        <v>338.51</v>
      </c>
      <c r="J448" s="337">
        <v>2547.2959999999998</v>
      </c>
      <c r="K448" s="338" t="s">
        <v>184</v>
      </c>
      <c r="L448" s="339" t="s">
        <v>179</v>
      </c>
      <c r="M448" s="340">
        <v>30</v>
      </c>
      <c r="N448" s="341">
        <v>88653</v>
      </c>
      <c r="O448" s="332">
        <v>58</v>
      </c>
      <c r="P448" s="342">
        <v>11.600000000000001</v>
      </c>
      <c r="Q448" s="343">
        <v>10.592255125284744</v>
      </c>
      <c r="R448" s="344">
        <v>1.740143369175627</v>
      </c>
      <c r="S448" s="344">
        <v>1.756</v>
      </c>
      <c r="T448" s="344">
        <v>1.9419999999999999</v>
      </c>
      <c r="U448" s="344" t="s">
        <v>136</v>
      </c>
      <c r="V448" s="332" t="s">
        <v>137</v>
      </c>
      <c r="W448" s="345">
        <v>8</v>
      </c>
      <c r="X448" s="346">
        <v>4</v>
      </c>
      <c r="Y448" s="208">
        <v>2.8069999999999999</v>
      </c>
      <c r="Z448" s="332"/>
      <c r="AA448" s="342"/>
      <c r="AB448" s="342"/>
      <c r="AC448" s="342"/>
      <c r="AD448" s="347"/>
      <c r="AE448" s="358">
        <v>1.7</v>
      </c>
      <c r="AF448" s="349">
        <v>0</v>
      </c>
      <c r="AG448" s="350"/>
      <c r="AH448" s="351" t="s">
        <v>139</v>
      </c>
      <c r="AI448" s="351" t="s">
        <v>139</v>
      </c>
      <c r="AJ448" s="206" t="s">
        <v>139</v>
      </c>
      <c r="AK448" s="353" t="s">
        <v>714</v>
      </c>
      <c r="AL448" s="206" t="s">
        <v>139</v>
      </c>
      <c r="AM448" s="349">
        <v>102.36137465738982</v>
      </c>
      <c r="AN448" s="354" t="s">
        <v>139</v>
      </c>
      <c r="AO448" s="355" t="s">
        <v>140</v>
      </c>
      <c r="AP448" s="206" t="s">
        <v>139</v>
      </c>
      <c r="AQ448" s="246">
        <v>0</v>
      </c>
      <c r="AR448" s="211"/>
      <c r="AS448" s="297">
        <f>+IF(Table1[[#This Row],[Column40]]="ok",Table1[[#This Row],[Column7]],0)</f>
        <v>1485.41</v>
      </c>
      <c r="AT448" s="295">
        <f>+IF(Table1[[#This Row],[Column40]]="No",Table1[[#This Row],[Column7]],0)</f>
        <v>0</v>
      </c>
      <c r="AU448" s="4" t="str">
        <f>+IF(LEFT(Table1[[#This Row],[Column42]],2)="DN",IF(Table1[[#This Row],[Column40]]="ok","(CA)",_xlfn.CONCAT("(CA)",CHAR(10),"FAIL")),"")</f>
        <v/>
      </c>
      <c r="AV448" s="154" t="str">
        <f>+IF(Table1[[#This Row],[Column6]]=0,"",_xlfn.CONCAT("Sem ",WEEKNUM(Table1[[#This Row],[Column6]],2)))</f>
        <v>Sem 12</v>
      </c>
      <c r="AW448" s="211"/>
    </row>
    <row r="449" spans="2:49" ht="19.5" customHeight="1" x14ac:dyDescent="0.3">
      <c r="B449" s="356" t="s">
        <v>740</v>
      </c>
      <c r="C449" s="331"/>
      <c r="D449" s="332" t="s">
        <v>132</v>
      </c>
      <c r="E449" s="332" t="s">
        <v>176</v>
      </c>
      <c r="F449" s="333"/>
      <c r="G449" s="334">
        <v>46102</v>
      </c>
      <c r="H449" s="335">
        <v>1369.46</v>
      </c>
      <c r="I449" s="336">
        <v>295.88</v>
      </c>
      <c r="J449" s="337">
        <v>2560.3519999999999</v>
      </c>
      <c r="K449" s="338" t="s">
        <v>398</v>
      </c>
      <c r="L449" s="339" t="s">
        <v>224</v>
      </c>
      <c r="M449" s="340">
        <v>30</v>
      </c>
      <c r="N449" s="341">
        <v>88653</v>
      </c>
      <c r="O449" s="332">
        <v>58</v>
      </c>
      <c r="P449" s="342">
        <v>11.799999999999999</v>
      </c>
      <c r="Q449" s="343">
        <v>10.419091967403959</v>
      </c>
      <c r="R449" s="344">
        <v>1.6967799642218249</v>
      </c>
      <c r="S449" s="344">
        <v>1.718</v>
      </c>
      <c r="T449" s="344">
        <v>1.897</v>
      </c>
      <c r="U449" s="344" t="s">
        <v>136</v>
      </c>
      <c r="V449" s="332" t="s">
        <v>137</v>
      </c>
      <c r="W449" s="345">
        <v>8</v>
      </c>
      <c r="X449" s="346">
        <v>4</v>
      </c>
      <c r="Y449" s="208">
        <v>2.8069999999999999</v>
      </c>
      <c r="Z449" s="332"/>
      <c r="AA449" s="342"/>
      <c r="AB449" s="342"/>
      <c r="AC449" s="342"/>
      <c r="AD449" s="123"/>
      <c r="AE449" s="358">
        <v>1.7</v>
      </c>
      <c r="AF449" s="349">
        <v>0</v>
      </c>
      <c r="AG449" s="350"/>
      <c r="AH449" s="351" t="s">
        <v>139</v>
      </c>
      <c r="AI449" s="351" t="s">
        <v>139</v>
      </c>
      <c r="AJ449" s="206" t="s">
        <v>139</v>
      </c>
      <c r="AK449" s="353" t="s">
        <v>714</v>
      </c>
      <c r="AL449" s="206" t="s">
        <v>139</v>
      </c>
      <c r="AM449" s="349">
        <v>99.810586130695583</v>
      </c>
      <c r="AN449" s="354" t="s">
        <v>139</v>
      </c>
      <c r="AO449" s="355" t="s">
        <v>140</v>
      </c>
      <c r="AP449" s="206" t="s">
        <v>139</v>
      </c>
      <c r="AQ449" s="246">
        <v>0</v>
      </c>
      <c r="AR449" s="211"/>
      <c r="AS449" s="297">
        <f>+IF(Table1[[#This Row],[Column40]]="ok",Table1[[#This Row],[Column7]],0)</f>
        <v>1369.46</v>
      </c>
      <c r="AT449" s="295">
        <f>+IF(Table1[[#This Row],[Column40]]="No",Table1[[#This Row],[Column7]],0)</f>
        <v>0</v>
      </c>
      <c r="AU449" s="4" t="str">
        <f>+IF(LEFT(Table1[[#This Row],[Column42]],2)="DN",IF(Table1[[#This Row],[Column40]]="ok","(CA)",_xlfn.CONCAT("(CA)",CHAR(10),"FAIL")),"")</f>
        <v/>
      </c>
      <c r="AV449" s="154" t="str">
        <f>+IF(Table1[[#This Row],[Column6]]=0,"",_xlfn.CONCAT("Sem ",WEEKNUM(Table1[[#This Row],[Column6]],2)))</f>
        <v>Sem 12</v>
      </c>
      <c r="AW449" s="211"/>
    </row>
    <row r="450" spans="2:49" ht="19.5" customHeight="1" x14ac:dyDescent="0.3">
      <c r="B450" s="356" t="s">
        <v>741</v>
      </c>
      <c r="C450" s="331"/>
      <c r="D450" s="332" t="s">
        <v>132</v>
      </c>
      <c r="E450" s="332" t="s">
        <v>176</v>
      </c>
      <c r="F450" s="333"/>
      <c r="G450" s="334">
        <v>46102</v>
      </c>
      <c r="H450" s="335">
        <v>1289.69</v>
      </c>
      <c r="I450" s="336">
        <v>316.44</v>
      </c>
      <c r="J450" s="337">
        <v>2553.2570000000001</v>
      </c>
      <c r="K450" s="338" t="s">
        <v>398</v>
      </c>
      <c r="L450" s="339" t="s">
        <v>402</v>
      </c>
      <c r="M450" s="340">
        <v>30</v>
      </c>
      <c r="N450" s="341">
        <v>88653</v>
      </c>
      <c r="O450" s="332">
        <v>58</v>
      </c>
      <c r="P450" s="342">
        <v>11.200000000000001</v>
      </c>
      <c r="Q450" s="343">
        <v>10.954891622729935</v>
      </c>
      <c r="R450" s="344">
        <v>1.7032374100719423</v>
      </c>
      <c r="S450" s="344">
        <v>1.7070000000000001</v>
      </c>
      <c r="T450" s="344">
        <v>1.8939999999999999</v>
      </c>
      <c r="U450" s="344" t="s">
        <v>136</v>
      </c>
      <c r="V450" s="332" t="s">
        <v>137</v>
      </c>
      <c r="W450" s="345">
        <v>8</v>
      </c>
      <c r="X450" s="346">
        <v>4</v>
      </c>
      <c r="Y450" s="208">
        <v>2.8069999999999999</v>
      </c>
      <c r="Z450" s="332"/>
      <c r="AA450" s="342"/>
      <c r="AB450" s="342"/>
      <c r="AC450" s="342"/>
      <c r="AD450" s="347"/>
      <c r="AE450" s="358">
        <v>1.7</v>
      </c>
      <c r="AF450" s="349">
        <v>0</v>
      </c>
      <c r="AG450" s="350"/>
      <c r="AH450" s="351" t="s">
        <v>139</v>
      </c>
      <c r="AI450" s="351" t="s">
        <v>139</v>
      </c>
      <c r="AJ450" s="206" t="s">
        <v>139</v>
      </c>
      <c r="AK450" s="353" t="s">
        <v>714</v>
      </c>
      <c r="AL450" s="206" t="s">
        <v>139</v>
      </c>
      <c r="AM450" s="349">
        <v>100.19043588658485</v>
      </c>
      <c r="AN450" s="354" t="s">
        <v>139</v>
      </c>
      <c r="AO450" s="355" t="s">
        <v>140</v>
      </c>
      <c r="AP450" s="206" t="s">
        <v>139</v>
      </c>
      <c r="AQ450" s="246">
        <v>0</v>
      </c>
      <c r="AR450" s="211"/>
      <c r="AS450" s="297">
        <f>+IF(Table1[[#This Row],[Column40]]="ok",Table1[[#This Row],[Column7]],0)</f>
        <v>1289.69</v>
      </c>
      <c r="AT450" s="295">
        <f>+IF(Table1[[#This Row],[Column40]]="No",Table1[[#This Row],[Column7]],0)</f>
        <v>0</v>
      </c>
      <c r="AU450" s="4" t="str">
        <f>+IF(LEFT(Table1[[#This Row],[Column42]],2)="DN",IF(Table1[[#This Row],[Column40]]="ok","(CA)",_xlfn.CONCAT("(CA)",CHAR(10),"FAIL")),"")</f>
        <v/>
      </c>
      <c r="AV450" s="154" t="str">
        <f>+IF(Table1[[#This Row],[Column6]]=0,"",_xlfn.CONCAT("Sem ",WEEKNUM(Table1[[#This Row],[Column6]],2)))</f>
        <v>Sem 12</v>
      </c>
      <c r="AW450" s="211"/>
    </row>
    <row r="451" spans="2:49" ht="19.5" customHeight="1" x14ac:dyDescent="0.3">
      <c r="B451" s="356" t="s">
        <v>742</v>
      </c>
      <c r="C451" s="331"/>
      <c r="D451" s="332" t="s">
        <v>132</v>
      </c>
      <c r="E451" s="332" t="s">
        <v>176</v>
      </c>
      <c r="F451" s="333"/>
      <c r="G451" s="334">
        <v>46102</v>
      </c>
      <c r="H451" s="335">
        <v>1416.39</v>
      </c>
      <c r="I451" s="336">
        <v>370.81</v>
      </c>
      <c r="J451" s="337">
        <v>2537.04</v>
      </c>
      <c r="K451" s="338" t="s">
        <v>398</v>
      </c>
      <c r="L451" s="339" t="s">
        <v>230</v>
      </c>
      <c r="M451" s="340">
        <v>30</v>
      </c>
      <c r="N451" s="341">
        <v>88653</v>
      </c>
      <c r="O451" s="332">
        <v>58</v>
      </c>
      <c r="P451" s="342">
        <v>9.9</v>
      </c>
      <c r="Q451" s="343">
        <v>11.411764705882344</v>
      </c>
      <c r="R451" s="344">
        <v>1.7233848953594175</v>
      </c>
      <c r="S451" s="344">
        <v>1.7</v>
      </c>
      <c r="T451" s="344">
        <v>1.8939999999999999</v>
      </c>
      <c r="U451" s="344" t="s">
        <v>136</v>
      </c>
      <c r="V451" s="332" t="s">
        <v>137</v>
      </c>
      <c r="W451" s="345">
        <v>8</v>
      </c>
      <c r="X451" s="346">
        <v>4</v>
      </c>
      <c r="Y451" s="208">
        <v>2.8069999999999999</v>
      </c>
      <c r="Z451" s="332"/>
      <c r="AA451" s="342"/>
      <c r="AB451" s="342"/>
      <c r="AC451" s="342"/>
      <c r="AD451" s="347"/>
      <c r="AE451" s="358">
        <v>1.7</v>
      </c>
      <c r="AF451" s="349">
        <v>0</v>
      </c>
      <c r="AG451" s="350"/>
      <c r="AH451" s="351" t="s">
        <v>139</v>
      </c>
      <c r="AI451" s="351" t="s">
        <v>139</v>
      </c>
      <c r="AJ451" s="206" t="s">
        <v>139</v>
      </c>
      <c r="AK451" s="353" t="s">
        <v>714</v>
      </c>
      <c r="AL451" s="206" t="s">
        <v>139</v>
      </c>
      <c r="AM451" s="349">
        <v>101.37558207996574</v>
      </c>
      <c r="AN451" s="354" t="s">
        <v>139</v>
      </c>
      <c r="AO451" s="355" t="s">
        <v>140</v>
      </c>
      <c r="AP451" s="206" t="s">
        <v>139</v>
      </c>
      <c r="AQ451" s="246">
        <v>0</v>
      </c>
      <c r="AR451" s="211"/>
      <c r="AS451" s="297">
        <f>+IF(Table1[[#This Row],[Column40]]="ok",Table1[[#This Row],[Column7]],0)</f>
        <v>1416.39</v>
      </c>
      <c r="AT451" s="295">
        <f>+IF(Table1[[#This Row],[Column40]]="No",Table1[[#This Row],[Column7]],0)</f>
        <v>0</v>
      </c>
      <c r="AU451" s="4" t="str">
        <f>+IF(LEFT(Table1[[#This Row],[Column42]],2)="DN",IF(Table1[[#This Row],[Column40]]="ok","(CA)",_xlfn.CONCAT("(CA)",CHAR(10),"FAIL")),"")</f>
        <v/>
      </c>
      <c r="AV451" s="154" t="str">
        <f>+IF(Table1[[#This Row],[Column6]]=0,"",_xlfn.CONCAT("Sem ",WEEKNUM(Table1[[#This Row],[Column6]],2)))</f>
        <v>Sem 12</v>
      </c>
      <c r="AW451" s="211"/>
    </row>
    <row r="452" spans="2:49" ht="19.5" customHeight="1" x14ac:dyDescent="0.3">
      <c r="B452" s="356" t="s">
        <v>743</v>
      </c>
      <c r="C452" s="331"/>
      <c r="D452" s="332" t="s">
        <v>132</v>
      </c>
      <c r="E452" s="332" t="s">
        <v>176</v>
      </c>
      <c r="F452" s="333"/>
      <c r="G452" s="334">
        <v>46102</v>
      </c>
      <c r="H452" s="335">
        <v>1565.37</v>
      </c>
      <c r="I452" s="336">
        <v>485.67</v>
      </c>
      <c r="J452" s="337">
        <v>2502.703</v>
      </c>
      <c r="K452" s="338" t="s">
        <v>184</v>
      </c>
      <c r="L452" s="339" t="s">
        <v>177</v>
      </c>
      <c r="M452" s="340">
        <v>30</v>
      </c>
      <c r="N452" s="341">
        <v>88653</v>
      </c>
      <c r="O452" s="332">
        <v>58</v>
      </c>
      <c r="P452" s="342">
        <v>12.2</v>
      </c>
      <c r="Q452" s="343">
        <v>11.653272101033307</v>
      </c>
      <c r="R452" s="344">
        <v>1.7335115864527633</v>
      </c>
      <c r="S452" s="344">
        <v>1.742</v>
      </c>
      <c r="T452" s="344">
        <v>1.9450000000000001</v>
      </c>
      <c r="U452" s="344" t="s">
        <v>136</v>
      </c>
      <c r="V452" s="332" t="s">
        <v>137</v>
      </c>
      <c r="W452" s="345">
        <v>8</v>
      </c>
      <c r="X452" s="346">
        <v>4</v>
      </c>
      <c r="Y452" s="208">
        <v>2.8069999999999999</v>
      </c>
      <c r="Z452" s="332"/>
      <c r="AA452" s="342"/>
      <c r="AB452" s="342"/>
      <c r="AC452" s="342"/>
      <c r="AD452" s="347"/>
      <c r="AE452" s="358">
        <v>1.716</v>
      </c>
      <c r="AF452" s="349">
        <v>16.600000000000001</v>
      </c>
      <c r="AG452" s="350"/>
      <c r="AH452" s="351">
        <v>1.7152717860224331</v>
      </c>
      <c r="AI452" s="351">
        <v>1.988</v>
      </c>
      <c r="AJ452" s="206">
        <v>15.9</v>
      </c>
      <c r="AK452" s="353" t="s">
        <v>467</v>
      </c>
      <c r="AL452" s="206">
        <v>0.70000000000000107</v>
      </c>
      <c r="AM452" s="349">
        <v>101.0204887210235</v>
      </c>
      <c r="AN452" s="354" t="s">
        <v>139</v>
      </c>
      <c r="AO452" s="355" t="s">
        <v>140</v>
      </c>
      <c r="AP452" s="206" t="s">
        <v>139</v>
      </c>
      <c r="AQ452" s="246" t="s">
        <v>744</v>
      </c>
      <c r="AR452" s="211"/>
      <c r="AS452" s="297">
        <f>+IF(Table1[[#This Row],[Column40]]="ok",Table1[[#This Row],[Column7]],0)</f>
        <v>1565.37</v>
      </c>
      <c r="AT452" s="295">
        <f>+IF(Table1[[#This Row],[Column40]]="No",Table1[[#This Row],[Column7]],0)</f>
        <v>0</v>
      </c>
      <c r="AU452" s="4" t="str">
        <f>+IF(LEFT(Table1[[#This Row],[Column42]],2)="DN",IF(Table1[[#This Row],[Column40]]="ok","(CA)",_xlfn.CONCAT("(CA)",CHAR(10),"FAIL")),"")</f>
        <v/>
      </c>
      <c r="AV452" s="154" t="str">
        <f>+IF(Table1[[#This Row],[Column6]]=0,"",_xlfn.CONCAT("Sem ",WEEKNUM(Table1[[#This Row],[Column6]],2)))</f>
        <v>Sem 12</v>
      </c>
      <c r="AW452" s="211"/>
    </row>
    <row r="453" spans="2:49" ht="19.5" customHeight="1" x14ac:dyDescent="0.3">
      <c r="B453" s="356" t="s">
        <v>744</v>
      </c>
      <c r="C453" s="331"/>
      <c r="D453" s="332" t="s">
        <v>132</v>
      </c>
      <c r="E453" s="332" t="s">
        <v>745</v>
      </c>
      <c r="F453" s="333"/>
      <c r="G453" s="334">
        <v>46102</v>
      </c>
      <c r="H453" s="335">
        <v>1565.37</v>
      </c>
      <c r="I453" s="336">
        <v>485.67</v>
      </c>
      <c r="J453" s="337">
        <v>2502.703</v>
      </c>
      <c r="K453" s="338" t="s">
        <v>184</v>
      </c>
      <c r="L453" s="339" t="s">
        <v>177</v>
      </c>
      <c r="M453" s="340">
        <v>15</v>
      </c>
      <c r="N453" s="341"/>
      <c r="O453" s="332"/>
      <c r="P453" s="342">
        <v>12.236024844720525</v>
      </c>
      <c r="Q453" s="343"/>
      <c r="R453" s="344">
        <v>1.7469127794161938</v>
      </c>
      <c r="S453" s="344"/>
      <c r="T453" s="344">
        <v>1.9606654611211571</v>
      </c>
      <c r="U453" s="344" t="s">
        <v>142</v>
      </c>
      <c r="V453" s="332" t="s">
        <v>137</v>
      </c>
      <c r="W453" s="345">
        <v>6</v>
      </c>
      <c r="X453" s="346">
        <v>8</v>
      </c>
      <c r="Y453" s="208"/>
      <c r="Z453" s="332" t="s">
        <v>143</v>
      </c>
      <c r="AA453" s="342">
        <v>98.975155279503099</v>
      </c>
      <c r="AB453" s="342">
        <v>78.913043478260875</v>
      </c>
      <c r="AC453" s="342">
        <v>37.950310559006205</v>
      </c>
      <c r="AD453" s="123">
        <v>12.639751552795019</v>
      </c>
      <c r="AE453" s="358">
        <v>1.716</v>
      </c>
      <c r="AF453" s="349">
        <v>16.600000000000001</v>
      </c>
      <c r="AG453" s="350" t="s">
        <v>467</v>
      </c>
      <c r="AH453" s="351">
        <v>1.7149166462484888</v>
      </c>
      <c r="AI453" s="351">
        <v>1.98765037794102</v>
      </c>
      <c r="AJ453" s="206">
        <v>15.903614457831342</v>
      </c>
      <c r="AK453" s="353" t="s">
        <v>467</v>
      </c>
      <c r="AL453" s="206">
        <v>0.69638554216865955</v>
      </c>
      <c r="AM453" s="349">
        <v>101.80144402192272</v>
      </c>
      <c r="AN453" s="354" t="s">
        <v>139</v>
      </c>
      <c r="AO453" s="355" t="s">
        <v>144</v>
      </c>
      <c r="AP453" s="206">
        <v>0</v>
      </c>
      <c r="AQ453" s="246" t="s">
        <v>743</v>
      </c>
      <c r="AR453" s="211"/>
      <c r="AS453" s="297">
        <f>+IF(Table1[[#This Row],[Column40]]="ok",Table1[[#This Row],[Column7]],0)</f>
        <v>1565.37</v>
      </c>
      <c r="AT453" s="295">
        <f>+IF(Table1[[#This Row],[Column40]]="No",Table1[[#This Row],[Column7]],0)</f>
        <v>0</v>
      </c>
      <c r="AU453" s="4" t="str">
        <f>+IF(LEFT(Table1[[#This Row],[Column42]],2)="DN",IF(Table1[[#This Row],[Column40]]="ok","(CA)",_xlfn.CONCAT("(CA)",CHAR(10),"FAIL")),"")</f>
        <v>(CA)</v>
      </c>
      <c r="AV453" s="154" t="str">
        <f>+IF(Table1[[#This Row],[Column6]]=0,"",_xlfn.CONCAT("Sem ",WEEKNUM(Table1[[#This Row],[Column6]],2)))</f>
        <v>Sem 12</v>
      </c>
      <c r="AW453" s="211"/>
    </row>
    <row r="454" spans="2:49" ht="19.5" customHeight="1" x14ac:dyDescent="0.3">
      <c r="B454" s="356" t="s">
        <v>746</v>
      </c>
      <c r="C454" s="331"/>
      <c r="D454" s="332" t="s">
        <v>132</v>
      </c>
      <c r="E454" s="332" t="s">
        <v>133</v>
      </c>
      <c r="F454" s="333"/>
      <c r="G454" s="334">
        <v>46103</v>
      </c>
      <c r="H454" s="335">
        <v>1454.51</v>
      </c>
      <c r="I454" s="336">
        <v>93.36</v>
      </c>
      <c r="J454" s="337">
        <v>2617.2600000000002</v>
      </c>
      <c r="K454" s="338" t="s">
        <v>221</v>
      </c>
      <c r="L454" s="339" t="s">
        <v>558</v>
      </c>
      <c r="M454" s="340">
        <v>30</v>
      </c>
      <c r="N454" s="341">
        <v>88653</v>
      </c>
      <c r="O454" s="332">
        <v>58</v>
      </c>
      <c r="P454" s="342">
        <v>12.4</v>
      </c>
      <c r="Q454" s="343">
        <v>11.079865016872903</v>
      </c>
      <c r="R454" s="344">
        <v>1.7571174377224199</v>
      </c>
      <c r="S454" s="344">
        <v>1.778</v>
      </c>
      <c r="T454" s="344">
        <v>1.9750000000000001</v>
      </c>
      <c r="U454" s="344" t="s">
        <v>136</v>
      </c>
      <c r="V454" s="332" t="s">
        <v>137</v>
      </c>
      <c r="W454" s="345">
        <v>8</v>
      </c>
      <c r="X454" s="346">
        <v>4</v>
      </c>
      <c r="Y454" s="208">
        <v>2.8069999999999999</v>
      </c>
      <c r="Z454" s="332"/>
      <c r="AA454" s="342"/>
      <c r="AB454" s="342"/>
      <c r="AC454" s="342"/>
      <c r="AD454" s="123"/>
      <c r="AE454" s="358">
        <v>1.7</v>
      </c>
      <c r="AF454" s="349">
        <v>0</v>
      </c>
      <c r="AG454" s="350"/>
      <c r="AH454" s="351" t="s">
        <v>139</v>
      </c>
      <c r="AI454" s="351" t="s">
        <v>139</v>
      </c>
      <c r="AJ454" s="206" t="s">
        <v>139</v>
      </c>
      <c r="AK454" s="353" t="s">
        <v>714</v>
      </c>
      <c r="AL454" s="206" t="s">
        <v>139</v>
      </c>
      <c r="AM454" s="349">
        <v>103.35984927778941</v>
      </c>
      <c r="AN454" s="354" t="s">
        <v>139</v>
      </c>
      <c r="AO454" s="355" t="s">
        <v>140</v>
      </c>
      <c r="AP454" s="206" t="s">
        <v>139</v>
      </c>
      <c r="AQ454" s="246">
        <v>0</v>
      </c>
      <c r="AR454" s="211"/>
      <c r="AS454" s="297">
        <f>+IF(Table1[[#This Row],[Column40]]="ok",Table1[[#This Row],[Column7]],0)</f>
        <v>1454.51</v>
      </c>
      <c r="AT454" s="295">
        <f>+IF(Table1[[#This Row],[Column40]]="No",Table1[[#This Row],[Column7]],0)</f>
        <v>0</v>
      </c>
      <c r="AU454" s="4" t="str">
        <f>+IF(LEFT(Table1[[#This Row],[Column42]],2)="DN",IF(Table1[[#This Row],[Column40]]="ok","(CA)",_xlfn.CONCAT("(CA)",CHAR(10),"FAIL")),"")</f>
        <v/>
      </c>
      <c r="AV454" s="154" t="str">
        <f>+IF(Table1[[#This Row],[Column6]]=0,"",_xlfn.CONCAT("Sem ",WEEKNUM(Table1[[#This Row],[Column6]],2)))</f>
        <v>Sem 12</v>
      </c>
      <c r="AW454" s="211"/>
    </row>
    <row r="455" spans="2:49" ht="19.5" customHeight="1" x14ac:dyDescent="0.3">
      <c r="B455" s="356" t="s">
        <v>747</v>
      </c>
      <c r="C455" s="331"/>
      <c r="D455" s="332" t="s">
        <v>132</v>
      </c>
      <c r="E455" s="332" t="s">
        <v>133</v>
      </c>
      <c r="F455" s="333"/>
      <c r="G455" s="334">
        <v>46103</v>
      </c>
      <c r="H455" s="335">
        <v>1520.34</v>
      </c>
      <c r="I455" s="336">
        <v>113.52</v>
      </c>
      <c r="J455" s="337">
        <v>2612.09</v>
      </c>
      <c r="K455" s="338" t="s">
        <v>162</v>
      </c>
      <c r="L455" s="339" t="s">
        <v>424</v>
      </c>
      <c r="M455" s="340">
        <v>30</v>
      </c>
      <c r="N455" s="341">
        <v>88653</v>
      </c>
      <c r="O455" s="332">
        <v>58</v>
      </c>
      <c r="P455" s="342">
        <v>9.6</v>
      </c>
      <c r="Q455" s="343">
        <v>10.152284263959398</v>
      </c>
      <c r="R455" s="344">
        <v>1.7819343065693429</v>
      </c>
      <c r="S455" s="344">
        <v>1.7729999999999999</v>
      </c>
      <c r="T455" s="344">
        <v>1.9530000000000001</v>
      </c>
      <c r="U455" s="344" t="s">
        <v>136</v>
      </c>
      <c r="V455" s="332" t="s">
        <v>137</v>
      </c>
      <c r="W455" s="345">
        <v>8</v>
      </c>
      <c r="X455" s="346">
        <v>4</v>
      </c>
      <c r="Y455" s="208">
        <v>2.8069999999999999</v>
      </c>
      <c r="Z455" s="332"/>
      <c r="AA455" s="342"/>
      <c r="AB455" s="342"/>
      <c r="AC455" s="342"/>
      <c r="AD455" s="123"/>
      <c r="AE455" s="358">
        <v>1.7</v>
      </c>
      <c r="AF455" s="349">
        <v>0</v>
      </c>
      <c r="AG455" s="350"/>
      <c r="AH455" s="351" t="s">
        <v>139</v>
      </c>
      <c r="AI455" s="351" t="s">
        <v>139</v>
      </c>
      <c r="AJ455" s="206" t="s">
        <v>139</v>
      </c>
      <c r="AK455" s="353" t="s">
        <v>714</v>
      </c>
      <c r="AL455" s="206" t="s">
        <v>139</v>
      </c>
      <c r="AM455" s="349">
        <v>104.81966509231428</v>
      </c>
      <c r="AN455" s="354" t="s">
        <v>139</v>
      </c>
      <c r="AO455" s="355" t="s">
        <v>140</v>
      </c>
      <c r="AP455" s="206" t="s">
        <v>139</v>
      </c>
      <c r="AQ455" s="246">
        <v>0</v>
      </c>
      <c r="AR455" s="211"/>
      <c r="AS455" s="297">
        <f>+IF(Table1[[#This Row],[Column40]]="ok",Table1[[#This Row],[Column7]],0)</f>
        <v>1520.34</v>
      </c>
      <c r="AT455" s="295">
        <f>+IF(Table1[[#This Row],[Column40]]="No",Table1[[#This Row],[Column7]],0)</f>
        <v>0</v>
      </c>
      <c r="AU455" s="4" t="str">
        <f>+IF(LEFT(Table1[[#This Row],[Column42]],2)="DN",IF(Table1[[#This Row],[Column40]]="ok","(CA)",_xlfn.CONCAT("(CA)",CHAR(10),"FAIL")),"")</f>
        <v/>
      </c>
      <c r="AV455" s="154" t="str">
        <f>+IF(Table1[[#This Row],[Column6]]=0,"",_xlfn.CONCAT("Sem ",WEEKNUM(Table1[[#This Row],[Column6]],2)))</f>
        <v>Sem 12</v>
      </c>
      <c r="AW455" s="211"/>
    </row>
    <row r="456" spans="2:49" ht="19.5" customHeight="1" x14ac:dyDescent="0.3">
      <c r="B456" s="356" t="s">
        <v>748</v>
      </c>
      <c r="C456" s="331"/>
      <c r="D456" s="332" t="s">
        <v>132</v>
      </c>
      <c r="E456" s="332" t="s">
        <v>133</v>
      </c>
      <c r="F456" s="333"/>
      <c r="G456" s="334">
        <v>46103</v>
      </c>
      <c r="H456" s="335">
        <v>1590.54</v>
      </c>
      <c r="I456" s="336">
        <v>142.16999999999999</v>
      </c>
      <c r="J456" s="337">
        <v>2602.4299999999998</v>
      </c>
      <c r="K456" s="338" t="s">
        <v>162</v>
      </c>
      <c r="L456" s="339" t="s">
        <v>185</v>
      </c>
      <c r="M456" s="340">
        <v>30</v>
      </c>
      <c r="N456" s="341">
        <v>88653</v>
      </c>
      <c r="O456" s="332">
        <v>58</v>
      </c>
      <c r="P456" s="342">
        <v>15.299999999999999</v>
      </c>
      <c r="Q456" s="343">
        <v>12.142038946162659</v>
      </c>
      <c r="R456" s="344">
        <v>1.6981786643538594</v>
      </c>
      <c r="S456" s="344">
        <v>1.746</v>
      </c>
      <c r="T456" s="344">
        <v>1.958</v>
      </c>
      <c r="U456" s="344" t="s">
        <v>136</v>
      </c>
      <c r="V456" s="332" t="s">
        <v>137</v>
      </c>
      <c r="W456" s="345">
        <v>8</v>
      </c>
      <c r="X456" s="346">
        <v>4</v>
      </c>
      <c r="Y456" s="208">
        <v>2.8069999999999999</v>
      </c>
      <c r="Z456" s="332"/>
      <c r="AA456" s="342"/>
      <c r="AB456" s="342"/>
      <c r="AC456" s="342"/>
      <c r="AD456" s="347"/>
      <c r="AE456" s="358">
        <v>1.7</v>
      </c>
      <c r="AF456" s="349">
        <v>0</v>
      </c>
      <c r="AG456" s="350"/>
      <c r="AH456" s="351" t="s">
        <v>139</v>
      </c>
      <c r="AI456" s="352" t="s">
        <v>139</v>
      </c>
      <c r="AJ456" s="206" t="s">
        <v>139</v>
      </c>
      <c r="AK456" s="353" t="s">
        <v>714</v>
      </c>
      <c r="AL456" s="206" t="s">
        <v>139</v>
      </c>
      <c r="AM456" s="349">
        <v>99.892862609050553</v>
      </c>
      <c r="AN456" s="354" t="s">
        <v>139</v>
      </c>
      <c r="AO456" s="355" t="s">
        <v>140</v>
      </c>
      <c r="AP456" s="206" t="s">
        <v>139</v>
      </c>
      <c r="AQ456" s="246">
        <v>0</v>
      </c>
      <c r="AR456" s="211"/>
      <c r="AS456" s="297">
        <f>+IF(Table1[[#This Row],[Column40]]="ok",Table1[[#This Row],[Column7]],0)</f>
        <v>1590.54</v>
      </c>
      <c r="AT456" s="295">
        <f>+IF(Table1[[#This Row],[Column40]]="No",Table1[[#This Row],[Column7]],0)</f>
        <v>0</v>
      </c>
      <c r="AU456" s="4" t="str">
        <f>+IF(LEFT(Table1[[#This Row],[Column42]],2)="DN",IF(Table1[[#This Row],[Column40]]="ok","(CA)",_xlfn.CONCAT("(CA)",CHAR(10),"FAIL")),"")</f>
        <v/>
      </c>
      <c r="AV456" s="154" t="str">
        <f>+IF(Table1[[#This Row],[Column6]]=0,"",_xlfn.CONCAT("Sem ",WEEKNUM(Table1[[#This Row],[Column6]],2)))</f>
        <v>Sem 12</v>
      </c>
      <c r="AW456" s="211"/>
    </row>
    <row r="457" spans="2:49" ht="19.5" customHeight="1" x14ac:dyDescent="0.3">
      <c r="B457" s="356" t="s">
        <v>749</v>
      </c>
      <c r="C457" s="331"/>
      <c r="D457" s="332" t="s">
        <v>132</v>
      </c>
      <c r="E457" s="332" t="s">
        <v>133</v>
      </c>
      <c r="F457" s="333"/>
      <c r="G457" s="334">
        <v>46103</v>
      </c>
      <c r="H457" s="335">
        <v>1609.23</v>
      </c>
      <c r="I457" s="336">
        <v>246.12</v>
      </c>
      <c r="J457" s="337">
        <v>2570.44</v>
      </c>
      <c r="K457" s="338" t="s">
        <v>162</v>
      </c>
      <c r="L457" s="339" t="s">
        <v>163</v>
      </c>
      <c r="M457" s="340">
        <v>30</v>
      </c>
      <c r="N457" s="341">
        <v>88653</v>
      </c>
      <c r="O457" s="332">
        <v>58</v>
      </c>
      <c r="P457" s="342">
        <v>9.8000000000000007</v>
      </c>
      <c r="Q457" s="343">
        <v>11.999999999999989</v>
      </c>
      <c r="R457" s="344">
        <v>1.7340619307832421</v>
      </c>
      <c r="S457" s="344">
        <v>1.7</v>
      </c>
      <c r="T457" s="344">
        <v>1.9039999999999999</v>
      </c>
      <c r="U457" s="344" t="s">
        <v>136</v>
      </c>
      <c r="V457" s="332" t="s">
        <v>137</v>
      </c>
      <c r="W457" s="345">
        <v>8</v>
      </c>
      <c r="X457" s="346">
        <v>4</v>
      </c>
      <c r="Y457" s="208">
        <v>2.8069999999999999</v>
      </c>
      <c r="Z457" s="332"/>
      <c r="AA457" s="342"/>
      <c r="AB457" s="342"/>
      <c r="AC457" s="342"/>
      <c r="AD457" s="347"/>
      <c r="AE457" s="358">
        <v>1.7</v>
      </c>
      <c r="AF457" s="349">
        <v>0</v>
      </c>
      <c r="AG457" s="350"/>
      <c r="AH457" s="351" t="s">
        <v>139</v>
      </c>
      <c r="AI457" s="352" t="s">
        <v>139</v>
      </c>
      <c r="AJ457" s="206" t="s">
        <v>139</v>
      </c>
      <c r="AK457" s="353" t="s">
        <v>714</v>
      </c>
      <c r="AL457" s="206" t="s">
        <v>139</v>
      </c>
      <c r="AM457" s="349">
        <v>102.00364298724953</v>
      </c>
      <c r="AN457" s="354" t="s">
        <v>139</v>
      </c>
      <c r="AO457" s="355" t="s">
        <v>140</v>
      </c>
      <c r="AP457" s="206" t="s">
        <v>139</v>
      </c>
      <c r="AQ457" s="246">
        <v>0</v>
      </c>
      <c r="AR457" s="211"/>
      <c r="AS457" s="297">
        <f>+IF(Table1[[#This Row],[Column40]]="ok",Table1[[#This Row],[Column7]],0)</f>
        <v>1609.23</v>
      </c>
      <c r="AT457" s="295">
        <f>+IF(Table1[[#This Row],[Column40]]="No",Table1[[#This Row],[Column7]],0)</f>
        <v>0</v>
      </c>
      <c r="AU457" s="4" t="str">
        <f>+IF(LEFT(Table1[[#This Row],[Column42]],2)="DN",IF(Table1[[#This Row],[Column40]]="ok","(CA)",_xlfn.CONCAT("(CA)",CHAR(10),"FAIL")),"")</f>
        <v/>
      </c>
      <c r="AV457" s="154" t="str">
        <f>+IF(Table1[[#This Row],[Column6]]=0,"",_xlfn.CONCAT("Sem ",WEEKNUM(Table1[[#This Row],[Column6]],2)))</f>
        <v>Sem 12</v>
      </c>
      <c r="AW457" s="211"/>
    </row>
    <row r="458" spans="2:49" ht="19.5" customHeight="1" x14ac:dyDescent="0.3">
      <c r="B458" s="356" t="s">
        <v>750</v>
      </c>
      <c r="C458" s="331"/>
      <c r="D458" s="332" t="s">
        <v>132</v>
      </c>
      <c r="E458" s="332" t="s">
        <v>133</v>
      </c>
      <c r="F458" s="333"/>
      <c r="G458" s="334">
        <v>46103</v>
      </c>
      <c r="H458" s="335">
        <v>1531.51</v>
      </c>
      <c r="I458" s="336">
        <v>206.51</v>
      </c>
      <c r="J458" s="337">
        <v>2585.56</v>
      </c>
      <c r="K458" s="338" t="s">
        <v>162</v>
      </c>
      <c r="L458" s="339" t="s">
        <v>424</v>
      </c>
      <c r="M458" s="340">
        <v>30</v>
      </c>
      <c r="N458" s="341">
        <v>88653</v>
      </c>
      <c r="O458" s="332">
        <v>58</v>
      </c>
      <c r="P458" s="342">
        <v>11.4</v>
      </c>
      <c r="Q458" s="343">
        <v>11.757719714964377</v>
      </c>
      <c r="R458" s="344">
        <v>1.6894075403949729</v>
      </c>
      <c r="S458" s="344">
        <v>1.6839999999999999</v>
      </c>
      <c r="T458" s="344">
        <v>1.8819999999999999</v>
      </c>
      <c r="U458" s="344" t="s">
        <v>136</v>
      </c>
      <c r="V458" s="332" t="s">
        <v>137</v>
      </c>
      <c r="W458" s="345">
        <v>8</v>
      </c>
      <c r="X458" s="346">
        <v>4</v>
      </c>
      <c r="Y458" s="208">
        <v>2.8069999999999999</v>
      </c>
      <c r="Z458" s="332"/>
      <c r="AA458" s="342"/>
      <c r="AB458" s="342"/>
      <c r="AC458" s="342"/>
      <c r="AD458" s="347"/>
      <c r="AE458" s="358">
        <v>1.7002619372103567</v>
      </c>
      <c r="AF458" s="349">
        <v>16.498992474009615</v>
      </c>
      <c r="AG458" s="350"/>
      <c r="AH458" s="351">
        <v>1.6987951807228916</v>
      </c>
      <c r="AI458" s="351">
        <v>1.974</v>
      </c>
      <c r="AJ458" s="206">
        <v>16.2</v>
      </c>
      <c r="AK458" s="353" t="s">
        <v>720</v>
      </c>
      <c r="AL458" s="206">
        <v>0.29899247400961571</v>
      </c>
      <c r="AM458" s="349">
        <v>99.361604434126619</v>
      </c>
      <c r="AN458" s="354" t="s">
        <v>139</v>
      </c>
      <c r="AO458" s="355" t="s">
        <v>140</v>
      </c>
      <c r="AP458" s="206" t="s">
        <v>139</v>
      </c>
      <c r="AQ458" s="246">
        <v>0</v>
      </c>
      <c r="AR458" s="211"/>
      <c r="AS458" s="297">
        <f>+IF(Table1[[#This Row],[Column40]]="ok",Table1[[#This Row],[Column7]],0)</f>
        <v>1531.51</v>
      </c>
      <c r="AT458" s="295">
        <f>+IF(Table1[[#This Row],[Column40]]="No",Table1[[#This Row],[Column7]],0)</f>
        <v>0</v>
      </c>
      <c r="AU458" s="4" t="str">
        <f>+IF(LEFT(Table1[[#This Row],[Column42]],2)="DN",IF(Table1[[#This Row],[Column40]]="ok","(CA)",_xlfn.CONCAT("(CA)",CHAR(10),"FAIL")),"")</f>
        <v/>
      </c>
      <c r="AV458" s="154" t="str">
        <f>+IF(Table1[[#This Row],[Column6]]=0,"",_xlfn.CONCAT("Sem ",WEEKNUM(Table1[[#This Row],[Column6]],2)))</f>
        <v>Sem 12</v>
      </c>
      <c r="AW458" s="211"/>
    </row>
    <row r="459" spans="2:49" ht="19.5" customHeight="1" x14ac:dyDescent="0.3">
      <c r="B459" s="356" t="s">
        <v>751</v>
      </c>
      <c r="C459" s="331"/>
      <c r="D459" s="332" t="s">
        <v>132</v>
      </c>
      <c r="E459" s="332" t="s">
        <v>133</v>
      </c>
      <c r="F459" s="333"/>
      <c r="G459" s="334">
        <v>46103</v>
      </c>
      <c r="H459" s="335">
        <v>1449.86</v>
      </c>
      <c r="I459" s="336">
        <v>187.8</v>
      </c>
      <c r="J459" s="337">
        <v>2589.85</v>
      </c>
      <c r="K459" s="338" t="s">
        <v>221</v>
      </c>
      <c r="L459" s="339" t="s">
        <v>558</v>
      </c>
      <c r="M459" s="340">
        <v>30</v>
      </c>
      <c r="N459" s="341">
        <v>88653</v>
      </c>
      <c r="O459" s="332">
        <v>58</v>
      </c>
      <c r="P459" s="342">
        <v>9.4</v>
      </c>
      <c r="Q459" s="343">
        <v>11.495601173020532</v>
      </c>
      <c r="R459" s="344">
        <v>1.7376599634369285</v>
      </c>
      <c r="S459" s="344">
        <v>1.7050000000000001</v>
      </c>
      <c r="T459" s="344">
        <v>1.901</v>
      </c>
      <c r="U459" s="344" t="s">
        <v>136</v>
      </c>
      <c r="V459" s="332" t="s">
        <v>137</v>
      </c>
      <c r="W459" s="345">
        <v>8</v>
      </c>
      <c r="X459" s="346">
        <v>4</v>
      </c>
      <c r="Y459" s="208">
        <v>2.8069999999999999</v>
      </c>
      <c r="Z459" s="332"/>
      <c r="AA459" s="342"/>
      <c r="AB459" s="342"/>
      <c r="AC459" s="342"/>
      <c r="AD459" s="347"/>
      <c r="AE459" s="358">
        <v>1.7</v>
      </c>
      <c r="AF459" s="349">
        <v>0</v>
      </c>
      <c r="AG459" s="350"/>
      <c r="AH459" s="351" t="s">
        <v>139</v>
      </c>
      <c r="AI459" s="352" t="s">
        <v>139</v>
      </c>
      <c r="AJ459" s="206" t="s">
        <v>139</v>
      </c>
      <c r="AK459" s="353" t="s">
        <v>714</v>
      </c>
      <c r="AL459" s="206" t="s">
        <v>139</v>
      </c>
      <c r="AM459" s="349">
        <v>102.21529196687815</v>
      </c>
      <c r="AN459" s="354" t="s">
        <v>139</v>
      </c>
      <c r="AO459" s="355" t="s">
        <v>140</v>
      </c>
      <c r="AP459" s="206" t="s">
        <v>139</v>
      </c>
      <c r="AQ459" s="246">
        <v>0</v>
      </c>
      <c r="AR459" s="211"/>
      <c r="AS459" s="297">
        <f>+IF(Table1[[#This Row],[Column40]]="ok",Table1[[#This Row],[Column7]],0)</f>
        <v>1449.86</v>
      </c>
      <c r="AT459" s="295">
        <f>+IF(Table1[[#This Row],[Column40]]="No",Table1[[#This Row],[Column7]],0)</f>
        <v>0</v>
      </c>
      <c r="AU459" s="4" t="str">
        <f>+IF(LEFT(Table1[[#This Row],[Column42]],2)="DN",IF(Table1[[#This Row],[Column40]]="ok","(CA)",_xlfn.CONCAT("(CA)",CHAR(10),"FAIL")),"")</f>
        <v/>
      </c>
      <c r="AV459" s="154" t="str">
        <f>+IF(Table1[[#This Row],[Column6]]=0,"",_xlfn.CONCAT("Sem ",WEEKNUM(Table1[[#This Row],[Column6]],2)))</f>
        <v>Sem 12</v>
      </c>
      <c r="AW459" s="211"/>
    </row>
    <row r="460" spans="2:49" ht="19.5" customHeight="1" x14ac:dyDescent="0.3">
      <c r="B460" s="356" t="s">
        <v>752</v>
      </c>
      <c r="C460" s="331"/>
      <c r="D460" s="332" t="s">
        <v>132</v>
      </c>
      <c r="E460" s="332" t="s">
        <v>133</v>
      </c>
      <c r="F460" s="333"/>
      <c r="G460" s="334">
        <v>46103</v>
      </c>
      <c r="H460" s="335">
        <v>1422.58</v>
      </c>
      <c r="I460" s="336">
        <v>372.31</v>
      </c>
      <c r="J460" s="337">
        <v>2536.34</v>
      </c>
      <c r="K460" s="338" t="s">
        <v>398</v>
      </c>
      <c r="L460" s="339" t="s">
        <v>230</v>
      </c>
      <c r="M460" s="340">
        <v>30</v>
      </c>
      <c r="N460" s="341">
        <v>88653</v>
      </c>
      <c r="O460" s="332">
        <v>58</v>
      </c>
      <c r="P460" s="342">
        <v>9.5</v>
      </c>
      <c r="Q460" s="343">
        <v>9.7432905484247314</v>
      </c>
      <c r="R460" s="344">
        <v>1.7178082191780821</v>
      </c>
      <c r="S460" s="344">
        <v>1.714</v>
      </c>
      <c r="T460" s="344">
        <v>1.881</v>
      </c>
      <c r="U460" s="344" t="s">
        <v>136</v>
      </c>
      <c r="V460" s="332" t="s">
        <v>137</v>
      </c>
      <c r="W460" s="345">
        <v>8</v>
      </c>
      <c r="X460" s="346">
        <v>4</v>
      </c>
      <c r="Y460" s="208">
        <v>2.8069999999999999</v>
      </c>
      <c r="Z460" s="332"/>
      <c r="AA460" s="342"/>
      <c r="AB460" s="342"/>
      <c r="AC460" s="342"/>
      <c r="AD460" s="347"/>
      <c r="AE460" s="358">
        <v>1.7</v>
      </c>
      <c r="AF460" s="349">
        <v>0</v>
      </c>
      <c r="AG460" s="350"/>
      <c r="AH460" s="351" t="s">
        <v>139</v>
      </c>
      <c r="AI460" s="351" t="s">
        <v>139</v>
      </c>
      <c r="AJ460" s="206" t="s">
        <v>139</v>
      </c>
      <c r="AK460" s="353" t="s">
        <v>714</v>
      </c>
      <c r="AL460" s="206" t="s">
        <v>139</v>
      </c>
      <c r="AM460" s="349">
        <v>101.04754230459308</v>
      </c>
      <c r="AN460" s="354" t="s">
        <v>139</v>
      </c>
      <c r="AO460" s="355" t="s">
        <v>140</v>
      </c>
      <c r="AP460" s="206" t="s">
        <v>139</v>
      </c>
      <c r="AQ460" s="246">
        <v>0</v>
      </c>
      <c r="AR460" s="211"/>
      <c r="AS460" s="297">
        <f>+IF(Table1[[#This Row],[Column40]]="ok",Table1[[#This Row],[Column7]],0)</f>
        <v>1422.58</v>
      </c>
      <c r="AT460" s="295">
        <f>+IF(Table1[[#This Row],[Column40]]="No",Table1[[#This Row],[Column7]],0)</f>
        <v>0</v>
      </c>
      <c r="AU460" s="4" t="str">
        <f>+IF(LEFT(Table1[[#This Row],[Column42]],2)="DN",IF(Table1[[#This Row],[Column40]]="ok","(CA)",_xlfn.CONCAT("(CA)",CHAR(10),"FAIL")),"")</f>
        <v/>
      </c>
      <c r="AV460" s="154" t="str">
        <f>+IF(Table1[[#This Row],[Column6]]=0,"",_xlfn.CONCAT("Sem ",WEEKNUM(Table1[[#This Row],[Column6]],2)))</f>
        <v>Sem 12</v>
      </c>
      <c r="AW460" s="211"/>
    </row>
    <row r="461" spans="2:49" ht="19.5" customHeight="1" x14ac:dyDescent="0.3">
      <c r="B461" s="356" t="s">
        <v>753</v>
      </c>
      <c r="C461" s="331"/>
      <c r="D461" s="332" t="s">
        <v>132</v>
      </c>
      <c r="E461" s="332" t="s">
        <v>133</v>
      </c>
      <c r="F461" s="333"/>
      <c r="G461" s="334">
        <v>46103</v>
      </c>
      <c r="H461" s="335">
        <v>1427.92</v>
      </c>
      <c r="I461" s="336">
        <v>467.37</v>
      </c>
      <c r="J461" s="337">
        <v>2508.54</v>
      </c>
      <c r="K461" s="338" t="s">
        <v>398</v>
      </c>
      <c r="L461" s="339" t="s">
        <v>230</v>
      </c>
      <c r="M461" s="340">
        <v>30</v>
      </c>
      <c r="N461" s="341">
        <v>88653</v>
      </c>
      <c r="O461" s="332">
        <v>58</v>
      </c>
      <c r="P461" s="342">
        <v>10.4</v>
      </c>
      <c r="Q461" s="343">
        <v>11.788856304985318</v>
      </c>
      <c r="R461" s="344">
        <v>1.7264492753623186</v>
      </c>
      <c r="S461" s="344">
        <v>1.7050000000000001</v>
      </c>
      <c r="T461" s="344">
        <v>1.9059999999999999</v>
      </c>
      <c r="U461" s="344" t="s">
        <v>136</v>
      </c>
      <c r="V461" s="332" t="s">
        <v>137</v>
      </c>
      <c r="W461" s="345">
        <v>8</v>
      </c>
      <c r="X461" s="346">
        <v>4</v>
      </c>
      <c r="Y461" s="208">
        <v>2.8069999999999999</v>
      </c>
      <c r="Z461" s="332"/>
      <c r="AA461" s="342"/>
      <c r="AB461" s="342"/>
      <c r="AC461" s="342"/>
      <c r="AD461" s="123"/>
      <c r="AE461" s="358">
        <v>1.7</v>
      </c>
      <c r="AF461" s="349">
        <v>0</v>
      </c>
      <c r="AG461" s="350"/>
      <c r="AH461" s="351" t="s">
        <v>139</v>
      </c>
      <c r="AI461" s="351" t="s">
        <v>139</v>
      </c>
      <c r="AJ461" s="206" t="s">
        <v>139</v>
      </c>
      <c r="AK461" s="353" t="s">
        <v>714</v>
      </c>
      <c r="AL461" s="206" t="s">
        <v>139</v>
      </c>
      <c r="AM461" s="349">
        <v>101.55583972719522</v>
      </c>
      <c r="AN461" s="354" t="s">
        <v>139</v>
      </c>
      <c r="AO461" s="355" t="s">
        <v>140</v>
      </c>
      <c r="AP461" s="206" t="s">
        <v>139</v>
      </c>
      <c r="AQ461" s="246">
        <v>0</v>
      </c>
      <c r="AR461" s="211"/>
      <c r="AS461" s="297">
        <f>+IF(Table1[[#This Row],[Column40]]="ok",Table1[[#This Row],[Column7]],0)</f>
        <v>1427.92</v>
      </c>
      <c r="AT461" s="295">
        <f>+IF(Table1[[#This Row],[Column40]]="No",Table1[[#This Row],[Column7]],0)</f>
        <v>0</v>
      </c>
      <c r="AU461" s="4" t="str">
        <f>+IF(LEFT(Table1[[#This Row],[Column42]],2)="DN",IF(Table1[[#This Row],[Column40]]="ok","(CA)",_xlfn.CONCAT("(CA)",CHAR(10),"FAIL")),"")</f>
        <v/>
      </c>
      <c r="AV461" s="154" t="str">
        <f>+IF(Table1[[#This Row],[Column6]]=0,"",_xlfn.CONCAT("Sem ",WEEKNUM(Table1[[#This Row],[Column6]],2)))</f>
        <v>Sem 12</v>
      </c>
      <c r="AW461" s="211"/>
    </row>
    <row r="462" spans="2:49" ht="19.5" customHeight="1" x14ac:dyDescent="0.3">
      <c r="B462" s="356" t="s">
        <v>754</v>
      </c>
      <c r="C462" s="331"/>
      <c r="D462" s="332" t="s">
        <v>132</v>
      </c>
      <c r="E462" s="332" t="s">
        <v>133</v>
      </c>
      <c r="F462" s="333"/>
      <c r="G462" s="334">
        <v>46103</v>
      </c>
      <c r="H462" s="335">
        <v>1562.75</v>
      </c>
      <c r="I462" s="336">
        <v>22.6</v>
      </c>
      <c r="J462" s="337">
        <v>2636.2</v>
      </c>
      <c r="K462" s="338" t="s">
        <v>162</v>
      </c>
      <c r="L462" s="339" t="s">
        <v>755</v>
      </c>
      <c r="M462" s="340">
        <v>30</v>
      </c>
      <c r="N462" s="341">
        <v>88653</v>
      </c>
      <c r="O462" s="332">
        <v>58</v>
      </c>
      <c r="P462" s="342">
        <v>8.1</v>
      </c>
      <c r="Q462" s="343">
        <v>8.8709677419354769</v>
      </c>
      <c r="R462" s="344">
        <v>1.7483811285846438</v>
      </c>
      <c r="S462" s="344">
        <v>1.736</v>
      </c>
      <c r="T462" s="344">
        <v>1.89</v>
      </c>
      <c r="U462" s="344" t="s">
        <v>136</v>
      </c>
      <c r="V462" s="332" t="s">
        <v>191</v>
      </c>
      <c r="W462" s="345">
        <v>6</v>
      </c>
      <c r="X462" s="346">
        <v>3</v>
      </c>
      <c r="Y462" s="208">
        <v>2.8069999999999999</v>
      </c>
      <c r="Z462" s="332"/>
      <c r="AA462" s="342"/>
      <c r="AB462" s="342"/>
      <c r="AC462" s="342"/>
      <c r="AD462" s="347"/>
      <c r="AE462" s="358">
        <v>1.734</v>
      </c>
      <c r="AF462" s="349">
        <v>0</v>
      </c>
      <c r="AG462" s="350"/>
      <c r="AH462" s="351" t="s">
        <v>139</v>
      </c>
      <c r="AI462" s="351" t="s">
        <v>139</v>
      </c>
      <c r="AJ462" s="206" t="s">
        <v>139</v>
      </c>
      <c r="AK462" s="353" t="s">
        <v>655</v>
      </c>
      <c r="AL462" s="206" t="s">
        <v>139</v>
      </c>
      <c r="AM462" s="349">
        <v>100.82936151007173</v>
      </c>
      <c r="AN462" s="354" t="s">
        <v>139</v>
      </c>
      <c r="AO462" s="355" t="s">
        <v>140</v>
      </c>
      <c r="AP462" s="206" t="s">
        <v>139</v>
      </c>
      <c r="AQ462" s="246">
        <v>0</v>
      </c>
      <c r="AR462" s="211"/>
      <c r="AS462" s="297">
        <f>+IF(Table1[[#This Row],[Column40]]="ok",Table1[[#This Row],[Column7]],0)</f>
        <v>1562.75</v>
      </c>
      <c r="AT462" s="295">
        <f>+IF(Table1[[#This Row],[Column40]]="No",Table1[[#This Row],[Column7]],0)</f>
        <v>0</v>
      </c>
      <c r="AU462" s="4" t="str">
        <f>+IF(LEFT(Table1[[#This Row],[Column42]],2)="DN",IF(Table1[[#This Row],[Column40]]="ok","(CA)",_xlfn.CONCAT("(CA)",CHAR(10),"FAIL")),"")</f>
        <v/>
      </c>
      <c r="AV462" s="154" t="str">
        <f>+IF(Table1[[#This Row],[Column6]]=0,"",_xlfn.CONCAT("Sem ",WEEKNUM(Table1[[#This Row],[Column6]],2)))</f>
        <v>Sem 12</v>
      </c>
      <c r="AW462" s="211"/>
    </row>
    <row r="463" spans="2:49" ht="19.5" customHeight="1" x14ac:dyDescent="0.3">
      <c r="B463" s="356" t="s">
        <v>756</v>
      </c>
      <c r="C463" s="331"/>
      <c r="D463" s="332" t="s">
        <v>132</v>
      </c>
      <c r="E463" s="332" t="s">
        <v>133</v>
      </c>
      <c r="F463" s="333"/>
      <c r="G463" s="334">
        <v>46103</v>
      </c>
      <c r="H463" s="335">
        <v>1167.68</v>
      </c>
      <c r="I463" s="336">
        <v>21.06</v>
      </c>
      <c r="J463" s="337">
        <v>2636.2</v>
      </c>
      <c r="K463" s="338" t="s">
        <v>208</v>
      </c>
      <c r="L463" s="339" t="s">
        <v>757</v>
      </c>
      <c r="M463" s="340">
        <v>30</v>
      </c>
      <c r="N463" s="341">
        <v>88653</v>
      </c>
      <c r="O463" s="332">
        <v>58</v>
      </c>
      <c r="P463" s="342">
        <v>6.9</v>
      </c>
      <c r="Q463" s="343">
        <v>11.688311688311682</v>
      </c>
      <c r="R463" s="344">
        <v>1.7698783910196445</v>
      </c>
      <c r="S463" s="344">
        <v>1.694</v>
      </c>
      <c r="T463" s="344">
        <v>1.8919999999999999</v>
      </c>
      <c r="U463" s="344" t="s">
        <v>136</v>
      </c>
      <c r="V463" s="332" t="s">
        <v>191</v>
      </c>
      <c r="W463" s="345">
        <v>6</v>
      </c>
      <c r="X463" s="346">
        <v>3</v>
      </c>
      <c r="Y463" s="208">
        <v>2.8069999999999999</v>
      </c>
      <c r="Z463" s="332"/>
      <c r="AA463" s="342"/>
      <c r="AB463" s="342"/>
      <c r="AC463" s="342"/>
      <c r="AD463" s="347"/>
      <c r="AE463" s="358">
        <v>1.7229601967737018</v>
      </c>
      <c r="AF463" s="349">
        <v>16.107219526844091</v>
      </c>
      <c r="AG463" s="350"/>
      <c r="AH463" s="351">
        <v>1.7200689061154177</v>
      </c>
      <c r="AI463" s="352">
        <v>1.9970000000000001</v>
      </c>
      <c r="AJ463" s="206">
        <v>16.100000000000001</v>
      </c>
      <c r="AK463" s="353" t="s">
        <v>758</v>
      </c>
      <c r="AL463" s="206">
        <v>7.2195268440893301E-3</v>
      </c>
      <c r="AM463" s="349">
        <v>102.72311538791195</v>
      </c>
      <c r="AN463" s="354" t="s">
        <v>139</v>
      </c>
      <c r="AO463" s="355" t="s">
        <v>140</v>
      </c>
      <c r="AP463" s="206" t="s">
        <v>139</v>
      </c>
      <c r="AQ463" s="246" t="s">
        <v>759</v>
      </c>
      <c r="AR463" s="211"/>
      <c r="AS463" s="297">
        <f>+IF(Table1[[#This Row],[Column40]]="ok",Table1[[#This Row],[Column7]],0)</f>
        <v>1167.68</v>
      </c>
      <c r="AT463" s="295">
        <f>+IF(Table1[[#This Row],[Column40]]="No",Table1[[#This Row],[Column7]],0)</f>
        <v>0</v>
      </c>
      <c r="AU463" s="4" t="str">
        <f>+IF(LEFT(Table1[[#This Row],[Column42]],2)="DN",IF(Table1[[#This Row],[Column40]]="ok","(CA)",_xlfn.CONCAT("(CA)",CHAR(10),"FAIL")),"")</f>
        <v/>
      </c>
      <c r="AV463" s="154" t="str">
        <f>+IF(Table1[[#This Row],[Column6]]=0,"",_xlfn.CONCAT("Sem ",WEEKNUM(Table1[[#This Row],[Column6]],2)))</f>
        <v>Sem 12</v>
      </c>
      <c r="AW463" s="211"/>
    </row>
    <row r="464" spans="2:49" ht="19.5" customHeight="1" x14ac:dyDescent="0.3">
      <c r="B464" s="356" t="s">
        <v>759</v>
      </c>
      <c r="C464" s="331"/>
      <c r="D464" s="332" t="s">
        <v>132</v>
      </c>
      <c r="E464" s="332" t="s">
        <v>133</v>
      </c>
      <c r="F464" s="333"/>
      <c r="G464" s="334">
        <v>46103</v>
      </c>
      <c r="H464" s="335">
        <v>1167.68</v>
      </c>
      <c r="I464" s="336">
        <v>21.06</v>
      </c>
      <c r="J464" s="337">
        <v>2636.2</v>
      </c>
      <c r="K464" s="338" t="s">
        <v>208</v>
      </c>
      <c r="L464" s="339" t="s">
        <v>757</v>
      </c>
      <c r="M464" s="340">
        <v>15</v>
      </c>
      <c r="N464" s="341"/>
      <c r="O464" s="332"/>
      <c r="P464" s="342">
        <v>6.8682344158268354</v>
      </c>
      <c r="Q464" s="343"/>
      <c r="R464" s="344">
        <v>1.7411039732814031</v>
      </c>
      <c r="S464" s="344"/>
      <c r="T464" s="344">
        <v>1.860687075589645</v>
      </c>
      <c r="U464" s="344" t="s">
        <v>142</v>
      </c>
      <c r="V464" s="332" t="s">
        <v>191</v>
      </c>
      <c r="W464" s="345" t="s">
        <v>173</v>
      </c>
      <c r="X464" s="346" t="s">
        <v>195</v>
      </c>
      <c r="Y464" s="208"/>
      <c r="Z464" s="332" t="s">
        <v>143</v>
      </c>
      <c r="AA464" s="342">
        <v>99.104143337066063</v>
      </c>
      <c r="AB464" s="342">
        <v>79.656588279208663</v>
      </c>
      <c r="AC464" s="342">
        <v>36.356849570735335</v>
      </c>
      <c r="AD464" s="347">
        <v>13.101903695408723</v>
      </c>
      <c r="AE464" s="358">
        <v>1.7229601967737018</v>
      </c>
      <c r="AF464" s="349">
        <v>16.107219526844091</v>
      </c>
      <c r="AG464" s="350" t="s">
        <v>758</v>
      </c>
      <c r="AH464" s="351">
        <v>1.7200072786962981</v>
      </c>
      <c r="AI464" s="352">
        <v>1.9972319812626425</v>
      </c>
      <c r="AJ464" s="206">
        <v>16.117647058823529</v>
      </c>
      <c r="AK464" s="353" t="s">
        <v>758</v>
      </c>
      <c r="AL464" s="206">
        <v>-1.0427531979438243E-2</v>
      </c>
      <c r="AM464" s="349">
        <v>101.0530583667386</v>
      </c>
      <c r="AN464" s="354" t="s">
        <v>139</v>
      </c>
      <c r="AO464" s="355" t="s">
        <v>144</v>
      </c>
      <c r="AP464" s="206">
        <v>0</v>
      </c>
      <c r="AQ464" s="246" t="s">
        <v>756</v>
      </c>
      <c r="AR464" s="211"/>
      <c r="AS464" s="297">
        <f>+IF(Table1[[#This Row],[Column40]]="ok",Table1[[#This Row],[Column7]],0)</f>
        <v>1167.68</v>
      </c>
      <c r="AT464" s="295">
        <f>+IF(Table1[[#This Row],[Column40]]="No",Table1[[#This Row],[Column7]],0)</f>
        <v>0</v>
      </c>
      <c r="AU464" s="4" t="str">
        <f>+IF(LEFT(Table1[[#This Row],[Column42]],2)="DN",IF(Table1[[#This Row],[Column40]]="ok","(CA)",_xlfn.CONCAT("(CA)",CHAR(10),"FAIL")),"")</f>
        <v>(CA)</v>
      </c>
      <c r="AV464" s="154" t="str">
        <f>+IF(Table1[[#This Row],[Column6]]=0,"",_xlfn.CONCAT("Sem ",WEEKNUM(Table1[[#This Row],[Column6]],2)))</f>
        <v>Sem 12</v>
      </c>
      <c r="AW464" s="211"/>
    </row>
    <row r="465" spans="2:49" ht="19.5" customHeight="1" x14ac:dyDescent="0.3">
      <c r="B465" s="356" t="s">
        <v>760</v>
      </c>
      <c r="C465" s="331"/>
      <c r="D465" s="332" t="s">
        <v>132</v>
      </c>
      <c r="E465" s="332" t="s">
        <v>133</v>
      </c>
      <c r="F465" s="333"/>
      <c r="G465" s="334">
        <v>46103</v>
      </c>
      <c r="H465" s="335">
        <v>50.15</v>
      </c>
      <c r="I465" s="336">
        <v>50.31</v>
      </c>
      <c r="J465" s="337">
        <v>2630.48</v>
      </c>
      <c r="K465" s="338" t="s">
        <v>356</v>
      </c>
      <c r="L465" s="339" t="s">
        <v>761</v>
      </c>
      <c r="M465" s="340">
        <v>30</v>
      </c>
      <c r="N465" s="341">
        <v>88653</v>
      </c>
      <c r="O465" s="332">
        <v>58</v>
      </c>
      <c r="P465" s="342">
        <v>11.5</v>
      </c>
      <c r="Q465" s="343">
        <v>12.570462232243518</v>
      </c>
      <c r="R465" s="344">
        <v>1.7910313901345292</v>
      </c>
      <c r="S465" s="344">
        <v>1.774</v>
      </c>
      <c r="T465" s="344">
        <v>1.9970000000000001</v>
      </c>
      <c r="U465" s="344" t="s">
        <v>136</v>
      </c>
      <c r="V465" s="332" t="s">
        <v>169</v>
      </c>
      <c r="W465" s="345">
        <v>4</v>
      </c>
      <c r="X465" s="346">
        <v>2</v>
      </c>
      <c r="Y465" s="208">
        <v>2.8069999999999999</v>
      </c>
      <c r="Z465" s="332"/>
      <c r="AA465" s="342"/>
      <c r="AB465" s="342"/>
      <c r="AC465" s="342"/>
      <c r="AD465" s="347"/>
      <c r="AE465" s="358">
        <v>1.7070000000000001</v>
      </c>
      <c r="AF465" s="349">
        <v>0</v>
      </c>
      <c r="AG465" s="350"/>
      <c r="AH465" s="351" t="s">
        <v>139</v>
      </c>
      <c r="AI465" s="351" t="s">
        <v>139</v>
      </c>
      <c r="AJ465" s="206" t="s">
        <v>139</v>
      </c>
      <c r="AK465" s="353" t="s">
        <v>662</v>
      </c>
      <c r="AL465" s="206" t="s">
        <v>139</v>
      </c>
      <c r="AM465" s="349">
        <v>104.92275279054067</v>
      </c>
      <c r="AN465" s="354" t="s">
        <v>139</v>
      </c>
      <c r="AO465" s="355" t="s">
        <v>140</v>
      </c>
      <c r="AP465" s="206" t="s">
        <v>139</v>
      </c>
      <c r="AQ465" s="207">
        <v>0</v>
      </c>
      <c r="AR465" s="211"/>
      <c r="AS465" s="297">
        <f>+IF(Table1[[#This Row],[Column40]]="ok",Table1[[#This Row],[Column7]],0)</f>
        <v>50.15</v>
      </c>
      <c r="AT465" s="295">
        <f>+IF(Table1[[#This Row],[Column40]]="No",Table1[[#This Row],[Column7]],0)</f>
        <v>0</v>
      </c>
      <c r="AU465" s="4" t="str">
        <f>+IF(LEFT(Table1[[#This Row],[Column42]],2)="DN",IF(Table1[[#This Row],[Column40]]="ok","(CA)",_xlfn.CONCAT("(CA)",CHAR(10),"FAIL")),"")</f>
        <v/>
      </c>
      <c r="AV465" s="154" t="str">
        <f>+IF(Table1[[#This Row],[Column6]]=0,"",_xlfn.CONCAT("Sem ",WEEKNUM(Table1[[#This Row],[Column6]],2)))</f>
        <v>Sem 12</v>
      </c>
      <c r="AW465" s="211"/>
    </row>
    <row r="466" spans="2:49" ht="19.5" customHeight="1" x14ac:dyDescent="0.3">
      <c r="B466" s="356" t="s">
        <v>762</v>
      </c>
      <c r="C466" s="331"/>
      <c r="D466" s="332" t="s">
        <v>132</v>
      </c>
      <c r="E466" s="332" t="s">
        <v>133</v>
      </c>
      <c r="F466" s="333"/>
      <c r="G466" s="334">
        <v>46103</v>
      </c>
      <c r="H466" s="335">
        <v>22.64</v>
      </c>
      <c r="I466" s="336">
        <v>-28.87</v>
      </c>
      <c r="J466" s="337">
        <v>2637.4</v>
      </c>
      <c r="K466" s="338" t="s">
        <v>356</v>
      </c>
      <c r="L466" s="339" t="s">
        <v>763</v>
      </c>
      <c r="M466" s="340">
        <v>30</v>
      </c>
      <c r="N466" s="341">
        <v>88653</v>
      </c>
      <c r="O466" s="332">
        <v>58</v>
      </c>
      <c r="P466" s="342">
        <v>12</v>
      </c>
      <c r="Q466" s="343">
        <v>12.302284710017574</v>
      </c>
      <c r="R466" s="344">
        <v>1.7116071428571427</v>
      </c>
      <c r="S466" s="344">
        <v>1.7070000000000001</v>
      </c>
      <c r="T466" s="344">
        <v>1.917</v>
      </c>
      <c r="U466" s="344" t="s">
        <v>136</v>
      </c>
      <c r="V466" s="332" t="s">
        <v>169</v>
      </c>
      <c r="W466" s="345">
        <v>4</v>
      </c>
      <c r="X466" s="346">
        <v>2</v>
      </c>
      <c r="Y466" s="208">
        <v>2.8069999999999999</v>
      </c>
      <c r="Z466" s="332"/>
      <c r="AA466" s="342"/>
      <c r="AB466" s="342"/>
      <c r="AC466" s="342"/>
      <c r="AD466" s="123"/>
      <c r="AE466" s="358">
        <v>1.7070000000000001</v>
      </c>
      <c r="AF466" s="349">
        <v>0</v>
      </c>
      <c r="AG466" s="350"/>
      <c r="AH466" s="351" t="s">
        <v>139</v>
      </c>
      <c r="AI466" s="351" t="s">
        <v>139</v>
      </c>
      <c r="AJ466" s="206" t="s">
        <v>139</v>
      </c>
      <c r="AK466" s="353" t="s">
        <v>662</v>
      </c>
      <c r="AL466" s="206" t="s">
        <v>139</v>
      </c>
      <c r="AM466" s="349">
        <v>100.26989706251568</v>
      </c>
      <c r="AN466" s="354" t="s">
        <v>139</v>
      </c>
      <c r="AO466" s="355" t="s">
        <v>140</v>
      </c>
      <c r="AP466" s="206" t="s">
        <v>139</v>
      </c>
      <c r="AQ466" s="207">
        <v>0</v>
      </c>
      <c r="AR466" s="211"/>
      <c r="AS466" s="297">
        <f>+IF(Table1[[#This Row],[Column40]]="ok",Table1[[#This Row],[Column7]],0)</f>
        <v>22.64</v>
      </c>
      <c r="AT466" s="295">
        <f>+IF(Table1[[#This Row],[Column40]]="No",Table1[[#This Row],[Column7]],0)</f>
        <v>0</v>
      </c>
      <c r="AU466" s="4" t="str">
        <f>+IF(LEFT(Table1[[#This Row],[Column42]],2)="DN",IF(Table1[[#This Row],[Column40]]="ok","(CA)",_xlfn.CONCAT("(CA)",CHAR(10),"FAIL")),"")</f>
        <v/>
      </c>
      <c r="AV466" s="154" t="str">
        <f>+IF(Table1[[#This Row],[Column6]]=0,"",_xlfn.CONCAT("Sem ",WEEKNUM(Table1[[#This Row],[Column6]],2)))</f>
        <v>Sem 12</v>
      </c>
      <c r="AW466" s="211"/>
    </row>
    <row r="467" spans="2:49" ht="19.5" customHeight="1" x14ac:dyDescent="0.3">
      <c r="B467" s="356" t="s">
        <v>764</v>
      </c>
      <c r="C467" s="331"/>
      <c r="D467" s="332" t="s">
        <v>132</v>
      </c>
      <c r="E467" s="332" t="s">
        <v>133</v>
      </c>
      <c r="F467" s="333"/>
      <c r="G467" s="334">
        <v>46103</v>
      </c>
      <c r="H467" s="335">
        <v>580.21</v>
      </c>
      <c r="I467" s="336">
        <v>340.1</v>
      </c>
      <c r="J467" s="337">
        <v>2567.0500000000002</v>
      </c>
      <c r="K467" s="338" t="s">
        <v>331</v>
      </c>
      <c r="L467" s="339" t="s">
        <v>340</v>
      </c>
      <c r="M467" s="340" t="s">
        <v>293</v>
      </c>
      <c r="N467" s="341" t="s">
        <v>293</v>
      </c>
      <c r="O467" s="332" t="s">
        <v>293</v>
      </c>
      <c r="P467" s="342" t="s">
        <v>293</v>
      </c>
      <c r="Q467" s="343" t="s">
        <v>293</v>
      </c>
      <c r="R467" s="344" t="s">
        <v>293</v>
      </c>
      <c r="S467" s="344" t="s">
        <v>293</v>
      </c>
      <c r="T467" s="344" t="s">
        <v>293</v>
      </c>
      <c r="U467" s="344" t="s">
        <v>294</v>
      </c>
      <c r="V467" s="332" t="s">
        <v>293</v>
      </c>
      <c r="W467" s="345" t="s">
        <v>293</v>
      </c>
      <c r="X467" s="346" t="s">
        <v>293</v>
      </c>
      <c r="Y467" s="208">
        <v>2.894048892699034</v>
      </c>
      <c r="Z467" s="332" t="s">
        <v>227</v>
      </c>
      <c r="AA467" s="342">
        <v>99.195522910108423</v>
      </c>
      <c r="AB467" s="342">
        <v>82.476390346274911</v>
      </c>
      <c r="AC467" s="342">
        <v>41.168240643581662</v>
      </c>
      <c r="AD467" s="347">
        <v>13.046519762154588</v>
      </c>
      <c r="AE467" s="358">
        <v>1.70124936700382</v>
      </c>
      <c r="AF467" s="349">
        <v>16.442835684852124</v>
      </c>
      <c r="AG467" s="350" t="s">
        <v>764</v>
      </c>
      <c r="AH467" s="351" t="s">
        <v>293</v>
      </c>
      <c r="AI467" s="352" t="s">
        <v>293</v>
      </c>
      <c r="AJ467" s="206" t="s">
        <v>293</v>
      </c>
      <c r="AK467" s="353" t="s">
        <v>293</v>
      </c>
      <c r="AL467" s="206" t="s">
        <v>293</v>
      </c>
      <c r="AM467" s="349" t="s">
        <v>293</v>
      </c>
      <c r="AN467" s="354" t="s">
        <v>293</v>
      </c>
      <c r="AO467" s="355" t="s">
        <v>293</v>
      </c>
      <c r="AP467" s="206" t="s">
        <v>293</v>
      </c>
      <c r="AQ467" s="246" t="s">
        <v>295</v>
      </c>
      <c r="AR467" s="211"/>
      <c r="AS467" s="297">
        <f>+IF(Table1[[#This Row],[Column40]]="ok",Table1[[#This Row],[Column7]],0)</f>
        <v>0</v>
      </c>
      <c r="AT467" s="295">
        <f>+IF(Table1[[#This Row],[Column40]]="No",Table1[[#This Row],[Column7]],0)</f>
        <v>0</v>
      </c>
      <c r="AU467" s="4" t="str">
        <f>+IF(LEFT(Table1[[#This Row],[Column42]],2)="DN",IF(Table1[[#This Row],[Column40]]="ok","(CA)",_xlfn.CONCAT("(CA)",CHAR(10),"FAIL")),"")</f>
        <v/>
      </c>
      <c r="AV467" s="154" t="str">
        <f>+IF(Table1[[#This Row],[Column6]]=0,"",_xlfn.CONCAT("Sem ",WEEKNUM(Table1[[#This Row],[Column6]],2)))</f>
        <v>Sem 12</v>
      </c>
      <c r="AW467" s="211"/>
    </row>
    <row r="468" spans="2:49" ht="19.5" customHeight="1" x14ac:dyDescent="0.3">
      <c r="B468" s="356" t="s">
        <v>765</v>
      </c>
      <c r="C468" s="331"/>
      <c r="D468" s="332" t="s">
        <v>766</v>
      </c>
      <c r="E468" s="332" t="s">
        <v>176</v>
      </c>
      <c r="F468" s="333"/>
      <c r="G468" s="334">
        <v>46103</v>
      </c>
      <c r="H468" s="335">
        <v>49.52</v>
      </c>
      <c r="I468" s="336">
        <v>49.08</v>
      </c>
      <c r="J468" s="337">
        <v>2631.11</v>
      </c>
      <c r="K468" s="338" t="s">
        <v>356</v>
      </c>
      <c r="L468" s="339" t="s">
        <v>767</v>
      </c>
      <c r="M468" s="340">
        <v>30</v>
      </c>
      <c r="N468" s="341">
        <v>88653</v>
      </c>
      <c r="O468" s="332">
        <v>58</v>
      </c>
      <c r="P468" s="342">
        <v>18.099999999999998</v>
      </c>
      <c r="Q468" s="343">
        <v>16.949152542372879</v>
      </c>
      <c r="R468" s="344">
        <v>1.6943268416596102</v>
      </c>
      <c r="S468" s="344">
        <v>1.7110000000000001</v>
      </c>
      <c r="T468" s="344">
        <v>2.0009999999999999</v>
      </c>
      <c r="U468" s="344" t="s">
        <v>136</v>
      </c>
      <c r="V468" s="332" t="s">
        <v>169</v>
      </c>
      <c r="W468" s="345">
        <v>4</v>
      </c>
      <c r="X468" s="346">
        <v>2</v>
      </c>
      <c r="Y468" s="208">
        <v>2.8069999999999999</v>
      </c>
      <c r="Z468" s="332"/>
      <c r="AA468" s="342"/>
      <c r="AB468" s="342"/>
      <c r="AC468" s="342"/>
      <c r="AD468" s="347"/>
      <c r="AE468" s="358">
        <v>1.7070000000000001</v>
      </c>
      <c r="AF468" s="349">
        <v>0</v>
      </c>
      <c r="AG468" s="350"/>
      <c r="AH468" s="351" t="s">
        <v>139</v>
      </c>
      <c r="AI468" s="352" t="s">
        <v>139</v>
      </c>
      <c r="AJ468" s="206" t="s">
        <v>139</v>
      </c>
      <c r="AK468" s="353" t="s">
        <v>662</v>
      </c>
      <c r="AL468" s="206" t="s">
        <v>139</v>
      </c>
      <c r="AM468" s="349">
        <v>99.257577132959</v>
      </c>
      <c r="AN468" s="354" t="s">
        <v>139</v>
      </c>
      <c r="AO468" s="355" t="s">
        <v>140</v>
      </c>
      <c r="AP468" s="206" t="s">
        <v>139</v>
      </c>
      <c r="AQ468" s="246"/>
      <c r="AR468" s="211"/>
      <c r="AS468" s="297">
        <f>+IF(Table1[[#This Row],[Column40]]="ok",Table1[[#This Row],[Column7]],0)</f>
        <v>49.52</v>
      </c>
      <c r="AT468" s="295">
        <f>+IF(Table1[[#This Row],[Column40]]="No",Table1[[#This Row],[Column7]],0)</f>
        <v>0</v>
      </c>
      <c r="AU468" s="4" t="str">
        <f>+IF(LEFT(Table1[[#This Row],[Column42]],2)="DN",IF(Table1[[#This Row],[Column40]]="ok","(CA)",_xlfn.CONCAT("(CA)",CHAR(10),"FAIL")),"")</f>
        <v/>
      </c>
      <c r="AV468" s="154" t="str">
        <f>+IF(Table1[[#This Row],[Column6]]=0,"",_xlfn.CONCAT("Sem ",WEEKNUM(Table1[[#This Row],[Column6]],2)))</f>
        <v>Sem 12</v>
      </c>
      <c r="AW468" s="211"/>
    </row>
    <row r="469" spans="2:49" ht="19.5" customHeight="1" x14ac:dyDescent="0.3">
      <c r="B469" s="356" t="s">
        <v>768</v>
      </c>
      <c r="C469" s="331"/>
      <c r="D469" s="332" t="s">
        <v>766</v>
      </c>
      <c r="E469" s="332" t="s">
        <v>176</v>
      </c>
      <c r="F469" s="333"/>
      <c r="G469" s="334">
        <v>46103</v>
      </c>
      <c r="H469" s="335">
        <v>595.30999999999995</v>
      </c>
      <c r="I469" s="336">
        <v>326.67</v>
      </c>
      <c r="J469" s="337">
        <v>2570.5700000000002</v>
      </c>
      <c r="K469" s="338" t="s">
        <v>331</v>
      </c>
      <c r="L469" s="339" t="s">
        <v>340</v>
      </c>
      <c r="M469" s="340">
        <v>30</v>
      </c>
      <c r="N469" s="341">
        <v>88653</v>
      </c>
      <c r="O469" s="332">
        <v>58</v>
      </c>
      <c r="P469" s="342">
        <v>8.6999999999999993</v>
      </c>
      <c r="Q469" s="343">
        <v>10.744297719087648</v>
      </c>
      <c r="R469" s="344">
        <v>1.6973321067157314</v>
      </c>
      <c r="S469" s="344">
        <v>1.6659999999999999</v>
      </c>
      <c r="T469" s="344">
        <v>1.845</v>
      </c>
      <c r="U469" s="344" t="s">
        <v>136</v>
      </c>
      <c r="V469" s="332" t="s">
        <v>137</v>
      </c>
      <c r="W469" s="345">
        <v>8</v>
      </c>
      <c r="X469" s="346">
        <v>4</v>
      </c>
      <c r="Y469" s="208">
        <v>2.8069999999999999</v>
      </c>
      <c r="Z469" s="332"/>
      <c r="AA469" s="342"/>
      <c r="AB469" s="342"/>
      <c r="AC469" s="342"/>
      <c r="AD469" s="347"/>
      <c r="AE469" s="358">
        <v>1.7060356001456527</v>
      </c>
      <c r="AF469" s="349">
        <v>16.639543395646132</v>
      </c>
      <c r="AG469" s="350"/>
      <c r="AH469" s="351">
        <v>1.6961373390557939</v>
      </c>
      <c r="AI469" s="352">
        <v>1.976</v>
      </c>
      <c r="AJ469" s="206">
        <v>16.5</v>
      </c>
      <c r="AK469" s="353" t="s">
        <v>542</v>
      </c>
      <c r="AL469" s="206">
        <v>0.1395433956461325</v>
      </c>
      <c r="AM469" s="349">
        <v>99.489841042638375</v>
      </c>
      <c r="AN469" s="354" t="s">
        <v>139</v>
      </c>
      <c r="AO469" s="355" t="s">
        <v>140</v>
      </c>
      <c r="AP469" s="206" t="s">
        <v>139</v>
      </c>
      <c r="AQ469" s="246"/>
      <c r="AR469" s="211"/>
      <c r="AS469" s="297">
        <f>+IF(Table1[[#This Row],[Column40]]="ok",Table1[[#This Row],[Column7]],0)</f>
        <v>595.30999999999995</v>
      </c>
      <c r="AT469" s="295">
        <f>+IF(Table1[[#This Row],[Column40]]="No",Table1[[#This Row],[Column7]],0)</f>
        <v>0</v>
      </c>
      <c r="AU469" s="4" t="str">
        <f>+IF(LEFT(Table1[[#This Row],[Column42]],2)="DN",IF(Table1[[#This Row],[Column40]]="ok","(CA)",_xlfn.CONCAT("(CA)",CHAR(10),"FAIL")),"")</f>
        <v/>
      </c>
      <c r="AV469" s="154" t="str">
        <f>+IF(Table1[[#This Row],[Column6]]=0,"",_xlfn.CONCAT("Sem ",WEEKNUM(Table1[[#This Row],[Column6]],2)))</f>
        <v>Sem 12</v>
      </c>
      <c r="AW469" s="211"/>
    </row>
    <row r="470" spans="2:49" ht="19.5" customHeight="1" x14ac:dyDescent="0.3">
      <c r="B470" s="356" t="s">
        <v>769</v>
      </c>
      <c r="C470" s="331"/>
      <c r="D470" s="332" t="s">
        <v>766</v>
      </c>
      <c r="E470" s="332" t="s">
        <v>176</v>
      </c>
      <c r="F470" s="333"/>
      <c r="G470" s="334">
        <v>46103</v>
      </c>
      <c r="H470" s="335">
        <v>598.99</v>
      </c>
      <c r="I470" s="336">
        <v>401.41</v>
      </c>
      <c r="J470" s="337">
        <v>2549.48</v>
      </c>
      <c r="K470" s="338" t="s">
        <v>331</v>
      </c>
      <c r="L470" s="339" t="s">
        <v>340</v>
      </c>
      <c r="M470" s="340">
        <v>30</v>
      </c>
      <c r="N470" s="341">
        <v>88653</v>
      </c>
      <c r="O470" s="332">
        <v>58</v>
      </c>
      <c r="P470" s="342">
        <v>9.7000000000000011</v>
      </c>
      <c r="Q470" s="343">
        <v>10.427968655816766</v>
      </c>
      <c r="R470" s="344">
        <v>1.6700091157702828</v>
      </c>
      <c r="S470" s="344">
        <v>1.659</v>
      </c>
      <c r="T470" s="344">
        <v>1.8320000000000001</v>
      </c>
      <c r="U470" s="344" t="s">
        <v>136</v>
      </c>
      <c r="V470" s="332" t="s">
        <v>137</v>
      </c>
      <c r="W470" s="345">
        <v>8</v>
      </c>
      <c r="X470" s="346">
        <v>4</v>
      </c>
      <c r="Y470" s="208">
        <v>2.8069999999999999</v>
      </c>
      <c r="Z470" s="332"/>
      <c r="AA470" s="342"/>
      <c r="AB470" s="342"/>
      <c r="AC470" s="342"/>
      <c r="AD470" s="347"/>
      <c r="AE470" s="358">
        <v>1.70124936700382</v>
      </c>
      <c r="AF470" s="349">
        <v>16.442835684852124</v>
      </c>
      <c r="AG470" s="350"/>
      <c r="AH470" s="351">
        <v>1.6932989690721651</v>
      </c>
      <c r="AI470" s="352">
        <v>1.9710000000000001</v>
      </c>
      <c r="AJ470" s="206">
        <v>16.400000000000002</v>
      </c>
      <c r="AK470" s="353" t="s">
        <v>764</v>
      </c>
      <c r="AL470" s="206">
        <v>4.2835684852121858E-2</v>
      </c>
      <c r="AM470" s="349">
        <v>98.163687708606972</v>
      </c>
      <c r="AN470" s="354" t="s">
        <v>139</v>
      </c>
      <c r="AO470" s="355" t="s">
        <v>140</v>
      </c>
      <c r="AP470" s="206" t="s">
        <v>139</v>
      </c>
      <c r="AQ470" s="246"/>
      <c r="AR470" s="211"/>
      <c r="AS470" s="297">
        <f>+IF(Table1[[#This Row],[Column40]]="ok",Table1[[#This Row],[Column7]],0)</f>
        <v>598.99</v>
      </c>
      <c r="AT470" s="295">
        <f>+IF(Table1[[#This Row],[Column40]]="No",Table1[[#This Row],[Column7]],0)</f>
        <v>0</v>
      </c>
      <c r="AU470" s="4" t="str">
        <f>+IF(LEFT(Table1[[#This Row],[Column42]],2)="DN",IF(Table1[[#This Row],[Column40]]="ok","(CA)",_xlfn.CONCAT("(CA)",CHAR(10),"FAIL")),"")</f>
        <v/>
      </c>
      <c r="AV470" s="154" t="str">
        <f>+IF(Table1[[#This Row],[Column6]]=0,"",_xlfn.CONCAT("Sem ",WEEKNUM(Table1[[#This Row],[Column6]],2)))</f>
        <v>Sem 12</v>
      </c>
      <c r="AW470" s="211"/>
    </row>
    <row r="471" spans="2:49" ht="19.5" customHeight="1" x14ac:dyDescent="0.3">
      <c r="B471" s="356" t="s">
        <v>770</v>
      </c>
      <c r="C471" s="331"/>
      <c r="D471" s="332" t="s">
        <v>766</v>
      </c>
      <c r="E471" s="332" t="s">
        <v>176</v>
      </c>
      <c r="F471" s="333"/>
      <c r="G471" s="334">
        <v>46103</v>
      </c>
      <c r="H471" s="335">
        <v>1334.23</v>
      </c>
      <c r="I471" s="336">
        <v>-27.18</v>
      </c>
      <c r="J471" s="337">
        <v>2636.2</v>
      </c>
      <c r="K471" s="338" t="s">
        <v>221</v>
      </c>
      <c r="L471" s="339" t="s">
        <v>771</v>
      </c>
      <c r="M471" s="340">
        <v>30</v>
      </c>
      <c r="N471" s="341">
        <v>88653</v>
      </c>
      <c r="O471" s="332">
        <v>58</v>
      </c>
      <c r="P471" s="342">
        <v>13.3</v>
      </c>
      <c r="Q471" s="343">
        <v>10.583524027459967</v>
      </c>
      <c r="R471" s="344">
        <v>1.706090026478376</v>
      </c>
      <c r="S471" s="344">
        <v>1.748</v>
      </c>
      <c r="T471" s="344">
        <v>1.9330000000000001</v>
      </c>
      <c r="U471" s="344" t="s">
        <v>136</v>
      </c>
      <c r="V471" s="332" t="s">
        <v>191</v>
      </c>
      <c r="W471" s="345">
        <v>6</v>
      </c>
      <c r="X471" s="346">
        <v>3</v>
      </c>
      <c r="Y471" s="208">
        <v>2.8069999999999999</v>
      </c>
      <c r="Z471" s="332"/>
      <c r="AA471" s="342"/>
      <c r="AB471" s="342"/>
      <c r="AC471" s="342"/>
      <c r="AD471" s="347"/>
      <c r="AE471" s="358">
        <v>1.734</v>
      </c>
      <c r="AF471" s="349">
        <v>0</v>
      </c>
      <c r="AG471" s="350"/>
      <c r="AH471" s="351" t="s">
        <v>139</v>
      </c>
      <c r="AI471" s="352" t="s">
        <v>139</v>
      </c>
      <c r="AJ471" s="206" t="s">
        <v>139</v>
      </c>
      <c r="AK471" s="353" t="s">
        <v>655</v>
      </c>
      <c r="AL471" s="206" t="s">
        <v>139</v>
      </c>
      <c r="AM471" s="349">
        <v>98.390428285950165</v>
      </c>
      <c r="AN471" s="354" t="s">
        <v>139</v>
      </c>
      <c r="AO471" s="355" t="s">
        <v>140</v>
      </c>
      <c r="AP471" s="206" t="s">
        <v>139</v>
      </c>
      <c r="AQ471" s="246"/>
      <c r="AR471" s="211"/>
      <c r="AS471" s="297">
        <f>+IF(Table1[[#This Row],[Column40]]="ok",Table1[[#This Row],[Column7]],0)</f>
        <v>1334.23</v>
      </c>
      <c r="AT471" s="295">
        <f>+IF(Table1[[#This Row],[Column40]]="No",Table1[[#This Row],[Column7]],0)</f>
        <v>0</v>
      </c>
      <c r="AU471" s="4" t="str">
        <f>+IF(LEFT(Table1[[#This Row],[Column42]],2)="DN",IF(Table1[[#This Row],[Column40]]="ok","(CA)",_xlfn.CONCAT("(CA)",CHAR(10),"FAIL")),"")</f>
        <v/>
      </c>
      <c r="AV471" s="154" t="str">
        <f>+IF(Table1[[#This Row],[Column6]]=0,"",_xlfn.CONCAT("Sem ",WEEKNUM(Table1[[#This Row],[Column6]],2)))</f>
        <v>Sem 12</v>
      </c>
      <c r="AW471" s="211"/>
    </row>
    <row r="472" spans="2:49" ht="19.5" customHeight="1" x14ac:dyDescent="0.3">
      <c r="B472" s="356" t="s">
        <v>772</v>
      </c>
      <c r="C472" s="331"/>
      <c r="D472" s="332" t="s">
        <v>766</v>
      </c>
      <c r="E472" s="332" t="s">
        <v>176</v>
      </c>
      <c r="F472" s="333"/>
      <c r="G472" s="334">
        <v>46103</v>
      </c>
      <c r="H472" s="335">
        <v>1348.47</v>
      </c>
      <c r="I472" s="336">
        <v>379.02</v>
      </c>
      <c r="J472" s="337">
        <v>2534.66</v>
      </c>
      <c r="K472" s="338" t="s">
        <v>398</v>
      </c>
      <c r="L472" s="339" t="s">
        <v>400</v>
      </c>
      <c r="M472" s="340">
        <v>30</v>
      </c>
      <c r="N472" s="341">
        <v>88653</v>
      </c>
      <c r="O472" s="332">
        <v>58</v>
      </c>
      <c r="P472" s="342">
        <v>8.6999999999999993</v>
      </c>
      <c r="Q472" s="343">
        <v>8.6318261890780956</v>
      </c>
      <c r="R472" s="344">
        <v>1.7019319227230911</v>
      </c>
      <c r="S472" s="344">
        <v>1.7030000000000001</v>
      </c>
      <c r="T472" s="344">
        <v>1.85</v>
      </c>
      <c r="U472" s="344" t="s">
        <v>136</v>
      </c>
      <c r="V472" s="332" t="s">
        <v>137</v>
      </c>
      <c r="W472" s="345">
        <v>8</v>
      </c>
      <c r="X472" s="346">
        <v>4</v>
      </c>
      <c r="Y472" s="208">
        <v>2.8069999999999999</v>
      </c>
      <c r="Z472" s="332"/>
      <c r="AA472" s="342"/>
      <c r="AB472" s="342"/>
      <c r="AC472" s="342"/>
      <c r="AD472" s="347"/>
      <c r="AE472" s="358">
        <v>1.7</v>
      </c>
      <c r="AF472" s="349">
        <v>0</v>
      </c>
      <c r="AG472" s="350"/>
      <c r="AH472" s="351" t="s">
        <v>139</v>
      </c>
      <c r="AI472" s="352" t="s">
        <v>139</v>
      </c>
      <c r="AJ472" s="206" t="s">
        <v>139</v>
      </c>
      <c r="AK472" s="353" t="s">
        <v>714</v>
      </c>
      <c r="AL472" s="206" t="s">
        <v>139</v>
      </c>
      <c r="AM472" s="349">
        <v>100.113642513123</v>
      </c>
      <c r="AN472" s="354" t="s">
        <v>139</v>
      </c>
      <c r="AO472" s="355" t="s">
        <v>140</v>
      </c>
      <c r="AP472" s="206" t="s">
        <v>139</v>
      </c>
      <c r="AQ472" s="246"/>
      <c r="AR472" s="211"/>
      <c r="AS472" s="297">
        <f>+IF(Table1[[#This Row],[Column40]]="ok",Table1[[#This Row],[Column7]],0)</f>
        <v>1348.47</v>
      </c>
      <c r="AT472" s="295">
        <f>+IF(Table1[[#This Row],[Column40]]="No",Table1[[#This Row],[Column7]],0)</f>
        <v>0</v>
      </c>
      <c r="AU472" s="4" t="str">
        <f>+IF(LEFT(Table1[[#This Row],[Column42]],2)="DN",IF(Table1[[#This Row],[Column40]]="ok","(CA)",_xlfn.CONCAT("(CA)",CHAR(10),"FAIL")),"")</f>
        <v/>
      </c>
      <c r="AV472" s="154" t="str">
        <f>+IF(Table1[[#This Row],[Column6]]=0,"",_xlfn.CONCAT("Sem ",WEEKNUM(Table1[[#This Row],[Column6]],2)))</f>
        <v>Sem 12</v>
      </c>
      <c r="AW472" s="211"/>
    </row>
    <row r="473" spans="2:49" ht="19.5" customHeight="1" x14ac:dyDescent="0.3">
      <c r="B473" s="356" t="s">
        <v>773</v>
      </c>
      <c r="C473" s="331"/>
      <c r="D473" s="332" t="s">
        <v>766</v>
      </c>
      <c r="E473" s="332" t="s">
        <v>176</v>
      </c>
      <c r="F473" s="333"/>
      <c r="G473" s="334">
        <v>46103</v>
      </c>
      <c r="H473" s="335">
        <v>1291.0899999999999</v>
      </c>
      <c r="I473" s="336">
        <v>350.38</v>
      </c>
      <c r="J473" s="337">
        <v>2543.4899999999998</v>
      </c>
      <c r="K473" s="338" t="s">
        <v>398</v>
      </c>
      <c r="L473" s="339" t="s">
        <v>402</v>
      </c>
      <c r="M473" s="340">
        <v>30</v>
      </c>
      <c r="N473" s="341">
        <v>88653</v>
      </c>
      <c r="O473" s="332">
        <v>58</v>
      </c>
      <c r="P473" s="342">
        <v>10.4</v>
      </c>
      <c r="Q473" s="343">
        <v>10.61643835616437</v>
      </c>
      <c r="R473" s="344">
        <v>1.7554347826086956</v>
      </c>
      <c r="S473" s="344">
        <v>1.752</v>
      </c>
      <c r="T473" s="344">
        <v>1.9379999999999999</v>
      </c>
      <c r="U473" s="344" t="s">
        <v>136</v>
      </c>
      <c r="V473" s="332" t="s">
        <v>137</v>
      </c>
      <c r="W473" s="345">
        <v>8</v>
      </c>
      <c r="X473" s="346">
        <v>4</v>
      </c>
      <c r="Y473" s="208">
        <v>2.8069999999999999</v>
      </c>
      <c r="Z473" s="332"/>
      <c r="AA473" s="342"/>
      <c r="AB473" s="342"/>
      <c r="AC473" s="342"/>
      <c r="AD473" s="347"/>
      <c r="AE473" s="358">
        <v>1.7</v>
      </c>
      <c r="AF473" s="349">
        <v>0</v>
      </c>
      <c r="AG473" s="350"/>
      <c r="AH473" s="351" t="s">
        <v>139</v>
      </c>
      <c r="AI473" s="352" t="s">
        <v>139</v>
      </c>
      <c r="AJ473" s="206" t="s">
        <v>139</v>
      </c>
      <c r="AK473" s="353" t="s">
        <v>714</v>
      </c>
      <c r="AL473" s="206" t="s">
        <v>139</v>
      </c>
      <c r="AM473" s="349">
        <v>103.26086956521738</v>
      </c>
      <c r="AN473" s="354" t="s">
        <v>139</v>
      </c>
      <c r="AO473" s="355" t="s">
        <v>140</v>
      </c>
      <c r="AP473" s="206" t="s">
        <v>139</v>
      </c>
      <c r="AQ473" s="246"/>
      <c r="AR473" s="211"/>
      <c r="AS473" s="297">
        <f>+IF(Table1[[#This Row],[Column40]]="ok",Table1[[#This Row],[Column7]],0)</f>
        <v>1291.0899999999999</v>
      </c>
      <c r="AT473" s="295">
        <f>+IF(Table1[[#This Row],[Column40]]="No",Table1[[#This Row],[Column7]],0)</f>
        <v>0</v>
      </c>
      <c r="AU473" s="4" t="str">
        <f>+IF(LEFT(Table1[[#This Row],[Column42]],2)="DN",IF(Table1[[#This Row],[Column40]]="ok","(CA)",_xlfn.CONCAT("(CA)",CHAR(10),"FAIL")),"")</f>
        <v/>
      </c>
      <c r="AV473" s="154" t="str">
        <f>+IF(Table1[[#This Row],[Column6]]=0,"",_xlfn.CONCAT("Sem ",WEEKNUM(Table1[[#This Row],[Column6]],2)))</f>
        <v>Sem 12</v>
      </c>
      <c r="AW473" s="211"/>
    </row>
    <row r="474" spans="2:49" ht="19.5" customHeight="1" x14ac:dyDescent="0.3">
      <c r="B474" s="356" t="s">
        <v>774</v>
      </c>
      <c r="C474" s="331"/>
      <c r="D474" s="332" t="s">
        <v>766</v>
      </c>
      <c r="E474" s="332" t="s">
        <v>176</v>
      </c>
      <c r="F474" s="333"/>
      <c r="G474" s="334">
        <v>46103</v>
      </c>
      <c r="H474" s="335">
        <v>1284.6600000000001</v>
      </c>
      <c r="I474" s="336">
        <v>432.04</v>
      </c>
      <c r="J474" s="337">
        <v>2519.73</v>
      </c>
      <c r="K474" s="338" t="s">
        <v>398</v>
      </c>
      <c r="L474" s="339" t="s">
        <v>402</v>
      </c>
      <c r="M474" s="340">
        <v>30</v>
      </c>
      <c r="N474" s="341">
        <v>88653</v>
      </c>
      <c r="O474" s="332">
        <v>58</v>
      </c>
      <c r="P474" s="342">
        <v>9.3000000000000007</v>
      </c>
      <c r="Q474" s="343">
        <v>10.57524694944798</v>
      </c>
      <c r="R474" s="344">
        <v>1.7410795974382434</v>
      </c>
      <c r="S474" s="344">
        <v>1.7210000000000001</v>
      </c>
      <c r="T474" s="344">
        <v>1.903</v>
      </c>
      <c r="U474" s="344" t="s">
        <v>136</v>
      </c>
      <c r="V474" s="332" t="s">
        <v>137</v>
      </c>
      <c r="W474" s="345">
        <v>8</v>
      </c>
      <c r="X474" s="346">
        <v>4</v>
      </c>
      <c r="Y474" s="208">
        <v>2.8069999999999999</v>
      </c>
      <c r="Z474" s="332"/>
      <c r="AA474" s="342"/>
      <c r="AB474" s="342"/>
      <c r="AC474" s="342"/>
      <c r="AD474" s="347"/>
      <c r="AE474" s="358">
        <v>1.7</v>
      </c>
      <c r="AF474" s="349">
        <v>0</v>
      </c>
      <c r="AG474" s="350"/>
      <c r="AH474" s="351" t="s">
        <v>139</v>
      </c>
      <c r="AI474" s="352" t="s">
        <v>139</v>
      </c>
      <c r="AJ474" s="206" t="s">
        <v>139</v>
      </c>
      <c r="AK474" s="353" t="s">
        <v>714</v>
      </c>
      <c r="AL474" s="206" t="s">
        <v>139</v>
      </c>
      <c r="AM474" s="349">
        <v>102.41644690813196</v>
      </c>
      <c r="AN474" s="354" t="s">
        <v>139</v>
      </c>
      <c r="AO474" s="355" t="s">
        <v>140</v>
      </c>
      <c r="AP474" s="206" t="s">
        <v>139</v>
      </c>
      <c r="AQ474" s="246"/>
      <c r="AR474" s="211"/>
      <c r="AS474" s="297">
        <f>+IF(Table1[[#This Row],[Column40]]="ok",Table1[[#This Row],[Column7]],0)</f>
        <v>1284.6600000000001</v>
      </c>
      <c r="AT474" s="295">
        <f>+IF(Table1[[#This Row],[Column40]]="No",Table1[[#This Row],[Column7]],0)</f>
        <v>0</v>
      </c>
      <c r="AU474" s="4" t="str">
        <f>+IF(LEFT(Table1[[#This Row],[Column42]],2)="DN",IF(Table1[[#This Row],[Column40]]="ok","(CA)",_xlfn.CONCAT("(CA)",CHAR(10),"FAIL")),"")</f>
        <v/>
      </c>
      <c r="AV474" s="154" t="str">
        <f>+IF(Table1[[#This Row],[Column6]]=0,"",_xlfn.CONCAT("Sem ",WEEKNUM(Table1[[#This Row],[Column6]],2)))</f>
        <v>Sem 12</v>
      </c>
      <c r="AW474" s="211"/>
    </row>
    <row r="475" spans="2:49" ht="19.5" customHeight="1" x14ac:dyDescent="0.3">
      <c r="B475" s="356" t="s">
        <v>775</v>
      </c>
      <c r="C475" s="331"/>
      <c r="D475" s="332" t="s">
        <v>766</v>
      </c>
      <c r="E475" s="332" t="s">
        <v>176</v>
      </c>
      <c r="F475" s="333"/>
      <c r="G475" s="334">
        <v>46103</v>
      </c>
      <c r="H475" s="335">
        <v>1348.77</v>
      </c>
      <c r="I475" s="336">
        <v>464.72</v>
      </c>
      <c r="J475" s="337">
        <v>2510.2800000000002</v>
      </c>
      <c r="K475" s="338" t="s">
        <v>398</v>
      </c>
      <c r="L475" s="339" t="s">
        <v>400</v>
      </c>
      <c r="M475" s="340">
        <v>30</v>
      </c>
      <c r="N475" s="341">
        <v>88653</v>
      </c>
      <c r="O475" s="332">
        <v>58</v>
      </c>
      <c r="P475" s="342">
        <v>9.1999999999999993</v>
      </c>
      <c r="Q475" s="343">
        <v>10.107655502392344</v>
      </c>
      <c r="R475" s="344">
        <v>1.6858974358974357</v>
      </c>
      <c r="S475" s="344">
        <v>1.6719999999999999</v>
      </c>
      <c r="T475" s="344">
        <v>1.841</v>
      </c>
      <c r="U475" s="344" t="s">
        <v>136</v>
      </c>
      <c r="V475" s="332" t="s">
        <v>137</v>
      </c>
      <c r="W475" s="345">
        <v>8</v>
      </c>
      <c r="X475" s="346">
        <v>4</v>
      </c>
      <c r="Y475" s="208">
        <v>2.8069999999999999</v>
      </c>
      <c r="Z475" s="332"/>
      <c r="AA475" s="342"/>
      <c r="AB475" s="342"/>
      <c r="AC475" s="342"/>
      <c r="AD475" s="347"/>
      <c r="AE475" s="358">
        <v>1.7060356001456527</v>
      </c>
      <c r="AF475" s="349">
        <v>16.639543395646132</v>
      </c>
      <c r="AG475" s="350"/>
      <c r="AH475" s="351">
        <v>1.702842377260982</v>
      </c>
      <c r="AI475" s="352">
        <v>1.9770000000000001</v>
      </c>
      <c r="AJ475" s="206">
        <v>16.100000000000001</v>
      </c>
      <c r="AK475" s="353" t="s">
        <v>542</v>
      </c>
      <c r="AL475" s="206">
        <v>0.53954339564613107</v>
      </c>
      <c r="AM475" s="349">
        <v>98.819592964736628</v>
      </c>
      <c r="AN475" s="354" t="s">
        <v>139</v>
      </c>
      <c r="AO475" s="355" t="s">
        <v>140</v>
      </c>
      <c r="AP475" s="206" t="s">
        <v>139</v>
      </c>
      <c r="AQ475" s="246" t="s">
        <v>776</v>
      </c>
      <c r="AR475" s="211"/>
      <c r="AS475" s="297">
        <f>+IF(Table1[[#This Row],[Column40]]="ok",Table1[[#This Row],[Column7]],0)</f>
        <v>1348.77</v>
      </c>
      <c r="AT475" s="295">
        <f>+IF(Table1[[#This Row],[Column40]]="No",Table1[[#This Row],[Column7]],0)</f>
        <v>0</v>
      </c>
      <c r="AU475" s="4" t="str">
        <f>+IF(LEFT(Table1[[#This Row],[Column42]],2)="DN",IF(Table1[[#This Row],[Column40]]="ok","(CA)",_xlfn.CONCAT("(CA)",CHAR(10),"FAIL")),"")</f>
        <v/>
      </c>
      <c r="AV475" s="154" t="str">
        <f>+IF(Table1[[#This Row],[Column6]]=0,"",_xlfn.CONCAT("Sem ",WEEKNUM(Table1[[#This Row],[Column6]],2)))</f>
        <v>Sem 12</v>
      </c>
      <c r="AW475" s="211"/>
    </row>
    <row r="476" spans="2:49" ht="19.5" customHeight="1" x14ac:dyDescent="0.3">
      <c r="B476" s="356" t="s">
        <v>776</v>
      </c>
      <c r="C476" s="331"/>
      <c r="D476" s="332" t="s">
        <v>766</v>
      </c>
      <c r="E476" s="332" t="s">
        <v>176</v>
      </c>
      <c r="F476" s="333"/>
      <c r="G476" s="334">
        <v>46103</v>
      </c>
      <c r="H476" s="335">
        <v>1348.77</v>
      </c>
      <c r="I476" s="336">
        <v>464.72</v>
      </c>
      <c r="J476" s="337">
        <v>2510.2800000000002</v>
      </c>
      <c r="K476" s="338" t="s">
        <v>398</v>
      </c>
      <c r="L476" s="339" t="s">
        <v>400</v>
      </c>
      <c r="M476" s="340">
        <v>15</v>
      </c>
      <c r="N476" s="341"/>
      <c r="O476" s="332"/>
      <c r="P476" s="342">
        <v>9.0219452722839204</v>
      </c>
      <c r="Q476" s="343"/>
      <c r="R476" s="344">
        <v>1.6779386276652453</v>
      </c>
      <c r="S476" s="344"/>
      <c r="T476" s="344">
        <v>1.8293213323557156</v>
      </c>
      <c r="U476" s="344" t="s">
        <v>142</v>
      </c>
      <c r="V476" s="332" t="s">
        <v>137</v>
      </c>
      <c r="W476" s="345" t="s">
        <v>173</v>
      </c>
      <c r="X476" s="346" t="s">
        <v>680</v>
      </c>
      <c r="Y476" s="208"/>
      <c r="Z476" s="332" t="s">
        <v>143</v>
      </c>
      <c r="AA476" s="342">
        <v>99.105933351395279</v>
      </c>
      <c r="AB476" s="342">
        <v>80.79111351937145</v>
      </c>
      <c r="AC476" s="342">
        <v>37.036033595231658</v>
      </c>
      <c r="AD476" s="347">
        <v>14.088322947710665</v>
      </c>
      <c r="AE476" s="358">
        <v>1.706</v>
      </c>
      <c r="AF476" s="349">
        <v>16.600000000000001</v>
      </c>
      <c r="AG476" s="350" t="s">
        <v>542</v>
      </c>
      <c r="AH476" s="351">
        <v>1.7027942882173968</v>
      </c>
      <c r="AI476" s="351">
        <v>1.9770041520281061</v>
      </c>
      <c r="AJ476" s="206">
        <v>16.103522645578703</v>
      </c>
      <c r="AK476" s="353" t="s">
        <v>542</v>
      </c>
      <c r="AL476" s="206">
        <v>0.49647735442129814</v>
      </c>
      <c r="AM476" s="349">
        <v>98.355136439932309</v>
      </c>
      <c r="AN476" s="354" t="s">
        <v>139</v>
      </c>
      <c r="AO476" s="355" t="s">
        <v>144</v>
      </c>
      <c r="AP476" s="206">
        <v>0</v>
      </c>
      <c r="AQ476" s="246" t="s">
        <v>775</v>
      </c>
      <c r="AR476" s="211"/>
      <c r="AS476" s="297">
        <f>+IF(Table1[[#This Row],[Column40]]="ok",Table1[[#This Row],[Column7]],0)</f>
        <v>1348.77</v>
      </c>
      <c r="AT476" s="295">
        <f>+IF(Table1[[#This Row],[Column40]]="No",Table1[[#This Row],[Column7]],0)</f>
        <v>0</v>
      </c>
      <c r="AU476" s="4" t="str">
        <f>+IF(LEFT(Table1[[#This Row],[Column42]],2)="DN",IF(Table1[[#This Row],[Column40]]="ok","(CA)",_xlfn.CONCAT("(CA)",CHAR(10),"FAIL")),"")</f>
        <v>(CA)</v>
      </c>
      <c r="AV476" s="154" t="str">
        <f>+IF(Table1[[#This Row],[Column6]]=0,"",_xlfn.CONCAT("Sem ",WEEKNUM(Table1[[#This Row],[Column6]],2)))</f>
        <v>Sem 12</v>
      </c>
      <c r="AW476" s="211"/>
    </row>
    <row r="477" spans="2:49" ht="19.5" customHeight="1" x14ac:dyDescent="0.3">
      <c r="B477" s="356" t="s">
        <v>777</v>
      </c>
      <c r="C477" s="331"/>
      <c r="D477" s="332" t="s">
        <v>766</v>
      </c>
      <c r="E477" s="332" t="s">
        <v>176</v>
      </c>
      <c r="F477" s="333"/>
      <c r="G477" s="334">
        <v>46103</v>
      </c>
      <c r="H477" s="335">
        <v>1293.96</v>
      </c>
      <c r="I477" s="336">
        <v>516</v>
      </c>
      <c r="J477" s="337">
        <v>2494.46</v>
      </c>
      <c r="K477" s="338" t="s">
        <v>429</v>
      </c>
      <c r="L477" s="339" t="s">
        <v>402</v>
      </c>
      <c r="M477" s="340">
        <v>30</v>
      </c>
      <c r="N477" s="341">
        <v>88653</v>
      </c>
      <c r="O477" s="332">
        <v>58</v>
      </c>
      <c r="P477" s="342">
        <v>9.6</v>
      </c>
      <c r="Q477" s="343">
        <v>10.124333925399643</v>
      </c>
      <c r="R477" s="344">
        <v>1.6970802919708028</v>
      </c>
      <c r="S477" s="344">
        <v>1.6890000000000001</v>
      </c>
      <c r="T477" s="344">
        <v>1.86</v>
      </c>
      <c r="U477" s="344" t="s">
        <v>136</v>
      </c>
      <c r="V477" s="332" t="s">
        <v>137</v>
      </c>
      <c r="W477" s="345">
        <v>8</v>
      </c>
      <c r="X477" s="346">
        <v>4</v>
      </c>
      <c r="Y477" s="208">
        <v>2.8069999999999999</v>
      </c>
      <c r="Z477" s="332"/>
      <c r="AA477" s="342"/>
      <c r="AB477" s="342"/>
      <c r="AC477" s="342"/>
      <c r="AD477" s="347"/>
      <c r="AE477" s="358">
        <v>1.7060356001456527</v>
      </c>
      <c r="AF477" s="349">
        <v>16.639543395646132</v>
      </c>
      <c r="AG477" s="350"/>
      <c r="AH477" s="351">
        <v>1.704213241616509</v>
      </c>
      <c r="AI477" s="351">
        <v>1.982</v>
      </c>
      <c r="AJ477" s="206">
        <v>16.3</v>
      </c>
      <c r="AK477" s="353" t="s">
        <v>542</v>
      </c>
      <c r="AL477" s="206">
        <v>0.33954339564613178</v>
      </c>
      <c r="AM477" s="349">
        <v>99.475080814604027</v>
      </c>
      <c r="AN477" s="354" t="s">
        <v>139</v>
      </c>
      <c r="AO477" s="355" t="s">
        <v>140</v>
      </c>
      <c r="AP477" s="206" t="s">
        <v>139</v>
      </c>
      <c r="AQ477" s="207"/>
      <c r="AR477" s="211"/>
      <c r="AS477" s="297">
        <f>+IF(Table1[[#This Row],[Column40]]="ok",Table1[[#This Row],[Column7]],0)</f>
        <v>1293.96</v>
      </c>
      <c r="AT477" s="295">
        <f>+IF(Table1[[#This Row],[Column40]]="No",Table1[[#This Row],[Column7]],0)</f>
        <v>0</v>
      </c>
      <c r="AU477" s="4" t="str">
        <f>+IF(LEFT(Table1[[#This Row],[Column42]],2)="DN",IF(Table1[[#This Row],[Column40]]="ok","(CA)",_xlfn.CONCAT("(CA)",CHAR(10),"FAIL")),"")</f>
        <v/>
      </c>
      <c r="AV477" s="154" t="str">
        <f>+IF(Table1[[#This Row],[Column6]]=0,"",_xlfn.CONCAT("Sem ",WEEKNUM(Table1[[#This Row],[Column6]],2)))</f>
        <v>Sem 12</v>
      </c>
      <c r="AW477" s="211"/>
    </row>
    <row r="478" spans="2:49" ht="19.5" customHeight="1" x14ac:dyDescent="0.3">
      <c r="B478" s="356" t="s">
        <v>778</v>
      </c>
      <c r="C478" s="331"/>
      <c r="D478" s="332" t="s">
        <v>766</v>
      </c>
      <c r="E478" s="332" t="s">
        <v>176</v>
      </c>
      <c r="F478" s="333"/>
      <c r="G478" s="334">
        <v>46103</v>
      </c>
      <c r="H478" s="335">
        <v>1685.5</v>
      </c>
      <c r="I478" s="336">
        <v>16.11</v>
      </c>
      <c r="J478" s="337">
        <v>2635.89</v>
      </c>
      <c r="K478" s="338" t="s">
        <v>149</v>
      </c>
      <c r="L478" s="339" t="s">
        <v>779</v>
      </c>
      <c r="M478" s="340">
        <v>30</v>
      </c>
      <c r="N478" s="341">
        <v>88653</v>
      </c>
      <c r="O478" s="332">
        <v>58</v>
      </c>
      <c r="P478" s="342">
        <v>16.100000000000001</v>
      </c>
      <c r="Q478" s="343">
        <v>14.838709677419338</v>
      </c>
      <c r="R478" s="344">
        <v>1.6864771748492677</v>
      </c>
      <c r="S478" s="344">
        <v>1.7050000000000001</v>
      </c>
      <c r="T478" s="344">
        <v>1.958</v>
      </c>
      <c r="U478" s="344" t="s">
        <v>136</v>
      </c>
      <c r="V478" s="332" t="s">
        <v>191</v>
      </c>
      <c r="W478" s="345">
        <v>6</v>
      </c>
      <c r="X478" s="346">
        <v>3</v>
      </c>
      <c r="Y478" s="208">
        <v>2.8069999999999999</v>
      </c>
      <c r="Z478" s="332"/>
      <c r="AA478" s="342"/>
      <c r="AB478" s="342"/>
      <c r="AC478" s="342"/>
      <c r="AD478" s="347"/>
      <c r="AE478" s="348">
        <v>1.702</v>
      </c>
      <c r="AF478" s="349">
        <v>0</v>
      </c>
      <c r="AG478" s="350"/>
      <c r="AH478" s="351" t="s">
        <v>139</v>
      </c>
      <c r="AI478" s="352" t="s">
        <v>139</v>
      </c>
      <c r="AJ478" s="206" t="s">
        <v>139</v>
      </c>
      <c r="AK478" s="353" t="s">
        <v>640</v>
      </c>
      <c r="AL478" s="206" t="s">
        <v>139</v>
      </c>
      <c r="AM478" s="349">
        <v>99.087965619815961</v>
      </c>
      <c r="AN478" s="354" t="s">
        <v>139</v>
      </c>
      <c r="AO478" s="355" t="s">
        <v>140</v>
      </c>
      <c r="AP478" s="206" t="s">
        <v>139</v>
      </c>
      <c r="AQ478" s="207"/>
      <c r="AR478" s="211"/>
      <c r="AS478" s="297">
        <f>+IF(Table1[[#This Row],[Column40]]="ok",Table1[[#This Row],[Column7]],0)</f>
        <v>1685.5</v>
      </c>
      <c r="AT478" s="295">
        <f>+IF(Table1[[#This Row],[Column40]]="No",Table1[[#This Row],[Column7]],0)</f>
        <v>0</v>
      </c>
      <c r="AU478" s="4" t="str">
        <f>+IF(LEFT(Table1[[#This Row],[Column42]],2)="DN",IF(Table1[[#This Row],[Column40]]="ok","(CA)",_xlfn.CONCAT("(CA)",CHAR(10),"FAIL")),"")</f>
        <v/>
      </c>
      <c r="AV478" s="154" t="str">
        <f>+IF(Table1[[#This Row],[Column6]]=0,"",_xlfn.CONCAT("Sem ",WEEKNUM(Table1[[#This Row],[Column6]],2)))</f>
        <v>Sem 12</v>
      </c>
      <c r="AW478" s="211"/>
    </row>
    <row r="479" spans="2:49" ht="19.5" customHeight="1" x14ac:dyDescent="0.3">
      <c r="B479" s="356" t="s">
        <v>780</v>
      </c>
      <c r="C479" s="331"/>
      <c r="D479" s="332" t="s">
        <v>766</v>
      </c>
      <c r="E479" s="332" t="s">
        <v>133</v>
      </c>
      <c r="F479" s="333"/>
      <c r="G479" s="334">
        <v>46104</v>
      </c>
      <c r="H479" s="335">
        <v>558.84</v>
      </c>
      <c r="I479" s="336">
        <v>317.12</v>
      </c>
      <c r="J479" s="337">
        <v>2574.0100000000002</v>
      </c>
      <c r="K479" s="338" t="s">
        <v>331</v>
      </c>
      <c r="L479" s="339" t="s">
        <v>332</v>
      </c>
      <c r="M479" s="340">
        <v>30</v>
      </c>
      <c r="N479" s="341">
        <v>85462</v>
      </c>
      <c r="O479" s="332">
        <v>59.78</v>
      </c>
      <c r="P479" s="342">
        <v>11.1</v>
      </c>
      <c r="Q479" s="343">
        <v>10.951834862385335</v>
      </c>
      <c r="R479" s="344">
        <v>1.7416741674167417</v>
      </c>
      <c r="S479" s="344">
        <v>1.744</v>
      </c>
      <c r="T479" s="344">
        <v>1.9350000000000001</v>
      </c>
      <c r="U479" s="344" t="s">
        <v>136</v>
      </c>
      <c r="V479" s="332" t="s">
        <v>137</v>
      </c>
      <c r="W479" s="345">
        <v>8</v>
      </c>
      <c r="X479" s="346">
        <v>4</v>
      </c>
      <c r="Y479" s="208">
        <v>2.8069999999999999</v>
      </c>
      <c r="Z479" s="332"/>
      <c r="AA479" s="342"/>
      <c r="AB479" s="342"/>
      <c r="AC479" s="342"/>
      <c r="AD479" s="347"/>
      <c r="AE479" s="358">
        <v>1.7010000000000001</v>
      </c>
      <c r="AF479" s="349">
        <v>0</v>
      </c>
      <c r="AG479" s="350"/>
      <c r="AH479" s="351" t="s">
        <v>139</v>
      </c>
      <c r="AI479" s="352" t="s">
        <v>139</v>
      </c>
      <c r="AJ479" s="206" t="s">
        <v>139</v>
      </c>
      <c r="AK479" s="353" t="s">
        <v>764</v>
      </c>
      <c r="AL479" s="206" t="s">
        <v>139</v>
      </c>
      <c r="AM479" s="349">
        <v>102.39119150010238</v>
      </c>
      <c r="AN479" s="354" t="s">
        <v>139</v>
      </c>
      <c r="AO479" s="355" t="s">
        <v>140</v>
      </c>
      <c r="AP479" s="206" t="s">
        <v>139</v>
      </c>
      <c r="AQ479" s="246">
        <v>0</v>
      </c>
      <c r="AR479" s="211"/>
      <c r="AS479" s="297">
        <f>+IF(Table1[[#This Row],[Column40]]="ok",Table1[[#This Row],[Column7]],0)</f>
        <v>558.84</v>
      </c>
      <c r="AT479" s="295">
        <f>+IF(Table1[[#This Row],[Column40]]="No",Table1[[#This Row],[Column7]],0)</f>
        <v>0</v>
      </c>
      <c r="AU479" s="4" t="str">
        <f>+IF(LEFT(Table1[[#This Row],[Column42]],2)="DN",IF(Table1[[#This Row],[Column40]]="ok","(CA)",_xlfn.CONCAT("(CA)",CHAR(10),"FAIL")),"")</f>
        <v/>
      </c>
      <c r="AV479" s="154" t="str">
        <f>+IF(Table1[[#This Row],[Column6]]=0,"",_xlfn.CONCAT("Sem ",WEEKNUM(Table1[[#This Row],[Column6]],2)))</f>
        <v>Sem 13</v>
      </c>
      <c r="AW479" s="211"/>
    </row>
    <row r="480" spans="2:49" ht="19.5" customHeight="1" x14ac:dyDescent="0.3">
      <c r="B480" s="356" t="s">
        <v>781</v>
      </c>
      <c r="C480" s="331"/>
      <c r="D480" s="332" t="s">
        <v>766</v>
      </c>
      <c r="E480" s="332" t="s">
        <v>133</v>
      </c>
      <c r="F480" s="333"/>
      <c r="G480" s="334">
        <v>46104</v>
      </c>
      <c r="H480" s="335">
        <v>503.32</v>
      </c>
      <c r="I480" s="336">
        <v>280.60000000000002</v>
      </c>
      <c r="J480" s="337">
        <v>2584.64</v>
      </c>
      <c r="K480" s="338" t="s">
        <v>331</v>
      </c>
      <c r="L480" s="339" t="s">
        <v>338</v>
      </c>
      <c r="M480" s="340">
        <v>30</v>
      </c>
      <c r="N480" s="341">
        <v>85462</v>
      </c>
      <c r="O480" s="332">
        <v>59.78</v>
      </c>
      <c r="P480" s="342">
        <v>9.1</v>
      </c>
      <c r="Q480" s="343">
        <v>10.810810810810811</v>
      </c>
      <c r="R480" s="344">
        <v>1.7286892758936754</v>
      </c>
      <c r="S480" s="344">
        <v>1.702</v>
      </c>
      <c r="T480" s="344">
        <v>1.8859999999999999</v>
      </c>
      <c r="U480" s="344" t="s">
        <v>136</v>
      </c>
      <c r="V480" s="332" t="s">
        <v>137</v>
      </c>
      <c r="W480" s="345">
        <v>8</v>
      </c>
      <c r="X480" s="346">
        <v>4</v>
      </c>
      <c r="Y480" s="208">
        <v>2.8069999999999999</v>
      </c>
      <c r="Z480" s="332"/>
      <c r="AA480" s="342"/>
      <c r="AB480" s="342"/>
      <c r="AC480" s="342"/>
      <c r="AD480" s="347"/>
      <c r="AE480" s="348">
        <v>1.7010000000000001</v>
      </c>
      <c r="AF480" s="349">
        <v>0</v>
      </c>
      <c r="AG480" s="350"/>
      <c r="AH480" s="351" t="s">
        <v>139</v>
      </c>
      <c r="AI480" s="352" t="s">
        <v>139</v>
      </c>
      <c r="AJ480" s="206" t="s">
        <v>139</v>
      </c>
      <c r="AK480" s="353" t="s">
        <v>764</v>
      </c>
      <c r="AL480" s="206" t="s">
        <v>139</v>
      </c>
      <c r="AM480" s="349">
        <v>101.62782339175045</v>
      </c>
      <c r="AN480" s="354" t="s">
        <v>139</v>
      </c>
      <c r="AO480" s="355" t="s">
        <v>140</v>
      </c>
      <c r="AP480" s="206" t="s">
        <v>139</v>
      </c>
      <c r="AQ480" s="207">
        <v>0</v>
      </c>
      <c r="AR480" s="211"/>
      <c r="AS480" s="297">
        <f>+IF(Table1[[#This Row],[Column40]]="ok",Table1[[#This Row],[Column7]],0)</f>
        <v>503.32</v>
      </c>
      <c r="AT480" s="295">
        <f>+IF(Table1[[#This Row],[Column40]]="No",Table1[[#This Row],[Column7]],0)</f>
        <v>0</v>
      </c>
      <c r="AU480" s="4" t="str">
        <f>+IF(LEFT(Table1[[#This Row],[Column42]],2)="DN",IF(Table1[[#This Row],[Column40]]="ok","(CA)",_xlfn.CONCAT("(CA)",CHAR(10),"FAIL")),"")</f>
        <v/>
      </c>
      <c r="AV480" s="154" t="str">
        <f>+IF(Table1[[#This Row],[Column6]]=0,"",_xlfn.CONCAT("Sem ",WEEKNUM(Table1[[#This Row],[Column6]],2)))</f>
        <v>Sem 13</v>
      </c>
      <c r="AW480" s="211"/>
    </row>
    <row r="481" spans="2:49" ht="19.5" customHeight="1" x14ac:dyDescent="0.3">
      <c r="B481" s="356" t="s">
        <v>782</v>
      </c>
      <c r="C481" s="331"/>
      <c r="D481" s="332" t="s">
        <v>766</v>
      </c>
      <c r="E481" s="332" t="s">
        <v>133</v>
      </c>
      <c r="F481" s="333"/>
      <c r="G481" s="334">
        <v>46104</v>
      </c>
      <c r="H481" s="335">
        <v>445.29</v>
      </c>
      <c r="I481" s="336">
        <v>290.98</v>
      </c>
      <c r="J481" s="337">
        <v>2580.5300000000002</v>
      </c>
      <c r="K481" s="338" t="s">
        <v>331</v>
      </c>
      <c r="L481" s="339" t="s">
        <v>546</v>
      </c>
      <c r="M481" s="340">
        <v>30</v>
      </c>
      <c r="N481" s="341">
        <v>85462</v>
      </c>
      <c r="O481" s="332">
        <v>59.78</v>
      </c>
      <c r="P481" s="342">
        <v>10.7</v>
      </c>
      <c r="Q481" s="343">
        <v>11.426879810538782</v>
      </c>
      <c r="R481" s="344">
        <v>1.7000903342366755</v>
      </c>
      <c r="S481" s="344">
        <v>1.6890000000000001</v>
      </c>
      <c r="T481" s="344">
        <v>1.8819999999999999</v>
      </c>
      <c r="U481" s="344" t="s">
        <v>136</v>
      </c>
      <c r="V481" s="332" t="s">
        <v>137</v>
      </c>
      <c r="W481" s="345">
        <v>8</v>
      </c>
      <c r="X481" s="346">
        <v>4</v>
      </c>
      <c r="Y481" s="208">
        <v>2.8069999999999999</v>
      </c>
      <c r="Z481" s="332"/>
      <c r="AA481" s="342"/>
      <c r="AB481" s="342"/>
      <c r="AC481" s="342"/>
      <c r="AD481" s="347"/>
      <c r="AE481" s="348">
        <v>1.70124936700382</v>
      </c>
      <c r="AF481" s="349">
        <v>16.442835684852124</v>
      </c>
      <c r="AG481" s="350"/>
      <c r="AH481" s="351">
        <v>1.6964746345657782</v>
      </c>
      <c r="AI481" s="352">
        <v>1.9730000000000001</v>
      </c>
      <c r="AJ481" s="206">
        <v>16.3</v>
      </c>
      <c r="AK481" s="353" t="s">
        <v>764</v>
      </c>
      <c r="AL481" s="206">
        <v>0.14283568485212328</v>
      </c>
      <c r="AM481" s="349">
        <v>99.931871670924664</v>
      </c>
      <c r="AN481" s="354" t="s">
        <v>139</v>
      </c>
      <c r="AO481" s="355" t="s">
        <v>140</v>
      </c>
      <c r="AP481" s="206" t="s">
        <v>139</v>
      </c>
      <c r="AQ481" s="207">
        <v>0</v>
      </c>
      <c r="AR481" s="211"/>
      <c r="AS481" s="297">
        <f>+IF(Table1[[#This Row],[Column40]]="ok",Table1[[#This Row],[Column7]],0)</f>
        <v>445.29</v>
      </c>
      <c r="AT481" s="295">
        <f>+IF(Table1[[#This Row],[Column40]]="No",Table1[[#This Row],[Column7]],0)</f>
        <v>0</v>
      </c>
      <c r="AU481" s="4" t="str">
        <f>+IF(LEFT(Table1[[#This Row],[Column42]],2)="DN",IF(Table1[[#This Row],[Column40]]="ok","(CA)",_xlfn.CONCAT("(CA)",CHAR(10),"FAIL")),"")</f>
        <v/>
      </c>
      <c r="AV481" s="154" t="str">
        <f>+IF(Table1[[#This Row],[Column6]]=0,"",_xlfn.CONCAT("Sem ",WEEKNUM(Table1[[#This Row],[Column6]],2)))</f>
        <v>Sem 13</v>
      </c>
      <c r="AW481" s="211"/>
    </row>
    <row r="482" spans="2:49" ht="19.5" customHeight="1" x14ac:dyDescent="0.3">
      <c r="B482" s="356" t="s">
        <v>783</v>
      </c>
      <c r="C482" s="331"/>
      <c r="D482" s="332" t="s">
        <v>766</v>
      </c>
      <c r="E482" s="332" t="s">
        <v>133</v>
      </c>
      <c r="F482" s="333"/>
      <c r="G482" s="334">
        <v>46104</v>
      </c>
      <c r="H482" s="335">
        <v>492.57</v>
      </c>
      <c r="I482" s="336">
        <v>359.18</v>
      </c>
      <c r="J482" s="337">
        <v>2562.6999999999998</v>
      </c>
      <c r="K482" s="338" t="s">
        <v>331</v>
      </c>
      <c r="L482" s="339" t="s">
        <v>338</v>
      </c>
      <c r="M482" s="340">
        <v>30</v>
      </c>
      <c r="N482" s="341">
        <v>85462</v>
      </c>
      <c r="O482" s="332">
        <v>59.78</v>
      </c>
      <c r="P482" s="342">
        <v>10.5</v>
      </c>
      <c r="Q482" s="343">
        <v>10.915492957746476</v>
      </c>
      <c r="R482" s="344">
        <v>1.7104072398190044</v>
      </c>
      <c r="S482" s="344">
        <v>1.704</v>
      </c>
      <c r="T482" s="344">
        <v>1.89</v>
      </c>
      <c r="U482" s="344" t="s">
        <v>136</v>
      </c>
      <c r="V482" s="332" t="s">
        <v>137</v>
      </c>
      <c r="W482" s="345">
        <v>8</v>
      </c>
      <c r="X482" s="346">
        <v>4</v>
      </c>
      <c r="Y482" s="208">
        <v>2.8069999999999999</v>
      </c>
      <c r="Z482" s="332"/>
      <c r="AA482" s="342"/>
      <c r="AB482" s="342"/>
      <c r="AC482" s="342"/>
      <c r="AD482" s="347"/>
      <c r="AE482" s="348">
        <v>1.7010000000000001</v>
      </c>
      <c r="AF482" s="349">
        <v>0</v>
      </c>
      <c r="AG482" s="350"/>
      <c r="AH482" s="351" t="s">
        <v>139</v>
      </c>
      <c r="AI482" s="352" t="s">
        <v>139</v>
      </c>
      <c r="AJ482" s="206" t="s">
        <v>139</v>
      </c>
      <c r="AK482" s="353" t="s">
        <v>764</v>
      </c>
      <c r="AL482" s="206" t="s">
        <v>139</v>
      </c>
      <c r="AM482" s="349">
        <v>100.55304172951232</v>
      </c>
      <c r="AN482" s="354" t="s">
        <v>139</v>
      </c>
      <c r="AO482" s="355" t="s">
        <v>140</v>
      </c>
      <c r="AP482" s="206" t="s">
        <v>139</v>
      </c>
      <c r="AQ482" s="207">
        <v>0</v>
      </c>
      <c r="AR482" s="211"/>
      <c r="AS482" s="297">
        <f>+IF(Table1[[#This Row],[Column40]]="ok",Table1[[#This Row],[Column7]],0)</f>
        <v>492.57</v>
      </c>
      <c r="AT482" s="295">
        <f>+IF(Table1[[#This Row],[Column40]]="No",Table1[[#This Row],[Column7]],0)</f>
        <v>0</v>
      </c>
      <c r="AU482" s="4" t="str">
        <f>+IF(LEFT(Table1[[#This Row],[Column42]],2)="DN",IF(Table1[[#This Row],[Column40]]="ok","(CA)",_xlfn.CONCAT("(CA)",CHAR(10),"FAIL")),"")</f>
        <v/>
      </c>
      <c r="AV482" s="154" t="str">
        <f>+IF(Table1[[#This Row],[Column6]]=0,"",_xlfn.CONCAT("Sem ",WEEKNUM(Table1[[#This Row],[Column6]],2)))</f>
        <v>Sem 13</v>
      </c>
      <c r="AW482" s="211"/>
    </row>
    <row r="483" spans="2:49" ht="19.5" customHeight="1" x14ac:dyDescent="0.3">
      <c r="B483" s="356" t="s">
        <v>784</v>
      </c>
      <c r="C483" s="331"/>
      <c r="D483" s="332" t="s">
        <v>766</v>
      </c>
      <c r="E483" s="332" t="s">
        <v>133</v>
      </c>
      <c r="F483" s="333"/>
      <c r="G483" s="334">
        <v>46104</v>
      </c>
      <c r="H483" s="335">
        <v>551.78</v>
      </c>
      <c r="I483" s="336">
        <v>417.5</v>
      </c>
      <c r="J483" s="337">
        <v>2545.6999999999998</v>
      </c>
      <c r="K483" s="338" t="s">
        <v>331</v>
      </c>
      <c r="L483" s="339" t="s">
        <v>332</v>
      </c>
      <c r="M483" s="340">
        <v>30</v>
      </c>
      <c r="N483" s="341">
        <v>85462</v>
      </c>
      <c r="O483" s="332">
        <v>59.78</v>
      </c>
      <c r="P483" s="342">
        <v>9.8000000000000007</v>
      </c>
      <c r="Q483" s="343">
        <v>10.863182618907796</v>
      </c>
      <c r="R483" s="344">
        <v>1.7194899817850635</v>
      </c>
      <c r="S483" s="344">
        <v>1.7030000000000001</v>
      </c>
      <c r="T483" s="344">
        <v>1.8879999999999999</v>
      </c>
      <c r="U483" s="344" t="s">
        <v>136</v>
      </c>
      <c r="V483" s="332" t="s">
        <v>137</v>
      </c>
      <c r="W483" s="345">
        <v>8</v>
      </c>
      <c r="X483" s="346">
        <v>4</v>
      </c>
      <c r="Y483" s="208">
        <v>2.8069999999999999</v>
      </c>
      <c r="Z483" s="332"/>
      <c r="AA483" s="342"/>
      <c r="AB483" s="342"/>
      <c r="AC483" s="342"/>
      <c r="AD483" s="347"/>
      <c r="AE483" s="348">
        <v>1.7010000000000001</v>
      </c>
      <c r="AF483" s="349">
        <v>0</v>
      </c>
      <c r="AG483" s="350"/>
      <c r="AH483" s="351" t="s">
        <v>139</v>
      </c>
      <c r="AI483" s="352" t="s">
        <v>139</v>
      </c>
      <c r="AJ483" s="206" t="s">
        <v>139</v>
      </c>
      <c r="AK483" s="353" t="s">
        <v>764</v>
      </c>
      <c r="AL483" s="206" t="s">
        <v>139</v>
      </c>
      <c r="AM483" s="349">
        <v>101.08700657172625</v>
      </c>
      <c r="AN483" s="354" t="s">
        <v>139</v>
      </c>
      <c r="AO483" s="355" t="s">
        <v>140</v>
      </c>
      <c r="AP483" s="206" t="s">
        <v>139</v>
      </c>
      <c r="AQ483" s="207">
        <v>0</v>
      </c>
      <c r="AR483" s="211"/>
      <c r="AS483" s="297">
        <f>+IF(Table1[[#This Row],[Column40]]="ok",Table1[[#This Row],[Column7]],0)</f>
        <v>551.78</v>
      </c>
      <c r="AT483" s="295">
        <f>+IF(Table1[[#This Row],[Column40]]="No",Table1[[#This Row],[Column7]],0)</f>
        <v>0</v>
      </c>
      <c r="AU483" s="4" t="str">
        <f>+IF(LEFT(Table1[[#This Row],[Column42]],2)="DN",IF(Table1[[#This Row],[Column40]]="ok","(CA)",_xlfn.CONCAT("(CA)",CHAR(10),"FAIL")),"")</f>
        <v/>
      </c>
      <c r="AV483" s="154" t="str">
        <f>+IF(Table1[[#This Row],[Column6]]=0,"",_xlfn.CONCAT("Sem ",WEEKNUM(Table1[[#This Row],[Column6]],2)))</f>
        <v>Sem 13</v>
      </c>
      <c r="AW483" s="211"/>
    </row>
    <row r="484" spans="2:49" ht="19.5" customHeight="1" x14ac:dyDescent="0.3">
      <c r="B484" s="356" t="s">
        <v>785</v>
      </c>
      <c r="C484" s="331"/>
      <c r="D484" s="332" t="s">
        <v>766</v>
      </c>
      <c r="E484" s="332" t="s">
        <v>133</v>
      </c>
      <c r="F484" s="333"/>
      <c r="G484" s="334">
        <v>46104</v>
      </c>
      <c r="H484" s="335">
        <v>565</v>
      </c>
      <c r="I484" s="336">
        <v>515.13</v>
      </c>
      <c r="J484" s="337">
        <v>2516.7600000000002</v>
      </c>
      <c r="K484" s="338" t="s">
        <v>786</v>
      </c>
      <c r="L484" s="339" t="s">
        <v>332</v>
      </c>
      <c r="M484" s="340">
        <v>30</v>
      </c>
      <c r="N484" s="341">
        <v>85462</v>
      </c>
      <c r="O484" s="332">
        <v>59.78</v>
      </c>
      <c r="P484" s="342">
        <v>10.8</v>
      </c>
      <c r="Q484" s="343">
        <v>10.372492836676205</v>
      </c>
      <c r="R484" s="344">
        <v>1.7382671480144403</v>
      </c>
      <c r="S484" s="344">
        <v>1.7450000000000001</v>
      </c>
      <c r="T484" s="344">
        <v>1.9259999999999999</v>
      </c>
      <c r="U484" s="344" t="s">
        <v>136</v>
      </c>
      <c r="V484" s="332" t="s">
        <v>137</v>
      </c>
      <c r="W484" s="345">
        <v>8</v>
      </c>
      <c r="X484" s="346">
        <v>4</v>
      </c>
      <c r="Y484" s="208">
        <v>2.8069999999999999</v>
      </c>
      <c r="Z484" s="332"/>
      <c r="AA484" s="342"/>
      <c r="AB484" s="342"/>
      <c r="AC484" s="342"/>
      <c r="AD484" s="347"/>
      <c r="AE484" s="348">
        <v>1.7010000000000001</v>
      </c>
      <c r="AF484" s="349">
        <v>0</v>
      </c>
      <c r="AG484" s="350"/>
      <c r="AH484" s="351" t="s">
        <v>139</v>
      </c>
      <c r="AI484" s="352" t="s">
        <v>139</v>
      </c>
      <c r="AJ484" s="206" t="s">
        <v>139</v>
      </c>
      <c r="AK484" s="353" t="s">
        <v>764</v>
      </c>
      <c r="AL484" s="206" t="s">
        <v>139</v>
      </c>
      <c r="AM484" s="349">
        <v>102.19089641472311</v>
      </c>
      <c r="AN484" s="354" t="s">
        <v>139</v>
      </c>
      <c r="AO484" s="355" t="s">
        <v>140</v>
      </c>
      <c r="AP484" s="206" t="s">
        <v>139</v>
      </c>
      <c r="AQ484" s="207">
        <v>0</v>
      </c>
      <c r="AR484" s="211"/>
      <c r="AS484" s="297">
        <f>+IF(Table1[[#This Row],[Column40]]="ok",Table1[[#This Row],[Column7]],0)</f>
        <v>565</v>
      </c>
      <c r="AT484" s="295">
        <f>+IF(Table1[[#This Row],[Column40]]="No",Table1[[#This Row],[Column7]],0)</f>
        <v>0</v>
      </c>
      <c r="AU484" s="4" t="str">
        <f>+IF(LEFT(Table1[[#This Row],[Column42]],2)="DN",IF(Table1[[#This Row],[Column40]]="ok","(CA)",_xlfn.CONCAT("(CA)",CHAR(10),"FAIL")),"")</f>
        <v/>
      </c>
      <c r="AV484" s="154" t="str">
        <f>+IF(Table1[[#This Row],[Column6]]=0,"",_xlfn.CONCAT("Sem ",WEEKNUM(Table1[[#This Row],[Column6]],2)))</f>
        <v>Sem 13</v>
      </c>
      <c r="AW484" s="211"/>
    </row>
    <row r="485" spans="2:49" ht="19.5" customHeight="1" x14ac:dyDescent="0.3">
      <c r="B485" s="356" t="s">
        <v>787</v>
      </c>
      <c r="C485" s="331"/>
      <c r="D485" s="332" t="s">
        <v>766</v>
      </c>
      <c r="E485" s="332" t="s">
        <v>133</v>
      </c>
      <c r="F485" s="333"/>
      <c r="G485" s="334">
        <v>46104</v>
      </c>
      <c r="H485" s="335">
        <v>470.16</v>
      </c>
      <c r="I485" s="336">
        <v>114.04</v>
      </c>
      <c r="J485" s="337">
        <v>2632.9</v>
      </c>
      <c r="K485" s="338" t="s">
        <v>349</v>
      </c>
      <c r="L485" s="339" t="s">
        <v>546</v>
      </c>
      <c r="M485" s="340">
        <v>30</v>
      </c>
      <c r="N485" s="341">
        <v>85462</v>
      </c>
      <c r="O485" s="332">
        <v>59.78</v>
      </c>
      <c r="P485" s="342">
        <v>11</v>
      </c>
      <c r="Q485" s="343">
        <v>11.262798634812277</v>
      </c>
      <c r="R485" s="344">
        <v>1.7621621621621619</v>
      </c>
      <c r="S485" s="344">
        <v>1.758</v>
      </c>
      <c r="T485" s="344">
        <v>1.956</v>
      </c>
      <c r="U485" s="344" t="s">
        <v>136</v>
      </c>
      <c r="V485" s="332" t="s">
        <v>137</v>
      </c>
      <c r="W485" s="345">
        <v>8</v>
      </c>
      <c r="X485" s="346">
        <v>4</v>
      </c>
      <c r="Y485" s="208">
        <v>2.8069999999999999</v>
      </c>
      <c r="Z485" s="332"/>
      <c r="AA485" s="342"/>
      <c r="AB485" s="342"/>
      <c r="AC485" s="342"/>
      <c r="AD485" s="347"/>
      <c r="AE485" s="348">
        <v>1.7010000000000001</v>
      </c>
      <c r="AF485" s="349">
        <v>0</v>
      </c>
      <c r="AG485" s="350"/>
      <c r="AH485" s="351" t="s">
        <v>139</v>
      </c>
      <c r="AI485" s="352" t="s">
        <v>139</v>
      </c>
      <c r="AJ485" s="206" t="s">
        <v>139</v>
      </c>
      <c r="AK485" s="353" t="s">
        <v>764</v>
      </c>
      <c r="AL485" s="206" t="s">
        <v>139</v>
      </c>
      <c r="AM485" s="349">
        <v>103.59565915121469</v>
      </c>
      <c r="AN485" s="354" t="s">
        <v>139</v>
      </c>
      <c r="AO485" s="355" t="s">
        <v>140</v>
      </c>
      <c r="AP485" s="206" t="s">
        <v>139</v>
      </c>
      <c r="AQ485" s="207">
        <v>0</v>
      </c>
      <c r="AR485" s="211"/>
      <c r="AS485" s="297">
        <f>+IF(Table1[[#This Row],[Column40]]="ok",Table1[[#This Row],[Column7]],0)</f>
        <v>470.16</v>
      </c>
      <c r="AT485" s="295">
        <f>+IF(Table1[[#This Row],[Column40]]="No",Table1[[#This Row],[Column7]],0)</f>
        <v>0</v>
      </c>
      <c r="AU485" s="4" t="str">
        <f>+IF(LEFT(Table1[[#This Row],[Column42]],2)="DN",IF(Table1[[#This Row],[Column40]]="ok","(CA)",_xlfn.CONCAT("(CA)",CHAR(10),"FAIL")),"")</f>
        <v/>
      </c>
      <c r="AV485" s="154" t="str">
        <f>+IF(Table1[[#This Row],[Column6]]=0,"",_xlfn.CONCAT("Sem ",WEEKNUM(Table1[[#This Row],[Column6]],2)))</f>
        <v>Sem 13</v>
      </c>
      <c r="AW485" s="211"/>
    </row>
    <row r="486" spans="2:49" ht="19.5" customHeight="1" x14ac:dyDescent="0.3">
      <c r="B486" s="356" t="s">
        <v>788</v>
      </c>
      <c r="C486" s="331"/>
      <c r="D486" s="332" t="s">
        <v>766</v>
      </c>
      <c r="E486" s="332" t="s">
        <v>133</v>
      </c>
      <c r="F486" s="333"/>
      <c r="G486" s="334">
        <v>46104</v>
      </c>
      <c r="H486" s="335">
        <v>403.04</v>
      </c>
      <c r="I486" s="336">
        <v>108.52</v>
      </c>
      <c r="J486" s="337">
        <v>2633.71</v>
      </c>
      <c r="K486" s="338" t="s">
        <v>335</v>
      </c>
      <c r="L486" s="339" t="s">
        <v>703</v>
      </c>
      <c r="M486" s="340">
        <v>30</v>
      </c>
      <c r="N486" s="341">
        <v>85462</v>
      </c>
      <c r="O486" s="332">
        <v>59.78</v>
      </c>
      <c r="P486" s="342">
        <v>9.9</v>
      </c>
      <c r="Q486" s="343">
        <v>10.690045248868785</v>
      </c>
      <c r="R486" s="344">
        <v>1.7807097361237489</v>
      </c>
      <c r="S486" s="344">
        <v>1.768</v>
      </c>
      <c r="T486" s="344">
        <v>1.9570000000000001</v>
      </c>
      <c r="U486" s="344" t="s">
        <v>136</v>
      </c>
      <c r="V486" s="332" t="s">
        <v>137</v>
      </c>
      <c r="W486" s="345">
        <v>8</v>
      </c>
      <c r="X486" s="346">
        <v>4</v>
      </c>
      <c r="Y486" s="208">
        <v>2.8069999999999999</v>
      </c>
      <c r="Z486" s="332"/>
      <c r="AA486" s="342"/>
      <c r="AB486" s="342"/>
      <c r="AC486" s="342"/>
      <c r="AD486" s="347"/>
      <c r="AE486" s="348">
        <v>1.7061752176491876</v>
      </c>
      <c r="AF486" s="349">
        <v>16.333661276669208</v>
      </c>
      <c r="AG486" s="350"/>
      <c r="AH486" s="351">
        <v>1.7053264604810998</v>
      </c>
      <c r="AI486" s="352">
        <v>1.9850000000000001</v>
      </c>
      <c r="AJ486" s="206">
        <v>16.400000000000002</v>
      </c>
      <c r="AK486" s="353" t="s">
        <v>360</v>
      </c>
      <c r="AL486" s="206">
        <v>-6.633872333079438E-2</v>
      </c>
      <c r="AM486" s="349">
        <v>104.36851489246554</v>
      </c>
      <c r="AN486" s="354" t="s">
        <v>139</v>
      </c>
      <c r="AO486" s="355" t="s">
        <v>140</v>
      </c>
      <c r="AP486" s="206" t="s">
        <v>139</v>
      </c>
      <c r="AQ486" s="207" t="s">
        <v>789</v>
      </c>
      <c r="AR486" s="211"/>
      <c r="AS486" s="297">
        <f>+IF(Table1[[#This Row],[Column40]]="ok",Table1[[#This Row],[Column7]],0)</f>
        <v>403.04</v>
      </c>
      <c r="AT486" s="295">
        <f>+IF(Table1[[#This Row],[Column40]]="No",Table1[[#This Row],[Column7]],0)</f>
        <v>0</v>
      </c>
      <c r="AU486" s="4" t="str">
        <f>+IF(LEFT(Table1[[#This Row],[Column42]],2)="DN",IF(Table1[[#This Row],[Column40]]="ok","(CA)",_xlfn.CONCAT("(CA)",CHAR(10),"FAIL")),"")</f>
        <v/>
      </c>
      <c r="AV486" s="154" t="str">
        <f>+IF(Table1[[#This Row],[Column6]]=0,"",_xlfn.CONCAT("Sem ",WEEKNUM(Table1[[#This Row],[Column6]],2)))</f>
        <v>Sem 13</v>
      </c>
      <c r="AW486" s="211"/>
    </row>
    <row r="487" spans="2:49" ht="19.5" customHeight="1" x14ac:dyDescent="0.3">
      <c r="B487" s="356" t="s">
        <v>789</v>
      </c>
      <c r="C487" s="331"/>
      <c r="D487" s="332" t="s">
        <v>766</v>
      </c>
      <c r="E487" s="332" t="s">
        <v>133</v>
      </c>
      <c r="F487" s="333"/>
      <c r="G487" s="334">
        <v>46104</v>
      </c>
      <c r="H487" s="335">
        <v>403.04</v>
      </c>
      <c r="I487" s="336">
        <v>108.52</v>
      </c>
      <c r="J487" s="337">
        <v>2633.71</v>
      </c>
      <c r="K487" s="338" t="s">
        <v>335</v>
      </c>
      <c r="L487" s="339" t="s">
        <v>703</v>
      </c>
      <c r="M487" s="340">
        <v>15</v>
      </c>
      <c r="N487" s="341"/>
      <c r="O487" s="332"/>
      <c r="P487" s="342">
        <v>9.9015171679531342</v>
      </c>
      <c r="Q487" s="343"/>
      <c r="R487" s="344">
        <v>1.7551550271750123</v>
      </c>
      <c r="S487" s="344"/>
      <c r="T487" s="344">
        <v>1.9289420035149385</v>
      </c>
      <c r="U487" s="344" t="s">
        <v>142</v>
      </c>
      <c r="V487" s="332" t="s">
        <v>137</v>
      </c>
      <c r="W487" s="345" t="s">
        <v>173</v>
      </c>
      <c r="X487" s="346" t="s">
        <v>680</v>
      </c>
      <c r="Y487" s="208"/>
      <c r="Z487" s="332" t="s">
        <v>143</v>
      </c>
      <c r="AA487" s="342">
        <v>99.015171679531548</v>
      </c>
      <c r="AB487" s="342">
        <v>78.972584508916697</v>
      </c>
      <c r="AC487" s="342">
        <v>35.001330849081725</v>
      </c>
      <c r="AD487" s="347">
        <v>10.300771892467409</v>
      </c>
      <c r="AE487" s="348">
        <v>1.7061752176491876</v>
      </c>
      <c r="AF487" s="349">
        <v>16.333661276669208</v>
      </c>
      <c r="AG487" s="350" t="s">
        <v>360</v>
      </c>
      <c r="AH487" s="351">
        <v>1.7052076877140441</v>
      </c>
      <c r="AI487" s="352">
        <v>1.9850095683606213</v>
      </c>
      <c r="AJ487" s="206">
        <v>16.408668730650156</v>
      </c>
      <c r="AK487" s="353" t="s">
        <v>360</v>
      </c>
      <c r="AL487" s="206">
        <v>-7.5007453980948213E-2</v>
      </c>
      <c r="AM487" s="349">
        <v>102.87073736736782</v>
      </c>
      <c r="AN487" s="354" t="s">
        <v>139</v>
      </c>
      <c r="AO487" s="355" t="s">
        <v>144</v>
      </c>
      <c r="AP487" s="206">
        <v>0</v>
      </c>
      <c r="AQ487" s="207" t="s">
        <v>788</v>
      </c>
      <c r="AR487" s="211"/>
      <c r="AS487" s="297">
        <f>+IF(Table1[[#This Row],[Column40]]="ok",Table1[[#This Row],[Column7]],0)</f>
        <v>403.04</v>
      </c>
      <c r="AT487" s="295">
        <f>+IF(Table1[[#This Row],[Column40]]="No",Table1[[#This Row],[Column7]],0)</f>
        <v>0</v>
      </c>
      <c r="AU487" s="4" t="str">
        <f>+IF(LEFT(Table1[[#This Row],[Column42]],2)="DN",IF(Table1[[#This Row],[Column40]]="ok","(CA)",_xlfn.CONCAT("(CA)",CHAR(10),"FAIL")),"")</f>
        <v>(CA)</v>
      </c>
      <c r="AV487" s="154" t="str">
        <f>+IF(Table1[[#This Row],[Column6]]=0,"",_xlfn.CONCAT("Sem ",WEEKNUM(Table1[[#This Row],[Column6]],2)))</f>
        <v>Sem 13</v>
      </c>
      <c r="AW487" s="211"/>
    </row>
    <row r="488" spans="2:49" ht="19.5" customHeight="1" x14ac:dyDescent="0.3">
      <c r="B488" s="356" t="s">
        <v>790</v>
      </c>
      <c r="C488" s="331"/>
      <c r="D488" s="332" t="s">
        <v>766</v>
      </c>
      <c r="E488" s="332" t="s">
        <v>133</v>
      </c>
      <c r="F488" s="333"/>
      <c r="G488" s="334">
        <v>46104</v>
      </c>
      <c r="H488" s="335">
        <v>395.72</v>
      </c>
      <c r="I488" s="336">
        <v>189.99</v>
      </c>
      <c r="J488" s="337">
        <v>2610.4699999999998</v>
      </c>
      <c r="K488" s="338" t="s">
        <v>335</v>
      </c>
      <c r="L488" s="339" t="s">
        <v>703</v>
      </c>
      <c r="M488" s="340">
        <v>30</v>
      </c>
      <c r="N488" s="341">
        <v>85462</v>
      </c>
      <c r="O488" s="332">
        <v>59.78</v>
      </c>
      <c r="P488" s="342">
        <v>10.299999999999999</v>
      </c>
      <c r="Q488" s="343">
        <v>11.026837806301049</v>
      </c>
      <c r="R488" s="344">
        <v>1.7252946509519493</v>
      </c>
      <c r="S488" s="344">
        <v>1.714</v>
      </c>
      <c r="T488" s="344">
        <v>1.903</v>
      </c>
      <c r="U488" s="344" t="s">
        <v>136</v>
      </c>
      <c r="V488" s="332" t="s">
        <v>137</v>
      </c>
      <c r="W488" s="345">
        <v>8</v>
      </c>
      <c r="X488" s="346">
        <v>4</v>
      </c>
      <c r="Y488" s="208">
        <v>2.8069999999999999</v>
      </c>
      <c r="Z488" s="332"/>
      <c r="AA488" s="342"/>
      <c r="AB488" s="342"/>
      <c r="AC488" s="342"/>
      <c r="AD488" s="347"/>
      <c r="AE488" s="348">
        <v>1.7010000000000001</v>
      </c>
      <c r="AF488" s="349">
        <v>0</v>
      </c>
      <c r="AG488" s="350"/>
      <c r="AH488" s="351" t="s">
        <v>139</v>
      </c>
      <c r="AI488" s="352" t="s">
        <v>139</v>
      </c>
      <c r="AJ488" s="206" t="s">
        <v>139</v>
      </c>
      <c r="AK488" s="353" t="s">
        <v>764</v>
      </c>
      <c r="AL488" s="206" t="s">
        <v>139</v>
      </c>
      <c r="AM488" s="349">
        <v>101.42825696366545</v>
      </c>
      <c r="AN488" s="354" t="s">
        <v>139</v>
      </c>
      <c r="AO488" s="355" t="s">
        <v>140</v>
      </c>
      <c r="AP488" s="206" t="s">
        <v>139</v>
      </c>
      <c r="AQ488" s="207">
        <v>0</v>
      </c>
      <c r="AR488" s="211"/>
      <c r="AS488" s="297">
        <f>+IF(Table1[[#This Row],[Column40]]="ok",Table1[[#This Row],[Column7]],0)</f>
        <v>395.72</v>
      </c>
      <c r="AT488" s="295">
        <f>+IF(Table1[[#This Row],[Column40]]="No",Table1[[#This Row],[Column7]],0)</f>
        <v>0</v>
      </c>
      <c r="AU488" s="4" t="str">
        <f>+IF(LEFT(Table1[[#This Row],[Column42]],2)="DN",IF(Table1[[#This Row],[Column40]]="ok","(CA)",_xlfn.CONCAT("(CA)",CHAR(10),"FAIL")),"")</f>
        <v/>
      </c>
      <c r="AV488" s="154" t="str">
        <f>+IF(Table1[[#This Row],[Column6]]=0,"",_xlfn.CONCAT("Sem ",WEEKNUM(Table1[[#This Row],[Column6]],2)))</f>
        <v>Sem 13</v>
      </c>
      <c r="AW488" s="211"/>
    </row>
    <row r="489" spans="2:49" ht="19.5" customHeight="1" x14ac:dyDescent="0.3">
      <c r="B489" s="356" t="s">
        <v>791</v>
      </c>
      <c r="C489" s="331"/>
      <c r="D489" s="332" t="s">
        <v>766</v>
      </c>
      <c r="E489" s="332" t="s">
        <v>133</v>
      </c>
      <c r="F489" s="333"/>
      <c r="G489" s="334">
        <v>46104</v>
      </c>
      <c r="H489" s="335">
        <v>460.38</v>
      </c>
      <c r="I489" s="336">
        <v>185.98</v>
      </c>
      <c r="J489" s="337">
        <v>2612.9899999999998</v>
      </c>
      <c r="K489" s="338" t="s">
        <v>349</v>
      </c>
      <c r="L489" s="339" t="s">
        <v>546</v>
      </c>
      <c r="M489" s="340">
        <v>30</v>
      </c>
      <c r="N489" s="341">
        <v>85462</v>
      </c>
      <c r="O489" s="332">
        <v>59.78</v>
      </c>
      <c r="P489" s="342">
        <v>12</v>
      </c>
      <c r="Q489" s="343">
        <v>12.041884816753923</v>
      </c>
      <c r="R489" s="344">
        <v>1.719642857142857</v>
      </c>
      <c r="S489" s="344">
        <v>1.7190000000000001</v>
      </c>
      <c r="T489" s="344">
        <v>1.9259999999999999</v>
      </c>
      <c r="U489" s="344" t="s">
        <v>136</v>
      </c>
      <c r="V489" s="332" t="s">
        <v>137</v>
      </c>
      <c r="W489" s="345">
        <v>8</v>
      </c>
      <c r="X489" s="346">
        <v>4</v>
      </c>
      <c r="Y489" s="208">
        <v>2.8069999999999999</v>
      </c>
      <c r="Z489" s="332"/>
      <c r="AA489" s="342"/>
      <c r="AB489" s="342"/>
      <c r="AC489" s="342"/>
      <c r="AD489" s="347"/>
      <c r="AE489" s="348">
        <v>1.7010000000000001</v>
      </c>
      <c r="AF489" s="349">
        <v>0</v>
      </c>
      <c r="AG489" s="350"/>
      <c r="AH489" s="351" t="s">
        <v>139</v>
      </c>
      <c r="AI489" s="352" t="s">
        <v>139</v>
      </c>
      <c r="AJ489" s="206" t="s">
        <v>139</v>
      </c>
      <c r="AK489" s="353" t="s">
        <v>764</v>
      </c>
      <c r="AL489" s="206" t="s">
        <v>139</v>
      </c>
      <c r="AM489" s="349">
        <v>101.0959939531368</v>
      </c>
      <c r="AN489" s="354" t="s">
        <v>139</v>
      </c>
      <c r="AO489" s="355" t="s">
        <v>140</v>
      </c>
      <c r="AP489" s="206" t="s">
        <v>139</v>
      </c>
      <c r="AQ489" s="207">
        <v>0</v>
      </c>
      <c r="AR489" s="211"/>
      <c r="AS489" s="297">
        <f>+IF(Table1[[#This Row],[Column40]]="ok",Table1[[#This Row],[Column7]],0)</f>
        <v>460.38</v>
      </c>
      <c r="AT489" s="295">
        <f>+IF(Table1[[#This Row],[Column40]]="No",Table1[[#This Row],[Column7]],0)</f>
        <v>0</v>
      </c>
      <c r="AU489" s="4" t="str">
        <f>+IF(LEFT(Table1[[#This Row],[Column42]],2)="DN",IF(Table1[[#This Row],[Column40]]="ok","(CA)",_xlfn.CONCAT("(CA)",CHAR(10),"FAIL")),"")</f>
        <v/>
      </c>
      <c r="AV489" s="154" t="str">
        <f>+IF(Table1[[#This Row],[Column6]]=0,"",_xlfn.CONCAT("Sem ",WEEKNUM(Table1[[#This Row],[Column6]],2)))</f>
        <v>Sem 13</v>
      </c>
      <c r="AW489" s="211"/>
    </row>
    <row r="490" spans="2:49" ht="19.5" customHeight="1" x14ac:dyDescent="0.3">
      <c r="B490" s="356" t="s">
        <v>792</v>
      </c>
      <c r="C490" s="331"/>
      <c r="D490" s="332" t="s">
        <v>766</v>
      </c>
      <c r="E490" s="332" t="s">
        <v>133</v>
      </c>
      <c r="F490" s="333"/>
      <c r="G490" s="334">
        <v>46104</v>
      </c>
      <c r="H490" s="335">
        <v>393.96</v>
      </c>
      <c r="I490" s="336">
        <v>276.75</v>
      </c>
      <c r="J490" s="337">
        <v>2585.71</v>
      </c>
      <c r="K490" s="338" t="s">
        <v>344</v>
      </c>
      <c r="L490" s="339" t="s">
        <v>703</v>
      </c>
      <c r="M490" s="340">
        <v>30</v>
      </c>
      <c r="N490" s="341">
        <v>85462</v>
      </c>
      <c r="O490" s="332">
        <v>59.78</v>
      </c>
      <c r="P490" s="342">
        <v>10.8</v>
      </c>
      <c r="Q490" s="343">
        <v>10.668229777256744</v>
      </c>
      <c r="R490" s="344">
        <v>1.7039711191335738</v>
      </c>
      <c r="S490" s="344">
        <v>1.706</v>
      </c>
      <c r="T490" s="344">
        <v>1.8879999999999999</v>
      </c>
      <c r="U490" s="344" t="s">
        <v>136</v>
      </c>
      <c r="V490" s="332" t="s">
        <v>137</v>
      </c>
      <c r="W490" s="345">
        <v>8</v>
      </c>
      <c r="X490" s="346">
        <v>4</v>
      </c>
      <c r="Y490" s="208">
        <v>2.8069999999999999</v>
      </c>
      <c r="Z490" s="332"/>
      <c r="AA490" s="342"/>
      <c r="AB490" s="342"/>
      <c r="AC490" s="342"/>
      <c r="AD490" s="347"/>
      <c r="AE490" s="348">
        <v>1.7010000000000001</v>
      </c>
      <c r="AF490" s="349">
        <v>0</v>
      </c>
      <c r="AG490" s="350"/>
      <c r="AH490" s="351" t="s">
        <v>139</v>
      </c>
      <c r="AI490" s="352" t="s">
        <v>139</v>
      </c>
      <c r="AJ490" s="206" t="s">
        <v>139</v>
      </c>
      <c r="AK490" s="353" t="s">
        <v>764</v>
      </c>
      <c r="AL490" s="206" t="s">
        <v>139</v>
      </c>
      <c r="AM490" s="349">
        <v>100.17466896728828</v>
      </c>
      <c r="AN490" s="354" t="s">
        <v>139</v>
      </c>
      <c r="AO490" s="355" t="s">
        <v>140</v>
      </c>
      <c r="AP490" s="206" t="s">
        <v>139</v>
      </c>
      <c r="AQ490" s="207">
        <v>0</v>
      </c>
      <c r="AR490" s="211"/>
      <c r="AS490" s="297">
        <f>+IF(Table1[[#This Row],[Column40]]="ok",Table1[[#This Row],[Column7]],0)</f>
        <v>393.96</v>
      </c>
      <c r="AT490" s="295">
        <f>+IF(Table1[[#This Row],[Column40]]="No",Table1[[#This Row],[Column7]],0)</f>
        <v>0</v>
      </c>
      <c r="AU490" s="4" t="str">
        <f>+IF(LEFT(Table1[[#This Row],[Column42]],2)="DN",IF(Table1[[#This Row],[Column40]]="ok","(CA)",_xlfn.CONCAT("(CA)",CHAR(10),"FAIL")),"")</f>
        <v/>
      </c>
      <c r="AV490" s="154" t="str">
        <f>+IF(Table1[[#This Row],[Column6]]=0,"",_xlfn.CONCAT("Sem ",WEEKNUM(Table1[[#This Row],[Column6]],2)))</f>
        <v>Sem 13</v>
      </c>
      <c r="AW490" s="211"/>
    </row>
    <row r="491" spans="2:49" ht="19.5" customHeight="1" x14ac:dyDescent="0.3">
      <c r="B491" s="356" t="s">
        <v>793</v>
      </c>
      <c r="C491" s="331"/>
      <c r="D491" s="332" t="s">
        <v>766</v>
      </c>
      <c r="E491" s="332" t="s">
        <v>133</v>
      </c>
      <c r="F491" s="333"/>
      <c r="G491" s="334">
        <v>46104</v>
      </c>
      <c r="H491" s="335">
        <v>47.64</v>
      </c>
      <c r="I491" s="336">
        <v>41.33</v>
      </c>
      <c r="J491" s="337">
        <v>2632.82</v>
      </c>
      <c r="K491" s="338" t="s">
        <v>356</v>
      </c>
      <c r="L491" s="339" t="s">
        <v>794</v>
      </c>
      <c r="M491" s="340">
        <v>30</v>
      </c>
      <c r="N491" s="341">
        <v>85462</v>
      </c>
      <c r="O491" s="332">
        <v>59.78</v>
      </c>
      <c r="P491" s="342">
        <v>13.4</v>
      </c>
      <c r="Q491" s="343">
        <v>13.412563667232602</v>
      </c>
      <c r="R491" s="344">
        <v>1.7671957671957674</v>
      </c>
      <c r="S491" s="344">
        <v>1.7669999999999999</v>
      </c>
      <c r="T491" s="344">
        <v>2.004</v>
      </c>
      <c r="U491" s="344" t="s">
        <v>136</v>
      </c>
      <c r="V491" s="332" t="s">
        <v>194</v>
      </c>
      <c r="W491" s="345" t="s">
        <v>195</v>
      </c>
      <c r="X491" s="346">
        <v>3</v>
      </c>
      <c r="Y491" s="208">
        <v>2.8069999999999999</v>
      </c>
      <c r="Z491" s="332"/>
      <c r="AA491" s="342"/>
      <c r="AB491" s="342"/>
      <c r="AC491" s="342"/>
      <c r="AD491" s="347"/>
      <c r="AE491" s="348">
        <v>1.7070000000000001</v>
      </c>
      <c r="AF491" s="349">
        <v>0</v>
      </c>
      <c r="AG491" s="350"/>
      <c r="AH491" s="351" t="s">
        <v>139</v>
      </c>
      <c r="AI491" s="352" t="s">
        <v>139</v>
      </c>
      <c r="AJ491" s="206" t="s">
        <v>139</v>
      </c>
      <c r="AK491" s="353" t="s">
        <v>662</v>
      </c>
      <c r="AL491" s="206" t="s">
        <v>139</v>
      </c>
      <c r="AM491" s="349">
        <v>103.52640698276316</v>
      </c>
      <c r="AN491" s="354" t="s">
        <v>139</v>
      </c>
      <c r="AO491" s="355" t="s">
        <v>140</v>
      </c>
      <c r="AP491" s="206" t="s">
        <v>139</v>
      </c>
      <c r="AQ491" s="207">
        <v>0</v>
      </c>
      <c r="AR491" s="211"/>
      <c r="AS491" s="297">
        <f>+IF(Table1[[#This Row],[Column40]]="ok",Table1[[#This Row],[Column7]],0)</f>
        <v>47.64</v>
      </c>
      <c r="AT491" s="295">
        <f>+IF(Table1[[#This Row],[Column40]]="No",Table1[[#This Row],[Column7]],0)</f>
        <v>0</v>
      </c>
      <c r="AU491" s="4" t="str">
        <f>+IF(LEFT(Table1[[#This Row],[Column42]],2)="DN",IF(Table1[[#This Row],[Column40]]="ok","(CA)",_xlfn.CONCAT("(CA)",CHAR(10),"FAIL")),"")</f>
        <v/>
      </c>
      <c r="AV491" s="154" t="str">
        <f>+IF(Table1[[#This Row],[Column6]]=0,"",_xlfn.CONCAT("Sem ",WEEKNUM(Table1[[#This Row],[Column6]],2)))</f>
        <v>Sem 13</v>
      </c>
      <c r="AW491" s="211"/>
    </row>
    <row r="492" spans="2:49" ht="19.5" customHeight="1" x14ac:dyDescent="0.3">
      <c r="B492" s="356" t="s">
        <v>795</v>
      </c>
      <c r="C492" s="331"/>
      <c r="D492" s="332" t="s">
        <v>766</v>
      </c>
      <c r="E492" s="332" t="s">
        <v>133</v>
      </c>
      <c r="F492" s="333"/>
      <c r="G492" s="334">
        <v>46104</v>
      </c>
      <c r="H492" s="335">
        <v>2089.0100000000002</v>
      </c>
      <c r="I492" s="336">
        <v>-182.45</v>
      </c>
      <c r="J492" s="337">
        <v>2635.9</v>
      </c>
      <c r="K492" s="338" t="s">
        <v>218</v>
      </c>
      <c r="L492" s="339" t="s">
        <v>796</v>
      </c>
      <c r="M492" s="340">
        <v>30</v>
      </c>
      <c r="N492" s="341">
        <v>85462</v>
      </c>
      <c r="O492" s="332">
        <v>59.78</v>
      </c>
      <c r="P492" s="342">
        <v>12.8</v>
      </c>
      <c r="Q492" s="343">
        <v>15.9718144450969</v>
      </c>
      <c r="R492" s="344">
        <v>1.750886524822695</v>
      </c>
      <c r="S492" s="344">
        <v>1.7030000000000001</v>
      </c>
      <c r="T492" s="344">
        <v>1.9750000000000001</v>
      </c>
      <c r="U492" s="344" t="s">
        <v>136</v>
      </c>
      <c r="V492" s="332" t="s">
        <v>187</v>
      </c>
      <c r="W492" s="345">
        <v>12</v>
      </c>
      <c r="X492" s="346">
        <v>6</v>
      </c>
      <c r="Y492" s="208">
        <v>2.8069999999999999</v>
      </c>
      <c r="Z492" s="332"/>
      <c r="AA492" s="342"/>
      <c r="AB492" s="342"/>
      <c r="AC492" s="342"/>
      <c r="AD492" s="347"/>
      <c r="AE492" s="348">
        <v>1.702</v>
      </c>
      <c r="AF492" s="349">
        <v>0</v>
      </c>
      <c r="AG492" s="350"/>
      <c r="AH492" s="351" t="s">
        <v>139</v>
      </c>
      <c r="AI492" s="352" t="s">
        <v>139</v>
      </c>
      <c r="AJ492" s="206" t="s">
        <v>139</v>
      </c>
      <c r="AK492" s="353" t="s">
        <v>640</v>
      </c>
      <c r="AL492" s="206" t="s">
        <v>139</v>
      </c>
      <c r="AM492" s="349">
        <v>102.87229875574002</v>
      </c>
      <c r="AN492" s="354" t="s">
        <v>139</v>
      </c>
      <c r="AO492" s="355" t="s">
        <v>140</v>
      </c>
      <c r="AP492" s="206" t="s">
        <v>139</v>
      </c>
      <c r="AQ492" s="207">
        <v>0</v>
      </c>
      <c r="AR492" s="211"/>
      <c r="AS492" s="297">
        <f>+IF(Table1[[#This Row],[Column40]]="ok",Table1[[#This Row],[Column7]],0)</f>
        <v>2089.0100000000002</v>
      </c>
      <c r="AT492" s="295">
        <f>+IF(Table1[[#This Row],[Column40]]="No",Table1[[#This Row],[Column7]],0)</f>
        <v>0</v>
      </c>
      <c r="AU492" s="4" t="str">
        <f>+IF(LEFT(Table1[[#This Row],[Column42]],2)="DN",IF(Table1[[#This Row],[Column40]]="ok","(CA)",_xlfn.CONCAT("(CA)",CHAR(10),"FAIL")),"")</f>
        <v/>
      </c>
      <c r="AV492" s="154" t="str">
        <f>+IF(Table1[[#This Row],[Column6]]=0,"",_xlfn.CONCAT("Sem ",WEEKNUM(Table1[[#This Row],[Column6]],2)))</f>
        <v>Sem 13</v>
      </c>
      <c r="AW492" s="211"/>
    </row>
    <row r="493" spans="2:49" ht="19.5" customHeight="1" x14ac:dyDescent="0.3">
      <c r="B493" s="356" t="s">
        <v>797</v>
      </c>
      <c r="C493" s="331"/>
      <c r="D493" s="332" t="s">
        <v>766</v>
      </c>
      <c r="E493" s="332" t="s">
        <v>133</v>
      </c>
      <c r="F493" s="333"/>
      <c r="G493" s="334">
        <v>46104</v>
      </c>
      <c r="H493" s="335">
        <v>2060.04</v>
      </c>
      <c r="I493" s="336">
        <v>-200.29</v>
      </c>
      <c r="J493" s="337">
        <v>2635.9</v>
      </c>
      <c r="K493" s="338" t="s">
        <v>218</v>
      </c>
      <c r="L493" s="339" t="s">
        <v>168</v>
      </c>
      <c r="M493" s="340">
        <v>30</v>
      </c>
      <c r="N493" s="341">
        <v>85462</v>
      </c>
      <c r="O493" s="332">
        <v>59.78</v>
      </c>
      <c r="P493" s="342">
        <v>8.5</v>
      </c>
      <c r="Q493" s="343">
        <v>10.888252148997136</v>
      </c>
      <c r="R493" s="344">
        <v>1.7834101382488481</v>
      </c>
      <c r="S493" s="344">
        <v>1.7450000000000001</v>
      </c>
      <c r="T493" s="344">
        <v>1.9350000000000001</v>
      </c>
      <c r="U493" s="344" t="s">
        <v>136</v>
      </c>
      <c r="V493" s="332" t="s">
        <v>169</v>
      </c>
      <c r="W493" s="345">
        <v>4</v>
      </c>
      <c r="X493" s="346">
        <v>2</v>
      </c>
      <c r="Y493" s="208">
        <v>2.8069999999999999</v>
      </c>
      <c r="Z493" s="332"/>
      <c r="AA493" s="342"/>
      <c r="AB493" s="342"/>
      <c r="AC493" s="342"/>
      <c r="AD493" s="347"/>
      <c r="AE493" s="348">
        <v>1.702</v>
      </c>
      <c r="AF493" s="349">
        <v>0</v>
      </c>
      <c r="AG493" s="350"/>
      <c r="AH493" s="351" t="s">
        <v>139</v>
      </c>
      <c r="AI493" s="352" t="s">
        <v>139</v>
      </c>
      <c r="AJ493" s="206" t="s">
        <v>139</v>
      </c>
      <c r="AK493" s="353" t="s">
        <v>662</v>
      </c>
      <c r="AL493" s="206" t="s">
        <v>139</v>
      </c>
      <c r="AM493" s="349">
        <v>104.78320436244701</v>
      </c>
      <c r="AN493" s="354" t="s">
        <v>139</v>
      </c>
      <c r="AO493" s="355" t="s">
        <v>140</v>
      </c>
      <c r="AP493" s="206" t="s">
        <v>139</v>
      </c>
      <c r="AQ493" s="207">
        <v>0</v>
      </c>
      <c r="AR493" s="211"/>
      <c r="AS493" s="297">
        <f>+IF(Table1[[#This Row],[Column40]]="ok",Table1[[#This Row],[Column7]],0)</f>
        <v>2060.04</v>
      </c>
      <c r="AT493" s="295">
        <f>+IF(Table1[[#This Row],[Column40]]="No",Table1[[#This Row],[Column7]],0)</f>
        <v>0</v>
      </c>
      <c r="AU493" s="4" t="str">
        <f>+IF(LEFT(Table1[[#This Row],[Column42]],2)="DN",IF(Table1[[#This Row],[Column40]]="ok","(CA)",_xlfn.CONCAT("(CA)",CHAR(10),"FAIL")),"")</f>
        <v/>
      </c>
      <c r="AV493" s="154" t="str">
        <f>+IF(Table1[[#This Row],[Column6]]=0,"",_xlfn.CONCAT("Sem ",WEEKNUM(Table1[[#This Row],[Column6]],2)))</f>
        <v>Sem 13</v>
      </c>
      <c r="AW493" s="211"/>
    </row>
    <row r="494" spans="2:49" ht="19.5" customHeight="1" x14ac:dyDescent="0.3">
      <c r="B494" s="356" t="s">
        <v>798</v>
      </c>
      <c r="C494" s="331"/>
      <c r="D494" s="332" t="s">
        <v>766</v>
      </c>
      <c r="E494" s="332" t="s">
        <v>133</v>
      </c>
      <c r="F494" s="333"/>
      <c r="G494" s="334">
        <v>46104</v>
      </c>
      <c r="H494" s="335">
        <v>1856.55</v>
      </c>
      <c r="I494" s="336">
        <v>-157.61000000000001</v>
      </c>
      <c r="J494" s="337">
        <v>2635.9</v>
      </c>
      <c r="K494" s="338" t="s">
        <v>134</v>
      </c>
      <c r="L494" s="339" t="s">
        <v>168</v>
      </c>
      <c r="M494" s="340">
        <v>30</v>
      </c>
      <c r="N494" s="341">
        <v>85462</v>
      </c>
      <c r="O494" s="332">
        <v>59.78</v>
      </c>
      <c r="P494" s="342">
        <v>8.1</v>
      </c>
      <c r="Q494" s="343">
        <v>8.7384259259259309</v>
      </c>
      <c r="R494" s="344">
        <v>1.7382053654024052</v>
      </c>
      <c r="S494" s="344">
        <v>1.728</v>
      </c>
      <c r="T494" s="344">
        <v>1.879</v>
      </c>
      <c r="U494" s="344" t="s">
        <v>136</v>
      </c>
      <c r="V494" s="332" t="s">
        <v>169</v>
      </c>
      <c r="W494" s="345">
        <v>4</v>
      </c>
      <c r="X494" s="346">
        <v>2</v>
      </c>
      <c r="Y494" s="208">
        <v>2.8069999999999999</v>
      </c>
      <c r="Z494" s="332"/>
      <c r="AA494" s="342"/>
      <c r="AB494" s="342"/>
      <c r="AC494" s="342"/>
      <c r="AD494" s="347"/>
      <c r="AE494" s="348">
        <v>1.702</v>
      </c>
      <c r="AF494" s="349">
        <v>0</v>
      </c>
      <c r="AG494" s="350"/>
      <c r="AH494" s="351" t="s">
        <v>139</v>
      </c>
      <c r="AI494" s="352" t="s">
        <v>139</v>
      </c>
      <c r="AJ494" s="206" t="s">
        <v>139</v>
      </c>
      <c r="AK494" s="353" t="s">
        <v>662</v>
      </c>
      <c r="AL494" s="206" t="s">
        <v>139</v>
      </c>
      <c r="AM494" s="349">
        <v>102.12722475924825</v>
      </c>
      <c r="AN494" s="354" t="s">
        <v>139</v>
      </c>
      <c r="AO494" s="355" t="s">
        <v>140</v>
      </c>
      <c r="AP494" s="206" t="s">
        <v>139</v>
      </c>
      <c r="AQ494" s="207">
        <v>0</v>
      </c>
      <c r="AR494" s="211"/>
      <c r="AS494" s="297">
        <f>+IF(Table1[[#This Row],[Column40]]="ok",Table1[[#This Row],[Column7]],0)</f>
        <v>1856.55</v>
      </c>
      <c r="AT494" s="295">
        <f>+IF(Table1[[#This Row],[Column40]]="No",Table1[[#This Row],[Column7]],0)</f>
        <v>0</v>
      </c>
      <c r="AU494" s="4" t="str">
        <f>+IF(LEFT(Table1[[#This Row],[Column42]],2)="DN",IF(Table1[[#This Row],[Column40]]="ok","(CA)",_xlfn.CONCAT("(CA)",CHAR(10),"FAIL")),"")</f>
        <v/>
      </c>
      <c r="AV494" s="154" t="str">
        <f>+IF(Table1[[#This Row],[Column6]]=0,"",_xlfn.CONCAT("Sem ",WEEKNUM(Table1[[#This Row],[Column6]],2)))</f>
        <v>Sem 13</v>
      </c>
      <c r="AW494" s="211"/>
    </row>
    <row r="495" spans="2:49" ht="19.5" customHeight="1" x14ac:dyDescent="0.3">
      <c r="B495" s="356" t="s">
        <v>799</v>
      </c>
      <c r="C495" s="331"/>
      <c r="D495" s="332" t="s">
        <v>766</v>
      </c>
      <c r="E495" s="332" t="s">
        <v>133</v>
      </c>
      <c r="F495" s="333"/>
      <c r="G495" s="334">
        <v>46104</v>
      </c>
      <c r="H495" s="335">
        <v>1701.9</v>
      </c>
      <c r="I495" s="336">
        <v>-16.690000000000001</v>
      </c>
      <c r="J495" s="337">
        <v>2635.9</v>
      </c>
      <c r="K495" s="338" t="s">
        <v>149</v>
      </c>
      <c r="L495" s="339" t="s">
        <v>168</v>
      </c>
      <c r="M495" s="340">
        <v>30</v>
      </c>
      <c r="N495" s="341">
        <v>85462</v>
      </c>
      <c r="O495" s="332">
        <v>59.78</v>
      </c>
      <c r="P495" s="342">
        <v>13.4</v>
      </c>
      <c r="Q495" s="343">
        <v>9.7727272727272663</v>
      </c>
      <c r="R495" s="344">
        <v>1.7037037037037037</v>
      </c>
      <c r="S495" s="344">
        <v>1.76</v>
      </c>
      <c r="T495" s="344">
        <v>1.9319999999999999</v>
      </c>
      <c r="U495" s="344" t="s">
        <v>136</v>
      </c>
      <c r="V495" s="332" t="s">
        <v>169</v>
      </c>
      <c r="W495" s="345">
        <v>4</v>
      </c>
      <c r="X495" s="346">
        <v>2</v>
      </c>
      <c r="Y495" s="208">
        <v>2.8069999999999999</v>
      </c>
      <c r="Z495" s="332"/>
      <c r="AA495" s="342"/>
      <c r="AB495" s="342"/>
      <c r="AC495" s="342"/>
      <c r="AD495" s="347"/>
      <c r="AE495" s="348">
        <v>1.702</v>
      </c>
      <c r="AF495" s="349">
        <v>0</v>
      </c>
      <c r="AG495" s="350"/>
      <c r="AH495" s="351" t="s">
        <v>139</v>
      </c>
      <c r="AI495" s="352" t="s">
        <v>139</v>
      </c>
      <c r="AJ495" s="206" t="s">
        <v>139</v>
      </c>
      <c r="AK495" s="353" t="s">
        <v>662</v>
      </c>
      <c r="AL495" s="206" t="s">
        <v>139</v>
      </c>
      <c r="AM495" s="349">
        <v>100.10010010010011</v>
      </c>
      <c r="AN495" s="354" t="s">
        <v>139</v>
      </c>
      <c r="AO495" s="355" t="s">
        <v>140</v>
      </c>
      <c r="AP495" s="206" t="s">
        <v>139</v>
      </c>
      <c r="AQ495" s="207">
        <v>0</v>
      </c>
      <c r="AR495" s="211"/>
      <c r="AS495" s="297">
        <f>+IF(Table1[[#This Row],[Column40]]="ok",Table1[[#This Row],[Column7]],0)</f>
        <v>1701.9</v>
      </c>
      <c r="AT495" s="295">
        <f>+IF(Table1[[#This Row],[Column40]]="No",Table1[[#This Row],[Column7]],0)</f>
        <v>0</v>
      </c>
      <c r="AU495" s="4" t="str">
        <f>+IF(LEFT(Table1[[#This Row],[Column42]],2)="DN",IF(Table1[[#This Row],[Column40]]="ok","(CA)",_xlfn.CONCAT("(CA)",CHAR(10),"FAIL")),"")</f>
        <v/>
      </c>
      <c r="AV495" s="154" t="str">
        <f>+IF(Table1[[#This Row],[Column6]]=0,"",_xlfn.CONCAT("Sem ",WEEKNUM(Table1[[#This Row],[Column6]],2)))</f>
        <v>Sem 13</v>
      </c>
      <c r="AW495" s="211"/>
    </row>
    <row r="496" spans="2:49" ht="19.5" customHeight="1" x14ac:dyDescent="0.3">
      <c r="B496" s="356" t="s">
        <v>800</v>
      </c>
      <c r="C496" s="331"/>
      <c r="D496" s="332" t="s">
        <v>766</v>
      </c>
      <c r="E496" s="332" t="s">
        <v>133</v>
      </c>
      <c r="F496" s="333"/>
      <c r="G496" s="334">
        <v>46104</v>
      </c>
      <c r="H496" s="335">
        <v>1756.11</v>
      </c>
      <c r="I496" s="336">
        <v>-95.63</v>
      </c>
      <c r="J496" s="337">
        <v>2635.9</v>
      </c>
      <c r="K496" s="338" t="s">
        <v>149</v>
      </c>
      <c r="L496" s="339" t="s">
        <v>801</v>
      </c>
      <c r="M496" s="340">
        <v>30</v>
      </c>
      <c r="N496" s="341">
        <v>85462</v>
      </c>
      <c r="O496" s="332">
        <v>59.78</v>
      </c>
      <c r="P496" s="342">
        <v>10.8</v>
      </c>
      <c r="Q496" s="343">
        <v>11.868390129259687</v>
      </c>
      <c r="R496" s="344">
        <v>1.7184115523465702</v>
      </c>
      <c r="S496" s="344">
        <v>1.702</v>
      </c>
      <c r="T496" s="344">
        <v>1.9039999999999999</v>
      </c>
      <c r="U496" s="344" t="s">
        <v>136</v>
      </c>
      <c r="V496" s="332" t="s">
        <v>187</v>
      </c>
      <c r="W496" s="345">
        <v>12</v>
      </c>
      <c r="X496" s="346">
        <v>6</v>
      </c>
      <c r="Y496" s="208">
        <v>2.8069999999999999</v>
      </c>
      <c r="Z496" s="332"/>
      <c r="AA496" s="342"/>
      <c r="AB496" s="342"/>
      <c r="AC496" s="342"/>
      <c r="AD496" s="347"/>
      <c r="AE496" s="348">
        <v>1.702</v>
      </c>
      <c r="AF496" s="349">
        <v>0</v>
      </c>
      <c r="AG496" s="350"/>
      <c r="AH496" s="351" t="s">
        <v>139</v>
      </c>
      <c r="AI496" s="352" t="s">
        <v>139</v>
      </c>
      <c r="AJ496" s="206" t="s">
        <v>139</v>
      </c>
      <c r="AK496" s="353" t="s">
        <v>662</v>
      </c>
      <c r="AL496" s="206" t="s">
        <v>139</v>
      </c>
      <c r="AM496" s="349">
        <v>100.96425101918744</v>
      </c>
      <c r="AN496" s="354" t="s">
        <v>139</v>
      </c>
      <c r="AO496" s="355" t="s">
        <v>140</v>
      </c>
      <c r="AP496" s="206" t="s">
        <v>139</v>
      </c>
      <c r="AQ496" s="207">
        <v>0</v>
      </c>
      <c r="AR496" s="211"/>
      <c r="AS496" s="297">
        <f>+IF(Table1[[#This Row],[Column40]]="ok",Table1[[#This Row],[Column7]],0)</f>
        <v>1756.11</v>
      </c>
      <c r="AT496" s="295">
        <f>+IF(Table1[[#This Row],[Column40]]="No",Table1[[#This Row],[Column7]],0)</f>
        <v>0</v>
      </c>
      <c r="AU496" s="4" t="str">
        <f>+IF(LEFT(Table1[[#This Row],[Column42]],2)="DN",IF(Table1[[#This Row],[Column40]]="ok","(CA)",_xlfn.CONCAT("(CA)",CHAR(10),"FAIL")),"")</f>
        <v/>
      </c>
      <c r="AV496" s="154" t="str">
        <f>+IF(Table1[[#This Row],[Column6]]=0,"",_xlfn.CONCAT("Sem ",WEEKNUM(Table1[[#This Row],[Column6]],2)))</f>
        <v>Sem 13</v>
      </c>
      <c r="AW496" s="211"/>
    </row>
    <row r="497" spans="2:49" ht="19.5" customHeight="1" x14ac:dyDescent="0.3">
      <c r="B497" s="356" t="s">
        <v>802</v>
      </c>
      <c r="C497" s="331"/>
      <c r="D497" s="332" t="s">
        <v>766</v>
      </c>
      <c r="E497" s="332" t="s">
        <v>133</v>
      </c>
      <c r="F497" s="333"/>
      <c r="G497" s="334">
        <v>46104</v>
      </c>
      <c r="H497" s="335">
        <v>1813.1</v>
      </c>
      <c r="I497" s="336">
        <v>-80.56</v>
      </c>
      <c r="J497" s="337">
        <v>2635.9</v>
      </c>
      <c r="K497" s="338" t="s">
        <v>134</v>
      </c>
      <c r="L497" s="339" t="s">
        <v>198</v>
      </c>
      <c r="M497" s="340">
        <v>30</v>
      </c>
      <c r="N497" s="341">
        <v>85462</v>
      </c>
      <c r="O497" s="332">
        <v>59.78</v>
      </c>
      <c r="P497" s="342">
        <v>9.1999999999999993</v>
      </c>
      <c r="Q497" s="343">
        <v>10.011778563015316</v>
      </c>
      <c r="R497" s="344">
        <v>1.7106227106227105</v>
      </c>
      <c r="S497" s="344">
        <v>1.698</v>
      </c>
      <c r="T497" s="344">
        <v>1.8680000000000001</v>
      </c>
      <c r="U497" s="344" t="s">
        <v>136</v>
      </c>
      <c r="V497" s="332" t="s">
        <v>194</v>
      </c>
      <c r="W497" s="345" t="s">
        <v>195</v>
      </c>
      <c r="X497" s="346">
        <v>3</v>
      </c>
      <c r="Y497" s="208">
        <v>2.8069999999999999</v>
      </c>
      <c r="Z497" s="332"/>
      <c r="AA497" s="342"/>
      <c r="AB497" s="342"/>
      <c r="AC497" s="342"/>
      <c r="AD497" s="347"/>
      <c r="AE497" s="348">
        <v>1.70124936700382</v>
      </c>
      <c r="AF497" s="349">
        <v>16.442835684852124</v>
      </c>
      <c r="AG497" s="350"/>
      <c r="AH497" s="351">
        <v>1.6956147893379192</v>
      </c>
      <c r="AI497" s="352">
        <v>1.972</v>
      </c>
      <c r="AJ497" s="206">
        <v>16.3</v>
      </c>
      <c r="AK497" s="353" t="s">
        <v>764</v>
      </c>
      <c r="AL497" s="206">
        <v>0.14283568485212328</v>
      </c>
      <c r="AM497" s="349">
        <v>100.55096823550321</v>
      </c>
      <c r="AN497" s="354" t="s">
        <v>139</v>
      </c>
      <c r="AO497" s="355" t="s">
        <v>140</v>
      </c>
      <c r="AP497" s="206" t="s">
        <v>139</v>
      </c>
      <c r="AQ497" s="207" t="s">
        <v>803</v>
      </c>
      <c r="AR497" s="211"/>
      <c r="AS497" s="297">
        <f>+IF(Table1[[#This Row],[Column40]]="ok",Table1[[#This Row],[Column7]],0)</f>
        <v>1813.1</v>
      </c>
      <c r="AT497" s="295">
        <f>+IF(Table1[[#This Row],[Column40]]="No",Table1[[#This Row],[Column7]],0)</f>
        <v>0</v>
      </c>
      <c r="AU497" s="4" t="str">
        <f>+IF(LEFT(Table1[[#This Row],[Column42]],2)="DN",IF(Table1[[#This Row],[Column40]]="ok","(CA)",_xlfn.CONCAT("(CA)",CHAR(10),"FAIL")),"")</f>
        <v/>
      </c>
      <c r="AV497" s="154" t="str">
        <f>+IF(Table1[[#This Row],[Column6]]=0,"",_xlfn.CONCAT("Sem ",WEEKNUM(Table1[[#This Row],[Column6]],2)))</f>
        <v>Sem 13</v>
      </c>
      <c r="AW497" s="211"/>
    </row>
    <row r="498" spans="2:49" ht="19.5" customHeight="1" x14ac:dyDescent="0.3">
      <c r="B498" s="356" t="s">
        <v>803</v>
      </c>
      <c r="C498" s="331"/>
      <c r="D498" s="332" t="s">
        <v>766</v>
      </c>
      <c r="E498" s="332" t="s">
        <v>172</v>
      </c>
      <c r="F498" s="333"/>
      <c r="G498" s="334">
        <v>46104</v>
      </c>
      <c r="H498" s="335">
        <v>1813.1</v>
      </c>
      <c r="I498" s="336">
        <v>-80.56</v>
      </c>
      <c r="J498" s="337">
        <v>2635.9</v>
      </c>
      <c r="K498" s="338" t="s">
        <v>134</v>
      </c>
      <c r="L498" s="339" t="s">
        <v>198</v>
      </c>
      <c r="M498" s="340">
        <v>15</v>
      </c>
      <c r="N498" s="341"/>
      <c r="O498" s="332"/>
      <c r="P498" s="342">
        <v>9.1904445919044218</v>
      </c>
      <c r="Q498" s="343"/>
      <c r="R498" s="344">
        <v>1.6964384060004032</v>
      </c>
      <c r="S498" s="344"/>
      <c r="T498" s="344">
        <v>1.8523486377396567</v>
      </c>
      <c r="U498" s="344" t="s">
        <v>142</v>
      </c>
      <c r="V498" s="332" t="s">
        <v>194</v>
      </c>
      <c r="W498" s="345" t="s">
        <v>173</v>
      </c>
      <c r="X498" s="346" t="s">
        <v>195</v>
      </c>
      <c r="Y498" s="208"/>
      <c r="Z498" s="332" t="s">
        <v>143</v>
      </c>
      <c r="AA498" s="342">
        <v>99.270072992700733</v>
      </c>
      <c r="AB498" s="342">
        <v>78.964830789648317</v>
      </c>
      <c r="AC498" s="342">
        <v>34.406104844061048</v>
      </c>
      <c r="AD498" s="347">
        <v>10.318513603185139</v>
      </c>
      <c r="AE498" s="348">
        <v>1.70124936700382</v>
      </c>
      <c r="AF498" s="349">
        <v>16.442835684852124</v>
      </c>
      <c r="AG498" s="350" t="s">
        <v>764</v>
      </c>
      <c r="AH498" s="351">
        <v>1.6955583432752654</v>
      </c>
      <c r="AI498" s="352">
        <v>1.9722517541994475</v>
      </c>
      <c r="AJ498" s="206">
        <v>16.318719554627688</v>
      </c>
      <c r="AK498" s="353" t="s">
        <v>764</v>
      </c>
      <c r="AL498" s="206">
        <v>0.12411613022443646</v>
      </c>
      <c r="AM498" s="349">
        <v>99.717210122353222</v>
      </c>
      <c r="AN498" s="354" t="s">
        <v>139</v>
      </c>
      <c r="AO498" s="355" t="s">
        <v>144</v>
      </c>
      <c r="AP498" s="206">
        <v>0</v>
      </c>
      <c r="AQ498" s="207" t="s">
        <v>802</v>
      </c>
      <c r="AR498" s="211"/>
      <c r="AS498" s="297">
        <f>+IF(Table1[[#This Row],[Column40]]="ok",Table1[[#This Row],[Column7]],0)</f>
        <v>1813.1</v>
      </c>
      <c r="AT498" s="295">
        <f>+IF(Table1[[#This Row],[Column40]]="No",Table1[[#This Row],[Column7]],0)</f>
        <v>0</v>
      </c>
      <c r="AU498" s="4" t="str">
        <f>+IF(LEFT(Table1[[#This Row],[Column42]],2)="DN",IF(Table1[[#This Row],[Column40]]="ok","(CA)",_xlfn.CONCAT("(CA)",CHAR(10),"FAIL")),"")</f>
        <v>(CA)</v>
      </c>
      <c r="AV498" s="154" t="str">
        <f>+IF(Table1[[#This Row],[Column6]]=0,"",_xlfn.CONCAT("Sem ",WEEKNUM(Table1[[#This Row],[Column6]],2)))</f>
        <v>Sem 13</v>
      </c>
      <c r="AW498" s="211"/>
    </row>
    <row r="499" spans="2:49" ht="19.5" customHeight="1" x14ac:dyDescent="0.3">
      <c r="B499" s="356" t="s">
        <v>804</v>
      </c>
      <c r="C499" s="331"/>
      <c r="D499" s="332" t="s">
        <v>766</v>
      </c>
      <c r="E499" s="332" t="s">
        <v>176</v>
      </c>
      <c r="F499" s="333"/>
      <c r="G499" s="334">
        <v>46104</v>
      </c>
      <c r="H499" s="335">
        <v>133.02000000000001</v>
      </c>
      <c r="I499" s="336">
        <v>142.29</v>
      </c>
      <c r="J499" s="337">
        <v>2617.98</v>
      </c>
      <c r="K499" s="338" t="s">
        <v>356</v>
      </c>
      <c r="L499" s="339" t="s">
        <v>805</v>
      </c>
      <c r="M499" s="340">
        <v>30</v>
      </c>
      <c r="N499" s="341">
        <v>85462</v>
      </c>
      <c r="O499" s="332">
        <v>59.78</v>
      </c>
      <c r="P499" s="342">
        <v>9.1999999999999993</v>
      </c>
      <c r="Q499" s="343">
        <v>11.397720455908811</v>
      </c>
      <c r="R499" s="344">
        <v>1.7005494505494505</v>
      </c>
      <c r="S499" s="344">
        <v>1.667</v>
      </c>
      <c r="T499" s="344">
        <v>1.857</v>
      </c>
      <c r="U499" s="344" t="s">
        <v>136</v>
      </c>
      <c r="V499" s="332" t="s">
        <v>137</v>
      </c>
      <c r="W499" s="345">
        <v>8</v>
      </c>
      <c r="X499" s="346">
        <v>4</v>
      </c>
      <c r="Y499" s="208">
        <v>2.8069999999999999</v>
      </c>
      <c r="Z499" s="332"/>
      <c r="AA499" s="342"/>
      <c r="AB499" s="342"/>
      <c r="AC499" s="342"/>
      <c r="AD499" s="347"/>
      <c r="AE499" s="348">
        <v>1.7090000000000001</v>
      </c>
      <c r="AF499" s="349">
        <v>16.2</v>
      </c>
      <c r="AG499" s="350"/>
      <c r="AH499" s="351">
        <v>1.7087628865979383</v>
      </c>
      <c r="AI499" s="352">
        <v>1.9890000000000001</v>
      </c>
      <c r="AJ499" s="206">
        <v>16.400000000000002</v>
      </c>
      <c r="AK499" s="353" t="s">
        <v>550</v>
      </c>
      <c r="AL499" s="206">
        <v>-0.20000000000000284</v>
      </c>
      <c r="AM499" s="349">
        <v>99.505526655906991</v>
      </c>
      <c r="AN499" s="354" t="s">
        <v>139</v>
      </c>
      <c r="AO499" s="355" t="s">
        <v>140</v>
      </c>
      <c r="AP499" s="206" t="s">
        <v>139</v>
      </c>
      <c r="AQ499" s="207">
        <v>0</v>
      </c>
      <c r="AR499" s="211"/>
      <c r="AS499" s="297">
        <f>+IF(Table1[[#This Row],[Column40]]="ok",Table1[[#This Row],[Column7]],0)</f>
        <v>133.02000000000001</v>
      </c>
      <c r="AT499" s="295">
        <f>+IF(Table1[[#This Row],[Column40]]="No",Table1[[#This Row],[Column7]],0)</f>
        <v>0</v>
      </c>
      <c r="AU499" s="4" t="str">
        <f>+IF(LEFT(Table1[[#This Row],[Column42]],2)="DN",IF(Table1[[#This Row],[Column40]]="ok","(CA)",_xlfn.CONCAT("(CA)",CHAR(10),"FAIL")),"")</f>
        <v/>
      </c>
      <c r="AV499" s="154" t="str">
        <f>+IF(Table1[[#This Row],[Column6]]=0,"",_xlfn.CONCAT("Sem ",WEEKNUM(Table1[[#This Row],[Column6]],2)))</f>
        <v>Sem 13</v>
      </c>
      <c r="AW499" s="211"/>
    </row>
    <row r="500" spans="2:49" ht="19.5" customHeight="1" x14ac:dyDescent="0.3">
      <c r="B500" s="356" t="s">
        <v>806</v>
      </c>
      <c r="C500" s="331"/>
      <c r="D500" s="332" t="s">
        <v>766</v>
      </c>
      <c r="E500" s="332" t="s">
        <v>176</v>
      </c>
      <c r="F500" s="333"/>
      <c r="G500" s="334">
        <v>46104</v>
      </c>
      <c r="H500" s="335">
        <v>145.44</v>
      </c>
      <c r="I500" s="336">
        <v>198.41</v>
      </c>
      <c r="J500" s="337">
        <v>2605.21</v>
      </c>
      <c r="K500" s="338" t="s">
        <v>356</v>
      </c>
      <c r="L500" s="339" t="s">
        <v>805</v>
      </c>
      <c r="M500" s="340">
        <v>30</v>
      </c>
      <c r="N500" s="341">
        <v>85462</v>
      </c>
      <c r="O500" s="332">
        <v>59.78</v>
      </c>
      <c r="P500" s="342">
        <v>8.6</v>
      </c>
      <c r="Q500" s="343">
        <v>10.557888422315532</v>
      </c>
      <c r="R500" s="344">
        <v>1.6970534069981582</v>
      </c>
      <c r="S500" s="344">
        <v>1.667</v>
      </c>
      <c r="T500" s="344">
        <v>1.843</v>
      </c>
      <c r="U500" s="344" t="s">
        <v>136</v>
      </c>
      <c r="V500" s="332" t="s">
        <v>137</v>
      </c>
      <c r="W500" s="345">
        <v>8</v>
      </c>
      <c r="X500" s="346">
        <v>4</v>
      </c>
      <c r="Y500" s="208">
        <v>2.8069999999999999</v>
      </c>
      <c r="Z500" s="332"/>
      <c r="AA500" s="342"/>
      <c r="AB500" s="342"/>
      <c r="AC500" s="342"/>
      <c r="AD500" s="347"/>
      <c r="AE500" s="348">
        <v>1.7060356001456527</v>
      </c>
      <c r="AF500" s="349">
        <v>16.639543395646132</v>
      </c>
      <c r="AG500" s="350"/>
      <c r="AH500" s="351">
        <v>1.705073086844368</v>
      </c>
      <c r="AI500" s="352">
        <v>1.9830000000000001</v>
      </c>
      <c r="AJ500" s="206">
        <v>16.3</v>
      </c>
      <c r="AK500" s="353" t="s">
        <v>542</v>
      </c>
      <c r="AL500" s="206">
        <v>0.33954339564613178</v>
      </c>
      <c r="AM500" s="349">
        <v>99.473504940534212</v>
      </c>
      <c r="AN500" s="354" t="s">
        <v>139</v>
      </c>
      <c r="AO500" s="355" t="s">
        <v>140</v>
      </c>
      <c r="AP500" s="206" t="s">
        <v>139</v>
      </c>
      <c r="AQ500" s="207">
        <v>0</v>
      </c>
      <c r="AR500" s="211"/>
      <c r="AS500" s="297">
        <f>+IF(Table1[[#This Row],[Column40]]="ok",Table1[[#This Row],[Column7]],0)</f>
        <v>145.44</v>
      </c>
      <c r="AT500" s="295">
        <f>+IF(Table1[[#This Row],[Column40]]="No",Table1[[#This Row],[Column7]],0)</f>
        <v>0</v>
      </c>
      <c r="AU500" s="4" t="str">
        <f>+IF(LEFT(Table1[[#This Row],[Column42]],2)="DN",IF(Table1[[#This Row],[Column40]]="ok","(CA)",_xlfn.CONCAT("(CA)",CHAR(10),"FAIL")),"")</f>
        <v/>
      </c>
      <c r="AV500" s="154" t="str">
        <f>+IF(Table1[[#This Row],[Column6]]=0,"",_xlfn.CONCAT("Sem ",WEEKNUM(Table1[[#This Row],[Column6]],2)))</f>
        <v>Sem 13</v>
      </c>
      <c r="AW500" s="211"/>
    </row>
    <row r="501" spans="2:49" ht="19.5" customHeight="1" x14ac:dyDescent="0.3">
      <c r="B501" s="356" t="s">
        <v>807</v>
      </c>
      <c r="C501" s="331"/>
      <c r="D501" s="332" t="s">
        <v>766</v>
      </c>
      <c r="E501" s="332" t="s">
        <v>176</v>
      </c>
      <c r="F501" s="333"/>
      <c r="G501" s="334">
        <v>46104</v>
      </c>
      <c r="H501" s="335">
        <v>193.05</v>
      </c>
      <c r="I501" s="336">
        <v>98.66</v>
      </c>
      <c r="J501" s="337">
        <v>2633.81</v>
      </c>
      <c r="K501" s="338" t="s">
        <v>356</v>
      </c>
      <c r="L501" s="339" t="s">
        <v>366</v>
      </c>
      <c r="M501" s="340">
        <v>30</v>
      </c>
      <c r="N501" s="341">
        <v>85462</v>
      </c>
      <c r="O501" s="332">
        <v>59.78</v>
      </c>
      <c r="P501" s="342">
        <v>9.8000000000000007</v>
      </c>
      <c r="Q501" s="343">
        <v>10.66897347174165</v>
      </c>
      <c r="R501" s="344">
        <v>1.7477231329690346</v>
      </c>
      <c r="S501" s="344">
        <v>1.734</v>
      </c>
      <c r="T501" s="344">
        <v>1.919</v>
      </c>
      <c r="U501" s="344" t="s">
        <v>136</v>
      </c>
      <c r="V501" s="332" t="s">
        <v>137</v>
      </c>
      <c r="W501" s="345">
        <v>8</v>
      </c>
      <c r="X501" s="346">
        <v>4</v>
      </c>
      <c r="Y501" s="208">
        <v>2.8069999999999999</v>
      </c>
      <c r="Z501" s="332"/>
      <c r="AA501" s="342"/>
      <c r="AB501" s="342"/>
      <c r="AC501" s="342"/>
      <c r="AD501" s="347"/>
      <c r="AE501" s="348">
        <v>1.7010000000000001</v>
      </c>
      <c r="AF501" s="349">
        <v>0</v>
      </c>
      <c r="AG501" s="350"/>
      <c r="AH501" s="351" t="s">
        <v>139</v>
      </c>
      <c r="AI501" s="352" t="s">
        <v>139</v>
      </c>
      <c r="AJ501" s="206" t="s">
        <v>139</v>
      </c>
      <c r="AK501" s="353" t="s">
        <v>764</v>
      </c>
      <c r="AL501" s="206" t="s">
        <v>139</v>
      </c>
      <c r="AM501" s="349">
        <v>102.74680381946118</v>
      </c>
      <c r="AN501" s="354" t="s">
        <v>139</v>
      </c>
      <c r="AO501" s="355" t="s">
        <v>140</v>
      </c>
      <c r="AP501" s="206" t="s">
        <v>139</v>
      </c>
      <c r="AQ501" s="207">
        <v>0</v>
      </c>
      <c r="AR501" s="211"/>
      <c r="AS501" s="297">
        <f>+IF(Table1[[#This Row],[Column40]]="ok",Table1[[#This Row],[Column7]],0)</f>
        <v>193.05</v>
      </c>
      <c r="AT501" s="295">
        <f>+IF(Table1[[#This Row],[Column40]]="No",Table1[[#This Row],[Column7]],0)</f>
        <v>0</v>
      </c>
      <c r="AU501" s="4" t="str">
        <f>+IF(LEFT(Table1[[#This Row],[Column42]],2)="DN",IF(Table1[[#This Row],[Column40]]="ok","(CA)",_xlfn.CONCAT("(CA)",CHAR(10),"FAIL")),"")</f>
        <v/>
      </c>
      <c r="AV501" s="154" t="str">
        <f>+IF(Table1[[#This Row],[Column6]]=0,"",_xlfn.CONCAT("Sem ",WEEKNUM(Table1[[#This Row],[Column6]],2)))</f>
        <v>Sem 13</v>
      </c>
      <c r="AW501" s="211"/>
    </row>
    <row r="502" spans="2:49" ht="19.5" customHeight="1" x14ac:dyDescent="0.3">
      <c r="B502" s="356" t="s">
        <v>808</v>
      </c>
      <c r="C502" s="331"/>
      <c r="D502" s="332" t="s">
        <v>766</v>
      </c>
      <c r="E502" s="332" t="s">
        <v>176</v>
      </c>
      <c r="F502" s="333"/>
      <c r="G502" s="334">
        <v>46104</v>
      </c>
      <c r="H502" s="335">
        <v>271.13</v>
      </c>
      <c r="I502" s="336">
        <v>99.56</v>
      </c>
      <c r="J502" s="337">
        <v>2635.04</v>
      </c>
      <c r="K502" s="338" t="s">
        <v>335</v>
      </c>
      <c r="L502" s="339" t="s">
        <v>368</v>
      </c>
      <c r="M502" s="340">
        <v>30</v>
      </c>
      <c r="N502" s="341">
        <v>85462</v>
      </c>
      <c r="O502" s="332">
        <v>59.78</v>
      </c>
      <c r="P502" s="342">
        <v>11</v>
      </c>
      <c r="Q502" s="343">
        <v>11.270022883295194</v>
      </c>
      <c r="R502" s="344">
        <v>1.7522522522522521</v>
      </c>
      <c r="S502" s="344">
        <v>1.748</v>
      </c>
      <c r="T502" s="344">
        <v>1.9450000000000001</v>
      </c>
      <c r="U502" s="344" t="s">
        <v>136</v>
      </c>
      <c r="V502" s="332" t="s">
        <v>137</v>
      </c>
      <c r="W502" s="345">
        <v>8</v>
      </c>
      <c r="X502" s="346">
        <v>4</v>
      </c>
      <c r="Y502" s="208">
        <v>2.8069999999999999</v>
      </c>
      <c r="Z502" s="332"/>
      <c r="AA502" s="342"/>
      <c r="AB502" s="342"/>
      <c r="AC502" s="342"/>
      <c r="AD502" s="347"/>
      <c r="AE502" s="348">
        <v>1.7010000000000001</v>
      </c>
      <c r="AF502" s="349">
        <v>0</v>
      </c>
      <c r="AG502" s="350"/>
      <c r="AH502" s="351" t="s">
        <v>139</v>
      </c>
      <c r="AI502" s="352" t="s">
        <v>139</v>
      </c>
      <c r="AJ502" s="206" t="s">
        <v>139</v>
      </c>
      <c r="AK502" s="353" t="s">
        <v>764</v>
      </c>
      <c r="AL502" s="206" t="s">
        <v>139</v>
      </c>
      <c r="AM502" s="349">
        <v>103.01306597602893</v>
      </c>
      <c r="AN502" s="354" t="s">
        <v>139</v>
      </c>
      <c r="AO502" s="355" t="s">
        <v>140</v>
      </c>
      <c r="AP502" s="206" t="s">
        <v>139</v>
      </c>
      <c r="AQ502" s="207">
        <v>0</v>
      </c>
      <c r="AR502" s="211"/>
      <c r="AS502" s="297">
        <f>+IF(Table1[[#This Row],[Column40]]="ok",Table1[[#This Row],[Column7]],0)</f>
        <v>271.13</v>
      </c>
      <c r="AT502" s="295">
        <f>+IF(Table1[[#This Row],[Column40]]="No",Table1[[#This Row],[Column7]],0)</f>
        <v>0</v>
      </c>
      <c r="AU502" s="4" t="str">
        <f>+IF(LEFT(Table1[[#This Row],[Column42]],2)="DN",IF(Table1[[#This Row],[Column40]]="ok","(CA)",_xlfn.CONCAT("(CA)",CHAR(10),"FAIL")),"")</f>
        <v/>
      </c>
      <c r="AV502" s="154" t="str">
        <f>+IF(Table1[[#This Row],[Column6]]=0,"",_xlfn.CONCAT("Sem ",WEEKNUM(Table1[[#This Row],[Column6]],2)))</f>
        <v>Sem 13</v>
      </c>
      <c r="AW502" s="211"/>
    </row>
    <row r="503" spans="2:49" ht="19.5" customHeight="1" x14ac:dyDescent="0.3">
      <c r="B503" s="356" t="s">
        <v>809</v>
      </c>
      <c r="C503" s="331"/>
      <c r="D503" s="332" t="s">
        <v>766</v>
      </c>
      <c r="E503" s="332" t="s">
        <v>176</v>
      </c>
      <c r="F503" s="333"/>
      <c r="G503" s="334">
        <v>46104</v>
      </c>
      <c r="H503" s="335">
        <v>223.27</v>
      </c>
      <c r="I503" s="336">
        <v>276.31</v>
      </c>
      <c r="J503" s="337">
        <v>2582.0700000000002</v>
      </c>
      <c r="K503" s="338" t="s">
        <v>810</v>
      </c>
      <c r="L503" s="339" t="s">
        <v>811</v>
      </c>
      <c r="M503" s="340">
        <v>30</v>
      </c>
      <c r="N503" s="341">
        <v>85462</v>
      </c>
      <c r="O503" s="332">
        <v>59.78</v>
      </c>
      <c r="P503" s="342">
        <v>9.7000000000000011</v>
      </c>
      <c r="Q503" s="343">
        <v>10.25791324736225</v>
      </c>
      <c r="R503" s="344">
        <v>1.7146763901549682</v>
      </c>
      <c r="S503" s="344">
        <v>1.706</v>
      </c>
      <c r="T503" s="344">
        <v>1.881</v>
      </c>
      <c r="U503" s="344" t="s">
        <v>136</v>
      </c>
      <c r="V503" s="332" t="s">
        <v>137</v>
      </c>
      <c r="W503" s="345">
        <v>8</v>
      </c>
      <c r="X503" s="346">
        <v>4</v>
      </c>
      <c r="Y503" s="208">
        <v>2.8069999999999999</v>
      </c>
      <c r="Z503" s="332"/>
      <c r="AA503" s="342"/>
      <c r="AB503" s="342"/>
      <c r="AC503" s="342"/>
      <c r="AD503" s="347"/>
      <c r="AE503" s="348">
        <v>1.7010000000000001</v>
      </c>
      <c r="AF503" s="349">
        <v>0</v>
      </c>
      <c r="AG503" s="350"/>
      <c r="AH503" s="351" t="s">
        <v>139</v>
      </c>
      <c r="AI503" s="352" t="s">
        <v>139</v>
      </c>
      <c r="AJ503" s="206" t="s">
        <v>139</v>
      </c>
      <c r="AK503" s="353" t="s">
        <v>764</v>
      </c>
      <c r="AL503" s="206" t="s">
        <v>139</v>
      </c>
      <c r="AM503" s="349">
        <v>100.8040205852421</v>
      </c>
      <c r="AN503" s="354" t="s">
        <v>139</v>
      </c>
      <c r="AO503" s="355" t="s">
        <v>140</v>
      </c>
      <c r="AP503" s="206" t="s">
        <v>139</v>
      </c>
      <c r="AQ503" s="207">
        <v>0</v>
      </c>
      <c r="AR503" s="211"/>
      <c r="AS503" s="297">
        <f>+IF(Table1[[#This Row],[Column40]]="ok",Table1[[#This Row],[Column7]],0)</f>
        <v>223.27</v>
      </c>
      <c r="AT503" s="295">
        <f>+IF(Table1[[#This Row],[Column40]]="No",Table1[[#This Row],[Column7]],0)</f>
        <v>0</v>
      </c>
      <c r="AU503" s="4" t="str">
        <f>+IF(LEFT(Table1[[#This Row],[Column42]],2)="DN",IF(Table1[[#This Row],[Column40]]="ok","(CA)",_xlfn.CONCAT("(CA)",CHAR(10),"FAIL")),"")</f>
        <v/>
      </c>
      <c r="AV503" s="154" t="str">
        <f>+IF(Table1[[#This Row],[Column6]]=0,"",_xlfn.CONCAT("Sem ",WEEKNUM(Table1[[#This Row],[Column6]],2)))</f>
        <v>Sem 13</v>
      </c>
      <c r="AW503" s="211"/>
    </row>
    <row r="504" spans="2:49" ht="19.5" customHeight="1" x14ac:dyDescent="0.3">
      <c r="B504" s="356" t="s">
        <v>812</v>
      </c>
      <c r="C504" s="331"/>
      <c r="D504" s="332" t="s">
        <v>766</v>
      </c>
      <c r="E504" s="332" t="s">
        <v>176</v>
      </c>
      <c r="F504" s="333"/>
      <c r="G504" s="334">
        <v>46104</v>
      </c>
      <c r="H504" s="335">
        <v>314.75</v>
      </c>
      <c r="I504" s="336">
        <v>101.32</v>
      </c>
      <c r="J504" s="337">
        <v>2635.01</v>
      </c>
      <c r="K504" s="338" t="s">
        <v>335</v>
      </c>
      <c r="L504" s="339" t="s">
        <v>813</v>
      </c>
      <c r="M504" s="340">
        <v>30</v>
      </c>
      <c r="N504" s="341">
        <v>85462</v>
      </c>
      <c r="O504" s="332">
        <v>59.78</v>
      </c>
      <c r="P504" s="342">
        <v>9</v>
      </c>
      <c r="Q504" s="343">
        <v>9.5720720720720678</v>
      </c>
      <c r="R504" s="344">
        <v>1.785321100917431</v>
      </c>
      <c r="S504" s="344">
        <v>1.776</v>
      </c>
      <c r="T504" s="344">
        <v>1.946</v>
      </c>
      <c r="U504" s="344" t="s">
        <v>136</v>
      </c>
      <c r="V504" s="332" t="s">
        <v>137</v>
      </c>
      <c r="W504" s="345">
        <v>8</v>
      </c>
      <c r="X504" s="346">
        <v>4</v>
      </c>
      <c r="Y504" s="208">
        <v>2.8069999999999999</v>
      </c>
      <c r="Z504" s="332"/>
      <c r="AA504" s="342"/>
      <c r="AB504" s="342"/>
      <c r="AC504" s="342"/>
      <c r="AD504" s="347"/>
      <c r="AE504" s="348">
        <v>1.7010000000000001</v>
      </c>
      <c r="AF504" s="349">
        <v>0</v>
      </c>
      <c r="AG504" s="350"/>
      <c r="AH504" s="351" t="s">
        <v>139</v>
      </c>
      <c r="AI504" s="352" t="s">
        <v>139</v>
      </c>
      <c r="AJ504" s="206" t="s">
        <v>139</v>
      </c>
      <c r="AK504" s="353" t="s">
        <v>764</v>
      </c>
      <c r="AL504" s="206" t="s">
        <v>139</v>
      </c>
      <c r="AM504" s="349">
        <v>104.95714878997242</v>
      </c>
      <c r="AN504" s="354" t="s">
        <v>139</v>
      </c>
      <c r="AO504" s="355" t="s">
        <v>140</v>
      </c>
      <c r="AP504" s="206" t="s">
        <v>139</v>
      </c>
      <c r="AQ504" s="207">
        <v>0</v>
      </c>
      <c r="AR504" s="211"/>
      <c r="AS504" s="297">
        <f>+IF(Table1[[#This Row],[Column40]]="ok",Table1[[#This Row],[Column7]],0)</f>
        <v>314.75</v>
      </c>
      <c r="AT504" s="295">
        <f>+IF(Table1[[#This Row],[Column40]]="No",Table1[[#This Row],[Column7]],0)</f>
        <v>0</v>
      </c>
      <c r="AU504" s="4" t="str">
        <f>+IF(LEFT(Table1[[#This Row],[Column42]],2)="DN",IF(Table1[[#This Row],[Column40]]="ok","(CA)",_xlfn.CONCAT("(CA)",CHAR(10),"FAIL")),"")</f>
        <v/>
      </c>
      <c r="AV504" s="154" t="str">
        <f>+IF(Table1[[#This Row],[Column6]]=0,"",_xlfn.CONCAT("Sem ",WEEKNUM(Table1[[#This Row],[Column6]],2)))</f>
        <v>Sem 13</v>
      </c>
      <c r="AW504" s="211"/>
    </row>
    <row r="505" spans="2:49" ht="19.5" customHeight="1" x14ac:dyDescent="0.3">
      <c r="B505" s="356" t="s">
        <v>814</v>
      </c>
      <c r="C505" s="331"/>
      <c r="D505" s="332" t="s">
        <v>766</v>
      </c>
      <c r="E505" s="332" t="s">
        <v>176</v>
      </c>
      <c r="F505" s="333"/>
      <c r="G505" s="334">
        <v>46104</v>
      </c>
      <c r="H505" s="335">
        <v>339.34</v>
      </c>
      <c r="I505" s="336">
        <v>192.35</v>
      </c>
      <c r="J505" s="337">
        <v>2610.08</v>
      </c>
      <c r="K505" s="338" t="s">
        <v>335</v>
      </c>
      <c r="L505" s="339" t="s">
        <v>370</v>
      </c>
      <c r="M505" s="340">
        <v>30</v>
      </c>
      <c r="N505" s="341">
        <v>85462</v>
      </c>
      <c r="O505" s="332">
        <v>59.78</v>
      </c>
      <c r="P505" s="342">
        <v>9.1</v>
      </c>
      <c r="Q505" s="343">
        <v>10.499432463110114</v>
      </c>
      <c r="R505" s="344">
        <v>1.784601283226398</v>
      </c>
      <c r="S505" s="344">
        <v>1.762</v>
      </c>
      <c r="T505" s="344">
        <v>1.9470000000000001</v>
      </c>
      <c r="U505" s="344" t="s">
        <v>136</v>
      </c>
      <c r="V505" s="332" t="s">
        <v>137</v>
      </c>
      <c r="W505" s="345">
        <v>8</v>
      </c>
      <c r="X505" s="346">
        <v>4</v>
      </c>
      <c r="Y505" s="208">
        <v>2.8069999999999999</v>
      </c>
      <c r="Z505" s="332"/>
      <c r="AA505" s="342"/>
      <c r="AB505" s="342"/>
      <c r="AC505" s="342"/>
      <c r="AD505" s="347"/>
      <c r="AE505" s="348">
        <v>1.7010000000000001</v>
      </c>
      <c r="AF505" s="349">
        <v>0</v>
      </c>
      <c r="AG505" s="350"/>
      <c r="AH505" s="351" t="s">
        <v>139</v>
      </c>
      <c r="AI505" s="352" t="s">
        <v>139</v>
      </c>
      <c r="AJ505" s="206" t="s">
        <v>139</v>
      </c>
      <c r="AK505" s="353" t="s">
        <v>764</v>
      </c>
      <c r="AL505" s="206" t="s">
        <v>139</v>
      </c>
      <c r="AM505" s="349">
        <v>104.9148314653967</v>
      </c>
      <c r="AN505" s="354" t="s">
        <v>139</v>
      </c>
      <c r="AO505" s="355" t="s">
        <v>140</v>
      </c>
      <c r="AP505" s="206" t="s">
        <v>139</v>
      </c>
      <c r="AQ505" s="207">
        <v>0</v>
      </c>
      <c r="AR505" s="211"/>
      <c r="AS505" s="297">
        <f>+IF(Table1[[#This Row],[Column40]]="ok",Table1[[#This Row],[Column7]],0)</f>
        <v>339.34</v>
      </c>
      <c r="AT505" s="295">
        <f>+IF(Table1[[#This Row],[Column40]]="No",Table1[[#This Row],[Column7]],0)</f>
        <v>0</v>
      </c>
      <c r="AU505" s="4" t="str">
        <f>+IF(LEFT(Table1[[#This Row],[Column42]],2)="DN",IF(Table1[[#This Row],[Column40]]="ok","(CA)",_xlfn.CONCAT("(CA)",CHAR(10),"FAIL")),"")</f>
        <v/>
      </c>
      <c r="AV505" s="154" t="str">
        <f>+IF(Table1[[#This Row],[Column6]]=0,"",_xlfn.CONCAT("Sem ",WEEKNUM(Table1[[#This Row],[Column6]],2)))</f>
        <v>Sem 13</v>
      </c>
      <c r="AW505" s="211"/>
    </row>
    <row r="506" spans="2:49" ht="19.5" customHeight="1" x14ac:dyDescent="0.3">
      <c r="B506" s="356" t="s">
        <v>815</v>
      </c>
      <c r="C506" s="331"/>
      <c r="D506" s="332" t="s">
        <v>766</v>
      </c>
      <c r="E506" s="332" t="s">
        <v>176</v>
      </c>
      <c r="F506" s="333"/>
      <c r="G506" s="334">
        <v>46104</v>
      </c>
      <c r="H506" s="335">
        <v>276.70999999999998</v>
      </c>
      <c r="I506" s="336">
        <v>234.53</v>
      </c>
      <c r="J506" s="337">
        <v>2597.2399999999998</v>
      </c>
      <c r="K506" s="338" t="s">
        <v>335</v>
      </c>
      <c r="L506" s="339" t="s">
        <v>368</v>
      </c>
      <c r="M506" s="340">
        <v>30</v>
      </c>
      <c r="N506" s="341">
        <v>85462</v>
      </c>
      <c r="O506" s="332">
        <v>59.78</v>
      </c>
      <c r="P506" s="342">
        <v>9.5</v>
      </c>
      <c r="Q506" s="343">
        <v>9.9241097489783936</v>
      </c>
      <c r="R506" s="344">
        <v>1.719634703196347</v>
      </c>
      <c r="S506" s="344">
        <v>1.7130000000000001</v>
      </c>
      <c r="T506" s="344">
        <v>1.883</v>
      </c>
      <c r="U506" s="344" t="s">
        <v>136</v>
      </c>
      <c r="V506" s="332" t="s">
        <v>137</v>
      </c>
      <c r="W506" s="345">
        <v>8</v>
      </c>
      <c r="X506" s="346">
        <v>4</v>
      </c>
      <c r="Y506" s="208">
        <v>2.8069999999999999</v>
      </c>
      <c r="Z506" s="332"/>
      <c r="AA506" s="342"/>
      <c r="AB506" s="342"/>
      <c r="AC506" s="342"/>
      <c r="AD506" s="347"/>
      <c r="AE506" s="348">
        <v>1.7010000000000001</v>
      </c>
      <c r="AF506" s="349">
        <v>0</v>
      </c>
      <c r="AG506" s="350"/>
      <c r="AH506" s="351" t="s">
        <v>139</v>
      </c>
      <c r="AI506" s="352" t="s">
        <v>139</v>
      </c>
      <c r="AJ506" s="206" t="s">
        <v>139</v>
      </c>
      <c r="AK506" s="353" t="s">
        <v>764</v>
      </c>
      <c r="AL506" s="206" t="s">
        <v>139</v>
      </c>
      <c r="AM506" s="349">
        <v>101.09551459120205</v>
      </c>
      <c r="AN506" s="354" t="s">
        <v>139</v>
      </c>
      <c r="AO506" s="355" t="s">
        <v>140</v>
      </c>
      <c r="AP506" s="206" t="s">
        <v>139</v>
      </c>
      <c r="AQ506" s="207">
        <v>0</v>
      </c>
      <c r="AR506" s="211"/>
      <c r="AS506" s="297">
        <f>+IF(Table1[[#This Row],[Column40]]="ok",Table1[[#This Row],[Column7]],0)</f>
        <v>276.70999999999998</v>
      </c>
      <c r="AT506" s="295">
        <f>+IF(Table1[[#This Row],[Column40]]="No",Table1[[#This Row],[Column7]],0)</f>
        <v>0</v>
      </c>
      <c r="AU506" s="4" t="str">
        <f>+IF(LEFT(Table1[[#This Row],[Column42]],2)="DN",IF(Table1[[#This Row],[Column40]]="ok","(CA)",_xlfn.CONCAT("(CA)",CHAR(10),"FAIL")),"")</f>
        <v/>
      </c>
      <c r="AV506" s="154" t="str">
        <f>+IF(Table1[[#This Row],[Column6]]=0,"",_xlfn.CONCAT("Sem ",WEEKNUM(Table1[[#This Row],[Column6]],2)))</f>
        <v>Sem 13</v>
      </c>
      <c r="AW506" s="211"/>
    </row>
    <row r="507" spans="2:49" ht="19.5" customHeight="1" x14ac:dyDescent="0.3">
      <c r="B507" s="356" t="s">
        <v>816</v>
      </c>
      <c r="C507" s="331"/>
      <c r="D507" s="332" t="s">
        <v>766</v>
      </c>
      <c r="E507" s="332" t="s">
        <v>176</v>
      </c>
      <c r="F507" s="333"/>
      <c r="G507" s="334">
        <v>46104</v>
      </c>
      <c r="H507" s="335">
        <v>51.75</v>
      </c>
      <c r="I507" s="336">
        <v>58.66</v>
      </c>
      <c r="J507" s="337">
        <v>2631.69</v>
      </c>
      <c r="K507" s="338" t="s">
        <v>356</v>
      </c>
      <c r="L507" s="339" t="s">
        <v>817</v>
      </c>
      <c r="M507" s="340">
        <v>30</v>
      </c>
      <c r="N507" s="341">
        <v>85462</v>
      </c>
      <c r="O507" s="332">
        <v>59.78</v>
      </c>
      <c r="P507" s="342">
        <v>13.100000000000001</v>
      </c>
      <c r="Q507" s="343">
        <v>13.46375143843499</v>
      </c>
      <c r="R507" s="344">
        <v>1.7435897435897436</v>
      </c>
      <c r="S507" s="344">
        <v>1.738</v>
      </c>
      <c r="T507" s="344">
        <v>1.972</v>
      </c>
      <c r="U507" s="344" t="s">
        <v>136</v>
      </c>
      <c r="V507" s="332" t="s">
        <v>194</v>
      </c>
      <c r="W507" s="345" t="s">
        <v>195</v>
      </c>
      <c r="X507" s="346">
        <v>3</v>
      </c>
      <c r="Y507" s="208">
        <v>2.8069999999999999</v>
      </c>
      <c r="Z507" s="332"/>
      <c r="AA507" s="342"/>
      <c r="AB507" s="342"/>
      <c r="AC507" s="342"/>
      <c r="AD507" s="347"/>
      <c r="AE507" s="348">
        <v>1.7010000000000001</v>
      </c>
      <c r="AF507" s="349">
        <v>0</v>
      </c>
      <c r="AG507" s="350"/>
      <c r="AH507" s="351" t="s">
        <v>139</v>
      </c>
      <c r="AI507" s="352" t="s">
        <v>139</v>
      </c>
      <c r="AJ507" s="206" t="s">
        <v>139</v>
      </c>
      <c r="AK507" s="353" t="s">
        <v>764</v>
      </c>
      <c r="AL507" s="206" t="s">
        <v>139</v>
      </c>
      <c r="AM507" s="349">
        <v>102.50380620750991</v>
      </c>
      <c r="AN507" s="354" t="s">
        <v>139</v>
      </c>
      <c r="AO507" s="355" t="s">
        <v>140</v>
      </c>
      <c r="AP507" s="206" t="s">
        <v>139</v>
      </c>
      <c r="AQ507" s="207">
        <v>0</v>
      </c>
      <c r="AR507" s="211"/>
      <c r="AS507" s="297">
        <f>+IF(Table1[[#This Row],[Column40]]="ok",Table1[[#This Row],[Column7]],0)</f>
        <v>51.75</v>
      </c>
      <c r="AT507" s="295">
        <f>+IF(Table1[[#This Row],[Column40]]="No",Table1[[#This Row],[Column7]],0)</f>
        <v>0</v>
      </c>
      <c r="AU507" s="4" t="str">
        <f>+IF(LEFT(Table1[[#This Row],[Column42]],2)="DN",IF(Table1[[#This Row],[Column40]]="ok","(CA)",_xlfn.CONCAT("(CA)",CHAR(10),"FAIL")),"")</f>
        <v/>
      </c>
      <c r="AV507" s="154" t="str">
        <f>+IF(Table1[[#This Row],[Column6]]=0,"",_xlfn.CONCAT("Sem ",WEEKNUM(Table1[[#This Row],[Column6]],2)))</f>
        <v>Sem 13</v>
      </c>
      <c r="AW507" s="211"/>
    </row>
    <row r="508" spans="2:49" ht="19.5" customHeight="1" x14ac:dyDescent="0.3">
      <c r="B508" s="356" t="s">
        <v>818</v>
      </c>
      <c r="C508" s="331"/>
      <c r="D508" s="332" t="s">
        <v>766</v>
      </c>
      <c r="E508" s="332" t="s">
        <v>176</v>
      </c>
      <c r="F508" s="333"/>
      <c r="G508" s="334">
        <v>46104</v>
      </c>
      <c r="H508" s="335">
        <v>1104.3699999999999</v>
      </c>
      <c r="I508" s="336">
        <v>237.24</v>
      </c>
      <c r="J508" s="337">
        <v>2574.63</v>
      </c>
      <c r="K508" s="338" t="s">
        <v>205</v>
      </c>
      <c r="L508" s="339" t="s">
        <v>247</v>
      </c>
      <c r="M508" s="340">
        <v>30</v>
      </c>
      <c r="N508" s="341">
        <v>85462</v>
      </c>
      <c r="O508" s="332">
        <v>59.78</v>
      </c>
      <c r="P508" s="342">
        <v>16</v>
      </c>
      <c r="Q508" s="343">
        <v>16.240772288472471</v>
      </c>
      <c r="R508" s="344">
        <v>1.7646551724137933</v>
      </c>
      <c r="S508" s="344">
        <v>1.7609999999999999</v>
      </c>
      <c r="T508" s="344">
        <v>2.0470000000000002</v>
      </c>
      <c r="U508" s="344" t="s">
        <v>136</v>
      </c>
      <c r="V508" s="332" t="s">
        <v>137</v>
      </c>
      <c r="W508" s="345">
        <v>8</v>
      </c>
      <c r="X508" s="346">
        <v>4</v>
      </c>
      <c r="Y508" s="208">
        <v>2.8069999999999999</v>
      </c>
      <c r="Z508" s="332"/>
      <c r="AA508" s="342"/>
      <c r="AB508" s="342"/>
      <c r="AC508" s="342"/>
      <c r="AD508" s="347"/>
      <c r="AE508" s="348">
        <v>1.7001949569191295</v>
      </c>
      <c r="AF508" s="349">
        <v>16.209844880317426</v>
      </c>
      <c r="AG508" s="350"/>
      <c r="AH508" s="351">
        <v>1.6898625429553267</v>
      </c>
      <c r="AI508" s="352">
        <v>1.9670000000000001</v>
      </c>
      <c r="AJ508" s="206">
        <v>16.400000000000002</v>
      </c>
      <c r="AK508" s="353" t="s">
        <v>714</v>
      </c>
      <c r="AL508" s="206">
        <v>-0.1901551196825757</v>
      </c>
      <c r="AM508" s="349">
        <v>103.79134258882112</v>
      </c>
      <c r="AN508" s="354" t="s">
        <v>139</v>
      </c>
      <c r="AO508" s="355" t="s">
        <v>140</v>
      </c>
      <c r="AP508" s="206" t="s">
        <v>139</v>
      </c>
      <c r="AQ508" s="207" t="s">
        <v>819</v>
      </c>
      <c r="AR508" s="211"/>
      <c r="AS508" s="297">
        <f>+IF(Table1[[#This Row],[Column40]]="ok",Table1[[#This Row],[Column7]],0)</f>
        <v>1104.3699999999999</v>
      </c>
      <c r="AT508" s="295">
        <f>+IF(Table1[[#This Row],[Column40]]="No",Table1[[#This Row],[Column7]],0)</f>
        <v>0</v>
      </c>
      <c r="AU508" s="4" t="str">
        <f>+IF(LEFT(Table1[[#This Row],[Column42]],2)="DN",IF(Table1[[#This Row],[Column40]]="ok","(CA)",_xlfn.CONCAT("(CA)",CHAR(10),"FAIL")),"")</f>
        <v/>
      </c>
      <c r="AV508" s="154" t="str">
        <f>+IF(Table1[[#This Row],[Column6]]=0,"",_xlfn.CONCAT("Sem ",WEEKNUM(Table1[[#This Row],[Column6]],2)))</f>
        <v>Sem 13</v>
      </c>
      <c r="AW508" s="211"/>
    </row>
    <row r="509" spans="2:49" ht="19.5" customHeight="1" x14ac:dyDescent="0.3">
      <c r="B509" s="356" t="s">
        <v>819</v>
      </c>
      <c r="C509" s="331"/>
      <c r="D509" s="332" t="s">
        <v>766</v>
      </c>
      <c r="E509" s="332" t="s">
        <v>176</v>
      </c>
      <c r="F509" s="333"/>
      <c r="G509" s="334">
        <v>46104</v>
      </c>
      <c r="H509" s="335">
        <v>1104.3699999999999</v>
      </c>
      <c r="I509" s="336">
        <v>237.24</v>
      </c>
      <c r="J509" s="337">
        <v>2574.63</v>
      </c>
      <c r="K509" s="338" t="s">
        <v>205</v>
      </c>
      <c r="L509" s="339" t="s">
        <v>247</v>
      </c>
      <c r="M509" s="340">
        <v>15</v>
      </c>
      <c r="N509" s="341"/>
      <c r="O509" s="332"/>
      <c r="P509" s="342">
        <v>16.033414174077045</v>
      </c>
      <c r="Q509" s="343"/>
      <c r="R509" s="344">
        <v>1.711572245271066</v>
      </c>
      <c r="S509" s="344"/>
      <c r="T509" s="344">
        <v>1.9859957122439258</v>
      </c>
      <c r="U509" s="344" t="s">
        <v>142</v>
      </c>
      <c r="V509" s="332" t="s">
        <v>137</v>
      </c>
      <c r="W509" s="345" t="s">
        <v>173</v>
      </c>
      <c r="X509" s="346" t="s">
        <v>680</v>
      </c>
      <c r="Y509" s="208"/>
      <c r="Z509" s="332" t="s">
        <v>143</v>
      </c>
      <c r="AA509" s="342">
        <v>99.092755726328321</v>
      </c>
      <c r="AB509" s="342">
        <v>81.729977385370461</v>
      </c>
      <c r="AC509" s="342">
        <v>43.031316470478757</v>
      </c>
      <c r="AD509" s="347">
        <v>17.127928242887549</v>
      </c>
      <c r="AE509" s="348">
        <v>1.7001949569191295</v>
      </c>
      <c r="AF509" s="349">
        <v>16.209844880317426</v>
      </c>
      <c r="AG509" s="350" t="s">
        <v>714</v>
      </c>
      <c r="AH509" s="351">
        <v>1.6897291482928436</v>
      </c>
      <c r="AI509" s="352">
        <v>1.966915688367129</v>
      </c>
      <c r="AJ509" s="206">
        <v>16.404199475065614</v>
      </c>
      <c r="AK509" s="353" t="s">
        <v>714</v>
      </c>
      <c r="AL509" s="206">
        <v>-0.19435459474818728</v>
      </c>
      <c r="AM509" s="349">
        <v>100.66917551458646</v>
      </c>
      <c r="AN509" s="354" t="s">
        <v>139</v>
      </c>
      <c r="AO509" s="355" t="s">
        <v>144</v>
      </c>
      <c r="AP509" s="206">
        <v>0</v>
      </c>
      <c r="AQ509" s="207" t="s">
        <v>818</v>
      </c>
      <c r="AR509" s="211"/>
      <c r="AS509" s="297">
        <f>+IF(Table1[[#This Row],[Column40]]="ok",Table1[[#This Row],[Column7]],0)</f>
        <v>1104.3699999999999</v>
      </c>
      <c r="AT509" s="295">
        <f>+IF(Table1[[#This Row],[Column40]]="No",Table1[[#This Row],[Column7]],0)</f>
        <v>0</v>
      </c>
      <c r="AU509" s="4" t="str">
        <f>+IF(LEFT(Table1[[#This Row],[Column42]],2)="DN",IF(Table1[[#This Row],[Column40]]="ok","(CA)",_xlfn.CONCAT("(CA)",CHAR(10),"FAIL")),"")</f>
        <v>(CA)</v>
      </c>
      <c r="AV509" s="154" t="str">
        <f>+IF(Table1[[#This Row],[Column6]]=0,"",_xlfn.CONCAT("Sem ",WEEKNUM(Table1[[#This Row],[Column6]],2)))</f>
        <v>Sem 13</v>
      </c>
      <c r="AW509" s="211"/>
    </row>
    <row r="510" spans="2:49" ht="19.5" customHeight="1" x14ac:dyDescent="0.3">
      <c r="B510" s="356" t="s">
        <v>820</v>
      </c>
      <c r="C510" s="331"/>
      <c r="D510" s="332" t="s">
        <v>766</v>
      </c>
      <c r="E510" s="332" t="s">
        <v>176</v>
      </c>
      <c r="F510" s="333"/>
      <c r="G510" s="334">
        <v>46104</v>
      </c>
      <c r="H510" s="335">
        <v>1099.2</v>
      </c>
      <c r="I510" s="336">
        <v>374.59</v>
      </c>
      <c r="J510" s="337">
        <v>2538.21</v>
      </c>
      <c r="K510" s="338" t="s">
        <v>236</v>
      </c>
      <c r="L510" s="339" t="s">
        <v>247</v>
      </c>
      <c r="M510" s="340">
        <v>30</v>
      </c>
      <c r="N510" s="341">
        <v>85462</v>
      </c>
      <c r="O510" s="332">
        <v>59.78</v>
      </c>
      <c r="P510" s="342">
        <v>11.799999999999999</v>
      </c>
      <c r="Q510" s="343">
        <v>12.279670975323164</v>
      </c>
      <c r="R510" s="344">
        <v>1.7093023255813955</v>
      </c>
      <c r="S510" s="344">
        <v>1.702</v>
      </c>
      <c r="T510" s="344">
        <v>1.911</v>
      </c>
      <c r="U510" s="344" t="s">
        <v>136</v>
      </c>
      <c r="V510" s="332" t="s">
        <v>137</v>
      </c>
      <c r="W510" s="345">
        <v>8</v>
      </c>
      <c r="X510" s="346">
        <v>4</v>
      </c>
      <c r="Y510" s="208">
        <v>2.8069999999999999</v>
      </c>
      <c r="Z510" s="332"/>
      <c r="AA510" s="342"/>
      <c r="AB510" s="342"/>
      <c r="AC510" s="342"/>
      <c r="AD510" s="347"/>
      <c r="AE510" s="348">
        <v>1.6879999999999999</v>
      </c>
      <c r="AF510" s="349">
        <v>0</v>
      </c>
      <c r="AG510" s="350"/>
      <c r="AH510" s="351" t="s">
        <v>139</v>
      </c>
      <c r="AI510" s="352" t="s">
        <v>139</v>
      </c>
      <c r="AJ510" s="206" t="s">
        <v>139</v>
      </c>
      <c r="AK510" s="353" t="s">
        <v>764</v>
      </c>
      <c r="AL510" s="206" t="s">
        <v>139</v>
      </c>
      <c r="AM510" s="349">
        <v>101.26198611264192</v>
      </c>
      <c r="AN510" s="354" t="s">
        <v>139</v>
      </c>
      <c r="AO510" s="355" t="s">
        <v>140</v>
      </c>
      <c r="AP510" s="206" t="s">
        <v>139</v>
      </c>
      <c r="AQ510" s="207">
        <v>0</v>
      </c>
      <c r="AR510" s="211"/>
      <c r="AS510" s="297">
        <f>+IF(Table1[[#This Row],[Column40]]="ok",Table1[[#This Row],[Column7]],0)</f>
        <v>1099.2</v>
      </c>
      <c r="AT510" s="295">
        <f>+IF(Table1[[#This Row],[Column40]]="No",Table1[[#This Row],[Column7]],0)</f>
        <v>0</v>
      </c>
      <c r="AU510" s="4" t="str">
        <f>+IF(LEFT(Table1[[#This Row],[Column42]],2)="DN",IF(Table1[[#This Row],[Column40]]="ok","(CA)",_xlfn.CONCAT("(CA)",CHAR(10),"FAIL")),"")</f>
        <v/>
      </c>
      <c r="AV510" s="154" t="str">
        <f>+IF(Table1[[#This Row],[Column6]]=0,"",_xlfn.CONCAT("Sem ",WEEKNUM(Table1[[#This Row],[Column6]],2)))</f>
        <v>Sem 13</v>
      </c>
      <c r="AW510" s="211"/>
    </row>
    <row r="511" spans="2:49" ht="19.5" customHeight="1" x14ac:dyDescent="0.3">
      <c r="B511" s="356" t="s">
        <v>821</v>
      </c>
      <c r="C511" s="331"/>
      <c r="D511" s="332" t="s">
        <v>766</v>
      </c>
      <c r="E511" s="332" t="s">
        <v>176</v>
      </c>
      <c r="F511" s="333"/>
      <c r="G511" s="334">
        <v>46104</v>
      </c>
      <c r="H511" s="335">
        <v>1041.55</v>
      </c>
      <c r="I511" s="336">
        <v>304.17</v>
      </c>
      <c r="J511" s="337">
        <v>2558.44</v>
      </c>
      <c r="K511" s="338" t="s">
        <v>236</v>
      </c>
      <c r="L511" s="339" t="s">
        <v>245</v>
      </c>
      <c r="M511" s="340" t="s">
        <v>293</v>
      </c>
      <c r="N511" s="341" t="s">
        <v>293</v>
      </c>
      <c r="O511" s="332" t="s">
        <v>293</v>
      </c>
      <c r="P511" s="342" t="s">
        <v>293</v>
      </c>
      <c r="Q511" s="343" t="s">
        <v>293</v>
      </c>
      <c r="R511" s="344" t="s">
        <v>293</v>
      </c>
      <c r="S511" s="344" t="s">
        <v>293</v>
      </c>
      <c r="T511" s="344" t="s">
        <v>293</v>
      </c>
      <c r="U511" s="344" t="s">
        <v>294</v>
      </c>
      <c r="V511" s="332" t="s">
        <v>293</v>
      </c>
      <c r="W511" s="345" t="s">
        <v>293</v>
      </c>
      <c r="X511" s="346" t="s">
        <v>293</v>
      </c>
      <c r="Y511" s="208">
        <v>2.8744621989972172</v>
      </c>
      <c r="Z511" s="332" t="s">
        <v>143</v>
      </c>
      <c r="AA511" s="342">
        <v>98.633768352365422</v>
      </c>
      <c r="AB511" s="342">
        <v>77.569331158238157</v>
      </c>
      <c r="AC511" s="342">
        <v>34.787928221859687</v>
      </c>
      <c r="AD511" s="347">
        <v>11.888254486133746</v>
      </c>
      <c r="AE511" s="348">
        <v>1.6881748798297771</v>
      </c>
      <c r="AF511" s="349">
        <v>16.548443999656218</v>
      </c>
      <c r="AG511" s="350" t="s">
        <v>821</v>
      </c>
      <c r="AH511" s="351" t="s">
        <v>293</v>
      </c>
      <c r="AI511" s="352" t="s">
        <v>293</v>
      </c>
      <c r="AJ511" s="206" t="s">
        <v>293</v>
      </c>
      <c r="AK511" s="353" t="s">
        <v>293</v>
      </c>
      <c r="AL511" s="206" t="s">
        <v>293</v>
      </c>
      <c r="AM511" s="349" t="s">
        <v>293</v>
      </c>
      <c r="AN511" s="354" t="s">
        <v>293</v>
      </c>
      <c r="AO511" s="355" t="s">
        <v>293</v>
      </c>
      <c r="AP511" s="206" t="s">
        <v>293</v>
      </c>
      <c r="AQ511" s="207" t="s">
        <v>295</v>
      </c>
      <c r="AR511" s="211"/>
      <c r="AS511" s="297">
        <f>+IF(Table1[[#This Row],[Column40]]="ok",Table1[[#This Row],[Column7]],0)</f>
        <v>0</v>
      </c>
      <c r="AT511" s="295">
        <f>+IF(Table1[[#This Row],[Column40]]="No",Table1[[#This Row],[Column7]],0)</f>
        <v>0</v>
      </c>
      <c r="AU511" s="4" t="str">
        <f>+IF(LEFT(Table1[[#This Row],[Column42]],2)="DN",IF(Table1[[#This Row],[Column40]]="ok","(CA)",_xlfn.CONCAT("(CA)",CHAR(10),"FAIL")),"")</f>
        <v/>
      </c>
      <c r="AV511" s="154" t="str">
        <f>+IF(Table1[[#This Row],[Column6]]=0,"",_xlfn.CONCAT("Sem ",WEEKNUM(Table1[[#This Row],[Column6]],2)))</f>
        <v>Sem 13</v>
      </c>
      <c r="AW511" s="211"/>
    </row>
    <row r="512" spans="2:49" ht="19.5" customHeight="1" x14ac:dyDescent="0.3">
      <c r="B512" s="356" t="s">
        <v>822</v>
      </c>
      <c r="C512" s="331"/>
      <c r="D512" s="332" t="s">
        <v>766</v>
      </c>
      <c r="E512" s="332" t="s">
        <v>133</v>
      </c>
      <c r="F512" s="333"/>
      <c r="G512" s="334">
        <v>46105</v>
      </c>
      <c r="H512" s="335">
        <v>1984.11</v>
      </c>
      <c r="I512" s="336">
        <v>-212.03</v>
      </c>
      <c r="J512" s="337">
        <v>2635.9</v>
      </c>
      <c r="K512" s="338" t="s">
        <v>218</v>
      </c>
      <c r="L512" s="339" t="s">
        <v>193</v>
      </c>
      <c r="M512" s="340">
        <v>30</v>
      </c>
      <c r="N512" s="341">
        <v>85462</v>
      </c>
      <c r="O512" s="332">
        <v>59.78</v>
      </c>
      <c r="P512" s="342">
        <v>10.8</v>
      </c>
      <c r="Q512" s="343">
        <v>11.305361305361306</v>
      </c>
      <c r="R512" s="344">
        <v>1.7238267148014439</v>
      </c>
      <c r="S512" s="344">
        <v>1.716</v>
      </c>
      <c r="T512" s="344">
        <v>1.91</v>
      </c>
      <c r="U512" s="344" t="s">
        <v>136</v>
      </c>
      <c r="V512" s="332" t="s">
        <v>194</v>
      </c>
      <c r="W512" s="345" t="s">
        <v>195</v>
      </c>
      <c r="X512" s="346">
        <v>3</v>
      </c>
      <c r="Y512" s="208">
        <v>2.8069999999999999</v>
      </c>
      <c r="Z512" s="332"/>
      <c r="AA512" s="342"/>
      <c r="AB512" s="342"/>
      <c r="AC512" s="342"/>
      <c r="AD512" s="347"/>
      <c r="AE512" s="348">
        <v>1.702</v>
      </c>
      <c r="AF512" s="349">
        <v>0</v>
      </c>
      <c r="AG512" s="350"/>
      <c r="AH512" s="351" t="s">
        <v>139</v>
      </c>
      <c r="AI512" s="352" t="s">
        <v>139</v>
      </c>
      <c r="AJ512" s="206" t="s">
        <v>139</v>
      </c>
      <c r="AK512" s="353" t="s">
        <v>662</v>
      </c>
      <c r="AL512" s="206" t="s">
        <v>139</v>
      </c>
      <c r="AM512" s="349">
        <v>101.2824156757605</v>
      </c>
      <c r="AN512" s="354" t="s">
        <v>139</v>
      </c>
      <c r="AO512" s="355" t="s">
        <v>140</v>
      </c>
      <c r="AP512" s="206" t="s">
        <v>139</v>
      </c>
      <c r="AQ512" s="207">
        <v>0</v>
      </c>
      <c r="AR512" s="211"/>
      <c r="AS512" s="297">
        <f>+IF(Table1[[#This Row],[Column40]]="ok",Table1[[#This Row],[Column7]],0)</f>
        <v>1984.11</v>
      </c>
      <c r="AT512" s="295">
        <f>+IF(Table1[[#This Row],[Column40]]="No",Table1[[#This Row],[Column7]],0)</f>
        <v>0</v>
      </c>
      <c r="AU512" s="4" t="str">
        <f>+IF(LEFT(Table1[[#This Row],[Column42]],2)="DN",IF(Table1[[#This Row],[Column40]]="ok","(CA)",_xlfn.CONCAT("(CA)",CHAR(10),"FAIL")),"")</f>
        <v/>
      </c>
      <c r="AV512" s="154" t="str">
        <f>+IF(Table1[[#This Row],[Column6]]=0,"",_xlfn.CONCAT("Sem ",WEEKNUM(Table1[[#This Row],[Column6]],2)))</f>
        <v>Sem 13</v>
      </c>
      <c r="AW512" s="211"/>
    </row>
    <row r="513" spans="2:49" ht="19.5" customHeight="1" x14ac:dyDescent="0.3">
      <c r="B513" s="356" t="s">
        <v>823</v>
      </c>
      <c r="C513" s="331"/>
      <c r="D513" s="332" t="s">
        <v>766</v>
      </c>
      <c r="E513" s="332" t="s">
        <v>133</v>
      </c>
      <c r="F513" s="333"/>
      <c r="G513" s="334">
        <v>46105</v>
      </c>
      <c r="H513" s="335">
        <v>1035.3399999999999</v>
      </c>
      <c r="I513" s="336">
        <v>244.53</v>
      </c>
      <c r="J513" s="337">
        <v>2573.0500000000002</v>
      </c>
      <c r="K513" s="338" t="s">
        <v>205</v>
      </c>
      <c r="L513" s="339" t="s">
        <v>245</v>
      </c>
      <c r="M513" s="340">
        <v>30</v>
      </c>
      <c r="N513" s="341">
        <v>85462</v>
      </c>
      <c r="O513" s="332">
        <v>59.78</v>
      </c>
      <c r="P513" s="342">
        <v>16.5</v>
      </c>
      <c r="Q513" s="343">
        <v>14.77603257707969</v>
      </c>
      <c r="R513" s="344">
        <v>1.6935622317596566</v>
      </c>
      <c r="S513" s="344">
        <v>1.7190000000000001</v>
      </c>
      <c r="T513" s="344">
        <v>1.9730000000000001</v>
      </c>
      <c r="U513" s="344" t="s">
        <v>136</v>
      </c>
      <c r="V513" s="332" t="s">
        <v>137</v>
      </c>
      <c r="W513" s="345">
        <v>8</v>
      </c>
      <c r="X513" s="346">
        <v>4</v>
      </c>
      <c r="Y513" s="208">
        <v>2.8069999999999999</v>
      </c>
      <c r="Z513" s="332"/>
      <c r="AA513" s="342"/>
      <c r="AB513" s="342"/>
      <c r="AC513" s="342"/>
      <c r="AD513" s="347"/>
      <c r="AE513" s="348">
        <v>1.6879999999999999</v>
      </c>
      <c r="AF513" s="349">
        <v>0</v>
      </c>
      <c r="AG513" s="350"/>
      <c r="AH513" s="351" t="s">
        <v>139</v>
      </c>
      <c r="AI513" s="352" t="s">
        <v>139</v>
      </c>
      <c r="AJ513" s="206" t="s">
        <v>139</v>
      </c>
      <c r="AK513" s="353" t="s">
        <v>821</v>
      </c>
      <c r="AL513" s="206" t="s">
        <v>139</v>
      </c>
      <c r="AM513" s="349">
        <v>100.32951609950574</v>
      </c>
      <c r="AN513" s="354" t="s">
        <v>139</v>
      </c>
      <c r="AO513" s="355" t="s">
        <v>140</v>
      </c>
      <c r="AP513" s="206" t="s">
        <v>139</v>
      </c>
      <c r="AQ513" s="207">
        <v>0</v>
      </c>
      <c r="AR513" s="211"/>
      <c r="AS513" s="297">
        <f>+IF(Table1[[#This Row],[Column40]]="ok",Table1[[#This Row],[Column7]],0)</f>
        <v>1035.3399999999999</v>
      </c>
      <c r="AT513" s="295">
        <f>+IF(Table1[[#This Row],[Column40]]="No",Table1[[#This Row],[Column7]],0)</f>
        <v>0</v>
      </c>
      <c r="AU513" s="4" t="str">
        <f>+IF(LEFT(Table1[[#This Row],[Column42]],2)="DN",IF(Table1[[#This Row],[Column40]]="ok","(CA)",_xlfn.CONCAT("(CA)",CHAR(10),"FAIL")),"")</f>
        <v/>
      </c>
      <c r="AV513" s="154" t="str">
        <f>+IF(Table1[[#This Row],[Column6]]=0,"",_xlfn.CONCAT("Sem ",WEEKNUM(Table1[[#This Row],[Column6]],2)))</f>
        <v>Sem 13</v>
      </c>
      <c r="AW513" s="211"/>
    </row>
    <row r="514" spans="2:49" ht="19.5" customHeight="1" x14ac:dyDescent="0.3">
      <c r="B514" s="356" t="s">
        <v>824</v>
      </c>
      <c r="C514" s="331"/>
      <c r="D514" s="332" t="s">
        <v>766</v>
      </c>
      <c r="E514" s="332" t="s">
        <v>133</v>
      </c>
      <c r="F514" s="333"/>
      <c r="G514" s="334">
        <v>46105</v>
      </c>
      <c r="H514" s="335">
        <v>969.17</v>
      </c>
      <c r="I514" s="336">
        <v>230.94</v>
      </c>
      <c r="J514" s="337">
        <v>2577.1799999999998</v>
      </c>
      <c r="K514" s="338" t="s">
        <v>205</v>
      </c>
      <c r="L514" s="339" t="s">
        <v>280</v>
      </c>
      <c r="M514" s="340">
        <v>30</v>
      </c>
      <c r="N514" s="341">
        <v>85462</v>
      </c>
      <c r="O514" s="332">
        <v>59.78</v>
      </c>
      <c r="P514" s="342">
        <v>14.000000000000002</v>
      </c>
      <c r="Q514" s="343">
        <v>11.117445838084382</v>
      </c>
      <c r="R514" s="344">
        <v>1.7096491228070174</v>
      </c>
      <c r="S514" s="344">
        <v>1.754</v>
      </c>
      <c r="T514" s="344">
        <v>1.9490000000000001</v>
      </c>
      <c r="U514" s="344" t="s">
        <v>136</v>
      </c>
      <c r="V514" s="332" t="s">
        <v>137</v>
      </c>
      <c r="W514" s="345">
        <v>8</v>
      </c>
      <c r="X514" s="346">
        <v>4</v>
      </c>
      <c r="Y514" s="208">
        <v>2.8069999999999999</v>
      </c>
      <c r="Z514" s="332"/>
      <c r="AA514" s="342"/>
      <c r="AB514" s="342"/>
      <c r="AC514" s="342"/>
      <c r="AD514" s="347"/>
      <c r="AE514" s="348">
        <v>1.6879999999999999</v>
      </c>
      <c r="AF514" s="349">
        <v>0</v>
      </c>
      <c r="AG514" s="350"/>
      <c r="AH514" s="351" t="s">
        <v>139</v>
      </c>
      <c r="AI514" s="352" t="s">
        <v>139</v>
      </c>
      <c r="AJ514" s="206" t="s">
        <v>139</v>
      </c>
      <c r="AK514" s="353" t="s">
        <v>821</v>
      </c>
      <c r="AL514" s="206" t="s">
        <v>139</v>
      </c>
      <c r="AM514" s="349">
        <v>101.2825309719797</v>
      </c>
      <c r="AN514" s="354" t="s">
        <v>139</v>
      </c>
      <c r="AO514" s="355" t="s">
        <v>140</v>
      </c>
      <c r="AP514" s="206" t="s">
        <v>139</v>
      </c>
      <c r="AQ514" s="207">
        <v>0</v>
      </c>
      <c r="AR514" s="211"/>
      <c r="AS514" s="297">
        <f>+IF(Table1[[#This Row],[Column40]]="ok",Table1[[#This Row],[Column7]],0)</f>
        <v>969.17</v>
      </c>
      <c r="AT514" s="295">
        <f>+IF(Table1[[#This Row],[Column40]]="No",Table1[[#This Row],[Column7]],0)</f>
        <v>0</v>
      </c>
      <c r="AU514" s="4" t="str">
        <f>+IF(LEFT(Table1[[#This Row],[Column42]],2)="DN",IF(Table1[[#This Row],[Column40]]="ok","(CA)",_xlfn.CONCAT("(CA)",CHAR(10),"FAIL")),"")</f>
        <v/>
      </c>
      <c r="AV514" s="154" t="str">
        <f>+IF(Table1[[#This Row],[Column6]]=0,"",_xlfn.CONCAT("Sem ",WEEKNUM(Table1[[#This Row],[Column6]],2)))</f>
        <v>Sem 13</v>
      </c>
      <c r="AW514" s="211"/>
    </row>
    <row r="515" spans="2:49" ht="19.5" customHeight="1" x14ac:dyDescent="0.3">
      <c r="B515" s="356" t="s">
        <v>825</v>
      </c>
      <c r="C515" s="331"/>
      <c r="D515" s="332" t="s">
        <v>766</v>
      </c>
      <c r="E515" s="332" t="s">
        <v>133</v>
      </c>
      <c r="F515" s="333"/>
      <c r="G515" s="334">
        <v>46105</v>
      </c>
      <c r="H515" s="335">
        <v>914.81</v>
      </c>
      <c r="I515" s="336">
        <v>287.63</v>
      </c>
      <c r="J515" s="337">
        <v>2560.88</v>
      </c>
      <c r="K515" s="338" t="s">
        <v>290</v>
      </c>
      <c r="L515" s="339" t="s">
        <v>311</v>
      </c>
      <c r="M515" s="340">
        <v>30</v>
      </c>
      <c r="N515" s="341">
        <v>85462</v>
      </c>
      <c r="O515" s="332">
        <v>59.78</v>
      </c>
      <c r="P515" s="342">
        <v>12.7</v>
      </c>
      <c r="Q515" s="343">
        <v>13.402657423454656</v>
      </c>
      <c r="R515" s="344">
        <v>1.7417923691215618</v>
      </c>
      <c r="S515" s="344">
        <v>1.7310000000000001</v>
      </c>
      <c r="T515" s="344">
        <v>1.9630000000000001</v>
      </c>
      <c r="U515" s="344" t="s">
        <v>136</v>
      </c>
      <c r="V515" s="332" t="s">
        <v>137</v>
      </c>
      <c r="W515" s="345">
        <v>8</v>
      </c>
      <c r="X515" s="346">
        <v>4</v>
      </c>
      <c r="Y515" s="208">
        <v>2.8069999999999999</v>
      </c>
      <c r="Z515" s="332"/>
      <c r="AA515" s="342"/>
      <c r="AB515" s="342"/>
      <c r="AC515" s="342"/>
      <c r="AD515" s="347"/>
      <c r="AE515" s="348">
        <v>1.6879999999999999</v>
      </c>
      <c r="AF515" s="349">
        <v>0</v>
      </c>
      <c r="AG515" s="350"/>
      <c r="AH515" s="351" t="s">
        <v>139</v>
      </c>
      <c r="AI515" s="352" t="s">
        <v>139</v>
      </c>
      <c r="AJ515" s="206" t="s">
        <v>139</v>
      </c>
      <c r="AK515" s="353" t="s">
        <v>821</v>
      </c>
      <c r="AL515" s="206" t="s">
        <v>139</v>
      </c>
      <c r="AM515" s="349">
        <v>103.18675172521101</v>
      </c>
      <c r="AN515" s="354" t="s">
        <v>139</v>
      </c>
      <c r="AO515" s="355" t="s">
        <v>140</v>
      </c>
      <c r="AP515" s="206" t="s">
        <v>139</v>
      </c>
      <c r="AQ515" s="207">
        <v>0</v>
      </c>
      <c r="AR515" s="211"/>
      <c r="AS515" s="297">
        <f>+IF(Table1[[#This Row],[Column40]]="ok",Table1[[#This Row],[Column7]],0)</f>
        <v>914.81</v>
      </c>
      <c r="AT515" s="295">
        <f>+IF(Table1[[#This Row],[Column40]]="No",Table1[[#This Row],[Column7]],0)</f>
        <v>0</v>
      </c>
      <c r="AU515" s="4" t="str">
        <f>+IF(LEFT(Table1[[#This Row],[Column42]],2)="DN",IF(Table1[[#This Row],[Column40]]="ok","(CA)",_xlfn.CONCAT("(CA)",CHAR(10),"FAIL")),"")</f>
        <v/>
      </c>
      <c r="AV515" s="154" t="str">
        <f>+IF(Table1[[#This Row],[Column6]]=0,"",_xlfn.CONCAT("Sem ",WEEKNUM(Table1[[#This Row],[Column6]],2)))</f>
        <v>Sem 13</v>
      </c>
      <c r="AW515" s="211"/>
    </row>
    <row r="516" spans="2:49" ht="19.5" customHeight="1" x14ac:dyDescent="0.3">
      <c r="B516" s="356" t="s">
        <v>826</v>
      </c>
      <c r="C516" s="331"/>
      <c r="D516" s="332" t="s">
        <v>766</v>
      </c>
      <c r="E516" s="332" t="s">
        <v>133</v>
      </c>
      <c r="F516" s="333"/>
      <c r="G516" s="334">
        <v>46105</v>
      </c>
      <c r="H516" s="335">
        <v>948.9</v>
      </c>
      <c r="I516" s="336">
        <v>338.4</v>
      </c>
      <c r="J516" s="337">
        <v>2547.9499999999998</v>
      </c>
      <c r="K516" s="338" t="s">
        <v>236</v>
      </c>
      <c r="L516" s="339" t="s">
        <v>237</v>
      </c>
      <c r="M516" s="340">
        <v>30</v>
      </c>
      <c r="N516" s="341">
        <v>85462</v>
      </c>
      <c r="O516" s="332">
        <v>59.78</v>
      </c>
      <c r="P516" s="342">
        <v>14.499999999999998</v>
      </c>
      <c r="Q516" s="343">
        <v>12.749003984063755</v>
      </c>
      <c r="R516" s="344">
        <v>1.7301310043668123</v>
      </c>
      <c r="S516" s="344">
        <v>1.7569999999999999</v>
      </c>
      <c r="T516" s="344">
        <v>1.9810000000000001</v>
      </c>
      <c r="U516" s="344" t="s">
        <v>136</v>
      </c>
      <c r="V516" s="332" t="s">
        <v>137</v>
      </c>
      <c r="W516" s="345">
        <v>8</v>
      </c>
      <c r="X516" s="346">
        <v>4</v>
      </c>
      <c r="Y516" s="208">
        <v>2.8069999999999999</v>
      </c>
      <c r="Z516" s="332"/>
      <c r="AA516" s="342"/>
      <c r="AB516" s="342"/>
      <c r="AC516" s="342"/>
      <c r="AD516" s="347"/>
      <c r="AE516" s="348">
        <v>1.6879999999999999</v>
      </c>
      <c r="AF516" s="349">
        <v>0</v>
      </c>
      <c r="AG516" s="350"/>
      <c r="AH516" s="351" t="s">
        <v>139</v>
      </c>
      <c r="AI516" s="352" t="s">
        <v>139</v>
      </c>
      <c r="AJ516" s="206" t="s">
        <v>139</v>
      </c>
      <c r="AK516" s="353" t="s">
        <v>821</v>
      </c>
      <c r="AL516" s="206" t="s">
        <v>139</v>
      </c>
      <c r="AM516" s="349">
        <v>102.4959125809723</v>
      </c>
      <c r="AN516" s="354" t="s">
        <v>139</v>
      </c>
      <c r="AO516" s="355" t="s">
        <v>140</v>
      </c>
      <c r="AP516" s="206" t="s">
        <v>139</v>
      </c>
      <c r="AQ516" s="207">
        <v>0</v>
      </c>
      <c r="AR516" s="211"/>
      <c r="AS516" s="297">
        <f>+IF(Table1[[#This Row],[Column40]]="ok",Table1[[#This Row],[Column7]],0)</f>
        <v>948.9</v>
      </c>
      <c r="AT516" s="295">
        <f>+IF(Table1[[#This Row],[Column40]]="No",Table1[[#This Row],[Column7]],0)</f>
        <v>0</v>
      </c>
      <c r="AU516" s="4" t="str">
        <f>+IF(LEFT(Table1[[#This Row],[Column42]],2)="DN",IF(Table1[[#This Row],[Column40]]="ok","(CA)",_xlfn.CONCAT("(CA)",CHAR(10),"FAIL")),"")</f>
        <v/>
      </c>
      <c r="AV516" s="154" t="str">
        <f>+IF(Table1[[#This Row],[Column6]]=0,"",_xlfn.CONCAT("Sem ",WEEKNUM(Table1[[#This Row],[Column6]],2)))</f>
        <v>Sem 13</v>
      </c>
      <c r="AW516" s="211"/>
    </row>
    <row r="517" spans="2:49" ht="19.5" customHeight="1" x14ac:dyDescent="0.3">
      <c r="B517" s="356" t="s">
        <v>827</v>
      </c>
      <c r="C517" s="331"/>
      <c r="D517" s="332" t="s">
        <v>766</v>
      </c>
      <c r="E517" s="332" t="s">
        <v>133</v>
      </c>
      <c r="F517" s="333"/>
      <c r="G517" s="334">
        <v>46105</v>
      </c>
      <c r="H517" s="335">
        <v>1024.24</v>
      </c>
      <c r="I517" s="336">
        <v>336.74</v>
      </c>
      <c r="J517" s="337">
        <v>2549.92</v>
      </c>
      <c r="K517" s="338" t="s">
        <v>236</v>
      </c>
      <c r="L517" s="339" t="s">
        <v>242</v>
      </c>
      <c r="M517" s="340">
        <v>30</v>
      </c>
      <c r="N517" s="341">
        <v>85462</v>
      </c>
      <c r="O517" s="332">
        <v>59.78</v>
      </c>
      <c r="P517" s="342">
        <v>13.8</v>
      </c>
      <c r="Q517" s="343">
        <v>12.279704377487221</v>
      </c>
      <c r="R517" s="344">
        <v>1.7355008787346224</v>
      </c>
      <c r="S517" s="344">
        <v>1.7589999999999999</v>
      </c>
      <c r="T517" s="344">
        <v>1.9750000000000001</v>
      </c>
      <c r="U517" s="344" t="s">
        <v>136</v>
      </c>
      <c r="V517" s="332" t="s">
        <v>137</v>
      </c>
      <c r="W517" s="345">
        <v>8</v>
      </c>
      <c r="X517" s="346">
        <v>4</v>
      </c>
      <c r="Y517" s="208">
        <v>2.8069999999999999</v>
      </c>
      <c r="Z517" s="332"/>
      <c r="AA517" s="342"/>
      <c r="AB517" s="342"/>
      <c r="AC517" s="342"/>
      <c r="AD517" s="347"/>
      <c r="AE517" s="348">
        <v>1.6879999999999999</v>
      </c>
      <c r="AF517" s="349">
        <v>0</v>
      </c>
      <c r="AG517" s="350"/>
      <c r="AH517" s="351" t="s">
        <v>139</v>
      </c>
      <c r="AI517" s="352" t="s">
        <v>139</v>
      </c>
      <c r="AJ517" s="206" t="s">
        <v>139</v>
      </c>
      <c r="AK517" s="353" t="s">
        <v>821</v>
      </c>
      <c r="AL517" s="206" t="s">
        <v>139</v>
      </c>
      <c r="AM517" s="349">
        <v>102.81403310039232</v>
      </c>
      <c r="AN517" s="354" t="s">
        <v>139</v>
      </c>
      <c r="AO517" s="355" t="s">
        <v>140</v>
      </c>
      <c r="AP517" s="206" t="s">
        <v>139</v>
      </c>
      <c r="AQ517" s="207">
        <v>0</v>
      </c>
      <c r="AR517" s="211"/>
      <c r="AS517" s="297">
        <f>+IF(Table1[[#This Row],[Column40]]="ok",Table1[[#This Row],[Column7]],0)</f>
        <v>1024.24</v>
      </c>
      <c r="AT517" s="295">
        <f>+IF(Table1[[#This Row],[Column40]]="No",Table1[[#This Row],[Column7]],0)</f>
        <v>0</v>
      </c>
      <c r="AU517" s="4" t="str">
        <f>+IF(LEFT(Table1[[#This Row],[Column42]],2)="DN",IF(Table1[[#This Row],[Column40]]="ok","(CA)",_xlfn.CONCAT("(CA)",CHAR(10),"FAIL")),"")</f>
        <v/>
      </c>
      <c r="AV517" s="154" t="str">
        <f>+IF(Table1[[#This Row],[Column6]]=0,"",_xlfn.CONCAT("Sem ",WEEKNUM(Table1[[#This Row],[Column6]],2)))</f>
        <v>Sem 13</v>
      </c>
      <c r="AW517" s="211"/>
    </row>
    <row r="518" spans="2:49" ht="19.5" customHeight="1" x14ac:dyDescent="0.3">
      <c r="B518" s="356" t="s">
        <v>828</v>
      </c>
      <c r="C518" s="331"/>
      <c r="D518" s="332" t="s">
        <v>766</v>
      </c>
      <c r="E518" s="332" t="s">
        <v>133</v>
      </c>
      <c r="F518" s="333"/>
      <c r="G518" s="334">
        <v>46105</v>
      </c>
      <c r="H518" s="335">
        <v>984.3</v>
      </c>
      <c r="I518" s="336">
        <v>384.46</v>
      </c>
      <c r="J518" s="337">
        <v>2535.0100000000002</v>
      </c>
      <c r="K518" s="338" t="s">
        <v>236</v>
      </c>
      <c r="L518" s="339" t="s">
        <v>280</v>
      </c>
      <c r="M518" s="340">
        <v>30</v>
      </c>
      <c r="N518" s="341">
        <v>85462</v>
      </c>
      <c r="O518" s="332">
        <v>59.78</v>
      </c>
      <c r="P518" s="342">
        <v>13</v>
      </c>
      <c r="Q518" s="343">
        <v>13.243873978996511</v>
      </c>
      <c r="R518" s="344">
        <v>1.717699115044248</v>
      </c>
      <c r="S518" s="344">
        <v>1.714</v>
      </c>
      <c r="T518" s="344">
        <v>1.9410000000000001</v>
      </c>
      <c r="U518" s="344" t="s">
        <v>136</v>
      </c>
      <c r="V518" s="332" t="s">
        <v>137</v>
      </c>
      <c r="W518" s="345">
        <v>8</v>
      </c>
      <c r="X518" s="346">
        <v>4</v>
      </c>
      <c r="Y518" s="208">
        <v>2.8069999999999999</v>
      </c>
      <c r="Z518" s="332"/>
      <c r="AA518" s="342"/>
      <c r="AB518" s="342"/>
      <c r="AC518" s="342"/>
      <c r="AD518" s="347"/>
      <c r="AE518" s="348">
        <v>1.6879999999999999</v>
      </c>
      <c r="AF518" s="349">
        <v>0</v>
      </c>
      <c r="AG518" s="350"/>
      <c r="AH518" s="351" t="s">
        <v>139</v>
      </c>
      <c r="AI518" s="352" t="s">
        <v>139</v>
      </c>
      <c r="AJ518" s="206" t="s">
        <v>139</v>
      </c>
      <c r="AK518" s="353" t="s">
        <v>821</v>
      </c>
      <c r="AL518" s="206" t="s">
        <v>139</v>
      </c>
      <c r="AM518" s="349">
        <v>101.75942624669716</v>
      </c>
      <c r="AN518" s="354" t="s">
        <v>139</v>
      </c>
      <c r="AO518" s="355" t="s">
        <v>140</v>
      </c>
      <c r="AP518" s="206" t="s">
        <v>139</v>
      </c>
      <c r="AQ518" s="207">
        <v>0</v>
      </c>
      <c r="AR518" s="211"/>
      <c r="AS518" s="297">
        <f>+IF(Table1[[#This Row],[Column40]]="ok",Table1[[#This Row],[Column7]],0)</f>
        <v>984.3</v>
      </c>
      <c r="AT518" s="295">
        <f>+IF(Table1[[#This Row],[Column40]]="No",Table1[[#This Row],[Column7]],0)</f>
        <v>0</v>
      </c>
      <c r="AU518" s="4" t="str">
        <f>+IF(LEFT(Table1[[#This Row],[Column42]],2)="DN",IF(Table1[[#This Row],[Column40]]="ok","(CA)",_xlfn.CONCAT("(CA)",CHAR(10),"FAIL")),"")</f>
        <v/>
      </c>
      <c r="AV518" s="154" t="str">
        <f>+IF(Table1[[#This Row],[Column6]]=0,"",_xlfn.CONCAT("Sem ",WEEKNUM(Table1[[#This Row],[Column6]],2)))</f>
        <v>Sem 13</v>
      </c>
      <c r="AW518" s="211"/>
    </row>
    <row r="519" spans="2:49" ht="19.5" customHeight="1" x14ac:dyDescent="0.3">
      <c r="B519" s="356" t="s">
        <v>829</v>
      </c>
      <c r="C519" s="331"/>
      <c r="D519" s="332" t="s">
        <v>766</v>
      </c>
      <c r="E519" s="332" t="s">
        <v>133</v>
      </c>
      <c r="F519" s="333"/>
      <c r="G519" s="334">
        <v>46105</v>
      </c>
      <c r="H519" s="335">
        <v>49.36</v>
      </c>
      <c r="I519" s="336">
        <v>41.61</v>
      </c>
      <c r="J519" s="337">
        <v>2634.67</v>
      </c>
      <c r="K519" s="338" t="s">
        <v>356</v>
      </c>
      <c r="L519" s="339" t="s">
        <v>830</v>
      </c>
      <c r="M519" s="340">
        <v>30</v>
      </c>
      <c r="N519" s="341">
        <v>85462</v>
      </c>
      <c r="O519" s="332">
        <v>59.78</v>
      </c>
      <c r="P519" s="342">
        <v>11.700000000000001</v>
      </c>
      <c r="Q519" s="343">
        <v>12.057142857142855</v>
      </c>
      <c r="R519" s="344">
        <v>1.755595344673232</v>
      </c>
      <c r="S519" s="344">
        <v>1.75</v>
      </c>
      <c r="T519" s="344">
        <v>1.9610000000000001</v>
      </c>
      <c r="U519" s="344" t="s">
        <v>136</v>
      </c>
      <c r="V519" s="332" t="s">
        <v>194</v>
      </c>
      <c r="W519" s="345" t="s">
        <v>195</v>
      </c>
      <c r="X519" s="346">
        <v>3</v>
      </c>
      <c r="Y519" s="208">
        <v>2.8069999999999999</v>
      </c>
      <c r="Z519" s="332"/>
      <c r="AA519" s="342"/>
      <c r="AB519" s="342"/>
      <c r="AC519" s="342"/>
      <c r="AD519" s="347"/>
      <c r="AE519" s="348">
        <v>1.7070000000000001</v>
      </c>
      <c r="AF519" s="349">
        <v>0</v>
      </c>
      <c r="AG519" s="350"/>
      <c r="AH519" s="351" t="s">
        <v>139</v>
      </c>
      <c r="AI519" s="352" t="s">
        <v>139</v>
      </c>
      <c r="AJ519" s="206" t="s">
        <v>139</v>
      </c>
      <c r="AK519" s="353" t="s">
        <v>662</v>
      </c>
      <c r="AL519" s="206" t="s">
        <v>139</v>
      </c>
      <c r="AM519" s="349">
        <v>102.8468274559597</v>
      </c>
      <c r="AN519" s="354" t="s">
        <v>139</v>
      </c>
      <c r="AO519" s="355" t="s">
        <v>140</v>
      </c>
      <c r="AP519" s="206" t="s">
        <v>139</v>
      </c>
      <c r="AQ519" s="207">
        <v>0</v>
      </c>
      <c r="AR519" s="211"/>
      <c r="AS519" s="297">
        <f>+IF(Table1[[#This Row],[Column40]]="ok",Table1[[#This Row],[Column7]],0)</f>
        <v>49.36</v>
      </c>
      <c r="AT519" s="295">
        <f>+IF(Table1[[#This Row],[Column40]]="No",Table1[[#This Row],[Column7]],0)</f>
        <v>0</v>
      </c>
      <c r="AU519" s="4" t="str">
        <f>+IF(LEFT(Table1[[#This Row],[Column42]],2)="DN",IF(Table1[[#This Row],[Column40]]="ok","(CA)",_xlfn.CONCAT("(CA)",CHAR(10),"FAIL")),"")</f>
        <v/>
      </c>
      <c r="AV519" s="154" t="str">
        <f>+IF(Table1[[#This Row],[Column6]]=0,"",_xlfn.CONCAT("Sem ",WEEKNUM(Table1[[#This Row],[Column6]],2)))</f>
        <v>Sem 13</v>
      </c>
      <c r="AW519" s="211"/>
    </row>
    <row r="520" spans="2:49" ht="19.5" customHeight="1" x14ac:dyDescent="0.3">
      <c r="B520" s="356" t="s">
        <v>831</v>
      </c>
      <c r="C520" s="331"/>
      <c r="D520" s="332" t="s">
        <v>766</v>
      </c>
      <c r="E520" s="332" t="s">
        <v>176</v>
      </c>
      <c r="F520" s="333"/>
      <c r="G520" s="334">
        <v>46105</v>
      </c>
      <c r="H520" s="335">
        <v>1137.74</v>
      </c>
      <c r="I520" s="336">
        <v>234.38</v>
      </c>
      <c r="J520" s="337">
        <v>2576.85</v>
      </c>
      <c r="K520" s="338" t="s">
        <v>208</v>
      </c>
      <c r="L520" s="339" t="s">
        <v>209</v>
      </c>
      <c r="M520" s="340">
        <v>30</v>
      </c>
      <c r="N520" s="341">
        <v>88653</v>
      </c>
      <c r="O520" s="332">
        <v>58</v>
      </c>
      <c r="P520" s="342">
        <v>11.600000000000001</v>
      </c>
      <c r="Q520" s="343">
        <v>11.944444444444446</v>
      </c>
      <c r="R520" s="344">
        <v>1.8055555555555556</v>
      </c>
      <c r="S520" s="344">
        <v>1.8</v>
      </c>
      <c r="T520" s="344">
        <v>2.0150000000000001</v>
      </c>
      <c r="U520" s="344" t="s">
        <v>136</v>
      </c>
      <c r="V520" s="332" t="s">
        <v>137</v>
      </c>
      <c r="W520" s="345">
        <v>8</v>
      </c>
      <c r="X520" s="346">
        <v>4</v>
      </c>
      <c r="Y520" s="208">
        <v>2.8069999999999999</v>
      </c>
      <c r="Z520" s="332"/>
      <c r="AA520" s="342"/>
      <c r="AB520" s="342"/>
      <c r="AC520" s="342"/>
      <c r="AD520" s="347"/>
      <c r="AE520" s="348">
        <v>1.7307890926303404</v>
      </c>
      <c r="AF520" s="349">
        <v>16.256701093687461</v>
      </c>
      <c r="AG520" s="350"/>
      <c r="AH520" s="351">
        <v>1.7268041237113401</v>
      </c>
      <c r="AI520" s="352">
        <v>2.0099999999999998</v>
      </c>
      <c r="AJ520" s="206">
        <v>16.400000000000002</v>
      </c>
      <c r="AK520" s="353" t="s">
        <v>181</v>
      </c>
      <c r="AL520" s="206">
        <v>-0.14329890631254116</v>
      </c>
      <c r="AM520" s="349">
        <v>104.3197905073223</v>
      </c>
      <c r="AN520" s="354" t="s">
        <v>139</v>
      </c>
      <c r="AO520" s="355" t="s">
        <v>140</v>
      </c>
      <c r="AP520" s="206" t="s">
        <v>139</v>
      </c>
      <c r="AQ520" s="207" t="s">
        <v>832</v>
      </c>
      <c r="AR520" s="211"/>
      <c r="AS520" s="297">
        <f>+IF(Table1[[#This Row],[Column40]]="ok",Table1[[#This Row],[Column7]],0)</f>
        <v>1137.74</v>
      </c>
      <c r="AT520" s="295">
        <f>+IF(Table1[[#This Row],[Column40]]="No",Table1[[#This Row],[Column7]],0)</f>
        <v>0</v>
      </c>
      <c r="AU520" s="4" t="str">
        <f>+IF(LEFT(Table1[[#This Row],[Column42]],2)="DN",IF(Table1[[#This Row],[Column40]]="ok","(CA)",_xlfn.CONCAT("(CA)",CHAR(10),"FAIL")),"")</f>
        <v/>
      </c>
      <c r="AV520" s="154" t="str">
        <f>+IF(Table1[[#This Row],[Column6]]=0,"",_xlfn.CONCAT("Sem ",WEEKNUM(Table1[[#This Row],[Column6]],2)))</f>
        <v>Sem 13</v>
      </c>
      <c r="AW520" s="211"/>
    </row>
    <row r="521" spans="2:49" ht="19.5" customHeight="1" x14ac:dyDescent="0.3">
      <c r="B521" s="356" t="s">
        <v>832</v>
      </c>
      <c r="C521" s="331"/>
      <c r="D521" s="332" t="s">
        <v>766</v>
      </c>
      <c r="E521" s="332" t="s">
        <v>176</v>
      </c>
      <c r="F521" s="333"/>
      <c r="G521" s="334">
        <v>46105</v>
      </c>
      <c r="H521" s="335">
        <v>1137.74</v>
      </c>
      <c r="I521" s="336">
        <v>234.38</v>
      </c>
      <c r="J521" s="337">
        <v>2576.85</v>
      </c>
      <c r="K521" s="338" t="s">
        <v>208</v>
      </c>
      <c r="L521" s="339" t="s">
        <v>209</v>
      </c>
      <c r="M521" s="340">
        <v>15</v>
      </c>
      <c r="N521" s="341"/>
      <c r="O521" s="332"/>
      <c r="P521" s="342">
        <v>11.639654809513774</v>
      </c>
      <c r="Q521" s="343"/>
      <c r="R521" s="344">
        <v>1.7645821507493877</v>
      </c>
      <c r="S521" s="344"/>
      <c r="T521" s="344">
        <v>1.9699734219269103</v>
      </c>
      <c r="U521" s="344" t="s">
        <v>142</v>
      </c>
      <c r="V521" s="332" t="s">
        <v>137</v>
      </c>
      <c r="W521" s="345" t="s">
        <v>173</v>
      </c>
      <c r="X521" s="346" t="s">
        <v>680</v>
      </c>
      <c r="Y521" s="208"/>
      <c r="Z521" s="332" t="s">
        <v>227</v>
      </c>
      <c r="AA521" s="342">
        <v>98.3792885708272</v>
      </c>
      <c r="AB521" s="342">
        <v>79.435908229846348</v>
      </c>
      <c r="AC521" s="342">
        <v>39.82319511681753</v>
      </c>
      <c r="AD521" s="347">
        <v>13.302462639444357</v>
      </c>
      <c r="AE521" s="348">
        <v>1.7307890926303404</v>
      </c>
      <c r="AF521" s="349">
        <v>16.256701093687461</v>
      </c>
      <c r="AG521" s="350" t="s">
        <v>181</v>
      </c>
      <c r="AH521" s="351">
        <v>1.7270146470722392</v>
      </c>
      <c r="AI521" s="352">
        <v>2.0096051227321237</v>
      </c>
      <c r="AJ521" s="206">
        <v>16.362946089597578</v>
      </c>
      <c r="AK521" s="353" t="s">
        <v>181</v>
      </c>
      <c r="AL521" s="206">
        <v>-0.10624499591011727</v>
      </c>
      <c r="AM521" s="349">
        <v>101.95246539644474</v>
      </c>
      <c r="AN521" s="354" t="s">
        <v>139</v>
      </c>
      <c r="AO521" s="355" t="s">
        <v>144</v>
      </c>
      <c r="AP521" s="206">
        <v>0</v>
      </c>
      <c r="AQ521" s="207" t="s">
        <v>831</v>
      </c>
      <c r="AR521" s="211"/>
      <c r="AS521" s="297">
        <f>+IF(Table1[[#This Row],[Column40]]="ok",Table1[[#This Row],[Column7]],0)</f>
        <v>1137.74</v>
      </c>
      <c r="AT521" s="295">
        <f>+IF(Table1[[#This Row],[Column40]]="No",Table1[[#This Row],[Column7]],0)</f>
        <v>0</v>
      </c>
      <c r="AU521" s="4" t="str">
        <f>+IF(LEFT(Table1[[#This Row],[Column42]],2)="DN",IF(Table1[[#This Row],[Column40]]="ok","(CA)",_xlfn.CONCAT("(CA)",CHAR(10),"FAIL")),"")</f>
        <v>(CA)</v>
      </c>
      <c r="AV521" s="154" t="str">
        <f>+IF(Table1[[#This Row],[Column6]]=0,"",_xlfn.CONCAT("Sem ",WEEKNUM(Table1[[#This Row],[Column6]],2)))</f>
        <v>Sem 13</v>
      </c>
      <c r="AW521" s="211"/>
    </row>
    <row r="522" spans="2:49" ht="19.5" customHeight="1" x14ac:dyDescent="0.3">
      <c r="B522" s="356" t="s">
        <v>833</v>
      </c>
      <c r="C522" s="331"/>
      <c r="D522" s="332" t="s">
        <v>766</v>
      </c>
      <c r="E522" s="332" t="s">
        <v>176</v>
      </c>
      <c r="F522" s="333"/>
      <c r="G522" s="334">
        <v>46105</v>
      </c>
      <c r="H522" s="335">
        <v>1189.94</v>
      </c>
      <c r="I522" s="336">
        <v>214.09</v>
      </c>
      <c r="J522" s="337">
        <v>2583.25</v>
      </c>
      <c r="K522" s="338" t="s">
        <v>208</v>
      </c>
      <c r="L522" s="339" t="s">
        <v>254</v>
      </c>
      <c r="M522" s="340">
        <v>30</v>
      </c>
      <c r="N522" s="341">
        <v>88653</v>
      </c>
      <c r="O522" s="332">
        <v>58</v>
      </c>
      <c r="P522" s="342">
        <v>11.200000000000001</v>
      </c>
      <c r="Q522" s="343">
        <v>11.501416430594901</v>
      </c>
      <c r="R522" s="344">
        <v>1.7697841726618704</v>
      </c>
      <c r="S522" s="344">
        <v>1.7649999999999999</v>
      </c>
      <c r="T522" s="344">
        <v>1.968</v>
      </c>
      <c r="U522" s="344" t="s">
        <v>136</v>
      </c>
      <c r="V522" s="332" t="s">
        <v>137</v>
      </c>
      <c r="W522" s="345">
        <v>8</v>
      </c>
      <c r="X522" s="346">
        <v>4</v>
      </c>
      <c r="Y522" s="208">
        <v>2.8069999999999999</v>
      </c>
      <c r="Z522" s="332"/>
      <c r="AA522" s="342"/>
      <c r="AB522" s="342"/>
      <c r="AC522" s="342"/>
      <c r="AD522" s="347"/>
      <c r="AE522" s="348">
        <v>1.6879999999999999</v>
      </c>
      <c r="AF522" s="349">
        <v>0</v>
      </c>
      <c r="AG522" s="350"/>
      <c r="AH522" s="351" t="s">
        <v>139</v>
      </c>
      <c r="AI522" s="352" t="s">
        <v>139</v>
      </c>
      <c r="AJ522" s="206" t="s">
        <v>139</v>
      </c>
      <c r="AK522" s="353" t="s">
        <v>821</v>
      </c>
      <c r="AL522" s="206" t="s">
        <v>139</v>
      </c>
      <c r="AM522" s="349">
        <v>104.84503392546627</v>
      </c>
      <c r="AN522" s="354" t="s">
        <v>139</v>
      </c>
      <c r="AO522" s="355" t="s">
        <v>140</v>
      </c>
      <c r="AP522" s="206" t="s">
        <v>139</v>
      </c>
      <c r="AQ522" s="207">
        <v>0</v>
      </c>
      <c r="AR522" s="211"/>
      <c r="AS522" s="297">
        <f>+IF(Table1[[#This Row],[Column40]]="ok",Table1[[#This Row],[Column7]],0)</f>
        <v>1189.94</v>
      </c>
      <c r="AT522" s="295">
        <f>+IF(Table1[[#This Row],[Column40]]="No",Table1[[#This Row],[Column7]],0)</f>
        <v>0</v>
      </c>
      <c r="AU522" s="4" t="str">
        <f>+IF(LEFT(Table1[[#This Row],[Column42]],2)="DN",IF(Table1[[#This Row],[Column40]]="ok","(CA)",_xlfn.CONCAT("(CA)",CHAR(10),"FAIL")),"")</f>
        <v/>
      </c>
      <c r="AV522" s="154" t="str">
        <f>+IF(Table1[[#This Row],[Column6]]=0,"",_xlfn.CONCAT("Sem ",WEEKNUM(Table1[[#This Row],[Column6]],2)))</f>
        <v>Sem 13</v>
      </c>
      <c r="AW522" s="211"/>
    </row>
    <row r="523" spans="2:49" ht="19.5" customHeight="1" x14ac:dyDescent="0.3">
      <c r="B523" s="356" t="s">
        <v>834</v>
      </c>
      <c r="C523" s="331"/>
      <c r="D523" s="332" t="s">
        <v>766</v>
      </c>
      <c r="E523" s="332" t="s">
        <v>176</v>
      </c>
      <c r="F523" s="333"/>
      <c r="G523" s="334">
        <v>46105</v>
      </c>
      <c r="H523" s="335">
        <v>1249.98</v>
      </c>
      <c r="I523" s="336">
        <v>196.74</v>
      </c>
      <c r="J523" s="337">
        <v>2587.52</v>
      </c>
      <c r="K523" s="338" t="s">
        <v>208</v>
      </c>
      <c r="L523" s="339" t="s">
        <v>212</v>
      </c>
      <c r="M523" s="340">
        <v>30</v>
      </c>
      <c r="N523" s="341">
        <v>88653</v>
      </c>
      <c r="O523" s="332">
        <v>58</v>
      </c>
      <c r="P523" s="342">
        <v>10.9</v>
      </c>
      <c r="Q523" s="343">
        <v>12.114285714285721</v>
      </c>
      <c r="R523" s="344">
        <v>1.7691614066726782</v>
      </c>
      <c r="S523" s="344">
        <v>1.75</v>
      </c>
      <c r="T523" s="344">
        <v>1.962</v>
      </c>
      <c r="U523" s="344" t="s">
        <v>136</v>
      </c>
      <c r="V523" s="332" t="s">
        <v>137</v>
      </c>
      <c r="W523" s="345">
        <v>8</v>
      </c>
      <c r="X523" s="346">
        <v>4</v>
      </c>
      <c r="Y523" s="208">
        <v>2.8069999999999999</v>
      </c>
      <c r="Z523" s="332"/>
      <c r="AA523" s="342"/>
      <c r="AB523" s="342"/>
      <c r="AC523" s="342"/>
      <c r="AD523" s="347"/>
      <c r="AE523" s="348">
        <v>1.6879999999999999</v>
      </c>
      <c r="AF523" s="349">
        <v>0</v>
      </c>
      <c r="AG523" s="350"/>
      <c r="AH523" s="351" t="s">
        <v>139</v>
      </c>
      <c r="AI523" s="352" t="s">
        <v>139</v>
      </c>
      <c r="AJ523" s="206" t="s">
        <v>139</v>
      </c>
      <c r="AK523" s="353" t="s">
        <v>821</v>
      </c>
      <c r="AL523" s="206" t="s">
        <v>139</v>
      </c>
      <c r="AM523" s="349">
        <v>104.80814020572737</v>
      </c>
      <c r="AN523" s="354" t="s">
        <v>139</v>
      </c>
      <c r="AO523" s="355" t="s">
        <v>140</v>
      </c>
      <c r="AP523" s="206" t="s">
        <v>139</v>
      </c>
      <c r="AQ523" s="207">
        <v>0</v>
      </c>
      <c r="AR523" s="211"/>
      <c r="AS523" s="297">
        <f>+IF(Table1[[#This Row],[Column40]]="ok",Table1[[#This Row],[Column7]],0)</f>
        <v>1249.98</v>
      </c>
      <c r="AT523" s="295">
        <f>+IF(Table1[[#This Row],[Column40]]="No",Table1[[#This Row],[Column7]],0)</f>
        <v>0</v>
      </c>
      <c r="AU523" s="4" t="str">
        <f>+IF(LEFT(Table1[[#This Row],[Column42]],2)="DN",IF(Table1[[#This Row],[Column40]]="ok","(CA)",_xlfn.CONCAT("(CA)",CHAR(10),"FAIL")),"")</f>
        <v/>
      </c>
      <c r="AV523" s="154" t="str">
        <f>+IF(Table1[[#This Row],[Column6]]=0,"",_xlfn.CONCAT("Sem ",WEEKNUM(Table1[[#This Row],[Column6]],2)))</f>
        <v>Sem 13</v>
      </c>
      <c r="AW523" s="211"/>
    </row>
    <row r="524" spans="2:49" ht="19.5" customHeight="1" x14ac:dyDescent="0.3">
      <c r="B524" s="356" t="s">
        <v>835</v>
      </c>
      <c r="C524" s="331"/>
      <c r="D524" s="332" t="s">
        <v>766</v>
      </c>
      <c r="E524" s="332" t="s">
        <v>176</v>
      </c>
      <c r="F524" s="333"/>
      <c r="G524" s="334">
        <v>46105</v>
      </c>
      <c r="H524" s="335">
        <v>1263.22</v>
      </c>
      <c r="I524" s="336">
        <v>299.82</v>
      </c>
      <c r="J524" s="337">
        <v>2558.16</v>
      </c>
      <c r="K524" s="338" t="s">
        <v>253</v>
      </c>
      <c r="L524" s="339" t="s">
        <v>212</v>
      </c>
      <c r="M524" s="340">
        <v>30</v>
      </c>
      <c r="N524" s="341">
        <v>88653</v>
      </c>
      <c r="O524" s="332">
        <v>58</v>
      </c>
      <c r="P524" s="342">
        <v>10.7</v>
      </c>
      <c r="Q524" s="343">
        <v>11.2405358182877</v>
      </c>
      <c r="R524" s="344">
        <v>1.7253839205058716</v>
      </c>
      <c r="S524" s="344">
        <v>1.7170000000000001</v>
      </c>
      <c r="T524" s="344">
        <v>1.91</v>
      </c>
      <c r="U524" s="344" t="s">
        <v>136</v>
      </c>
      <c r="V524" s="332" t="s">
        <v>137</v>
      </c>
      <c r="W524" s="345">
        <v>8</v>
      </c>
      <c r="X524" s="346">
        <v>4</v>
      </c>
      <c r="Y524" s="208">
        <v>2.8069999999999999</v>
      </c>
      <c r="Z524" s="332"/>
      <c r="AA524" s="342"/>
      <c r="AB524" s="342"/>
      <c r="AC524" s="342"/>
      <c r="AD524" s="347"/>
      <c r="AE524" s="348">
        <v>1.6879999999999999</v>
      </c>
      <c r="AF524" s="349">
        <v>0</v>
      </c>
      <c r="AG524" s="350"/>
      <c r="AH524" s="351" t="s">
        <v>139</v>
      </c>
      <c r="AI524" s="352" t="s">
        <v>139</v>
      </c>
      <c r="AJ524" s="206" t="s">
        <v>139</v>
      </c>
      <c r="AK524" s="353" t="s">
        <v>821</v>
      </c>
      <c r="AL524" s="206" t="s">
        <v>139</v>
      </c>
      <c r="AM524" s="349">
        <v>102.21468723376017</v>
      </c>
      <c r="AN524" s="354" t="s">
        <v>139</v>
      </c>
      <c r="AO524" s="355" t="s">
        <v>140</v>
      </c>
      <c r="AP524" s="206" t="s">
        <v>139</v>
      </c>
      <c r="AQ524" s="207">
        <v>0</v>
      </c>
      <c r="AR524" s="211"/>
      <c r="AS524" s="297">
        <f>+IF(Table1[[#This Row],[Column40]]="ok",Table1[[#This Row],[Column7]],0)</f>
        <v>1263.22</v>
      </c>
      <c r="AT524" s="295">
        <f>+IF(Table1[[#This Row],[Column40]]="No",Table1[[#This Row],[Column7]],0)</f>
        <v>0</v>
      </c>
      <c r="AU524" s="4" t="str">
        <f>+IF(LEFT(Table1[[#This Row],[Column42]],2)="DN",IF(Table1[[#This Row],[Column40]]="ok","(CA)",_xlfn.CONCAT("(CA)",CHAR(10),"FAIL")),"")</f>
        <v/>
      </c>
      <c r="AV524" s="154" t="str">
        <f>+IF(Table1[[#This Row],[Column6]]=0,"",_xlfn.CONCAT("Sem ",WEEKNUM(Table1[[#This Row],[Column6]],2)))</f>
        <v>Sem 13</v>
      </c>
      <c r="AW524" s="211"/>
    </row>
    <row r="525" spans="2:49" ht="19.5" customHeight="1" x14ac:dyDescent="0.3">
      <c r="B525" s="356" t="s">
        <v>836</v>
      </c>
      <c r="C525" s="331"/>
      <c r="D525" s="332" t="s">
        <v>766</v>
      </c>
      <c r="E525" s="332" t="s">
        <v>176</v>
      </c>
      <c r="F525" s="333"/>
      <c r="G525" s="334">
        <v>46105</v>
      </c>
      <c r="H525" s="335">
        <v>1208.54</v>
      </c>
      <c r="I525" s="336">
        <v>311.45999999999998</v>
      </c>
      <c r="J525" s="337">
        <v>2556.56</v>
      </c>
      <c r="K525" s="338" t="s">
        <v>253</v>
      </c>
      <c r="L525" s="339" t="s">
        <v>609</v>
      </c>
      <c r="M525" s="340">
        <v>30</v>
      </c>
      <c r="N525" s="341">
        <v>88653</v>
      </c>
      <c r="O525" s="332">
        <v>58</v>
      </c>
      <c r="P525" s="342">
        <v>11.899999999999999</v>
      </c>
      <c r="Q525" s="343">
        <v>13.233601841196773</v>
      </c>
      <c r="R525" s="344">
        <v>1.7587131367292226</v>
      </c>
      <c r="S525" s="344">
        <v>1.738</v>
      </c>
      <c r="T525" s="344">
        <v>1.968</v>
      </c>
      <c r="U525" s="344" t="s">
        <v>136</v>
      </c>
      <c r="V525" s="332" t="s">
        <v>137</v>
      </c>
      <c r="W525" s="345">
        <v>8</v>
      </c>
      <c r="X525" s="346">
        <v>4</v>
      </c>
      <c r="Y525" s="208">
        <v>2.8069999999999999</v>
      </c>
      <c r="Z525" s="332"/>
      <c r="AA525" s="342"/>
      <c r="AB525" s="342"/>
      <c r="AC525" s="342"/>
      <c r="AD525" s="347"/>
      <c r="AE525" s="348">
        <v>1.6879999999999999</v>
      </c>
      <c r="AF525" s="349">
        <v>0</v>
      </c>
      <c r="AG525" s="350"/>
      <c r="AH525" s="351" t="s">
        <v>139</v>
      </c>
      <c r="AI525" s="352" t="s">
        <v>139</v>
      </c>
      <c r="AJ525" s="206" t="s">
        <v>139</v>
      </c>
      <c r="AK525" s="353" t="s">
        <v>821</v>
      </c>
      <c r="AL525" s="206" t="s">
        <v>139</v>
      </c>
      <c r="AM525" s="349">
        <v>104.18916686784495</v>
      </c>
      <c r="AN525" s="354" t="s">
        <v>139</v>
      </c>
      <c r="AO525" s="355" t="s">
        <v>140</v>
      </c>
      <c r="AP525" s="206" t="s">
        <v>139</v>
      </c>
      <c r="AQ525" s="207">
        <v>0</v>
      </c>
      <c r="AR525" s="211"/>
      <c r="AS525" s="297">
        <f>+IF(Table1[[#This Row],[Column40]]="ok",Table1[[#This Row],[Column7]],0)</f>
        <v>1208.54</v>
      </c>
      <c r="AT525" s="295">
        <f>+IF(Table1[[#This Row],[Column40]]="No",Table1[[#This Row],[Column7]],0)</f>
        <v>0</v>
      </c>
      <c r="AU525" s="4" t="str">
        <f>+IF(LEFT(Table1[[#This Row],[Column42]],2)="DN",IF(Table1[[#This Row],[Column40]]="ok","(CA)",_xlfn.CONCAT("(CA)",CHAR(10),"FAIL")),"")</f>
        <v/>
      </c>
      <c r="AV525" s="154" t="str">
        <f>+IF(Table1[[#This Row],[Column6]]=0,"",_xlfn.CONCAT("Sem ",WEEKNUM(Table1[[#This Row],[Column6]],2)))</f>
        <v>Sem 13</v>
      </c>
      <c r="AW525" s="211"/>
    </row>
    <row r="526" spans="2:49" ht="19.5" customHeight="1" x14ac:dyDescent="0.3">
      <c r="B526" s="356" t="s">
        <v>837</v>
      </c>
      <c r="C526" s="331"/>
      <c r="D526" s="332" t="s">
        <v>766</v>
      </c>
      <c r="E526" s="332" t="s">
        <v>176</v>
      </c>
      <c r="F526" s="333"/>
      <c r="G526" s="334">
        <v>46105</v>
      </c>
      <c r="H526" s="335">
        <v>1142.08</v>
      </c>
      <c r="I526" s="336">
        <v>317.72000000000003</v>
      </c>
      <c r="J526" s="337">
        <v>2555.1799999999998</v>
      </c>
      <c r="K526" s="338" t="s">
        <v>253</v>
      </c>
      <c r="L526" s="339" t="s">
        <v>209</v>
      </c>
      <c r="M526" s="340">
        <v>30</v>
      </c>
      <c r="N526" s="341">
        <v>88653</v>
      </c>
      <c r="O526" s="332">
        <v>58</v>
      </c>
      <c r="P526" s="342">
        <v>11</v>
      </c>
      <c r="Q526" s="343">
        <v>10.657193605683823</v>
      </c>
      <c r="R526" s="344">
        <v>1.6837837837837837</v>
      </c>
      <c r="S526" s="344">
        <v>1.6890000000000001</v>
      </c>
      <c r="T526" s="344">
        <v>1.869</v>
      </c>
      <c r="U526" s="344" t="s">
        <v>136</v>
      </c>
      <c r="V526" s="332" t="s">
        <v>137</v>
      </c>
      <c r="W526" s="345">
        <v>8</v>
      </c>
      <c r="X526" s="346">
        <v>4</v>
      </c>
      <c r="Y526" s="208">
        <v>2.8069999999999999</v>
      </c>
      <c r="Z526" s="332"/>
      <c r="AA526" s="342"/>
      <c r="AB526" s="342"/>
      <c r="AC526" s="342"/>
      <c r="AD526" s="347"/>
      <c r="AE526" s="348">
        <v>1.6879999999999999</v>
      </c>
      <c r="AF526" s="349">
        <v>0</v>
      </c>
      <c r="AG526" s="350"/>
      <c r="AH526" s="351" t="s">
        <v>139</v>
      </c>
      <c r="AI526" s="352" t="s">
        <v>139</v>
      </c>
      <c r="AJ526" s="206" t="s">
        <v>139</v>
      </c>
      <c r="AK526" s="353" t="s">
        <v>821</v>
      </c>
      <c r="AL526" s="206" t="s">
        <v>139</v>
      </c>
      <c r="AM526" s="349">
        <v>99.750224157807082</v>
      </c>
      <c r="AN526" s="354" t="s">
        <v>139</v>
      </c>
      <c r="AO526" s="355" t="s">
        <v>140</v>
      </c>
      <c r="AP526" s="206" t="s">
        <v>139</v>
      </c>
      <c r="AQ526" s="207">
        <v>0</v>
      </c>
      <c r="AR526" s="211"/>
      <c r="AS526" s="297">
        <f>+IF(Table1[[#This Row],[Column40]]="ok",Table1[[#This Row],[Column7]],0)</f>
        <v>1142.08</v>
      </c>
      <c r="AT526" s="295">
        <f>+IF(Table1[[#This Row],[Column40]]="No",Table1[[#This Row],[Column7]],0)</f>
        <v>0</v>
      </c>
      <c r="AU526" s="4" t="str">
        <f>+IF(LEFT(Table1[[#This Row],[Column42]],2)="DN",IF(Table1[[#This Row],[Column40]]="ok","(CA)",_xlfn.CONCAT("(CA)",CHAR(10),"FAIL")),"")</f>
        <v/>
      </c>
      <c r="AV526" s="154" t="str">
        <f>+IF(Table1[[#This Row],[Column6]]=0,"",_xlfn.CONCAT("Sem ",WEEKNUM(Table1[[#This Row],[Column6]],2)))</f>
        <v>Sem 13</v>
      </c>
      <c r="AW526" s="211"/>
    </row>
    <row r="527" spans="2:49" ht="19.5" customHeight="1" x14ac:dyDescent="0.3">
      <c r="B527" s="356" t="s">
        <v>838</v>
      </c>
      <c r="C527" s="331"/>
      <c r="D527" s="332" t="s">
        <v>766</v>
      </c>
      <c r="E527" s="332" t="s">
        <v>176</v>
      </c>
      <c r="F527" s="333"/>
      <c r="G527" s="334">
        <v>46105</v>
      </c>
      <c r="H527" s="335">
        <v>1105.5899999999999</v>
      </c>
      <c r="I527" s="336">
        <v>426.02</v>
      </c>
      <c r="J527" s="337">
        <v>2521.63</v>
      </c>
      <c r="K527" s="338" t="s">
        <v>236</v>
      </c>
      <c r="L527" s="339" t="s">
        <v>247</v>
      </c>
      <c r="M527" s="340">
        <v>30</v>
      </c>
      <c r="N527" s="341">
        <v>88653</v>
      </c>
      <c r="O527" s="332">
        <v>58</v>
      </c>
      <c r="P527" s="342">
        <v>11</v>
      </c>
      <c r="Q527" s="343">
        <v>10.838562464346847</v>
      </c>
      <c r="R527" s="344">
        <v>1.7504504504504503</v>
      </c>
      <c r="S527" s="344">
        <v>1.7529999999999999</v>
      </c>
      <c r="T527" s="344">
        <v>1.9430000000000001</v>
      </c>
      <c r="U527" s="344" t="s">
        <v>136</v>
      </c>
      <c r="V527" s="332" t="s">
        <v>137</v>
      </c>
      <c r="W527" s="345">
        <v>8</v>
      </c>
      <c r="X527" s="346">
        <v>4</v>
      </c>
      <c r="Y527" s="208">
        <v>2.8069999999999999</v>
      </c>
      <c r="Z527" s="332"/>
      <c r="AA527" s="342"/>
      <c r="AB527" s="342"/>
      <c r="AC527" s="342"/>
      <c r="AD527" s="347"/>
      <c r="AE527" s="348">
        <v>1.6879999999999999</v>
      </c>
      <c r="AF527" s="349">
        <v>0</v>
      </c>
      <c r="AG527" s="350"/>
      <c r="AH527" s="351" t="s">
        <v>139</v>
      </c>
      <c r="AI527" s="352" t="s">
        <v>139</v>
      </c>
      <c r="AJ527" s="206" t="s">
        <v>139</v>
      </c>
      <c r="AK527" s="353" t="s">
        <v>821</v>
      </c>
      <c r="AL527" s="206" t="s">
        <v>139</v>
      </c>
      <c r="AM527" s="349">
        <v>103.69967123521626</v>
      </c>
      <c r="AN527" s="354" t="s">
        <v>139</v>
      </c>
      <c r="AO527" s="355" t="s">
        <v>140</v>
      </c>
      <c r="AP527" s="206" t="s">
        <v>139</v>
      </c>
      <c r="AQ527" s="207">
        <v>0</v>
      </c>
      <c r="AR527" s="211"/>
      <c r="AS527" s="297">
        <f>+IF(Table1[[#This Row],[Column40]]="ok",Table1[[#This Row],[Column7]],0)</f>
        <v>1105.5899999999999</v>
      </c>
      <c r="AT527" s="295">
        <f>+IF(Table1[[#This Row],[Column40]]="No",Table1[[#This Row],[Column7]],0)</f>
        <v>0</v>
      </c>
      <c r="AU527" s="4" t="str">
        <f>+IF(LEFT(Table1[[#This Row],[Column42]],2)="DN",IF(Table1[[#This Row],[Column40]]="ok","(CA)",_xlfn.CONCAT("(CA)",CHAR(10),"FAIL")),"")</f>
        <v/>
      </c>
      <c r="AV527" s="154" t="str">
        <f>+IF(Table1[[#This Row],[Column6]]=0,"",_xlfn.CONCAT("Sem ",WEEKNUM(Table1[[#This Row],[Column6]],2)))</f>
        <v>Sem 13</v>
      </c>
      <c r="AW527" s="211"/>
    </row>
    <row r="528" spans="2:49" ht="19.5" customHeight="1" x14ac:dyDescent="0.3">
      <c r="B528" s="356" t="s">
        <v>839</v>
      </c>
      <c r="C528" s="331"/>
      <c r="D528" s="332" t="s">
        <v>766</v>
      </c>
      <c r="E528" s="332" t="s">
        <v>176</v>
      </c>
      <c r="F528" s="333"/>
      <c r="G528" s="334">
        <v>46105</v>
      </c>
      <c r="H528" s="335">
        <v>994.34</v>
      </c>
      <c r="I528" s="336">
        <v>420.09</v>
      </c>
      <c r="J528" s="337">
        <v>2524.5300000000002</v>
      </c>
      <c r="K528" s="338" t="s">
        <v>236</v>
      </c>
      <c r="L528" s="339" t="s">
        <v>242</v>
      </c>
      <c r="M528" s="340">
        <v>30</v>
      </c>
      <c r="N528" s="341">
        <v>88653</v>
      </c>
      <c r="O528" s="332">
        <v>58</v>
      </c>
      <c r="P528" s="342">
        <v>12.5</v>
      </c>
      <c r="Q528" s="343">
        <v>11.683848797250862</v>
      </c>
      <c r="R528" s="344">
        <v>1.7333333333333334</v>
      </c>
      <c r="S528" s="344">
        <v>1.746</v>
      </c>
      <c r="T528" s="344">
        <v>1.95</v>
      </c>
      <c r="U528" s="344" t="s">
        <v>136</v>
      </c>
      <c r="V528" s="332" t="s">
        <v>137</v>
      </c>
      <c r="W528" s="345">
        <v>8</v>
      </c>
      <c r="X528" s="346">
        <v>4</v>
      </c>
      <c r="Y528" s="208">
        <v>2.8069999999999999</v>
      </c>
      <c r="Z528" s="332"/>
      <c r="AA528" s="342"/>
      <c r="AB528" s="342"/>
      <c r="AC528" s="342"/>
      <c r="AD528" s="347"/>
      <c r="AE528" s="348">
        <v>1.6879999999999999</v>
      </c>
      <c r="AF528" s="349">
        <v>0</v>
      </c>
      <c r="AG528" s="350"/>
      <c r="AH528" s="351" t="s">
        <v>139</v>
      </c>
      <c r="AI528" s="352" t="s">
        <v>139</v>
      </c>
      <c r="AJ528" s="206" t="s">
        <v>139</v>
      </c>
      <c r="AK528" s="353" t="s">
        <v>821</v>
      </c>
      <c r="AL528" s="206" t="s">
        <v>139</v>
      </c>
      <c r="AM528" s="349">
        <v>102.68562401263823</v>
      </c>
      <c r="AN528" s="354" t="s">
        <v>139</v>
      </c>
      <c r="AO528" s="355" t="s">
        <v>140</v>
      </c>
      <c r="AP528" s="206" t="s">
        <v>139</v>
      </c>
      <c r="AQ528" s="207">
        <v>0</v>
      </c>
      <c r="AR528" s="211"/>
      <c r="AS528" s="297">
        <f>+IF(Table1[[#This Row],[Column40]]="ok",Table1[[#This Row],[Column7]],0)</f>
        <v>994.34</v>
      </c>
      <c r="AT528" s="295">
        <f>+IF(Table1[[#This Row],[Column40]]="No",Table1[[#This Row],[Column7]],0)</f>
        <v>0</v>
      </c>
      <c r="AU528" s="4" t="str">
        <f>+IF(LEFT(Table1[[#This Row],[Column42]],2)="DN",IF(Table1[[#This Row],[Column40]]="ok","(CA)",_xlfn.CONCAT("(CA)",CHAR(10),"FAIL")),"")</f>
        <v/>
      </c>
      <c r="AV528" s="154" t="str">
        <f>+IF(Table1[[#This Row],[Column6]]=0,"",_xlfn.CONCAT("Sem ",WEEKNUM(Table1[[#This Row],[Column6]],2)))</f>
        <v>Sem 13</v>
      </c>
      <c r="AW528" s="211"/>
    </row>
    <row r="529" spans="2:49" ht="19.5" customHeight="1" x14ac:dyDescent="0.3">
      <c r="B529" s="356" t="s">
        <v>840</v>
      </c>
      <c r="C529" s="331"/>
      <c r="D529" s="332" t="s">
        <v>766</v>
      </c>
      <c r="E529" s="332" t="s">
        <v>176</v>
      </c>
      <c r="F529" s="333"/>
      <c r="G529" s="334">
        <v>46105</v>
      </c>
      <c r="H529" s="335">
        <v>915.14</v>
      </c>
      <c r="I529" s="336">
        <v>389.41</v>
      </c>
      <c r="J529" s="337">
        <v>2533.14</v>
      </c>
      <c r="K529" s="338" t="s">
        <v>290</v>
      </c>
      <c r="L529" s="339" t="s">
        <v>311</v>
      </c>
      <c r="M529" s="340">
        <v>30</v>
      </c>
      <c r="N529" s="341">
        <v>88653</v>
      </c>
      <c r="O529" s="332">
        <v>58</v>
      </c>
      <c r="P529" s="342">
        <v>12.4</v>
      </c>
      <c r="Q529" s="343">
        <v>12.018946121965657</v>
      </c>
      <c r="R529" s="344">
        <v>1.683274021352313</v>
      </c>
      <c r="S529" s="344">
        <v>1.6890000000000001</v>
      </c>
      <c r="T529" s="344">
        <v>1.8919999999999999</v>
      </c>
      <c r="U529" s="344" t="s">
        <v>136</v>
      </c>
      <c r="V529" s="332" t="s">
        <v>137</v>
      </c>
      <c r="W529" s="345">
        <v>8</v>
      </c>
      <c r="X529" s="346">
        <v>4</v>
      </c>
      <c r="Y529" s="208">
        <v>2.8069999999999999</v>
      </c>
      <c r="Z529" s="332"/>
      <c r="AA529" s="342"/>
      <c r="AB529" s="342"/>
      <c r="AC529" s="342"/>
      <c r="AD529" s="347"/>
      <c r="AE529" s="348">
        <v>1.6879999999999999</v>
      </c>
      <c r="AF529" s="349">
        <v>0</v>
      </c>
      <c r="AG529" s="350"/>
      <c r="AH529" s="351" t="s">
        <v>139</v>
      </c>
      <c r="AI529" s="352" t="s">
        <v>139</v>
      </c>
      <c r="AJ529" s="206" t="s">
        <v>139</v>
      </c>
      <c r="AK529" s="353" t="s">
        <v>821</v>
      </c>
      <c r="AL529" s="206" t="s">
        <v>139</v>
      </c>
      <c r="AM529" s="349">
        <v>99.720024961629917</v>
      </c>
      <c r="AN529" s="354" t="s">
        <v>139</v>
      </c>
      <c r="AO529" s="355" t="s">
        <v>140</v>
      </c>
      <c r="AP529" s="206" t="s">
        <v>139</v>
      </c>
      <c r="AQ529" s="207">
        <v>0</v>
      </c>
      <c r="AR529" s="211"/>
      <c r="AS529" s="297">
        <f>+IF(Table1[[#This Row],[Column40]]="ok",Table1[[#This Row],[Column7]],0)</f>
        <v>915.14</v>
      </c>
      <c r="AT529" s="295">
        <f>+IF(Table1[[#This Row],[Column40]]="No",Table1[[#This Row],[Column7]],0)</f>
        <v>0</v>
      </c>
      <c r="AU529" s="4" t="str">
        <f>+IF(LEFT(Table1[[#This Row],[Column42]],2)="DN",IF(Table1[[#This Row],[Column40]]="ok","(CA)",_xlfn.CONCAT("(CA)",CHAR(10),"FAIL")),"")</f>
        <v/>
      </c>
      <c r="AV529" s="154" t="str">
        <f>+IF(Table1[[#This Row],[Column6]]=0,"",_xlfn.CONCAT("Sem ",WEEKNUM(Table1[[#This Row],[Column6]],2)))</f>
        <v>Sem 13</v>
      </c>
      <c r="AW529" s="211"/>
    </row>
    <row r="530" spans="2:49" ht="19.5" customHeight="1" x14ac:dyDescent="0.3">
      <c r="B530" s="356" t="s">
        <v>841</v>
      </c>
      <c r="C530" s="331"/>
      <c r="D530" s="332" t="s">
        <v>766</v>
      </c>
      <c r="E530" s="332" t="s">
        <v>176</v>
      </c>
      <c r="F530" s="333"/>
      <c r="G530" s="334">
        <v>46105</v>
      </c>
      <c r="H530" s="335">
        <v>1092.26</v>
      </c>
      <c r="I530" s="336">
        <v>538.33000000000004</v>
      </c>
      <c r="J530" s="337">
        <v>2487.3200000000002</v>
      </c>
      <c r="K530" s="338" t="s">
        <v>244</v>
      </c>
      <c r="L530" s="339" t="s">
        <v>249</v>
      </c>
      <c r="M530" s="340">
        <v>30</v>
      </c>
      <c r="N530" s="341">
        <v>88653</v>
      </c>
      <c r="O530" s="332">
        <v>58</v>
      </c>
      <c r="P530" s="342">
        <v>9.1</v>
      </c>
      <c r="Q530" s="343">
        <v>10.37296037296036</v>
      </c>
      <c r="R530" s="344">
        <v>1.7360219981668195</v>
      </c>
      <c r="S530" s="344">
        <v>1.716</v>
      </c>
      <c r="T530" s="344">
        <v>1.8939999999999999</v>
      </c>
      <c r="U530" s="344" t="s">
        <v>136</v>
      </c>
      <c r="V530" s="332" t="s">
        <v>137</v>
      </c>
      <c r="W530" s="345">
        <v>8</v>
      </c>
      <c r="X530" s="346">
        <v>4</v>
      </c>
      <c r="Y530" s="208">
        <v>2.8069999999999999</v>
      </c>
      <c r="Z530" s="332"/>
      <c r="AA530" s="342"/>
      <c r="AB530" s="342"/>
      <c r="AC530" s="342"/>
      <c r="AD530" s="347"/>
      <c r="AE530" s="348">
        <v>1.6879999999999999</v>
      </c>
      <c r="AF530" s="349">
        <v>0</v>
      </c>
      <c r="AG530" s="350"/>
      <c r="AH530" s="351" t="s">
        <v>139</v>
      </c>
      <c r="AI530" s="352" t="s">
        <v>139</v>
      </c>
      <c r="AJ530" s="206" t="s">
        <v>139</v>
      </c>
      <c r="AK530" s="353" t="s">
        <v>821</v>
      </c>
      <c r="AL530" s="206" t="s">
        <v>139</v>
      </c>
      <c r="AM530" s="349">
        <v>102.84490510466939</v>
      </c>
      <c r="AN530" s="354" t="s">
        <v>139</v>
      </c>
      <c r="AO530" s="355" t="s">
        <v>140</v>
      </c>
      <c r="AP530" s="206" t="s">
        <v>139</v>
      </c>
      <c r="AQ530" s="207">
        <v>0</v>
      </c>
      <c r="AR530" s="211"/>
      <c r="AS530" s="297">
        <f>+IF(Table1[[#This Row],[Column40]]="ok",Table1[[#This Row],[Column7]],0)</f>
        <v>1092.26</v>
      </c>
      <c r="AT530" s="295">
        <f>+IF(Table1[[#This Row],[Column40]]="No",Table1[[#This Row],[Column7]],0)</f>
        <v>0</v>
      </c>
      <c r="AU530" s="4" t="str">
        <f>+IF(LEFT(Table1[[#This Row],[Column42]],2)="DN",IF(Table1[[#This Row],[Column40]]="ok","(CA)",_xlfn.CONCAT("(CA)",CHAR(10),"FAIL")),"")</f>
        <v/>
      </c>
      <c r="AV530" s="154" t="str">
        <f>+IF(Table1[[#This Row],[Column6]]=0,"",_xlfn.CONCAT("Sem ",WEEKNUM(Table1[[#This Row],[Column6]],2)))</f>
        <v>Sem 13</v>
      </c>
      <c r="AW530" s="211"/>
    </row>
    <row r="531" spans="2:49" ht="19.5" customHeight="1" x14ac:dyDescent="0.3">
      <c r="B531" s="356" t="s">
        <v>842</v>
      </c>
      <c r="C531" s="331"/>
      <c r="D531" s="332" t="s">
        <v>766</v>
      </c>
      <c r="E531" s="332" t="s">
        <v>176</v>
      </c>
      <c r="F531" s="333"/>
      <c r="G531" s="334">
        <v>46105</v>
      </c>
      <c r="H531" s="335">
        <v>1021.01</v>
      </c>
      <c r="I531" s="336">
        <v>573.19000000000005</v>
      </c>
      <c r="J531" s="337">
        <v>2478.38</v>
      </c>
      <c r="K531" s="338" t="s">
        <v>244</v>
      </c>
      <c r="L531" s="339" t="s">
        <v>242</v>
      </c>
      <c r="M531" s="340">
        <v>30</v>
      </c>
      <c r="N531" s="341">
        <v>88653</v>
      </c>
      <c r="O531" s="332">
        <v>58</v>
      </c>
      <c r="P531" s="342">
        <v>12.5</v>
      </c>
      <c r="Q531" s="343">
        <v>13.360091743119273</v>
      </c>
      <c r="R531" s="344">
        <v>1.7573333333333334</v>
      </c>
      <c r="S531" s="344">
        <v>1.744</v>
      </c>
      <c r="T531" s="344">
        <v>1.9770000000000001</v>
      </c>
      <c r="U531" s="344" t="s">
        <v>136</v>
      </c>
      <c r="V531" s="332" t="s">
        <v>137</v>
      </c>
      <c r="W531" s="345">
        <v>8</v>
      </c>
      <c r="X531" s="346">
        <v>4</v>
      </c>
      <c r="Y531" s="208">
        <v>2.8069999999999999</v>
      </c>
      <c r="Z531" s="332"/>
      <c r="AA531" s="342"/>
      <c r="AB531" s="342"/>
      <c r="AC531" s="342"/>
      <c r="AD531" s="347"/>
      <c r="AE531" s="348">
        <v>1.716</v>
      </c>
      <c r="AF531" s="349">
        <v>16.600000000000001</v>
      </c>
      <c r="AG531" s="350"/>
      <c r="AH531" s="351">
        <v>1.715391229578676</v>
      </c>
      <c r="AI531" s="352">
        <v>1.9950000000000001</v>
      </c>
      <c r="AJ531" s="206">
        <v>16.3</v>
      </c>
      <c r="AK531" s="353" t="s">
        <v>467</v>
      </c>
      <c r="AL531" s="206">
        <v>0.30000000000000071</v>
      </c>
      <c r="AM531" s="349">
        <v>102.40870240870241</v>
      </c>
      <c r="AN531" s="354" t="s">
        <v>139</v>
      </c>
      <c r="AO531" s="355" t="s">
        <v>140</v>
      </c>
      <c r="AP531" s="206" t="s">
        <v>139</v>
      </c>
      <c r="AQ531" s="207" t="s">
        <v>843</v>
      </c>
      <c r="AR531" s="211"/>
      <c r="AS531" s="297">
        <f>+IF(Table1[[#This Row],[Column40]]="ok",Table1[[#This Row],[Column7]],0)</f>
        <v>1021.01</v>
      </c>
      <c r="AT531" s="295">
        <f>+IF(Table1[[#This Row],[Column40]]="No",Table1[[#This Row],[Column7]],0)</f>
        <v>0</v>
      </c>
      <c r="AU531" s="4" t="str">
        <f>+IF(LEFT(Table1[[#This Row],[Column42]],2)="DN",IF(Table1[[#This Row],[Column40]]="ok","(CA)",_xlfn.CONCAT("(CA)",CHAR(10),"FAIL")),"")</f>
        <v/>
      </c>
      <c r="AV531" s="154" t="str">
        <f>+IF(Table1[[#This Row],[Column6]]=0,"",_xlfn.CONCAT("Sem ",WEEKNUM(Table1[[#This Row],[Column6]],2)))</f>
        <v>Sem 13</v>
      </c>
      <c r="AW531" s="211"/>
    </row>
    <row r="532" spans="2:49" ht="19.5" customHeight="1" x14ac:dyDescent="0.3">
      <c r="B532" s="356" t="s">
        <v>843</v>
      </c>
      <c r="C532" s="331"/>
      <c r="D532" s="332" t="s">
        <v>766</v>
      </c>
      <c r="E532" s="332" t="s">
        <v>745</v>
      </c>
      <c r="F532" s="333"/>
      <c r="G532" s="334">
        <v>46105</v>
      </c>
      <c r="H532" s="335">
        <v>1021.01</v>
      </c>
      <c r="I532" s="336">
        <v>573.19000000000005</v>
      </c>
      <c r="J532" s="337">
        <v>2478.38</v>
      </c>
      <c r="K532" s="338" t="s">
        <v>244</v>
      </c>
      <c r="L532" s="339" t="s">
        <v>242</v>
      </c>
      <c r="M532" s="340">
        <v>15</v>
      </c>
      <c r="N532" s="341"/>
      <c r="O532" s="332"/>
      <c r="P532" s="342">
        <v>12.46552675124104</v>
      </c>
      <c r="Q532" s="343"/>
      <c r="R532" s="344">
        <v>1.7372148446793649</v>
      </c>
      <c r="S532" s="344"/>
      <c r="T532" s="344">
        <v>1.9537678258694018</v>
      </c>
      <c r="U532" s="344" t="s">
        <v>142</v>
      </c>
      <c r="V532" s="332" t="s">
        <v>137</v>
      </c>
      <c r="W532" s="345" t="s">
        <v>173</v>
      </c>
      <c r="X532" s="346" t="s">
        <v>680</v>
      </c>
      <c r="Y532" s="208"/>
      <c r="Z532" s="332" t="s">
        <v>143</v>
      </c>
      <c r="AA532" s="342">
        <v>98.893958599951816</v>
      </c>
      <c r="AB532" s="342">
        <v>73.616866115923784</v>
      </c>
      <c r="AC532" s="342">
        <v>32.288685021440386</v>
      </c>
      <c r="AD532" s="347">
        <v>8.2255404155140184</v>
      </c>
      <c r="AE532" s="348">
        <v>1.716</v>
      </c>
      <c r="AF532" s="349">
        <v>16.600000000000001</v>
      </c>
      <c r="AG532" s="350" t="s">
        <v>467</v>
      </c>
      <c r="AH532" s="351">
        <v>1.7149609616356798</v>
      </c>
      <c r="AI532" s="352">
        <v>1.9946638207043756</v>
      </c>
      <c r="AJ532" s="206">
        <v>16.309575863576715</v>
      </c>
      <c r="AK532" s="353" t="s">
        <v>467</v>
      </c>
      <c r="AL532" s="206">
        <v>0.29042413642328668</v>
      </c>
      <c r="AM532" s="349">
        <v>101.2362963099863</v>
      </c>
      <c r="AN532" s="354" t="s">
        <v>139</v>
      </c>
      <c r="AO532" s="355" t="s">
        <v>144</v>
      </c>
      <c r="AP532" s="206">
        <v>0</v>
      </c>
      <c r="AQ532" s="207" t="s">
        <v>842</v>
      </c>
      <c r="AR532" s="211"/>
      <c r="AS532" s="297">
        <f>+IF(Table1[[#This Row],[Column40]]="ok",Table1[[#This Row],[Column7]],0)</f>
        <v>1021.01</v>
      </c>
      <c r="AT532" s="295">
        <f>+IF(Table1[[#This Row],[Column40]]="No",Table1[[#This Row],[Column7]],0)</f>
        <v>0</v>
      </c>
      <c r="AU532" s="4" t="str">
        <f>+IF(LEFT(Table1[[#This Row],[Column42]],2)="DN",IF(Table1[[#This Row],[Column40]]="ok","(CA)",_xlfn.CONCAT("(CA)",CHAR(10),"FAIL")),"")</f>
        <v>(CA)</v>
      </c>
      <c r="AV532" s="154" t="str">
        <f>+IF(Table1[[#This Row],[Column6]]=0,"",_xlfn.CONCAT("Sem ",WEEKNUM(Table1[[#This Row],[Column6]],2)))</f>
        <v>Sem 13</v>
      </c>
      <c r="AW532" s="211"/>
    </row>
    <row r="533" spans="2:49" ht="19.5" customHeight="1" x14ac:dyDescent="0.3">
      <c r="B533" s="356" t="s">
        <v>844</v>
      </c>
      <c r="C533" s="331"/>
      <c r="D533" s="332" t="s">
        <v>766</v>
      </c>
      <c r="E533" s="332" t="s">
        <v>176</v>
      </c>
      <c r="F533" s="333"/>
      <c r="G533" s="334">
        <v>46105</v>
      </c>
      <c r="H533" s="335">
        <v>950.19</v>
      </c>
      <c r="I533" s="336">
        <v>494.23</v>
      </c>
      <c r="J533" s="337">
        <v>2502.4499999999998</v>
      </c>
      <c r="K533" s="338" t="s">
        <v>236</v>
      </c>
      <c r="L533" s="339" t="s">
        <v>237</v>
      </c>
      <c r="M533" s="340">
        <v>30</v>
      </c>
      <c r="N533" s="341">
        <v>88653</v>
      </c>
      <c r="O533" s="332">
        <v>58</v>
      </c>
      <c r="P533" s="342">
        <v>9.7000000000000011</v>
      </c>
      <c r="Q533" s="343">
        <v>11.12426035502958</v>
      </c>
      <c r="R533" s="344">
        <v>1.7119416590701915</v>
      </c>
      <c r="S533" s="344">
        <v>1.69</v>
      </c>
      <c r="T533" s="344">
        <v>1.8779999999999999</v>
      </c>
      <c r="U533" s="344" t="s">
        <v>136</v>
      </c>
      <c r="V533" s="332" t="s">
        <v>137</v>
      </c>
      <c r="W533" s="345">
        <v>8</v>
      </c>
      <c r="X533" s="346">
        <v>4</v>
      </c>
      <c r="Y533" s="208">
        <v>2.8069999999999999</v>
      </c>
      <c r="Z533" s="332"/>
      <c r="AA533" s="342"/>
      <c r="AB533" s="342"/>
      <c r="AC533" s="342"/>
      <c r="AD533" s="347"/>
      <c r="AE533" s="348">
        <v>1.6879999999999999</v>
      </c>
      <c r="AF533" s="349">
        <v>0</v>
      </c>
      <c r="AG533" s="350"/>
      <c r="AH533" s="351" t="s">
        <v>139</v>
      </c>
      <c r="AI533" s="352" t="s">
        <v>139</v>
      </c>
      <c r="AJ533" s="206" t="s">
        <v>139</v>
      </c>
      <c r="AK533" s="353" t="s">
        <v>821</v>
      </c>
      <c r="AL533" s="206" t="s">
        <v>139</v>
      </c>
      <c r="AM533" s="349">
        <v>101.41834473164641</v>
      </c>
      <c r="AN533" s="354" t="s">
        <v>139</v>
      </c>
      <c r="AO533" s="355" t="s">
        <v>140</v>
      </c>
      <c r="AP533" s="206" t="s">
        <v>139</v>
      </c>
      <c r="AQ533" s="207">
        <v>0</v>
      </c>
      <c r="AR533" s="211"/>
      <c r="AS533" s="297">
        <f>+IF(Table1[[#This Row],[Column40]]="ok",Table1[[#This Row],[Column7]],0)</f>
        <v>950.19</v>
      </c>
      <c r="AT533" s="295">
        <f>+IF(Table1[[#This Row],[Column40]]="No",Table1[[#This Row],[Column7]],0)</f>
        <v>0</v>
      </c>
      <c r="AU533" s="4" t="str">
        <f>+IF(LEFT(Table1[[#This Row],[Column42]],2)="DN",IF(Table1[[#This Row],[Column40]]="ok","(CA)",_xlfn.CONCAT("(CA)",CHAR(10),"FAIL")),"")</f>
        <v/>
      </c>
      <c r="AV533" s="154" t="str">
        <f>+IF(Table1[[#This Row],[Column6]]=0,"",_xlfn.CONCAT("Sem ",WEEKNUM(Table1[[#This Row],[Column6]],2)))</f>
        <v>Sem 13</v>
      </c>
      <c r="AW533" s="211"/>
    </row>
    <row r="534" spans="2:49" ht="19.5" customHeight="1" x14ac:dyDescent="0.3">
      <c r="B534" s="356" t="s">
        <v>845</v>
      </c>
      <c r="C534" s="331"/>
      <c r="D534" s="332" t="s">
        <v>766</v>
      </c>
      <c r="E534" s="332" t="s">
        <v>176</v>
      </c>
      <c r="F534" s="333"/>
      <c r="G534" s="334">
        <v>46105</v>
      </c>
      <c r="H534" s="335">
        <v>969.3</v>
      </c>
      <c r="I534" s="336">
        <v>614.03</v>
      </c>
      <c r="J534" s="337">
        <v>2468.31</v>
      </c>
      <c r="K534" s="338" t="s">
        <v>244</v>
      </c>
      <c r="L534" s="339" t="s">
        <v>280</v>
      </c>
      <c r="M534" s="340">
        <v>30</v>
      </c>
      <c r="N534" s="341">
        <v>88653</v>
      </c>
      <c r="O534" s="332">
        <v>58</v>
      </c>
      <c r="P534" s="342">
        <v>11.4</v>
      </c>
      <c r="Q534" s="343">
        <v>11.406619385342797</v>
      </c>
      <c r="R534" s="344">
        <v>1.6921005385996408</v>
      </c>
      <c r="S534" s="344">
        <v>1.6919999999999999</v>
      </c>
      <c r="T534" s="344">
        <v>1.885</v>
      </c>
      <c r="U534" s="344" t="s">
        <v>136</v>
      </c>
      <c r="V534" s="332" t="s">
        <v>137</v>
      </c>
      <c r="W534" s="345">
        <v>8</v>
      </c>
      <c r="X534" s="346">
        <v>4</v>
      </c>
      <c r="Y534" s="208">
        <v>2.8069999999999999</v>
      </c>
      <c r="Z534" s="332"/>
      <c r="AA534" s="342"/>
      <c r="AB534" s="342"/>
      <c r="AC534" s="342"/>
      <c r="AD534" s="347"/>
      <c r="AE534" s="348">
        <v>1.6879999999999999</v>
      </c>
      <c r="AF534" s="349">
        <v>0</v>
      </c>
      <c r="AG534" s="350"/>
      <c r="AH534" s="351" t="s">
        <v>139</v>
      </c>
      <c r="AI534" s="352" t="s">
        <v>139</v>
      </c>
      <c r="AJ534" s="206" t="s">
        <v>139</v>
      </c>
      <c r="AK534" s="353" t="s">
        <v>821</v>
      </c>
      <c r="AL534" s="206" t="s">
        <v>139</v>
      </c>
      <c r="AM534" s="349">
        <v>100.24292290282233</v>
      </c>
      <c r="AN534" s="354" t="s">
        <v>139</v>
      </c>
      <c r="AO534" s="355" t="s">
        <v>140</v>
      </c>
      <c r="AP534" s="206" t="s">
        <v>139</v>
      </c>
      <c r="AQ534" s="207">
        <v>0</v>
      </c>
      <c r="AR534" s="211"/>
      <c r="AS534" s="297">
        <f>+IF(Table1[[#This Row],[Column40]]="ok",Table1[[#This Row],[Column7]],0)</f>
        <v>969.3</v>
      </c>
      <c r="AT534" s="295">
        <f>+IF(Table1[[#This Row],[Column40]]="No",Table1[[#This Row],[Column7]],0)</f>
        <v>0</v>
      </c>
      <c r="AU534" s="4" t="str">
        <f>+IF(LEFT(Table1[[#This Row],[Column42]],2)="DN",IF(Table1[[#This Row],[Column40]]="ok","(CA)",_xlfn.CONCAT("(CA)",CHAR(10),"FAIL")),"")</f>
        <v/>
      </c>
      <c r="AV534" s="154" t="str">
        <f>+IF(Table1[[#This Row],[Column6]]=0,"",_xlfn.CONCAT("Sem ",WEEKNUM(Table1[[#This Row],[Column6]],2)))</f>
        <v>Sem 13</v>
      </c>
      <c r="AW534" s="211"/>
    </row>
    <row r="535" spans="2:49" ht="19.5" customHeight="1" x14ac:dyDescent="0.3">
      <c r="B535" s="356" t="s">
        <v>846</v>
      </c>
      <c r="C535" s="331"/>
      <c r="D535" s="332" t="s">
        <v>766</v>
      </c>
      <c r="E535" s="332" t="s">
        <v>176</v>
      </c>
      <c r="F535" s="333"/>
      <c r="G535" s="334">
        <v>46105</v>
      </c>
      <c r="H535" s="335">
        <v>54.34</v>
      </c>
      <c r="I535" s="336">
        <v>48.99</v>
      </c>
      <c r="J535" s="337">
        <v>2634.11</v>
      </c>
      <c r="K535" s="338" t="s">
        <v>356</v>
      </c>
      <c r="L535" s="339" t="s">
        <v>847</v>
      </c>
      <c r="M535" s="340">
        <v>30</v>
      </c>
      <c r="N535" s="341">
        <v>88653</v>
      </c>
      <c r="O535" s="332">
        <v>58</v>
      </c>
      <c r="P535" s="342">
        <v>8.9</v>
      </c>
      <c r="Q535" s="343">
        <v>10.263929618768319</v>
      </c>
      <c r="R535" s="344">
        <v>1.7263544536271809</v>
      </c>
      <c r="S535" s="344">
        <v>1.7050000000000001</v>
      </c>
      <c r="T535" s="344">
        <v>1.88</v>
      </c>
      <c r="U535" s="344" t="s">
        <v>136</v>
      </c>
      <c r="V535" s="332" t="s">
        <v>194</v>
      </c>
      <c r="W535" s="345" t="s">
        <v>195</v>
      </c>
      <c r="X535" s="346">
        <v>3</v>
      </c>
      <c r="Y535" s="208">
        <v>2.8069999999999999</v>
      </c>
      <c r="Z535" s="332"/>
      <c r="AA535" s="342"/>
      <c r="AB535" s="342"/>
      <c r="AC535" s="342"/>
      <c r="AD535" s="347"/>
      <c r="AE535" s="348">
        <v>1.7010000000000001</v>
      </c>
      <c r="AF535" s="349">
        <v>0</v>
      </c>
      <c r="AG535" s="350"/>
      <c r="AH535" s="351" t="s">
        <v>139</v>
      </c>
      <c r="AI535" s="352" t="s">
        <v>139</v>
      </c>
      <c r="AJ535" s="206" t="s">
        <v>139</v>
      </c>
      <c r="AK535" s="353" t="s">
        <v>764</v>
      </c>
      <c r="AL535" s="206" t="s">
        <v>139</v>
      </c>
      <c r="AM535" s="349">
        <v>101.49056164768847</v>
      </c>
      <c r="AN535" s="354" t="s">
        <v>139</v>
      </c>
      <c r="AO535" s="355" t="s">
        <v>140</v>
      </c>
      <c r="AP535" s="206" t="s">
        <v>139</v>
      </c>
      <c r="AQ535" s="207">
        <v>0</v>
      </c>
      <c r="AR535" s="211"/>
      <c r="AS535" s="297">
        <f>+IF(Table1[[#This Row],[Column40]]="ok",Table1[[#This Row],[Column7]],0)</f>
        <v>54.34</v>
      </c>
      <c r="AT535" s="295">
        <f>+IF(Table1[[#This Row],[Column40]]="No",Table1[[#This Row],[Column7]],0)</f>
        <v>0</v>
      </c>
      <c r="AU535" s="4" t="str">
        <f>+IF(LEFT(Table1[[#This Row],[Column42]],2)="DN",IF(Table1[[#This Row],[Column40]]="ok","(CA)",_xlfn.CONCAT("(CA)",CHAR(10),"FAIL")),"")</f>
        <v/>
      </c>
      <c r="AV535" s="154" t="str">
        <f>+IF(Table1[[#This Row],[Column6]]=0,"",_xlfn.CONCAT("Sem ",WEEKNUM(Table1[[#This Row],[Column6]],2)))</f>
        <v>Sem 13</v>
      </c>
      <c r="AW535" s="211"/>
    </row>
    <row r="536" spans="2:49" ht="19.5" customHeight="1" x14ac:dyDescent="0.3">
      <c r="B536" s="356" t="s">
        <v>848</v>
      </c>
      <c r="C536" s="331"/>
      <c r="D536" s="332" t="s">
        <v>766</v>
      </c>
      <c r="E536" s="332" t="s">
        <v>176</v>
      </c>
      <c r="F536" s="333"/>
      <c r="G536" s="334">
        <v>46105</v>
      </c>
      <c r="H536" s="335">
        <v>112.8</v>
      </c>
      <c r="I536" s="336">
        <v>74.77</v>
      </c>
      <c r="J536" s="337">
        <v>2631.79</v>
      </c>
      <c r="K536" s="338" t="s">
        <v>356</v>
      </c>
      <c r="L536" s="339" t="s">
        <v>849</v>
      </c>
      <c r="M536" s="340">
        <v>30</v>
      </c>
      <c r="N536" s="341">
        <v>88653</v>
      </c>
      <c r="O536" s="332">
        <v>58</v>
      </c>
      <c r="P536" s="342">
        <v>10.4</v>
      </c>
      <c r="Q536" s="343">
        <v>9.7254004576659003</v>
      </c>
      <c r="R536" s="344">
        <v>1.73731884057971</v>
      </c>
      <c r="S536" s="344">
        <v>1.748</v>
      </c>
      <c r="T536" s="344">
        <v>1.9179999999999999</v>
      </c>
      <c r="U536" s="344" t="s">
        <v>136</v>
      </c>
      <c r="V536" s="332" t="s">
        <v>137</v>
      </c>
      <c r="W536" s="345">
        <v>8</v>
      </c>
      <c r="X536" s="346">
        <v>4</v>
      </c>
      <c r="Y536" s="208">
        <v>2.8069999999999999</v>
      </c>
      <c r="Z536" s="332"/>
      <c r="AA536" s="342"/>
      <c r="AB536" s="342"/>
      <c r="AC536" s="342"/>
      <c r="AD536" s="347"/>
      <c r="AE536" s="348">
        <v>1.7010000000000001</v>
      </c>
      <c r="AF536" s="349">
        <v>0</v>
      </c>
      <c r="AG536" s="350"/>
      <c r="AH536" s="351" t="s">
        <v>139</v>
      </c>
      <c r="AI536" s="352" t="s">
        <v>139</v>
      </c>
      <c r="AJ536" s="206" t="s">
        <v>139</v>
      </c>
      <c r="AK536" s="353" t="s">
        <v>764</v>
      </c>
      <c r="AL536" s="206" t="s">
        <v>139</v>
      </c>
      <c r="AM536" s="349">
        <v>102.13514641856025</v>
      </c>
      <c r="AN536" s="354" t="s">
        <v>139</v>
      </c>
      <c r="AO536" s="355" t="s">
        <v>140</v>
      </c>
      <c r="AP536" s="206" t="s">
        <v>139</v>
      </c>
      <c r="AQ536" s="207">
        <v>0</v>
      </c>
      <c r="AR536" s="211"/>
      <c r="AS536" s="297">
        <f>+IF(Table1[[#This Row],[Column40]]="ok",Table1[[#This Row],[Column7]],0)</f>
        <v>112.8</v>
      </c>
      <c r="AT536" s="295">
        <f>+IF(Table1[[#This Row],[Column40]]="No",Table1[[#This Row],[Column7]],0)</f>
        <v>0</v>
      </c>
      <c r="AU536" s="4" t="str">
        <f>+IF(LEFT(Table1[[#This Row],[Column42]],2)="DN",IF(Table1[[#This Row],[Column40]]="ok","(CA)",_xlfn.CONCAT("(CA)",CHAR(10),"FAIL")),"")</f>
        <v/>
      </c>
      <c r="AV536" s="154" t="str">
        <f>+IF(Table1[[#This Row],[Column6]]=0,"",_xlfn.CONCAT("Sem ",WEEKNUM(Table1[[#This Row],[Column6]],2)))</f>
        <v>Sem 13</v>
      </c>
      <c r="AW536" s="211"/>
    </row>
    <row r="537" spans="2:49" ht="19.5" customHeight="1" x14ac:dyDescent="0.3">
      <c r="B537" s="356" t="s">
        <v>850</v>
      </c>
      <c r="C537" s="331"/>
      <c r="D537" s="332" t="s">
        <v>766</v>
      </c>
      <c r="E537" s="332" t="s">
        <v>176</v>
      </c>
      <c r="F537" s="333"/>
      <c r="G537" s="334">
        <v>46105</v>
      </c>
      <c r="H537" s="335">
        <v>155.15</v>
      </c>
      <c r="I537" s="336">
        <v>124.21</v>
      </c>
      <c r="J537" s="337">
        <v>2624.28</v>
      </c>
      <c r="K537" s="338" t="s">
        <v>356</v>
      </c>
      <c r="L537" s="339" t="s">
        <v>805</v>
      </c>
      <c r="M537" s="340">
        <v>30</v>
      </c>
      <c r="N537" s="341">
        <v>88653</v>
      </c>
      <c r="O537" s="332">
        <v>58</v>
      </c>
      <c r="P537" s="342">
        <v>8.9</v>
      </c>
      <c r="Q537" s="343">
        <v>10.039931545921288</v>
      </c>
      <c r="R537" s="344">
        <v>1.7713498622589532</v>
      </c>
      <c r="S537" s="344">
        <v>1.7529999999999999</v>
      </c>
      <c r="T537" s="344">
        <v>1.929</v>
      </c>
      <c r="U537" s="344" t="s">
        <v>136</v>
      </c>
      <c r="V537" s="332" t="s">
        <v>137</v>
      </c>
      <c r="W537" s="345">
        <v>8</v>
      </c>
      <c r="X537" s="346">
        <v>4</v>
      </c>
      <c r="Y537" s="208">
        <v>2.8069999999999999</v>
      </c>
      <c r="Z537" s="332"/>
      <c r="AA537" s="342"/>
      <c r="AB537" s="342"/>
      <c r="AC537" s="342"/>
      <c r="AD537" s="347"/>
      <c r="AE537" s="348">
        <v>1.7010000000000001</v>
      </c>
      <c r="AF537" s="349">
        <v>0</v>
      </c>
      <c r="AG537" s="350"/>
      <c r="AH537" s="351" t="s">
        <v>139</v>
      </c>
      <c r="AI537" s="352" t="s">
        <v>139</v>
      </c>
      <c r="AJ537" s="206" t="s">
        <v>139</v>
      </c>
      <c r="AK537" s="353" t="s">
        <v>764</v>
      </c>
      <c r="AL537" s="206" t="s">
        <v>139</v>
      </c>
      <c r="AM537" s="349">
        <v>104.13579437148461</v>
      </c>
      <c r="AN537" s="354" t="s">
        <v>139</v>
      </c>
      <c r="AO537" s="355" t="s">
        <v>140</v>
      </c>
      <c r="AP537" s="206" t="s">
        <v>139</v>
      </c>
      <c r="AQ537" s="207">
        <v>0</v>
      </c>
      <c r="AR537" s="211"/>
      <c r="AS537" s="297">
        <f>+IF(Table1[[#This Row],[Column40]]="ok",Table1[[#This Row],[Column7]],0)</f>
        <v>155.15</v>
      </c>
      <c r="AT537" s="295">
        <f>+IF(Table1[[#This Row],[Column40]]="No",Table1[[#This Row],[Column7]],0)</f>
        <v>0</v>
      </c>
      <c r="AU537" s="4" t="str">
        <f>+IF(LEFT(Table1[[#This Row],[Column42]],2)="DN",IF(Table1[[#This Row],[Column40]]="ok","(CA)",_xlfn.CONCAT("(CA)",CHAR(10),"FAIL")),"")</f>
        <v/>
      </c>
      <c r="AV537" s="154" t="str">
        <f>+IF(Table1[[#This Row],[Column6]]=0,"",_xlfn.CONCAT("Sem ",WEEKNUM(Table1[[#This Row],[Column6]],2)))</f>
        <v>Sem 13</v>
      </c>
      <c r="AW537" s="211"/>
    </row>
    <row r="538" spans="2:49" ht="19.5" customHeight="1" x14ac:dyDescent="0.3">
      <c r="B538" s="356" t="s">
        <v>851</v>
      </c>
      <c r="C538" s="331"/>
      <c r="D538" s="332" t="s">
        <v>766</v>
      </c>
      <c r="E538" s="332" t="s">
        <v>176</v>
      </c>
      <c r="F538" s="333"/>
      <c r="G538" s="334">
        <v>46105</v>
      </c>
      <c r="H538" s="335">
        <v>107.66</v>
      </c>
      <c r="I538" s="336">
        <v>149.75</v>
      </c>
      <c r="J538" s="337">
        <v>2614.7800000000002</v>
      </c>
      <c r="K538" s="338" t="s">
        <v>356</v>
      </c>
      <c r="L538" s="339" t="s">
        <v>849</v>
      </c>
      <c r="M538" s="340">
        <v>30</v>
      </c>
      <c r="N538" s="341">
        <v>88653</v>
      </c>
      <c r="O538" s="332">
        <v>58</v>
      </c>
      <c r="P538" s="342">
        <v>8.4</v>
      </c>
      <c r="Q538" s="343">
        <v>11.063569682151586</v>
      </c>
      <c r="R538" s="344">
        <v>1.6761992619926198</v>
      </c>
      <c r="S538" s="344">
        <v>1.6359999999999999</v>
      </c>
      <c r="T538" s="344">
        <v>1.8169999999999999</v>
      </c>
      <c r="U538" s="344" t="s">
        <v>136</v>
      </c>
      <c r="V538" s="332" t="s">
        <v>137</v>
      </c>
      <c r="W538" s="345">
        <v>8</v>
      </c>
      <c r="X538" s="346">
        <v>4</v>
      </c>
      <c r="Y538" s="208">
        <v>2.8069999999999999</v>
      </c>
      <c r="Z538" s="332"/>
      <c r="AA538" s="342"/>
      <c r="AB538" s="342"/>
      <c r="AC538" s="342"/>
      <c r="AD538" s="347"/>
      <c r="AE538" s="348">
        <v>1.6879999999999999</v>
      </c>
      <c r="AF538" s="349">
        <v>16.5</v>
      </c>
      <c r="AG538" s="350"/>
      <c r="AH538" s="351">
        <v>1.6826758147512866</v>
      </c>
      <c r="AI538" s="352">
        <v>1.962</v>
      </c>
      <c r="AJ538" s="206">
        <v>16.600000000000001</v>
      </c>
      <c r="AK538" s="353" t="s">
        <v>821</v>
      </c>
      <c r="AL538" s="206">
        <v>-0.10000000000000142</v>
      </c>
      <c r="AM538" s="349">
        <v>99.30090414648221</v>
      </c>
      <c r="AN538" s="354" t="s">
        <v>139</v>
      </c>
      <c r="AO538" s="355" t="s">
        <v>140</v>
      </c>
      <c r="AP538" s="206" t="s">
        <v>139</v>
      </c>
      <c r="AQ538" s="207">
        <v>0</v>
      </c>
      <c r="AR538" s="211"/>
      <c r="AS538" s="297">
        <f>+IF(Table1[[#This Row],[Column40]]="ok",Table1[[#This Row],[Column7]],0)</f>
        <v>107.66</v>
      </c>
      <c r="AT538" s="295">
        <f>+IF(Table1[[#This Row],[Column40]]="No",Table1[[#This Row],[Column7]],0)</f>
        <v>0</v>
      </c>
      <c r="AU538" s="4" t="str">
        <f>+IF(LEFT(Table1[[#This Row],[Column42]],2)="DN",IF(Table1[[#This Row],[Column40]]="ok","(CA)",_xlfn.CONCAT("(CA)",CHAR(10),"FAIL")),"")</f>
        <v/>
      </c>
      <c r="AV538" s="154" t="str">
        <f>+IF(Table1[[#This Row],[Column6]]=0,"",_xlfn.CONCAT("Sem ",WEEKNUM(Table1[[#This Row],[Column6]],2)))</f>
        <v>Sem 13</v>
      </c>
      <c r="AW538" s="211"/>
    </row>
    <row r="539" spans="2:49" ht="19.5" customHeight="1" x14ac:dyDescent="0.3">
      <c r="B539" s="356" t="s">
        <v>852</v>
      </c>
      <c r="C539" s="331"/>
      <c r="D539" s="332" t="s">
        <v>766</v>
      </c>
      <c r="E539" s="332" t="s">
        <v>133</v>
      </c>
      <c r="F539" s="333"/>
      <c r="G539" s="334">
        <v>46106</v>
      </c>
      <c r="H539" s="335">
        <v>74.69</v>
      </c>
      <c r="I539" s="336">
        <v>105.54</v>
      </c>
      <c r="J539" s="337">
        <v>2620.34</v>
      </c>
      <c r="K539" s="338" t="s">
        <v>356</v>
      </c>
      <c r="L539" s="339" t="s">
        <v>364</v>
      </c>
      <c r="M539" s="340">
        <v>30</v>
      </c>
      <c r="N539" s="341">
        <v>85462</v>
      </c>
      <c r="O539" s="332">
        <v>59.78</v>
      </c>
      <c r="P539" s="342">
        <v>7.9</v>
      </c>
      <c r="Q539" s="343">
        <v>7.7238150965476926</v>
      </c>
      <c r="R539" s="344">
        <v>1.706209453197405</v>
      </c>
      <c r="S539" s="344">
        <v>1.7090000000000001</v>
      </c>
      <c r="T539" s="344">
        <v>1.841</v>
      </c>
      <c r="U539" s="344" t="s">
        <v>136</v>
      </c>
      <c r="V539" s="332" t="s">
        <v>194</v>
      </c>
      <c r="W539" s="345" t="s">
        <v>195</v>
      </c>
      <c r="X539" s="346">
        <v>3</v>
      </c>
      <c r="Y539" s="208">
        <v>2.8069999999999999</v>
      </c>
      <c r="Z539" s="332"/>
      <c r="AA539" s="342"/>
      <c r="AB539" s="342"/>
      <c r="AC539" s="342"/>
      <c r="AD539" s="347"/>
      <c r="AE539" s="348">
        <v>1.702</v>
      </c>
      <c r="AF539" s="349">
        <v>0</v>
      </c>
      <c r="AG539" s="350"/>
      <c r="AH539" s="351" t="s">
        <v>139</v>
      </c>
      <c r="AI539" s="352" t="s">
        <v>139</v>
      </c>
      <c r="AJ539" s="206" t="s">
        <v>139</v>
      </c>
      <c r="AK539" s="353" t="s">
        <v>662</v>
      </c>
      <c r="AL539" s="206" t="s">
        <v>139</v>
      </c>
      <c r="AM539" s="349">
        <v>100.2473239246419</v>
      </c>
      <c r="AN539" s="354" t="s">
        <v>139</v>
      </c>
      <c r="AO539" s="355" t="s">
        <v>140</v>
      </c>
      <c r="AP539" s="206" t="s">
        <v>139</v>
      </c>
      <c r="AQ539" s="207">
        <v>0</v>
      </c>
      <c r="AR539" s="211"/>
      <c r="AS539" s="297">
        <f>+IF(Table1[[#This Row],[Column40]]="ok",Table1[[#This Row],[Column7]],0)</f>
        <v>74.69</v>
      </c>
      <c r="AT539" s="295">
        <f>+IF(Table1[[#This Row],[Column40]]="No",Table1[[#This Row],[Column7]],0)</f>
        <v>0</v>
      </c>
      <c r="AU539" s="4" t="str">
        <f>+IF(LEFT(Table1[[#This Row],[Column42]],2)="DN",IF(Table1[[#This Row],[Column40]]="ok","(CA)",_xlfn.CONCAT("(CA)",CHAR(10),"FAIL")),"")</f>
        <v/>
      </c>
      <c r="AV539" s="154" t="str">
        <f>+IF(Table1[[#This Row],[Column6]]=0,"",_xlfn.CONCAT("Sem ",WEEKNUM(Table1[[#This Row],[Column6]],2)))</f>
        <v>Sem 13</v>
      </c>
      <c r="AW539" s="211"/>
    </row>
    <row r="540" spans="2:49" ht="19.5" customHeight="1" x14ac:dyDescent="0.3">
      <c r="B540" s="356" t="s">
        <v>853</v>
      </c>
      <c r="C540" s="331"/>
      <c r="D540" s="332" t="s">
        <v>766</v>
      </c>
      <c r="E540" s="332" t="s">
        <v>133</v>
      </c>
      <c r="F540" s="333"/>
      <c r="G540" s="334">
        <v>46106</v>
      </c>
      <c r="H540" s="335">
        <v>1274.21</v>
      </c>
      <c r="I540" s="336">
        <v>351.48</v>
      </c>
      <c r="J540" s="337">
        <v>2542.92</v>
      </c>
      <c r="K540" s="338" t="s">
        <v>253</v>
      </c>
      <c r="L540" s="339" t="s">
        <v>402</v>
      </c>
      <c r="M540" s="340">
        <v>30</v>
      </c>
      <c r="N540" s="341">
        <v>85462</v>
      </c>
      <c r="O540" s="332">
        <v>59.78</v>
      </c>
      <c r="P540" s="342">
        <v>7.1999999999999993</v>
      </c>
      <c r="Q540" s="343">
        <v>9.6231884057971016</v>
      </c>
      <c r="R540" s="344">
        <v>1.7639925373134326</v>
      </c>
      <c r="S540" s="344">
        <v>1.7250000000000001</v>
      </c>
      <c r="T540" s="344">
        <v>1.891</v>
      </c>
      <c r="U540" s="344" t="s">
        <v>136</v>
      </c>
      <c r="V540" s="332" t="s">
        <v>137</v>
      </c>
      <c r="W540" s="345">
        <v>8</v>
      </c>
      <c r="X540" s="346">
        <v>4</v>
      </c>
      <c r="Y540" s="208">
        <v>2.8069999999999999</v>
      </c>
      <c r="Z540" s="332"/>
      <c r="AA540" s="342"/>
      <c r="AB540" s="342"/>
      <c r="AC540" s="342"/>
      <c r="AD540" s="347"/>
      <c r="AE540" s="348">
        <v>1.6879999999999999</v>
      </c>
      <c r="AF540" s="349">
        <v>0</v>
      </c>
      <c r="AG540" s="350"/>
      <c r="AH540" s="351" t="s">
        <v>139</v>
      </c>
      <c r="AI540" s="352" t="s">
        <v>139</v>
      </c>
      <c r="AJ540" s="206" t="s">
        <v>139</v>
      </c>
      <c r="AK540" s="353" t="s">
        <v>821</v>
      </c>
      <c r="AL540" s="206" t="s">
        <v>139</v>
      </c>
      <c r="AM540" s="349">
        <v>104.50192756596167</v>
      </c>
      <c r="AN540" s="354" t="s">
        <v>139</v>
      </c>
      <c r="AO540" s="355" t="s">
        <v>140</v>
      </c>
      <c r="AP540" s="206" t="s">
        <v>139</v>
      </c>
      <c r="AQ540" s="207">
        <v>0</v>
      </c>
      <c r="AR540" s="211"/>
      <c r="AS540" s="297">
        <f>+IF(Table1[[#This Row],[Column40]]="ok",Table1[[#This Row],[Column7]],0)</f>
        <v>1274.21</v>
      </c>
      <c r="AT540" s="295">
        <f>+IF(Table1[[#This Row],[Column40]]="No",Table1[[#This Row],[Column7]],0)</f>
        <v>0</v>
      </c>
      <c r="AU540" s="4" t="str">
        <f>+IF(LEFT(Table1[[#This Row],[Column42]],2)="DN",IF(Table1[[#This Row],[Column40]]="ok","(CA)",_xlfn.CONCAT("(CA)",CHAR(10),"FAIL")),"")</f>
        <v/>
      </c>
      <c r="AV540" s="154" t="str">
        <f>+IF(Table1[[#This Row],[Column6]]=0,"",_xlfn.CONCAT("Sem ",WEEKNUM(Table1[[#This Row],[Column6]],2)))</f>
        <v>Sem 13</v>
      </c>
      <c r="AW540" s="211"/>
    </row>
    <row r="541" spans="2:49" ht="19.5" customHeight="1" x14ac:dyDescent="0.3">
      <c r="B541" s="356" t="s">
        <v>854</v>
      </c>
      <c r="C541" s="331"/>
      <c r="D541" s="332" t="s">
        <v>766</v>
      </c>
      <c r="E541" s="332" t="s">
        <v>133</v>
      </c>
      <c r="F541" s="333"/>
      <c r="G541" s="334">
        <v>46106</v>
      </c>
      <c r="H541" s="335">
        <v>1199.96</v>
      </c>
      <c r="I541" s="336">
        <v>334.99</v>
      </c>
      <c r="J541" s="337">
        <v>2550.25</v>
      </c>
      <c r="K541" s="338" t="s">
        <v>253</v>
      </c>
      <c r="L541" s="339" t="s">
        <v>609</v>
      </c>
      <c r="M541" s="340">
        <v>30</v>
      </c>
      <c r="N541" s="341">
        <v>85462</v>
      </c>
      <c r="O541" s="332">
        <v>59.78</v>
      </c>
      <c r="P541" s="342">
        <v>10.299999999999999</v>
      </c>
      <c r="Q541" s="343">
        <v>12.103746397694515</v>
      </c>
      <c r="R541" s="344">
        <v>1.7633726201269266</v>
      </c>
      <c r="S541" s="344">
        <v>1.7350000000000001</v>
      </c>
      <c r="T541" s="344">
        <v>1.9450000000000001</v>
      </c>
      <c r="U541" s="344" t="s">
        <v>136</v>
      </c>
      <c r="V541" s="332" t="s">
        <v>137</v>
      </c>
      <c r="W541" s="345">
        <v>8</v>
      </c>
      <c r="X541" s="346">
        <v>4</v>
      </c>
      <c r="Y541" s="208">
        <v>2.8069999999999999</v>
      </c>
      <c r="Z541" s="332"/>
      <c r="AA541" s="342"/>
      <c r="AB541" s="342"/>
      <c r="AC541" s="342"/>
      <c r="AD541" s="347"/>
      <c r="AE541" s="348">
        <v>1.6879999999999999</v>
      </c>
      <c r="AF541" s="349">
        <v>0</v>
      </c>
      <c r="AG541" s="350"/>
      <c r="AH541" s="351" t="s">
        <v>139</v>
      </c>
      <c r="AI541" s="352" t="s">
        <v>139</v>
      </c>
      <c r="AJ541" s="206" t="s">
        <v>139</v>
      </c>
      <c r="AK541" s="353" t="s">
        <v>821</v>
      </c>
      <c r="AL541" s="206" t="s">
        <v>139</v>
      </c>
      <c r="AM541" s="349">
        <v>104.46520261415442</v>
      </c>
      <c r="AN541" s="354" t="s">
        <v>139</v>
      </c>
      <c r="AO541" s="355" t="s">
        <v>140</v>
      </c>
      <c r="AP541" s="206" t="s">
        <v>139</v>
      </c>
      <c r="AQ541" s="207">
        <v>0</v>
      </c>
      <c r="AR541" s="211"/>
      <c r="AS541" s="297">
        <f>+IF(Table1[[#This Row],[Column40]]="ok",Table1[[#This Row],[Column7]],0)</f>
        <v>1199.96</v>
      </c>
      <c r="AT541" s="295">
        <f>+IF(Table1[[#This Row],[Column40]]="No",Table1[[#This Row],[Column7]],0)</f>
        <v>0</v>
      </c>
      <c r="AU541" s="4" t="str">
        <f>+IF(LEFT(Table1[[#This Row],[Column42]],2)="DN",IF(Table1[[#This Row],[Column40]]="ok","(CA)",_xlfn.CONCAT("(CA)",CHAR(10),"FAIL")),"")</f>
        <v/>
      </c>
      <c r="AV541" s="154" t="str">
        <f>+IF(Table1[[#This Row],[Column6]]=0,"",_xlfn.CONCAT("Sem ",WEEKNUM(Table1[[#This Row],[Column6]],2)))</f>
        <v>Sem 13</v>
      </c>
      <c r="AW541" s="211"/>
    </row>
    <row r="542" spans="2:49" ht="19.5" customHeight="1" x14ac:dyDescent="0.3">
      <c r="B542" s="356" t="s">
        <v>855</v>
      </c>
      <c r="C542" s="331"/>
      <c r="D542" s="332" t="s">
        <v>766</v>
      </c>
      <c r="E542" s="332" t="s">
        <v>133</v>
      </c>
      <c r="F542" s="333"/>
      <c r="G542" s="334">
        <v>46106</v>
      </c>
      <c r="H542" s="335">
        <v>1194.1099999999999</v>
      </c>
      <c r="I542" s="336">
        <v>430.47</v>
      </c>
      <c r="J542" s="337">
        <v>2520.89</v>
      </c>
      <c r="K542" s="338" t="s">
        <v>253</v>
      </c>
      <c r="L542" s="339" t="s">
        <v>254</v>
      </c>
      <c r="M542" s="340">
        <v>30</v>
      </c>
      <c r="N542" s="341">
        <v>85462</v>
      </c>
      <c r="O542" s="332">
        <v>59.78</v>
      </c>
      <c r="P542" s="342">
        <v>10.9</v>
      </c>
      <c r="Q542" s="343">
        <v>13.459268004722546</v>
      </c>
      <c r="R542" s="344">
        <v>1.733092876465284</v>
      </c>
      <c r="S542" s="344">
        <v>1.694</v>
      </c>
      <c r="T542" s="344">
        <v>1.9219999999999999</v>
      </c>
      <c r="U542" s="344" t="s">
        <v>136</v>
      </c>
      <c r="V542" s="332" t="s">
        <v>137</v>
      </c>
      <c r="W542" s="345">
        <v>8</v>
      </c>
      <c r="X542" s="346">
        <v>4</v>
      </c>
      <c r="Y542" s="208">
        <v>2.8069999999999999</v>
      </c>
      <c r="Z542" s="332"/>
      <c r="AA542" s="342"/>
      <c r="AB542" s="342"/>
      <c r="AC542" s="342"/>
      <c r="AD542" s="347"/>
      <c r="AE542" s="348">
        <v>1.70124936700382</v>
      </c>
      <c r="AF542" s="349">
        <v>16.442835684852124</v>
      </c>
      <c r="AG542" s="350"/>
      <c r="AH542" s="351">
        <v>1.6944206008583691</v>
      </c>
      <c r="AI542" s="352">
        <v>1.974</v>
      </c>
      <c r="AJ542" s="206">
        <v>16.5</v>
      </c>
      <c r="AK542" s="353" t="s">
        <v>764</v>
      </c>
      <c r="AL542" s="206">
        <v>-5.716431514787601E-2</v>
      </c>
      <c r="AM542" s="349">
        <v>101.87177200938775</v>
      </c>
      <c r="AN542" s="354" t="s">
        <v>139</v>
      </c>
      <c r="AO542" s="355" t="s">
        <v>140</v>
      </c>
      <c r="AP542" s="206" t="s">
        <v>139</v>
      </c>
      <c r="AQ542" s="207" t="s">
        <v>856</v>
      </c>
      <c r="AR542" s="211"/>
      <c r="AS542" s="297">
        <f>+IF(Table1[[#This Row],[Column40]]="ok",Table1[[#This Row],[Column7]],0)</f>
        <v>1194.1099999999999</v>
      </c>
      <c r="AT542" s="295">
        <f>+IF(Table1[[#This Row],[Column40]]="No",Table1[[#This Row],[Column7]],0)</f>
        <v>0</v>
      </c>
      <c r="AU542" s="4" t="str">
        <f>+IF(LEFT(Table1[[#This Row],[Column42]],2)="DN",IF(Table1[[#This Row],[Column40]]="ok","(CA)",_xlfn.CONCAT("(CA)",CHAR(10),"FAIL")),"")</f>
        <v/>
      </c>
      <c r="AV542" s="154" t="str">
        <f>+IF(Table1[[#This Row],[Column6]]=0,"",_xlfn.CONCAT("Sem ",WEEKNUM(Table1[[#This Row],[Column6]],2)))</f>
        <v>Sem 13</v>
      </c>
      <c r="AW542" s="211"/>
    </row>
    <row r="543" spans="2:49" ht="19.5" customHeight="1" x14ac:dyDescent="0.3">
      <c r="B543" s="356" t="s">
        <v>856</v>
      </c>
      <c r="C543" s="331"/>
      <c r="D543" s="332" t="s">
        <v>766</v>
      </c>
      <c r="E543" s="332" t="s">
        <v>133</v>
      </c>
      <c r="F543" s="333"/>
      <c r="G543" s="334">
        <v>46106</v>
      </c>
      <c r="H543" s="335">
        <v>1194.1099999999999</v>
      </c>
      <c r="I543" s="336">
        <v>430.47</v>
      </c>
      <c r="J543" s="337">
        <v>2520.89</v>
      </c>
      <c r="K543" s="338" t="s">
        <v>253</v>
      </c>
      <c r="L543" s="339" t="s">
        <v>254</v>
      </c>
      <c r="M543" s="340">
        <v>15</v>
      </c>
      <c r="N543" s="341"/>
      <c r="O543" s="332"/>
      <c r="P543" s="342">
        <v>10.939544621826734</v>
      </c>
      <c r="Q543" s="343"/>
      <c r="R543" s="344">
        <v>1.7494332797682879</v>
      </c>
      <c r="S543" s="344"/>
      <c r="T543" s="344">
        <v>1.9408133140376267</v>
      </c>
      <c r="U543" s="344" t="s">
        <v>142</v>
      </c>
      <c r="V543" s="332" t="s">
        <v>137</v>
      </c>
      <c r="W543" s="345" t="s">
        <v>173</v>
      </c>
      <c r="X543" s="346" t="s">
        <v>680</v>
      </c>
      <c r="Y543" s="208"/>
      <c r="Z543" s="332" t="s">
        <v>227</v>
      </c>
      <c r="AA543" s="342">
        <v>98.743784349646688</v>
      </c>
      <c r="AB543" s="342">
        <v>78.670505103376087</v>
      </c>
      <c r="AC543" s="342">
        <v>37.136875163569755</v>
      </c>
      <c r="AD543" s="347">
        <v>13.216435488092131</v>
      </c>
      <c r="AE543" s="348">
        <v>1.70124936700382</v>
      </c>
      <c r="AF543" s="349">
        <v>16.442835684852124</v>
      </c>
      <c r="AG543" s="350" t="s">
        <v>764</v>
      </c>
      <c r="AH543" s="351">
        <v>1.6941404704791785</v>
      </c>
      <c r="AI543" s="352">
        <v>1.9743780565596432</v>
      </c>
      <c r="AJ543" s="206">
        <v>16.541579105373767</v>
      </c>
      <c r="AK543" s="353" t="s">
        <v>764</v>
      </c>
      <c r="AL543" s="206">
        <v>-9.8743420521643088E-2</v>
      </c>
      <c r="AM543" s="349">
        <v>102.8322663155095</v>
      </c>
      <c r="AN543" s="354" t="s">
        <v>139</v>
      </c>
      <c r="AO543" s="355" t="s">
        <v>144</v>
      </c>
      <c r="AP543" s="206">
        <v>0</v>
      </c>
      <c r="AQ543" s="207" t="s">
        <v>855</v>
      </c>
      <c r="AR543" s="211"/>
      <c r="AS543" s="297">
        <f>+IF(Table1[[#This Row],[Column40]]="ok",Table1[[#This Row],[Column7]],0)</f>
        <v>1194.1099999999999</v>
      </c>
      <c r="AT543" s="295">
        <f>+IF(Table1[[#This Row],[Column40]]="No",Table1[[#This Row],[Column7]],0)</f>
        <v>0</v>
      </c>
      <c r="AU543" s="4" t="str">
        <f>+IF(LEFT(Table1[[#This Row],[Column42]],2)="DN",IF(Table1[[#This Row],[Column40]]="ok","(CA)",_xlfn.CONCAT("(CA)",CHAR(10),"FAIL")),"")</f>
        <v>(CA)</v>
      </c>
      <c r="AV543" s="154" t="str">
        <f>+IF(Table1[[#This Row],[Column6]]=0,"",_xlfn.CONCAT("Sem ",WEEKNUM(Table1[[#This Row],[Column6]],2)))</f>
        <v>Sem 13</v>
      </c>
      <c r="AW543" s="211"/>
    </row>
    <row r="544" spans="2:49" ht="19.5" customHeight="1" x14ac:dyDescent="0.3">
      <c r="B544" s="356" t="s">
        <v>857</v>
      </c>
      <c r="C544" s="331"/>
      <c r="D544" s="332" t="s">
        <v>766</v>
      </c>
      <c r="E544" s="332" t="s">
        <v>133</v>
      </c>
      <c r="F544" s="333"/>
      <c r="G544" s="334">
        <v>46106</v>
      </c>
      <c r="H544" s="335">
        <v>1272.07</v>
      </c>
      <c r="I544" s="336">
        <v>464.61</v>
      </c>
      <c r="J544" s="337">
        <v>2510.23</v>
      </c>
      <c r="K544" s="338" t="s">
        <v>253</v>
      </c>
      <c r="L544" s="339" t="s">
        <v>402</v>
      </c>
      <c r="M544" s="340">
        <v>30</v>
      </c>
      <c r="N544" s="341">
        <v>85462</v>
      </c>
      <c r="O544" s="332">
        <v>59.78</v>
      </c>
      <c r="P544" s="342">
        <v>7.9</v>
      </c>
      <c r="Q544" s="343">
        <v>10.495626822157433</v>
      </c>
      <c r="R544" s="344">
        <v>1.7562557924003708</v>
      </c>
      <c r="S544" s="344">
        <v>1.7150000000000001</v>
      </c>
      <c r="T544" s="344">
        <v>1.895</v>
      </c>
      <c r="U544" s="344" t="s">
        <v>136</v>
      </c>
      <c r="V544" s="332" t="s">
        <v>137</v>
      </c>
      <c r="W544" s="345">
        <v>8</v>
      </c>
      <c r="X544" s="346">
        <v>4</v>
      </c>
      <c r="Y544" s="208">
        <v>2.8069999999999999</v>
      </c>
      <c r="Z544" s="332"/>
      <c r="AA544" s="342"/>
      <c r="AB544" s="342"/>
      <c r="AC544" s="342"/>
      <c r="AD544" s="347"/>
      <c r="AE544" s="348">
        <v>1.6879999999999999</v>
      </c>
      <c r="AF544" s="349">
        <v>0</v>
      </c>
      <c r="AG544" s="350"/>
      <c r="AH544" s="351" t="s">
        <v>139</v>
      </c>
      <c r="AI544" s="352" t="s">
        <v>139</v>
      </c>
      <c r="AJ544" s="206" t="s">
        <v>139</v>
      </c>
      <c r="AK544" s="353" t="s">
        <v>821</v>
      </c>
      <c r="AL544" s="206" t="s">
        <v>139</v>
      </c>
      <c r="AM544" s="349">
        <v>104.04358959717837</v>
      </c>
      <c r="AN544" s="354" t="s">
        <v>139</v>
      </c>
      <c r="AO544" s="355" t="s">
        <v>140</v>
      </c>
      <c r="AP544" s="206" t="s">
        <v>139</v>
      </c>
      <c r="AQ544" s="207">
        <v>0</v>
      </c>
      <c r="AR544" s="211"/>
      <c r="AS544" s="297">
        <f>+IF(Table1[[#This Row],[Column40]]="ok",Table1[[#This Row],[Column7]],0)</f>
        <v>1272.07</v>
      </c>
      <c r="AT544" s="295">
        <f>+IF(Table1[[#This Row],[Column40]]="No",Table1[[#This Row],[Column7]],0)</f>
        <v>0</v>
      </c>
      <c r="AU544" s="4" t="str">
        <f>+IF(LEFT(Table1[[#This Row],[Column42]],2)="DN",IF(Table1[[#This Row],[Column40]]="ok","(CA)",_xlfn.CONCAT("(CA)",CHAR(10),"FAIL")),"")</f>
        <v/>
      </c>
      <c r="AV544" s="154" t="str">
        <f>+IF(Table1[[#This Row],[Column6]]=0,"",_xlfn.CONCAT("Sem ",WEEKNUM(Table1[[#This Row],[Column6]],2)))</f>
        <v>Sem 13</v>
      </c>
      <c r="AW544" s="211"/>
    </row>
    <row r="545" spans="2:49" ht="19.5" customHeight="1" x14ac:dyDescent="0.3">
      <c r="B545" s="356" t="s">
        <v>858</v>
      </c>
      <c r="C545" s="331"/>
      <c r="D545" s="332" t="s">
        <v>766</v>
      </c>
      <c r="E545" s="332" t="s">
        <v>133</v>
      </c>
      <c r="F545" s="333"/>
      <c r="G545" s="334">
        <v>46106</v>
      </c>
      <c r="H545" s="335">
        <v>1263.2</v>
      </c>
      <c r="I545" s="336">
        <v>593.46</v>
      </c>
      <c r="J545" s="337">
        <v>2471.5</v>
      </c>
      <c r="K545" s="338" t="s">
        <v>257</v>
      </c>
      <c r="L545" s="339" t="s">
        <v>212</v>
      </c>
      <c r="M545" s="340">
        <v>30</v>
      </c>
      <c r="N545" s="341">
        <v>85462</v>
      </c>
      <c r="O545" s="332">
        <v>59.78</v>
      </c>
      <c r="P545" s="342">
        <v>11.3</v>
      </c>
      <c r="Q545" s="343">
        <v>12.261422787738585</v>
      </c>
      <c r="R545" s="344">
        <v>1.7439353099730459</v>
      </c>
      <c r="S545" s="344">
        <v>1.7290000000000001</v>
      </c>
      <c r="T545" s="344">
        <v>1.9410000000000001</v>
      </c>
      <c r="U545" s="344" t="s">
        <v>136</v>
      </c>
      <c r="V545" s="332" t="s">
        <v>137</v>
      </c>
      <c r="W545" s="345">
        <v>8</v>
      </c>
      <c r="X545" s="346">
        <v>4</v>
      </c>
      <c r="Y545" s="208">
        <v>2.8069999999999999</v>
      </c>
      <c r="Z545" s="332"/>
      <c r="AA545" s="342"/>
      <c r="AB545" s="342"/>
      <c r="AC545" s="342"/>
      <c r="AD545" s="347"/>
      <c r="AE545" s="348">
        <v>1.6879999999999999</v>
      </c>
      <c r="AF545" s="349">
        <v>0</v>
      </c>
      <c r="AG545" s="350"/>
      <c r="AH545" s="351" t="s">
        <v>139</v>
      </c>
      <c r="AI545" s="352" t="s">
        <v>139</v>
      </c>
      <c r="AJ545" s="206" t="s">
        <v>139</v>
      </c>
      <c r="AK545" s="353" t="s">
        <v>821</v>
      </c>
      <c r="AL545" s="206" t="s">
        <v>139</v>
      </c>
      <c r="AM545" s="349">
        <v>103.31370319745533</v>
      </c>
      <c r="AN545" s="354" t="s">
        <v>139</v>
      </c>
      <c r="AO545" s="355" t="s">
        <v>140</v>
      </c>
      <c r="AP545" s="206" t="s">
        <v>139</v>
      </c>
      <c r="AQ545" s="207">
        <v>0</v>
      </c>
      <c r="AR545" s="211"/>
      <c r="AS545" s="297">
        <f>+IF(Table1[[#This Row],[Column40]]="ok",Table1[[#This Row],[Column7]],0)</f>
        <v>1263.2</v>
      </c>
      <c r="AT545" s="295">
        <f>+IF(Table1[[#This Row],[Column40]]="No",Table1[[#This Row],[Column7]],0)</f>
        <v>0</v>
      </c>
      <c r="AU545" s="4" t="str">
        <f>+IF(LEFT(Table1[[#This Row],[Column42]],2)="DN",IF(Table1[[#This Row],[Column40]]="ok","(CA)",_xlfn.CONCAT("(CA)",CHAR(10),"FAIL")),"")</f>
        <v/>
      </c>
      <c r="AV545" s="154" t="str">
        <f>+IF(Table1[[#This Row],[Column6]]=0,"",_xlfn.CONCAT("Sem ",WEEKNUM(Table1[[#This Row],[Column6]],2)))</f>
        <v>Sem 13</v>
      </c>
      <c r="AW545" s="211"/>
    </row>
    <row r="546" spans="2:49" ht="19.5" customHeight="1" x14ac:dyDescent="0.3">
      <c r="B546" s="356" t="s">
        <v>859</v>
      </c>
      <c r="C546" s="331"/>
      <c r="D546" s="332" t="s">
        <v>766</v>
      </c>
      <c r="E546" s="332" t="s">
        <v>133</v>
      </c>
      <c r="F546" s="333"/>
      <c r="G546" s="334">
        <v>46106</v>
      </c>
      <c r="H546" s="335">
        <v>1187.3900000000001</v>
      </c>
      <c r="I546" s="336">
        <v>581.91</v>
      </c>
      <c r="J546" s="337">
        <v>2474.7800000000002</v>
      </c>
      <c r="K546" s="338" t="s">
        <v>257</v>
      </c>
      <c r="L546" s="339" t="s">
        <v>254</v>
      </c>
      <c r="M546" s="340">
        <v>30</v>
      </c>
      <c r="N546" s="341">
        <v>85462</v>
      </c>
      <c r="O546" s="332">
        <v>59.78</v>
      </c>
      <c r="P546" s="342">
        <v>12</v>
      </c>
      <c r="Q546" s="343">
        <v>12.119471568064322</v>
      </c>
      <c r="R546" s="344">
        <v>1.7428571428571427</v>
      </c>
      <c r="S546" s="344">
        <v>1.7410000000000001</v>
      </c>
      <c r="T546" s="344">
        <v>1.952</v>
      </c>
      <c r="U546" s="344" t="s">
        <v>136</v>
      </c>
      <c r="V546" s="332" t="s">
        <v>137</v>
      </c>
      <c r="W546" s="345">
        <v>8</v>
      </c>
      <c r="X546" s="346">
        <v>4</v>
      </c>
      <c r="Y546" s="208">
        <v>2.8069999999999999</v>
      </c>
      <c r="Z546" s="332"/>
      <c r="AA546" s="342"/>
      <c r="AB546" s="342"/>
      <c r="AC546" s="342"/>
      <c r="AD546" s="347"/>
      <c r="AE546" s="348">
        <v>1.6879999999999999</v>
      </c>
      <c r="AF546" s="349">
        <v>0</v>
      </c>
      <c r="AG546" s="350"/>
      <c r="AH546" s="351" t="s">
        <v>139</v>
      </c>
      <c r="AI546" s="352" t="s">
        <v>139</v>
      </c>
      <c r="AJ546" s="206" t="s">
        <v>139</v>
      </c>
      <c r="AK546" s="353" t="s">
        <v>821</v>
      </c>
      <c r="AL546" s="206" t="s">
        <v>139</v>
      </c>
      <c r="AM546" s="349">
        <v>103.24983073798239</v>
      </c>
      <c r="AN546" s="354" t="s">
        <v>139</v>
      </c>
      <c r="AO546" s="355" t="s">
        <v>140</v>
      </c>
      <c r="AP546" s="206" t="s">
        <v>139</v>
      </c>
      <c r="AQ546" s="207">
        <v>0</v>
      </c>
      <c r="AR546" s="211"/>
      <c r="AS546" s="297">
        <f>+IF(Table1[[#This Row],[Column40]]="ok",Table1[[#This Row],[Column7]],0)</f>
        <v>1187.3900000000001</v>
      </c>
      <c r="AT546" s="295">
        <f>+IF(Table1[[#This Row],[Column40]]="No",Table1[[#This Row],[Column7]],0)</f>
        <v>0</v>
      </c>
      <c r="AU546" s="4" t="str">
        <f>+IF(LEFT(Table1[[#This Row],[Column42]],2)="DN",IF(Table1[[#This Row],[Column40]]="ok","(CA)",_xlfn.CONCAT("(CA)",CHAR(10),"FAIL")),"")</f>
        <v/>
      </c>
      <c r="AV546" s="154" t="str">
        <f>+IF(Table1[[#This Row],[Column6]]=0,"",_xlfn.CONCAT("Sem ",WEEKNUM(Table1[[#This Row],[Column6]],2)))</f>
        <v>Sem 13</v>
      </c>
      <c r="AW546" s="211"/>
    </row>
    <row r="547" spans="2:49" ht="19.5" customHeight="1" x14ac:dyDescent="0.3">
      <c r="B547" s="356" t="s">
        <v>860</v>
      </c>
      <c r="C547" s="331"/>
      <c r="D547" s="332" t="s">
        <v>766</v>
      </c>
      <c r="E547" s="332" t="s">
        <v>176</v>
      </c>
      <c r="F547" s="333"/>
      <c r="G547" s="334">
        <v>46106</v>
      </c>
      <c r="H547" s="335">
        <v>1142.92</v>
      </c>
      <c r="I547" s="336">
        <v>368.96</v>
      </c>
      <c r="J547" s="337">
        <v>2540.12</v>
      </c>
      <c r="K547" s="338" t="s">
        <v>253</v>
      </c>
      <c r="L547" s="339" t="s">
        <v>209</v>
      </c>
      <c r="M547" s="340">
        <v>30</v>
      </c>
      <c r="N547" s="341">
        <v>88653</v>
      </c>
      <c r="O547" s="332">
        <v>58</v>
      </c>
      <c r="P547" s="342">
        <v>9.4</v>
      </c>
      <c r="Q547" s="343">
        <v>9.8219414129810279</v>
      </c>
      <c r="R547" s="344">
        <v>1.7477148080438756</v>
      </c>
      <c r="S547" s="344">
        <v>1.7410000000000001</v>
      </c>
      <c r="T547" s="344">
        <v>1.9119999999999999</v>
      </c>
      <c r="U547" s="344" t="s">
        <v>136</v>
      </c>
      <c r="V547" s="332" t="s">
        <v>137</v>
      </c>
      <c r="W547" s="345">
        <v>8</v>
      </c>
      <c r="X547" s="346">
        <v>4</v>
      </c>
      <c r="Y547" s="208">
        <v>2.8069999999999999</v>
      </c>
      <c r="Z547" s="332"/>
      <c r="AA547" s="342"/>
      <c r="AB547" s="342"/>
      <c r="AC547" s="342"/>
      <c r="AD547" s="347"/>
      <c r="AE547" s="348">
        <v>1.6879999999999999</v>
      </c>
      <c r="AF547" s="349">
        <v>0</v>
      </c>
      <c r="AG547" s="350"/>
      <c r="AH547" s="351" t="s">
        <v>139</v>
      </c>
      <c r="AI547" s="352" t="s">
        <v>139</v>
      </c>
      <c r="AJ547" s="206" t="s">
        <v>139</v>
      </c>
      <c r="AK547" s="353" t="s">
        <v>821</v>
      </c>
      <c r="AL547" s="206" t="s">
        <v>139</v>
      </c>
      <c r="AM547" s="349">
        <v>103.537607111604</v>
      </c>
      <c r="AN547" s="354" t="s">
        <v>139</v>
      </c>
      <c r="AO547" s="355" t="s">
        <v>140</v>
      </c>
      <c r="AP547" s="206" t="s">
        <v>139</v>
      </c>
      <c r="AQ547" s="207">
        <v>0</v>
      </c>
      <c r="AR547" s="211"/>
      <c r="AS547" s="297">
        <f>+IF(Table1[[#This Row],[Column40]]="ok",Table1[[#This Row],[Column7]],0)</f>
        <v>1142.92</v>
      </c>
      <c r="AT547" s="295">
        <f>+IF(Table1[[#This Row],[Column40]]="No",Table1[[#This Row],[Column7]],0)</f>
        <v>0</v>
      </c>
      <c r="AU547" s="4" t="str">
        <f>+IF(LEFT(Table1[[#This Row],[Column42]],2)="DN",IF(Table1[[#This Row],[Column40]]="ok","(CA)",_xlfn.CONCAT("(CA)",CHAR(10),"FAIL")),"")</f>
        <v/>
      </c>
      <c r="AV547" s="154" t="str">
        <f>+IF(Table1[[#This Row],[Column6]]=0,"",_xlfn.CONCAT("Sem ",WEEKNUM(Table1[[#This Row],[Column6]],2)))</f>
        <v>Sem 13</v>
      </c>
      <c r="AW547" s="211"/>
    </row>
    <row r="548" spans="2:49" ht="19.5" customHeight="1" x14ac:dyDescent="0.3">
      <c r="B548" s="356" t="s">
        <v>861</v>
      </c>
      <c r="C548" s="331"/>
      <c r="D548" s="332" t="s">
        <v>766</v>
      </c>
      <c r="E548" s="332" t="s">
        <v>176</v>
      </c>
      <c r="F548" s="333"/>
      <c r="G548" s="334">
        <v>46106</v>
      </c>
      <c r="H548" s="335">
        <v>1130.47</v>
      </c>
      <c r="I548" s="336">
        <v>474.86</v>
      </c>
      <c r="J548" s="337">
        <v>2507.06</v>
      </c>
      <c r="K548" s="338" t="s">
        <v>253</v>
      </c>
      <c r="L548" s="339" t="s">
        <v>209</v>
      </c>
      <c r="M548" s="340">
        <v>30</v>
      </c>
      <c r="N548" s="341">
        <v>88653</v>
      </c>
      <c r="O548" s="332">
        <v>58</v>
      </c>
      <c r="P548" s="342">
        <v>8.1</v>
      </c>
      <c r="Q548" s="343">
        <v>10.322580645161295</v>
      </c>
      <c r="R548" s="344">
        <v>1.7400555041628123</v>
      </c>
      <c r="S548" s="344">
        <v>1.7050000000000001</v>
      </c>
      <c r="T548" s="344">
        <v>1.881</v>
      </c>
      <c r="U548" s="344" t="s">
        <v>136</v>
      </c>
      <c r="V548" s="332" t="s">
        <v>137</v>
      </c>
      <c r="W548" s="345">
        <v>8</v>
      </c>
      <c r="X548" s="346">
        <v>4</v>
      </c>
      <c r="Y548" s="208">
        <v>2.8069999999999999</v>
      </c>
      <c r="Z548" s="332"/>
      <c r="AA548" s="342"/>
      <c r="AB548" s="342"/>
      <c r="AC548" s="342"/>
      <c r="AD548" s="347"/>
      <c r="AE548" s="348">
        <v>1.6879999999999999</v>
      </c>
      <c r="AF548" s="349">
        <v>0</v>
      </c>
      <c r="AG548" s="350"/>
      <c r="AH548" s="351" t="s">
        <v>139</v>
      </c>
      <c r="AI548" s="352" t="s">
        <v>139</v>
      </c>
      <c r="AJ548" s="206" t="s">
        <v>139</v>
      </c>
      <c r="AK548" s="353" t="s">
        <v>821</v>
      </c>
      <c r="AL548" s="206" t="s">
        <v>139</v>
      </c>
      <c r="AM548" s="349">
        <v>103.0838568816832</v>
      </c>
      <c r="AN548" s="354" t="s">
        <v>139</v>
      </c>
      <c r="AO548" s="355" t="s">
        <v>140</v>
      </c>
      <c r="AP548" s="206" t="s">
        <v>139</v>
      </c>
      <c r="AQ548" s="207">
        <v>0</v>
      </c>
      <c r="AR548" s="211"/>
      <c r="AS548" s="297">
        <f>+IF(Table1[[#This Row],[Column40]]="ok",Table1[[#This Row],[Column7]],0)</f>
        <v>1130.47</v>
      </c>
      <c r="AT548" s="295">
        <f>+IF(Table1[[#This Row],[Column40]]="No",Table1[[#This Row],[Column7]],0)</f>
        <v>0</v>
      </c>
      <c r="AU548" s="4" t="str">
        <f>+IF(LEFT(Table1[[#This Row],[Column42]],2)="DN",IF(Table1[[#This Row],[Column40]]="ok","(CA)",_xlfn.CONCAT("(CA)",CHAR(10),"FAIL")),"")</f>
        <v/>
      </c>
      <c r="AV548" s="154" t="str">
        <f>+IF(Table1[[#This Row],[Column6]]=0,"",_xlfn.CONCAT("Sem ",WEEKNUM(Table1[[#This Row],[Column6]],2)))</f>
        <v>Sem 13</v>
      </c>
      <c r="AW548" s="211"/>
    </row>
    <row r="549" spans="2:49" ht="19.5" customHeight="1" x14ac:dyDescent="0.3">
      <c r="B549" s="356" t="s">
        <v>862</v>
      </c>
      <c r="C549" s="331"/>
      <c r="D549" s="332" t="s">
        <v>766</v>
      </c>
      <c r="E549" s="332" t="s">
        <v>176</v>
      </c>
      <c r="F549" s="333"/>
      <c r="G549" s="334">
        <v>46106</v>
      </c>
      <c r="H549" s="335">
        <v>1119.04</v>
      </c>
      <c r="I549" s="336">
        <v>620.16</v>
      </c>
      <c r="J549" s="337">
        <v>2463.5500000000002</v>
      </c>
      <c r="K549" s="338" t="s">
        <v>244</v>
      </c>
      <c r="L549" s="339" t="s">
        <v>247</v>
      </c>
      <c r="M549" s="340">
        <v>30</v>
      </c>
      <c r="N549" s="341">
        <v>88653</v>
      </c>
      <c r="O549" s="332">
        <v>58</v>
      </c>
      <c r="P549" s="342">
        <v>7.1</v>
      </c>
      <c r="Q549" s="343">
        <v>9.1013824884792491</v>
      </c>
      <c r="R549" s="344">
        <v>1.7684407096171801</v>
      </c>
      <c r="S549" s="344">
        <v>1.736</v>
      </c>
      <c r="T549" s="344">
        <v>1.8939999999999999</v>
      </c>
      <c r="U549" s="344" t="s">
        <v>136</v>
      </c>
      <c r="V549" s="332" t="s">
        <v>137</v>
      </c>
      <c r="W549" s="345">
        <v>8</v>
      </c>
      <c r="X549" s="346">
        <v>4</v>
      </c>
      <c r="Y549" s="208">
        <v>2.8069999999999999</v>
      </c>
      <c r="Z549" s="332"/>
      <c r="AA549" s="342"/>
      <c r="AB549" s="342"/>
      <c r="AC549" s="342"/>
      <c r="AD549" s="347"/>
      <c r="AE549" s="348">
        <v>1.6879999999999999</v>
      </c>
      <c r="AF549" s="349">
        <v>0</v>
      </c>
      <c r="AG549" s="350"/>
      <c r="AH549" s="351" t="s">
        <v>139</v>
      </c>
      <c r="AI549" s="352" t="s">
        <v>139</v>
      </c>
      <c r="AJ549" s="206" t="s">
        <v>139</v>
      </c>
      <c r="AK549" s="353" t="s">
        <v>821</v>
      </c>
      <c r="AL549" s="206" t="s">
        <v>139</v>
      </c>
      <c r="AM549" s="349">
        <v>104.76544488253437</v>
      </c>
      <c r="AN549" s="354" t="s">
        <v>139</v>
      </c>
      <c r="AO549" s="355" t="s">
        <v>140</v>
      </c>
      <c r="AP549" s="206" t="s">
        <v>139</v>
      </c>
      <c r="AQ549" s="207">
        <v>0</v>
      </c>
      <c r="AR549" s="211"/>
      <c r="AS549" s="297">
        <f>+IF(Table1[[#This Row],[Column40]]="ok",Table1[[#This Row],[Column7]],0)</f>
        <v>1119.04</v>
      </c>
      <c r="AT549" s="295">
        <f>+IF(Table1[[#This Row],[Column40]]="No",Table1[[#This Row],[Column7]],0)</f>
        <v>0</v>
      </c>
      <c r="AU549" s="4" t="str">
        <f>+IF(LEFT(Table1[[#This Row],[Column42]],2)="DN",IF(Table1[[#This Row],[Column40]]="ok","(CA)",_xlfn.CONCAT("(CA)",CHAR(10),"FAIL")),"")</f>
        <v/>
      </c>
      <c r="AV549" s="154" t="str">
        <f>+IF(Table1[[#This Row],[Column6]]=0,"",_xlfn.CONCAT("Sem ",WEEKNUM(Table1[[#This Row],[Column6]],2)))</f>
        <v>Sem 13</v>
      </c>
      <c r="AW549" s="211"/>
    </row>
    <row r="550" spans="2:49" ht="19.5" customHeight="1" x14ac:dyDescent="0.3">
      <c r="B550" s="356" t="s">
        <v>863</v>
      </c>
      <c r="C550" s="331"/>
      <c r="D550" s="332" t="s">
        <v>766</v>
      </c>
      <c r="E550" s="332" t="s">
        <v>176</v>
      </c>
      <c r="F550" s="333"/>
      <c r="G550" s="334">
        <v>46106</v>
      </c>
      <c r="H550" s="335">
        <v>1960.58</v>
      </c>
      <c r="I550" s="336">
        <v>-145.72999999999999</v>
      </c>
      <c r="J550" s="337">
        <v>2633.9</v>
      </c>
      <c r="K550" s="338" t="s">
        <v>218</v>
      </c>
      <c r="L550" s="339" t="s">
        <v>452</v>
      </c>
      <c r="M550" s="340">
        <v>30</v>
      </c>
      <c r="N550" s="341">
        <v>88653</v>
      </c>
      <c r="O550" s="332">
        <v>58</v>
      </c>
      <c r="P550" s="342">
        <v>12.9</v>
      </c>
      <c r="Q550" s="343">
        <v>12.737752161383288</v>
      </c>
      <c r="R550" s="344">
        <v>1.7325066430469442</v>
      </c>
      <c r="S550" s="344">
        <v>1.7350000000000001</v>
      </c>
      <c r="T550" s="344">
        <v>1.956</v>
      </c>
      <c r="U550" s="344" t="s">
        <v>136</v>
      </c>
      <c r="V550" s="332" t="s">
        <v>137</v>
      </c>
      <c r="W550" s="345">
        <v>8</v>
      </c>
      <c r="X550" s="346">
        <v>4</v>
      </c>
      <c r="Y550" s="208">
        <v>2.8069999999999999</v>
      </c>
      <c r="Z550" s="332"/>
      <c r="AA550" s="342"/>
      <c r="AB550" s="342"/>
      <c r="AC550" s="342"/>
      <c r="AD550" s="347"/>
      <c r="AE550" s="348">
        <v>1.675</v>
      </c>
      <c r="AF550" s="349">
        <v>0</v>
      </c>
      <c r="AG550" s="350"/>
      <c r="AH550" s="351" t="s">
        <v>139</v>
      </c>
      <c r="AI550" s="352" t="s">
        <v>139</v>
      </c>
      <c r="AJ550" s="206" t="s">
        <v>139</v>
      </c>
      <c r="AK550" s="353" t="s">
        <v>864</v>
      </c>
      <c r="AL550" s="206" t="s">
        <v>139</v>
      </c>
      <c r="AM550" s="349">
        <v>103.4332324207131</v>
      </c>
      <c r="AN550" s="354" t="s">
        <v>139</v>
      </c>
      <c r="AO550" s="355" t="s">
        <v>140</v>
      </c>
      <c r="AP550" s="206" t="s">
        <v>139</v>
      </c>
      <c r="AQ550" s="207">
        <v>0</v>
      </c>
      <c r="AR550" s="211"/>
      <c r="AS550" s="297">
        <f>+IF(Table1[[#This Row],[Column40]]="ok",Table1[[#This Row],[Column7]],0)</f>
        <v>1960.58</v>
      </c>
      <c r="AT550" s="295">
        <f>+IF(Table1[[#This Row],[Column40]]="No",Table1[[#This Row],[Column7]],0)</f>
        <v>0</v>
      </c>
      <c r="AU550" s="4" t="str">
        <f>+IF(LEFT(Table1[[#This Row],[Column42]],2)="DN",IF(Table1[[#This Row],[Column40]]="ok","(CA)",_xlfn.CONCAT("(CA)",CHAR(10),"FAIL")),"")</f>
        <v/>
      </c>
      <c r="AV550" s="154" t="str">
        <f>+IF(Table1[[#This Row],[Column6]]=0,"",_xlfn.CONCAT("Sem ",WEEKNUM(Table1[[#This Row],[Column6]],2)))</f>
        <v>Sem 13</v>
      </c>
      <c r="AW550" s="211"/>
    </row>
    <row r="551" spans="2:49" ht="19.5" customHeight="1" x14ac:dyDescent="0.3">
      <c r="B551" s="356" t="s">
        <v>865</v>
      </c>
      <c r="C551" s="331"/>
      <c r="D551" s="332" t="s">
        <v>766</v>
      </c>
      <c r="E551" s="332" t="s">
        <v>176</v>
      </c>
      <c r="F551" s="333"/>
      <c r="G551" s="334">
        <v>46106</v>
      </c>
      <c r="H551" s="335">
        <v>1988.92</v>
      </c>
      <c r="I551" s="336">
        <v>-33.78</v>
      </c>
      <c r="J551" s="337">
        <v>2602.0700000000002</v>
      </c>
      <c r="K551" s="338" t="s">
        <v>218</v>
      </c>
      <c r="L551" s="339" t="s">
        <v>660</v>
      </c>
      <c r="M551" s="340">
        <v>30</v>
      </c>
      <c r="N551" s="341">
        <v>88653</v>
      </c>
      <c r="O551" s="332">
        <v>58</v>
      </c>
      <c r="P551" s="342">
        <v>10.8</v>
      </c>
      <c r="Q551" s="343">
        <v>11.862396204033221</v>
      </c>
      <c r="R551" s="344">
        <v>1.7021660649819492</v>
      </c>
      <c r="S551" s="344">
        <v>1.6859999999999999</v>
      </c>
      <c r="T551" s="344">
        <v>1.8859999999999999</v>
      </c>
      <c r="U551" s="344" t="s">
        <v>136</v>
      </c>
      <c r="V551" s="332" t="s">
        <v>137</v>
      </c>
      <c r="W551" s="345">
        <v>8</v>
      </c>
      <c r="X551" s="346">
        <v>4</v>
      </c>
      <c r="Y551" s="208">
        <v>2.8069999999999999</v>
      </c>
      <c r="Z551" s="332"/>
      <c r="AA551" s="342"/>
      <c r="AB551" s="342"/>
      <c r="AC551" s="342"/>
      <c r="AD551" s="347"/>
      <c r="AE551" s="348">
        <v>1.675</v>
      </c>
      <c r="AF551" s="349">
        <v>0</v>
      </c>
      <c r="AG551" s="350"/>
      <c r="AH551" s="351" t="s">
        <v>139</v>
      </c>
      <c r="AI551" s="352" t="s">
        <v>139</v>
      </c>
      <c r="AJ551" s="206" t="s">
        <v>139</v>
      </c>
      <c r="AK551" s="353" t="s">
        <v>864</v>
      </c>
      <c r="AL551" s="206" t="s">
        <v>139</v>
      </c>
      <c r="AM551" s="349">
        <v>101.62185462578802</v>
      </c>
      <c r="AN551" s="354" t="s">
        <v>139</v>
      </c>
      <c r="AO551" s="355" t="s">
        <v>140</v>
      </c>
      <c r="AP551" s="206" t="s">
        <v>139</v>
      </c>
      <c r="AQ551" s="207">
        <v>0</v>
      </c>
      <c r="AR551" s="211"/>
      <c r="AS551" s="297">
        <f>+IF(Table1[[#This Row],[Column40]]="ok",Table1[[#This Row],[Column7]],0)</f>
        <v>1988.92</v>
      </c>
      <c r="AT551" s="295">
        <f>+IF(Table1[[#This Row],[Column40]]="No",Table1[[#This Row],[Column7]],0)</f>
        <v>0</v>
      </c>
      <c r="AU551" s="4" t="str">
        <f>+IF(LEFT(Table1[[#This Row],[Column42]],2)="DN",IF(Table1[[#This Row],[Column40]]="ok","(CA)",_xlfn.CONCAT("(CA)",CHAR(10),"FAIL")),"")</f>
        <v/>
      </c>
      <c r="AV551" s="154" t="str">
        <f>+IF(Table1[[#This Row],[Column6]]=0,"",_xlfn.CONCAT("Sem ",WEEKNUM(Table1[[#This Row],[Column6]],2)))</f>
        <v>Sem 13</v>
      </c>
      <c r="AW551" s="211"/>
    </row>
    <row r="552" spans="2:49" ht="19.5" customHeight="1" x14ac:dyDescent="0.3">
      <c r="B552" s="356" t="s">
        <v>866</v>
      </c>
      <c r="C552" s="331"/>
      <c r="D552" s="332" t="s">
        <v>766</v>
      </c>
      <c r="E552" s="332" t="s">
        <v>176</v>
      </c>
      <c r="F552" s="333"/>
      <c r="G552" s="334">
        <v>46106</v>
      </c>
      <c r="H552" s="335">
        <v>2033.56</v>
      </c>
      <c r="I552" s="336">
        <v>-156.87</v>
      </c>
      <c r="J552" s="337">
        <v>2632.84</v>
      </c>
      <c r="K552" s="338" t="s">
        <v>218</v>
      </c>
      <c r="L552" s="339" t="s">
        <v>445</v>
      </c>
      <c r="M552" s="340">
        <v>30</v>
      </c>
      <c r="N552" s="341">
        <v>88653</v>
      </c>
      <c r="O552" s="332">
        <v>58</v>
      </c>
      <c r="P552" s="342">
        <v>10.9</v>
      </c>
      <c r="Q552" s="343">
        <v>11.673615247170922</v>
      </c>
      <c r="R552" s="344">
        <v>1.690712353471596</v>
      </c>
      <c r="S552" s="344">
        <v>1.679</v>
      </c>
      <c r="T552" s="344">
        <v>1.875</v>
      </c>
      <c r="U552" s="344" t="s">
        <v>136</v>
      </c>
      <c r="V552" s="332" t="s">
        <v>137</v>
      </c>
      <c r="W552" s="345">
        <v>8</v>
      </c>
      <c r="X552" s="346">
        <v>4</v>
      </c>
      <c r="Y552" s="208">
        <v>2.8069999999999999</v>
      </c>
      <c r="Z552" s="332"/>
      <c r="AA552" s="342"/>
      <c r="AB552" s="342"/>
      <c r="AC552" s="342"/>
      <c r="AD552" s="347"/>
      <c r="AE552" s="348">
        <v>1.675</v>
      </c>
      <c r="AF552" s="349">
        <v>0</v>
      </c>
      <c r="AG552" s="350"/>
      <c r="AH552" s="351" t="s">
        <v>139</v>
      </c>
      <c r="AI552" s="352" t="s">
        <v>139</v>
      </c>
      <c r="AJ552" s="206" t="s">
        <v>139</v>
      </c>
      <c r="AK552" s="353" t="s">
        <v>864</v>
      </c>
      <c r="AL552" s="206" t="s">
        <v>139</v>
      </c>
      <c r="AM552" s="349">
        <v>100.93805095352812</v>
      </c>
      <c r="AN552" s="354" t="s">
        <v>139</v>
      </c>
      <c r="AO552" s="355" t="s">
        <v>140</v>
      </c>
      <c r="AP552" s="206" t="s">
        <v>139</v>
      </c>
      <c r="AQ552" s="207">
        <v>0</v>
      </c>
      <c r="AR552" s="211"/>
      <c r="AS552" s="297">
        <f>+IF(Table1[[#This Row],[Column40]]="ok",Table1[[#This Row],[Column7]],0)</f>
        <v>2033.56</v>
      </c>
      <c r="AT552" s="295">
        <f>+IF(Table1[[#This Row],[Column40]]="No",Table1[[#This Row],[Column7]],0)</f>
        <v>0</v>
      </c>
      <c r="AU552" s="4" t="str">
        <f>+IF(LEFT(Table1[[#This Row],[Column42]],2)="DN",IF(Table1[[#This Row],[Column40]]="ok","(CA)",_xlfn.CONCAT("(CA)",CHAR(10),"FAIL")),"")</f>
        <v/>
      </c>
      <c r="AV552" s="154" t="str">
        <f>+IF(Table1[[#This Row],[Column6]]=0,"",_xlfn.CONCAT("Sem ",WEEKNUM(Table1[[#This Row],[Column6]],2)))</f>
        <v>Sem 13</v>
      </c>
      <c r="AW552" s="211"/>
    </row>
    <row r="553" spans="2:49" ht="19.5" customHeight="1" x14ac:dyDescent="0.3">
      <c r="B553" s="356" t="s">
        <v>867</v>
      </c>
      <c r="C553" s="331"/>
      <c r="D553" s="332" t="s">
        <v>766</v>
      </c>
      <c r="E553" s="332" t="s">
        <v>176</v>
      </c>
      <c r="F553" s="333"/>
      <c r="G553" s="334">
        <v>46106</v>
      </c>
      <c r="H553" s="335">
        <v>2094.9699999999998</v>
      </c>
      <c r="I553" s="336">
        <v>-167.08</v>
      </c>
      <c r="J553" s="337">
        <v>2632.56</v>
      </c>
      <c r="K553" s="338" t="s">
        <v>218</v>
      </c>
      <c r="L553" s="339" t="s">
        <v>447</v>
      </c>
      <c r="M553" s="340">
        <v>30</v>
      </c>
      <c r="N553" s="341">
        <v>88653</v>
      </c>
      <c r="O553" s="332">
        <v>58</v>
      </c>
      <c r="P553" s="342">
        <v>11.5</v>
      </c>
      <c r="Q553" s="343">
        <v>11.778425655976665</v>
      </c>
      <c r="R553" s="344">
        <v>1.7192825112107624</v>
      </c>
      <c r="S553" s="344">
        <v>1.7150000000000001</v>
      </c>
      <c r="T553" s="344">
        <v>1.917</v>
      </c>
      <c r="U553" s="344" t="s">
        <v>136</v>
      </c>
      <c r="V553" s="332" t="s">
        <v>137</v>
      </c>
      <c r="W553" s="345">
        <v>8</v>
      </c>
      <c r="X553" s="346">
        <v>4</v>
      </c>
      <c r="Y553" s="208">
        <v>2.8069999999999999</v>
      </c>
      <c r="Z553" s="332"/>
      <c r="AA553" s="342"/>
      <c r="AB553" s="342"/>
      <c r="AC553" s="342"/>
      <c r="AD553" s="347"/>
      <c r="AE553" s="348">
        <v>1.7</v>
      </c>
      <c r="AF553" s="349">
        <v>16.2</v>
      </c>
      <c r="AG553" s="350"/>
      <c r="AH553" s="351">
        <v>1.7003424657534247</v>
      </c>
      <c r="AI553" s="352">
        <v>1.986</v>
      </c>
      <c r="AJ553" s="206">
        <v>16.8</v>
      </c>
      <c r="AK553" s="353" t="s">
        <v>714</v>
      </c>
      <c r="AL553" s="206">
        <v>-0.60000000000000142</v>
      </c>
      <c r="AM553" s="349">
        <v>101.13426536533896</v>
      </c>
      <c r="AN553" s="354" t="s">
        <v>139</v>
      </c>
      <c r="AO553" s="355" t="s">
        <v>140</v>
      </c>
      <c r="AP553" s="206" t="s">
        <v>139</v>
      </c>
      <c r="AQ553" s="207" t="s">
        <v>868</v>
      </c>
      <c r="AR553" s="211"/>
      <c r="AS553" s="297">
        <f>+IF(Table1[[#This Row],[Column40]]="ok",Table1[[#This Row],[Column7]],0)</f>
        <v>2094.9699999999998</v>
      </c>
      <c r="AT553" s="295">
        <f>+IF(Table1[[#This Row],[Column40]]="No",Table1[[#This Row],[Column7]],0)</f>
        <v>0</v>
      </c>
      <c r="AU553" s="4" t="str">
        <f>+IF(LEFT(Table1[[#This Row],[Column42]],2)="DN",IF(Table1[[#This Row],[Column40]]="ok","(CA)",_xlfn.CONCAT("(CA)",CHAR(10),"FAIL")),"")</f>
        <v/>
      </c>
      <c r="AV553" s="154" t="str">
        <f>+IF(Table1[[#This Row],[Column6]]=0,"",_xlfn.CONCAT("Sem ",WEEKNUM(Table1[[#This Row],[Column6]],2)))</f>
        <v>Sem 13</v>
      </c>
      <c r="AW553" s="211"/>
    </row>
    <row r="554" spans="2:49" ht="19.5" customHeight="1" x14ac:dyDescent="0.3">
      <c r="B554" s="356" t="s">
        <v>868</v>
      </c>
      <c r="C554" s="331"/>
      <c r="D554" s="332" t="s">
        <v>766</v>
      </c>
      <c r="E554" s="332" t="s">
        <v>176</v>
      </c>
      <c r="F554" s="333"/>
      <c r="G554" s="334">
        <v>46106</v>
      </c>
      <c r="H554" s="335">
        <v>2094.9699999999998</v>
      </c>
      <c r="I554" s="336">
        <v>-167.08</v>
      </c>
      <c r="J554" s="337">
        <v>2632.56</v>
      </c>
      <c r="K554" s="338" t="s">
        <v>218</v>
      </c>
      <c r="L554" s="339" t="s">
        <v>447</v>
      </c>
      <c r="M554" s="340">
        <v>15</v>
      </c>
      <c r="N554" s="341"/>
      <c r="O554" s="332"/>
      <c r="P554" s="342">
        <v>11.480865224625578</v>
      </c>
      <c r="Q554" s="343"/>
      <c r="R554" s="344">
        <v>1.6853638397255783</v>
      </c>
      <c r="S554" s="344"/>
      <c r="T554" s="344">
        <v>1.8788581907090465</v>
      </c>
      <c r="U554" s="344" t="s">
        <v>142</v>
      </c>
      <c r="V554" s="332" t="s">
        <v>137</v>
      </c>
      <c r="W554" s="345" t="s">
        <v>173</v>
      </c>
      <c r="X554" s="346" t="s">
        <v>680</v>
      </c>
      <c r="Y554" s="208"/>
      <c r="Z554" s="332" t="s">
        <v>143</v>
      </c>
      <c r="AA554" s="342">
        <v>99.224718875508842</v>
      </c>
      <c r="AB554" s="342">
        <v>80.503959957648831</v>
      </c>
      <c r="AC554" s="342">
        <v>36.51815733578286</v>
      </c>
      <c r="AD554" s="347">
        <v>12.552849634600307</v>
      </c>
      <c r="AE554" s="348">
        <v>1.7</v>
      </c>
      <c r="AF554" s="349">
        <v>16.2</v>
      </c>
      <c r="AG554" s="350" t="s">
        <v>714</v>
      </c>
      <c r="AH554" s="351">
        <v>1.7002815066298385</v>
      </c>
      <c r="AI554" s="352">
        <v>1.9861259338313768</v>
      </c>
      <c r="AJ554" s="206">
        <v>16.811594202898565</v>
      </c>
      <c r="AK554" s="353" t="s">
        <v>714</v>
      </c>
      <c r="AL554" s="206">
        <v>-0.6115942028985657</v>
      </c>
      <c r="AM554" s="349">
        <v>99.139049395622266</v>
      </c>
      <c r="AN554" s="354" t="s">
        <v>139</v>
      </c>
      <c r="AO554" s="355" t="s">
        <v>144</v>
      </c>
      <c r="AP554" s="206">
        <v>0</v>
      </c>
      <c r="AQ554" s="207" t="s">
        <v>867</v>
      </c>
      <c r="AR554" s="211"/>
      <c r="AS554" s="297">
        <f>+IF(Table1[[#This Row],[Column40]]="ok",Table1[[#This Row],[Column7]],0)</f>
        <v>2094.9699999999998</v>
      </c>
      <c r="AT554" s="295">
        <f>+IF(Table1[[#This Row],[Column40]]="No",Table1[[#This Row],[Column7]],0)</f>
        <v>0</v>
      </c>
      <c r="AU554" s="4" t="str">
        <f>+IF(LEFT(Table1[[#This Row],[Column42]],2)="DN",IF(Table1[[#This Row],[Column40]]="ok","(CA)",_xlfn.CONCAT("(CA)",CHAR(10),"FAIL")),"")</f>
        <v>(CA)</v>
      </c>
      <c r="AV554" s="154" t="str">
        <f>+IF(Table1[[#This Row],[Column6]]=0,"",_xlfn.CONCAT("Sem ",WEEKNUM(Table1[[#This Row],[Column6]],2)))</f>
        <v>Sem 13</v>
      </c>
      <c r="AW554" s="211"/>
    </row>
    <row r="555" spans="2:49" ht="19.5" customHeight="1" x14ac:dyDescent="0.3">
      <c r="B555" s="356" t="s">
        <v>869</v>
      </c>
      <c r="C555" s="331"/>
      <c r="D555" s="332" t="s">
        <v>766</v>
      </c>
      <c r="E555" s="332" t="s">
        <v>176</v>
      </c>
      <c r="F555" s="333"/>
      <c r="G555" s="334">
        <v>46106</v>
      </c>
      <c r="H555" s="335">
        <v>2073.19</v>
      </c>
      <c r="I555" s="336">
        <v>-63.85</v>
      </c>
      <c r="J555" s="337">
        <v>2604.5300000000002</v>
      </c>
      <c r="K555" s="338" t="s">
        <v>218</v>
      </c>
      <c r="L555" s="339" t="s">
        <v>455</v>
      </c>
      <c r="M555" s="340">
        <v>30</v>
      </c>
      <c r="N555" s="341">
        <v>88653</v>
      </c>
      <c r="O555" s="332">
        <v>58</v>
      </c>
      <c r="P555" s="342">
        <v>12.1</v>
      </c>
      <c r="Q555" s="343">
        <v>13.75818939845146</v>
      </c>
      <c r="R555" s="344">
        <v>1.7038358608385369</v>
      </c>
      <c r="S555" s="344">
        <v>1.679</v>
      </c>
      <c r="T555" s="344">
        <v>1.91</v>
      </c>
      <c r="U555" s="344" t="s">
        <v>136</v>
      </c>
      <c r="V555" s="332" t="s">
        <v>137</v>
      </c>
      <c r="W555" s="345">
        <v>8</v>
      </c>
      <c r="X555" s="346">
        <v>4</v>
      </c>
      <c r="Y555" s="208">
        <v>2.8069999999999999</v>
      </c>
      <c r="Z555" s="332"/>
      <c r="AA555" s="342"/>
      <c r="AB555" s="342"/>
      <c r="AC555" s="342"/>
      <c r="AD555" s="347"/>
      <c r="AE555" s="348">
        <v>1.675</v>
      </c>
      <c r="AF555" s="349">
        <v>0</v>
      </c>
      <c r="AG555" s="350"/>
      <c r="AH555" s="351" t="s">
        <v>139</v>
      </c>
      <c r="AI555" s="352" t="s">
        <v>139</v>
      </c>
      <c r="AJ555" s="206" t="s">
        <v>139</v>
      </c>
      <c r="AK555" s="353" t="s">
        <v>864</v>
      </c>
      <c r="AL555" s="206" t="s">
        <v>139</v>
      </c>
      <c r="AM555" s="349">
        <v>101.72154393065891</v>
      </c>
      <c r="AN555" s="354" t="s">
        <v>139</v>
      </c>
      <c r="AO555" s="355" t="s">
        <v>140</v>
      </c>
      <c r="AP555" s="206" t="s">
        <v>139</v>
      </c>
      <c r="AQ555" s="207">
        <v>0</v>
      </c>
      <c r="AR555" s="211"/>
      <c r="AS555" s="297">
        <f>+IF(Table1[[#This Row],[Column40]]="ok",Table1[[#This Row],[Column7]],0)</f>
        <v>2073.19</v>
      </c>
      <c r="AT555" s="295">
        <f>+IF(Table1[[#This Row],[Column40]]="No",Table1[[#This Row],[Column7]],0)</f>
        <v>0</v>
      </c>
      <c r="AU555" s="4" t="str">
        <f>+IF(LEFT(Table1[[#This Row],[Column42]],2)="DN",IF(Table1[[#This Row],[Column40]]="ok","(CA)",_xlfn.CONCAT("(CA)",CHAR(10),"FAIL")),"")</f>
        <v/>
      </c>
      <c r="AV555" s="154" t="str">
        <f>+IF(Table1[[#This Row],[Column6]]=0,"",_xlfn.CONCAT("Sem ",WEEKNUM(Table1[[#This Row],[Column6]],2)))</f>
        <v>Sem 13</v>
      </c>
      <c r="AW555" s="211"/>
    </row>
    <row r="556" spans="2:49" ht="19.5" customHeight="1" x14ac:dyDescent="0.3">
      <c r="B556" s="356" t="s">
        <v>870</v>
      </c>
      <c r="C556" s="331"/>
      <c r="D556" s="332" t="s">
        <v>766</v>
      </c>
      <c r="E556" s="332" t="s">
        <v>176</v>
      </c>
      <c r="F556" s="333"/>
      <c r="G556" s="334">
        <v>46106</v>
      </c>
      <c r="H556" s="335">
        <v>2115.66</v>
      </c>
      <c r="I556" s="336">
        <v>-13.55</v>
      </c>
      <c r="J556" s="337">
        <v>2586.02</v>
      </c>
      <c r="K556" s="338" t="s">
        <v>218</v>
      </c>
      <c r="L556" s="339" t="s">
        <v>447</v>
      </c>
      <c r="M556" s="340">
        <v>30</v>
      </c>
      <c r="N556" s="341">
        <v>88653</v>
      </c>
      <c r="O556" s="332">
        <v>58</v>
      </c>
      <c r="P556" s="342">
        <v>11</v>
      </c>
      <c r="Q556" s="343">
        <v>13.131313131313128</v>
      </c>
      <c r="R556" s="344">
        <v>1.7153153153153151</v>
      </c>
      <c r="S556" s="344">
        <v>1.6830000000000001</v>
      </c>
      <c r="T556" s="344">
        <v>1.9039999999999999</v>
      </c>
      <c r="U556" s="344" t="s">
        <v>136</v>
      </c>
      <c r="V556" s="332" t="s">
        <v>137</v>
      </c>
      <c r="W556" s="345">
        <v>8</v>
      </c>
      <c r="X556" s="346">
        <v>4</v>
      </c>
      <c r="Y556" s="208">
        <v>2.8069999999999999</v>
      </c>
      <c r="Z556" s="332"/>
      <c r="AA556" s="342"/>
      <c r="AB556" s="342"/>
      <c r="AC556" s="342"/>
      <c r="AD556" s="347"/>
      <c r="AE556" s="348">
        <v>1.675</v>
      </c>
      <c r="AF556" s="349">
        <v>0</v>
      </c>
      <c r="AG556" s="350"/>
      <c r="AH556" s="351" t="s">
        <v>139</v>
      </c>
      <c r="AI556" s="352" t="s">
        <v>139</v>
      </c>
      <c r="AJ556" s="206" t="s">
        <v>139</v>
      </c>
      <c r="AK556" s="353" t="s">
        <v>864</v>
      </c>
      <c r="AL556" s="206" t="s">
        <v>139</v>
      </c>
      <c r="AM556" s="349">
        <v>102.40688449643672</v>
      </c>
      <c r="AN556" s="354" t="s">
        <v>139</v>
      </c>
      <c r="AO556" s="355" t="s">
        <v>140</v>
      </c>
      <c r="AP556" s="206" t="s">
        <v>139</v>
      </c>
      <c r="AQ556" s="207">
        <v>0</v>
      </c>
      <c r="AR556" s="211"/>
      <c r="AS556" s="297">
        <f>+IF(Table1[[#This Row],[Column40]]="ok",Table1[[#This Row],[Column7]],0)</f>
        <v>2115.66</v>
      </c>
      <c r="AT556" s="295">
        <f>+IF(Table1[[#This Row],[Column40]]="No",Table1[[#This Row],[Column7]],0)</f>
        <v>0</v>
      </c>
      <c r="AU556" s="4" t="str">
        <f>+IF(LEFT(Table1[[#This Row],[Column42]],2)="DN",IF(Table1[[#This Row],[Column40]]="ok","(CA)",_xlfn.CONCAT("(CA)",CHAR(10),"FAIL")),"")</f>
        <v/>
      </c>
      <c r="AV556" s="154" t="str">
        <f>+IF(Table1[[#This Row],[Column6]]=0,"",_xlfn.CONCAT("Sem ",WEEKNUM(Table1[[#This Row],[Column6]],2)))</f>
        <v>Sem 13</v>
      </c>
      <c r="AW556" s="211"/>
    </row>
    <row r="557" spans="2:49" ht="19.5" customHeight="1" x14ac:dyDescent="0.3">
      <c r="B557" s="356" t="s">
        <v>871</v>
      </c>
      <c r="C557" s="331"/>
      <c r="D557" s="332" t="s">
        <v>766</v>
      </c>
      <c r="E557" s="332" t="s">
        <v>176</v>
      </c>
      <c r="F557" s="333"/>
      <c r="G557" s="334">
        <v>46106</v>
      </c>
      <c r="H557" s="335">
        <v>2159.71</v>
      </c>
      <c r="I557" s="336">
        <v>-169.55</v>
      </c>
      <c r="J557" s="337">
        <v>2630.36</v>
      </c>
      <c r="K557" s="338" t="s">
        <v>218</v>
      </c>
      <c r="L557" s="339" t="s">
        <v>657</v>
      </c>
      <c r="M557" s="340">
        <v>30</v>
      </c>
      <c r="N557" s="341">
        <v>88653</v>
      </c>
      <c r="O557" s="332">
        <v>58</v>
      </c>
      <c r="P557" s="342">
        <v>13.5</v>
      </c>
      <c r="Q557" s="343">
        <v>13.200000000000012</v>
      </c>
      <c r="R557" s="344">
        <v>1.7453744493392072</v>
      </c>
      <c r="S557" s="344">
        <v>1.75</v>
      </c>
      <c r="T557" s="344">
        <v>1.9810000000000001</v>
      </c>
      <c r="U557" s="344" t="s">
        <v>136</v>
      </c>
      <c r="V557" s="332" t="s">
        <v>137</v>
      </c>
      <c r="W557" s="345">
        <v>8</v>
      </c>
      <c r="X557" s="346">
        <v>4</v>
      </c>
      <c r="Y557" s="208">
        <v>2.8069999999999999</v>
      </c>
      <c r="Z557" s="332"/>
      <c r="AA557" s="342"/>
      <c r="AB557" s="342"/>
      <c r="AC557" s="342"/>
      <c r="AD557" s="347"/>
      <c r="AE557" s="348">
        <v>1.675</v>
      </c>
      <c r="AF557" s="349">
        <v>0</v>
      </c>
      <c r="AG557" s="350"/>
      <c r="AH557" s="351" t="s">
        <v>139</v>
      </c>
      <c r="AI557" s="352" t="s">
        <v>139</v>
      </c>
      <c r="AJ557" s="206" t="s">
        <v>139</v>
      </c>
      <c r="AK557" s="353" t="s">
        <v>864</v>
      </c>
      <c r="AL557" s="206" t="s">
        <v>139</v>
      </c>
      <c r="AM557" s="349">
        <v>104.20145966204221</v>
      </c>
      <c r="AN557" s="354" t="s">
        <v>139</v>
      </c>
      <c r="AO557" s="355" t="s">
        <v>140</v>
      </c>
      <c r="AP557" s="206" t="s">
        <v>139</v>
      </c>
      <c r="AQ557" s="207">
        <v>0</v>
      </c>
      <c r="AR557" s="211"/>
      <c r="AS557" s="297">
        <f>+IF(Table1[[#This Row],[Column40]]="ok",Table1[[#This Row],[Column7]],0)</f>
        <v>2159.71</v>
      </c>
      <c r="AT557" s="295">
        <f>+IF(Table1[[#This Row],[Column40]]="No",Table1[[#This Row],[Column7]],0)</f>
        <v>0</v>
      </c>
      <c r="AU557" s="4" t="str">
        <f>+IF(LEFT(Table1[[#This Row],[Column42]],2)="DN",IF(Table1[[#This Row],[Column40]]="ok","(CA)",_xlfn.CONCAT("(CA)",CHAR(10),"FAIL")),"")</f>
        <v/>
      </c>
      <c r="AV557" s="154" t="str">
        <f>+IF(Table1[[#This Row],[Column6]]=0,"",_xlfn.CONCAT("Sem ",WEEKNUM(Table1[[#This Row],[Column6]],2)))</f>
        <v>Sem 13</v>
      </c>
      <c r="AW557" s="211"/>
    </row>
    <row r="558" spans="2:49" ht="19.5" customHeight="1" x14ac:dyDescent="0.3">
      <c r="B558" s="356" t="s">
        <v>872</v>
      </c>
      <c r="C558" s="331"/>
      <c r="D558" s="332" t="s">
        <v>766</v>
      </c>
      <c r="E558" s="332" t="s">
        <v>176</v>
      </c>
      <c r="F558" s="333"/>
      <c r="G558" s="334">
        <v>46106</v>
      </c>
      <c r="H558" s="335">
        <v>2124.14</v>
      </c>
      <c r="I558" s="336">
        <v>-67.63</v>
      </c>
      <c r="J558" s="337">
        <v>2602.38</v>
      </c>
      <c r="K558" s="338" t="s">
        <v>218</v>
      </c>
      <c r="L558" s="339" t="s">
        <v>873</v>
      </c>
      <c r="M558" s="340">
        <v>30</v>
      </c>
      <c r="N558" s="341">
        <v>88653</v>
      </c>
      <c r="O558" s="332">
        <v>58</v>
      </c>
      <c r="P558" s="342">
        <v>12</v>
      </c>
      <c r="Q558" s="343">
        <v>12.73666092943202</v>
      </c>
      <c r="R558" s="344">
        <v>1.7544642857142856</v>
      </c>
      <c r="S558" s="344">
        <v>1.7430000000000001</v>
      </c>
      <c r="T558" s="344">
        <v>1.9650000000000001</v>
      </c>
      <c r="U558" s="344" t="s">
        <v>136</v>
      </c>
      <c r="V558" s="332" t="s">
        <v>137</v>
      </c>
      <c r="W558" s="345">
        <v>8</v>
      </c>
      <c r="X558" s="346">
        <v>4</v>
      </c>
      <c r="Y558" s="208">
        <v>2.8069999999999999</v>
      </c>
      <c r="Z558" s="332"/>
      <c r="AA558" s="342"/>
      <c r="AB558" s="342"/>
      <c r="AC558" s="342"/>
      <c r="AD558" s="347"/>
      <c r="AE558" s="348">
        <v>1.675</v>
      </c>
      <c r="AF558" s="349">
        <v>0</v>
      </c>
      <c r="AG558" s="350"/>
      <c r="AH558" s="351" t="s">
        <v>139</v>
      </c>
      <c r="AI558" s="352" t="s">
        <v>139</v>
      </c>
      <c r="AJ558" s="206" t="s">
        <v>139</v>
      </c>
      <c r="AK558" s="353" t="s">
        <v>864</v>
      </c>
      <c r="AL558" s="206" t="s">
        <v>139</v>
      </c>
      <c r="AM558" s="349">
        <v>104.74413646055436</v>
      </c>
      <c r="AN558" s="354" t="s">
        <v>139</v>
      </c>
      <c r="AO558" s="355" t="s">
        <v>140</v>
      </c>
      <c r="AP558" s="206" t="s">
        <v>139</v>
      </c>
      <c r="AQ558" s="207">
        <v>0</v>
      </c>
      <c r="AR558" s="211"/>
      <c r="AS558" s="297">
        <f>+IF(Table1[[#This Row],[Column40]]="ok",Table1[[#This Row],[Column7]],0)</f>
        <v>2124.14</v>
      </c>
      <c r="AT558" s="295">
        <f>+IF(Table1[[#This Row],[Column40]]="No",Table1[[#This Row],[Column7]],0)</f>
        <v>0</v>
      </c>
      <c r="AU558" s="4" t="str">
        <f>+IF(LEFT(Table1[[#This Row],[Column42]],2)="DN",IF(Table1[[#This Row],[Column40]]="ok","(CA)",_xlfn.CONCAT("(CA)",CHAR(10),"FAIL")),"")</f>
        <v/>
      </c>
      <c r="AV558" s="154" t="str">
        <f>+IF(Table1[[#This Row],[Column6]]=0,"",_xlfn.CONCAT("Sem ",WEEKNUM(Table1[[#This Row],[Column6]],2)))</f>
        <v>Sem 13</v>
      </c>
      <c r="AW558" s="211"/>
    </row>
    <row r="559" spans="2:49" ht="19.5" customHeight="1" x14ac:dyDescent="0.3">
      <c r="B559" s="356" t="s">
        <v>874</v>
      </c>
      <c r="C559" s="331"/>
      <c r="D559" s="332" t="s">
        <v>766</v>
      </c>
      <c r="E559" s="332" t="s">
        <v>133</v>
      </c>
      <c r="F559" s="333"/>
      <c r="G559" s="334">
        <v>46107</v>
      </c>
      <c r="H559" s="335">
        <v>1892.68</v>
      </c>
      <c r="I559" s="336">
        <v>-133.96</v>
      </c>
      <c r="J559" s="337">
        <v>2634.92</v>
      </c>
      <c r="K559" s="338" t="s">
        <v>134</v>
      </c>
      <c r="L559" s="339" t="s">
        <v>156</v>
      </c>
      <c r="M559" s="340">
        <v>30</v>
      </c>
      <c r="N559" s="341">
        <v>85462</v>
      </c>
      <c r="O559" s="332">
        <v>59.78</v>
      </c>
      <c r="P559" s="342">
        <v>9</v>
      </c>
      <c r="Q559" s="343">
        <v>9.9941211052322121</v>
      </c>
      <c r="R559" s="344">
        <v>1.7165137614678898</v>
      </c>
      <c r="S559" s="344">
        <v>1.7010000000000001</v>
      </c>
      <c r="T559" s="344">
        <v>1.871</v>
      </c>
      <c r="U559" s="344" t="s">
        <v>136</v>
      </c>
      <c r="V559" s="332" t="s">
        <v>137</v>
      </c>
      <c r="W559" s="345">
        <v>8</v>
      </c>
      <c r="X559" s="346">
        <v>4</v>
      </c>
      <c r="Y559" s="208">
        <v>2.8069999999999999</v>
      </c>
      <c r="Z559" s="332"/>
      <c r="AA559" s="342"/>
      <c r="AB559" s="342"/>
      <c r="AC559" s="342"/>
      <c r="AD559" s="347"/>
      <c r="AE559" s="348">
        <v>1.675</v>
      </c>
      <c r="AF559" s="349">
        <v>0</v>
      </c>
      <c r="AG559" s="350"/>
      <c r="AH559" s="351" t="s">
        <v>139</v>
      </c>
      <c r="AI559" s="352" t="s">
        <v>139</v>
      </c>
      <c r="AJ559" s="206" t="s">
        <v>139</v>
      </c>
      <c r="AK559" s="353" t="s">
        <v>864</v>
      </c>
      <c r="AL559" s="206" t="s">
        <v>139</v>
      </c>
      <c r="AM559" s="349">
        <v>102.47843352047103</v>
      </c>
      <c r="AN559" s="354" t="s">
        <v>139</v>
      </c>
      <c r="AO559" s="355" t="s">
        <v>140</v>
      </c>
      <c r="AP559" s="206" t="s">
        <v>139</v>
      </c>
      <c r="AQ559" s="207">
        <v>0</v>
      </c>
      <c r="AR559" s="211"/>
      <c r="AS559" s="297">
        <f>+IF(Table1[[#This Row],[Column40]]="ok",Table1[[#This Row],[Column7]],0)</f>
        <v>1892.68</v>
      </c>
      <c r="AT559" s="295">
        <f>+IF(Table1[[#This Row],[Column40]]="No",Table1[[#This Row],[Column7]],0)</f>
        <v>0</v>
      </c>
      <c r="AU559" s="4" t="str">
        <f>+IF(LEFT(Table1[[#This Row],[Column42]],2)="DN",IF(Table1[[#This Row],[Column40]]="ok","(CA)",_xlfn.CONCAT("(CA)",CHAR(10),"FAIL")),"")</f>
        <v/>
      </c>
      <c r="AV559" s="154" t="str">
        <f>+IF(Table1[[#This Row],[Column6]]=0,"",_xlfn.CONCAT("Sem ",WEEKNUM(Table1[[#This Row],[Column6]],2)))</f>
        <v>Sem 13</v>
      </c>
      <c r="AW559" s="211"/>
    </row>
    <row r="560" spans="2:49" ht="19.5" customHeight="1" x14ac:dyDescent="0.3">
      <c r="B560" s="356" t="s">
        <v>875</v>
      </c>
      <c r="C560" s="331"/>
      <c r="D560" s="332" t="s">
        <v>766</v>
      </c>
      <c r="E560" s="332" t="s">
        <v>133</v>
      </c>
      <c r="F560" s="333"/>
      <c r="G560" s="334">
        <v>46107</v>
      </c>
      <c r="H560" s="335">
        <v>1838.57</v>
      </c>
      <c r="I560" s="336">
        <v>-91.62</v>
      </c>
      <c r="J560" s="337">
        <v>2634.56</v>
      </c>
      <c r="K560" s="338" t="s">
        <v>134</v>
      </c>
      <c r="L560" s="339" t="s">
        <v>135</v>
      </c>
      <c r="M560" s="340">
        <v>30</v>
      </c>
      <c r="N560" s="341">
        <v>85462</v>
      </c>
      <c r="O560" s="332">
        <v>59.78</v>
      </c>
      <c r="P560" s="342">
        <v>11.1</v>
      </c>
      <c r="Q560" s="343">
        <v>11.599297012302291</v>
      </c>
      <c r="R560" s="344">
        <v>1.7146714671467147</v>
      </c>
      <c r="S560" s="344">
        <v>1.7070000000000001</v>
      </c>
      <c r="T560" s="344">
        <v>1.905</v>
      </c>
      <c r="U560" s="344" t="s">
        <v>136</v>
      </c>
      <c r="V560" s="332" t="s">
        <v>137</v>
      </c>
      <c r="W560" s="345">
        <v>8</v>
      </c>
      <c r="X560" s="346">
        <v>4</v>
      </c>
      <c r="Y560" s="208">
        <v>2.8069999999999999</v>
      </c>
      <c r="Z560" s="332"/>
      <c r="AA560" s="342"/>
      <c r="AB560" s="342"/>
      <c r="AC560" s="342"/>
      <c r="AD560" s="347"/>
      <c r="AE560" s="348">
        <v>1.675</v>
      </c>
      <c r="AF560" s="349">
        <v>0</v>
      </c>
      <c r="AG560" s="350"/>
      <c r="AH560" s="351" t="s">
        <v>139</v>
      </c>
      <c r="AI560" s="352" t="s">
        <v>139</v>
      </c>
      <c r="AJ560" s="206" t="s">
        <v>139</v>
      </c>
      <c r="AK560" s="353" t="s">
        <v>864</v>
      </c>
      <c r="AL560" s="206" t="s">
        <v>139</v>
      </c>
      <c r="AM560" s="349">
        <v>102.36844579980387</v>
      </c>
      <c r="AN560" s="354" t="s">
        <v>139</v>
      </c>
      <c r="AO560" s="355" t="s">
        <v>140</v>
      </c>
      <c r="AP560" s="206" t="s">
        <v>139</v>
      </c>
      <c r="AQ560" s="207">
        <v>0</v>
      </c>
      <c r="AR560" s="211"/>
      <c r="AS560" s="297">
        <f>+IF(Table1[[#This Row],[Column40]]="ok",Table1[[#This Row],[Column7]],0)</f>
        <v>1838.57</v>
      </c>
      <c r="AT560" s="295">
        <f>+IF(Table1[[#This Row],[Column40]]="No",Table1[[#This Row],[Column7]],0)</f>
        <v>0</v>
      </c>
      <c r="AU560" s="4" t="str">
        <f>+IF(LEFT(Table1[[#This Row],[Column42]],2)="DN",IF(Table1[[#This Row],[Column40]]="ok","(CA)",_xlfn.CONCAT("(CA)",CHAR(10),"FAIL")),"")</f>
        <v/>
      </c>
      <c r="AV560" s="154" t="str">
        <f>+IF(Table1[[#This Row],[Column6]]=0,"",_xlfn.CONCAT("Sem ",WEEKNUM(Table1[[#This Row],[Column6]],2)))</f>
        <v>Sem 13</v>
      </c>
      <c r="AW560" s="211"/>
    </row>
    <row r="561" spans="2:49" ht="19.5" customHeight="1" x14ac:dyDescent="0.3">
      <c r="B561" s="356" t="s">
        <v>876</v>
      </c>
      <c r="C561" s="331"/>
      <c r="D561" s="332" t="s">
        <v>766</v>
      </c>
      <c r="E561" s="332" t="s">
        <v>133</v>
      </c>
      <c r="F561" s="333"/>
      <c r="G561" s="334">
        <v>46107</v>
      </c>
      <c r="H561" s="335">
        <v>1776.59</v>
      </c>
      <c r="I561" s="336">
        <v>-41.14</v>
      </c>
      <c r="J561" s="337">
        <v>2635.19</v>
      </c>
      <c r="K561" s="338" t="s">
        <v>134</v>
      </c>
      <c r="L561" s="339" t="s">
        <v>146</v>
      </c>
      <c r="M561" s="340">
        <v>30</v>
      </c>
      <c r="N561" s="341">
        <v>85462</v>
      </c>
      <c r="O561" s="332">
        <v>59.78</v>
      </c>
      <c r="P561" s="342">
        <v>10.9</v>
      </c>
      <c r="Q561" s="343">
        <v>11.750741839762613</v>
      </c>
      <c r="R561" s="344">
        <v>1.697926059513075</v>
      </c>
      <c r="S561" s="344">
        <v>1.6850000000000001</v>
      </c>
      <c r="T561" s="344">
        <v>1.883</v>
      </c>
      <c r="U561" s="344" t="s">
        <v>136</v>
      </c>
      <c r="V561" s="332" t="s">
        <v>137</v>
      </c>
      <c r="W561" s="345">
        <v>8</v>
      </c>
      <c r="X561" s="346">
        <v>4</v>
      </c>
      <c r="Y561" s="208">
        <v>2.8069999999999999</v>
      </c>
      <c r="Z561" s="332"/>
      <c r="AA561" s="342"/>
      <c r="AB561" s="342"/>
      <c r="AC561" s="342"/>
      <c r="AD561" s="347"/>
      <c r="AE561" s="348">
        <v>1.675</v>
      </c>
      <c r="AF561" s="349">
        <v>0</v>
      </c>
      <c r="AG561" s="350"/>
      <c r="AH561" s="351" t="s">
        <v>139</v>
      </c>
      <c r="AI561" s="352" t="s">
        <v>139</v>
      </c>
      <c r="AJ561" s="206" t="s">
        <v>139</v>
      </c>
      <c r="AK561" s="353" t="s">
        <v>864</v>
      </c>
      <c r="AL561" s="206" t="s">
        <v>139</v>
      </c>
      <c r="AM561" s="349">
        <v>101.36871997092985</v>
      </c>
      <c r="AN561" s="354" t="s">
        <v>139</v>
      </c>
      <c r="AO561" s="355" t="s">
        <v>140</v>
      </c>
      <c r="AP561" s="206" t="s">
        <v>139</v>
      </c>
      <c r="AQ561" s="207">
        <v>0</v>
      </c>
      <c r="AR561" s="211"/>
      <c r="AS561" s="297">
        <f>+IF(Table1[[#This Row],[Column40]]="ok",Table1[[#This Row],[Column7]],0)</f>
        <v>1776.59</v>
      </c>
      <c r="AT561" s="295">
        <f>+IF(Table1[[#This Row],[Column40]]="No",Table1[[#This Row],[Column7]],0)</f>
        <v>0</v>
      </c>
      <c r="AU561" s="4" t="str">
        <f>+IF(LEFT(Table1[[#This Row],[Column42]],2)="DN",IF(Table1[[#This Row],[Column40]]="ok","(CA)",_xlfn.CONCAT("(CA)",CHAR(10),"FAIL")),"")</f>
        <v/>
      </c>
      <c r="AV561" s="154" t="str">
        <f>+IF(Table1[[#This Row],[Column6]]=0,"",_xlfn.CONCAT("Sem ",WEEKNUM(Table1[[#This Row],[Column6]],2)))</f>
        <v>Sem 13</v>
      </c>
      <c r="AW561" s="211"/>
    </row>
    <row r="562" spans="2:49" ht="19.5" customHeight="1" x14ac:dyDescent="0.3">
      <c r="B562" s="356" t="s">
        <v>877</v>
      </c>
      <c r="C562" s="331"/>
      <c r="D562" s="332" t="s">
        <v>766</v>
      </c>
      <c r="E562" s="332" t="s">
        <v>133</v>
      </c>
      <c r="F562" s="333"/>
      <c r="G562" s="334">
        <v>46107</v>
      </c>
      <c r="H562" s="335">
        <v>1836.89</v>
      </c>
      <c r="I562" s="336">
        <v>44.52</v>
      </c>
      <c r="J562" s="337">
        <v>2604.56</v>
      </c>
      <c r="K562" s="338" t="s">
        <v>134</v>
      </c>
      <c r="L562" s="339" t="s">
        <v>135</v>
      </c>
      <c r="M562" s="340">
        <v>30</v>
      </c>
      <c r="N562" s="341">
        <v>85462</v>
      </c>
      <c r="O562" s="332">
        <v>59.78</v>
      </c>
      <c r="P562" s="342">
        <v>10.4</v>
      </c>
      <c r="Q562" s="343">
        <v>11.990549320732423</v>
      </c>
      <c r="R562" s="344">
        <v>1.7173913043478259</v>
      </c>
      <c r="S562" s="344">
        <v>1.6930000000000001</v>
      </c>
      <c r="T562" s="344">
        <v>1.8959999999999999</v>
      </c>
      <c r="U562" s="344" t="s">
        <v>136</v>
      </c>
      <c r="V562" s="332" t="s">
        <v>137</v>
      </c>
      <c r="W562" s="345">
        <v>8</v>
      </c>
      <c r="X562" s="346">
        <v>4</v>
      </c>
      <c r="Y562" s="208">
        <v>2.8069999999999999</v>
      </c>
      <c r="Z562" s="332"/>
      <c r="AA562" s="342"/>
      <c r="AB562" s="342"/>
      <c r="AC562" s="342"/>
      <c r="AD562" s="347"/>
      <c r="AE562" s="348">
        <v>1.675</v>
      </c>
      <c r="AF562" s="349">
        <v>0</v>
      </c>
      <c r="AG562" s="350"/>
      <c r="AH562" s="351" t="s">
        <v>139</v>
      </c>
      <c r="AI562" s="352" t="s">
        <v>139</v>
      </c>
      <c r="AJ562" s="206" t="s">
        <v>139</v>
      </c>
      <c r="AK562" s="353" t="s">
        <v>764</v>
      </c>
      <c r="AL562" s="206" t="s">
        <v>139</v>
      </c>
      <c r="AM562" s="349">
        <v>102.53082414016872</v>
      </c>
      <c r="AN562" s="354" t="s">
        <v>139</v>
      </c>
      <c r="AO562" s="355" t="s">
        <v>140</v>
      </c>
      <c r="AP562" s="206" t="s">
        <v>139</v>
      </c>
      <c r="AQ562" s="207">
        <v>0</v>
      </c>
      <c r="AR562" s="211"/>
      <c r="AS562" s="297">
        <f>+IF(Table1[[#This Row],[Column40]]="ok",Table1[[#This Row],[Column7]],0)</f>
        <v>1836.89</v>
      </c>
      <c r="AT562" s="295">
        <f>+IF(Table1[[#This Row],[Column40]]="No",Table1[[#This Row],[Column7]],0)</f>
        <v>0</v>
      </c>
      <c r="AU562" s="4" t="str">
        <f>+IF(LEFT(Table1[[#This Row],[Column42]],2)="DN",IF(Table1[[#This Row],[Column40]]="ok","(CA)",_xlfn.CONCAT("(CA)",CHAR(10),"FAIL")),"")</f>
        <v/>
      </c>
      <c r="AV562" s="154" t="str">
        <f>+IF(Table1[[#This Row],[Column6]]=0,"",_xlfn.CONCAT("Sem ",WEEKNUM(Table1[[#This Row],[Column6]],2)))</f>
        <v>Sem 13</v>
      </c>
      <c r="AW562" s="211"/>
    </row>
    <row r="563" spans="2:49" ht="19.5" customHeight="1" x14ac:dyDescent="0.3">
      <c r="B563" s="412" t="s">
        <v>878</v>
      </c>
      <c r="C563" s="413"/>
      <c r="D563" s="414" t="s">
        <v>766</v>
      </c>
      <c r="E563" s="414" t="s">
        <v>133</v>
      </c>
      <c r="F563" s="415"/>
      <c r="G563" s="416">
        <v>46107</v>
      </c>
      <c r="H563" s="417">
        <v>1887.22</v>
      </c>
      <c r="I563" s="418">
        <v>-16.079999999999998</v>
      </c>
      <c r="J563" s="419">
        <v>2610.33</v>
      </c>
      <c r="K563" s="420" t="s">
        <v>134</v>
      </c>
      <c r="L563" s="421" t="s">
        <v>156</v>
      </c>
      <c r="M563" s="422">
        <v>30</v>
      </c>
      <c r="N563" s="423">
        <v>85462</v>
      </c>
      <c r="O563" s="414">
        <v>59.78</v>
      </c>
      <c r="P563" s="424">
        <v>10.8</v>
      </c>
      <c r="Q563" s="425">
        <v>12.067955477445814</v>
      </c>
      <c r="R563" s="426">
        <v>1.7265342960288808</v>
      </c>
      <c r="S563" s="426">
        <v>1.7070000000000001</v>
      </c>
      <c r="T563" s="426">
        <v>1.913</v>
      </c>
      <c r="U563" s="426" t="s">
        <v>136</v>
      </c>
      <c r="V563" s="414" t="s">
        <v>137</v>
      </c>
      <c r="W563" s="427">
        <v>8</v>
      </c>
      <c r="X563" s="428">
        <v>4</v>
      </c>
      <c r="Y563" s="429">
        <v>2.8069999999999999</v>
      </c>
      <c r="Z563" s="414"/>
      <c r="AA563" s="424"/>
      <c r="AB563" s="424"/>
      <c r="AC563" s="424"/>
      <c r="AD563" s="430"/>
      <c r="AE563" s="431">
        <v>1.675</v>
      </c>
      <c r="AF563" s="432">
        <v>0</v>
      </c>
      <c r="AG563" s="433"/>
      <c r="AH563" s="434" t="s">
        <v>139</v>
      </c>
      <c r="AI563" s="435" t="s">
        <v>139</v>
      </c>
      <c r="AJ563" s="436" t="s">
        <v>139</v>
      </c>
      <c r="AK563" s="437" t="s">
        <v>864</v>
      </c>
      <c r="AL563" s="436" t="s">
        <v>139</v>
      </c>
      <c r="AM563" s="432">
        <v>103.07667438978392</v>
      </c>
      <c r="AN563" s="438" t="s">
        <v>139</v>
      </c>
      <c r="AO563" s="439" t="s">
        <v>140</v>
      </c>
      <c r="AP563" s="436" t="s">
        <v>139</v>
      </c>
      <c r="AQ563" s="440">
        <v>0</v>
      </c>
      <c r="AR563" s="211"/>
      <c r="AS563" s="297">
        <f>+IF(Table1[[#This Row],[Column40]]="ok",Table1[[#This Row],[Column7]],0)</f>
        <v>1887.22</v>
      </c>
      <c r="AT563" s="295">
        <f>+IF(Table1[[#This Row],[Column40]]="No",Table1[[#This Row],[Column7]],0)</f>
        <v>0</v>
      </c>
      <c r="AU563" s="4" t="str">
        <f>+IF(LEFT(Table1[[#This Row],[Column42]],2)="DN",IF(Table1[[#This Row],[Column40]]="ok","(CA)",_xlfn.CONCAT("(CA)",CHAR(10),"FAIL")),"")</f>
        <v/>
      </c>
      <c r="AV563" s="154" t="str">
        <f>+IF(Table1[[#This Row],[Column6]]=0,"",_xlfn.CONCAT("Sem ",WEEKNUM(Table1[[#This Row],[Column6]],2)))</f>
        <v>Sem 13</v>
      </c>
      <c r="AW563" s="211"/>
    </row>
    <row r="564" spans="2:49" ht="19.5" customHeight="1" x14ac:dyDescent="0.3">
      <c r="B564" s="412" t="s">
        <v>879</v>
      </c>
      <c r="C564" s="413"/>
      <c r="D564" s="414" t="s">
        <v>766</v>
      </c>
      <c r="E564" s="414" t="s">
        <v>133</v>
      </c>
      <c r="F564" s="415"/>
      <c r="G564" s="416">
        <v>46107</v>
      </c>
      <c r="H564" s="417">
        <v>1992.73</v>
      </c>
      <c r="I564" s="418">
        <v>51.54</v>
      </c>
      <c r="J564" s="419">
        <v>2578</v>
      </c>
      <c r="K564" s="420" t="s">
        <v>218</v>
      </c>
      <c r="L564" s="421" t="s">
        <v>660</v>
      </c>
      <c r="M564" s="422">
        <v>30</v>
      </c>
      <c r="N564" s="423">
        <v>85462</v>
      </c>
      <c r="O564" s="414">
        <v>59.78</v>
      </c>
      <c r="P564" s="424">
        <v>10.299999999999999</v>
      </c>
      <c r="Q564" s="425">
        <v>10.900473933649302</v>
      </c>
      <c r="R564" s="426">
        <v>1.6971894832275614</v>
      </c>
      <c r="S564" s="426">
        <v>1.6879999999999999</v>
      </c>
      <c r="T564" s="426">
        <v>1.8720000000000001</v>
      </c>
      <c r="U564" s="426" t="s">
        <v>136</v>
      </c>
      <c r="V564" s="414" t="s">
        <v>137</v>
      </c>
      <c r="W564" s="427">
        <v>8</v>
      </c>
      <c r="X564" s="428">
        <v>4</v>
      </c>
      <c r="Y564" s="429">
        <v>2.8069999999999999</v>
      </c>
      <c r="Z564" s="414"/>
      <c r="AA564" s="424"/>
      <c r="AB564" s="424"/>
      <c r="AC564" s="424"/>
      <c r="AD564" s="430"/>
      <c r="AE564" s="431">
        <v>1.681</v>
      </c>
      <c r="AF564" s="432">
        <v>17.100000000000001</v>
      </c>
      <c r="AG564" s="433"/>
      <c r="AH564" s="434">
        <v>1.6806148590947907</v>
      </c>
      <c r="AI564" s="435">
        <v>1.968</v>
      </c>
      <c r="AJ564" s="436">
        <v>17.100000000000001</v>
      </c>
      <c r="AK564" s="437" t="s">
        <v>267</v>
      </c>
      <c r="AL564" s="436">
        <v>0</v>
      </c>
      <c r="AM564" s="432">
        <v>100.9630864501821</v>
      </c>
      <c r="AN564" s="438" t="s">
        <v>139</v>
      </c>
      <c r="AO564" s="439" t="s">
        <v>140</v>
      </c>
      <c r="AP564" s="436" t="s">
        <v>139</v>
      </c>
      <c r="AQ564" s="440" t="s">
        <v>880</v>
      </c>
      <c r="AR564" s="211"/>
      <c r="AS564" s="297">
        <f>+IF(Table1[[#This Row],[Column40]]="ok",Table1[[#This Row],[Column7]],0)</f>
        <v>1992.73</v>
      </c>
      <c r="AT564" s="295">
        <f>+IF(Table1[[#This Row],[Column40]]="No",Table1[[#This Row],[Column7]],0)</f>
        <v>0</v>
      </c>
      <c r="AU564" s="4" t="str">
        <f>+IF(LEFT(Table1[[#This Row],[Column42]],2)="DN",IF(Table1[[#This Row],[Column40]]="ok","(CA)",_xlfn.CONCAT("(CA)",CHAR(10),"FAIL")),"")</f>
        <v/>
      </c>
      <c r="AV564" s="154" t="str">
        <f>+IF(Table1[[#This Row],[Column6]]=0,"",_xlfn.CONCAT("Sem ",WEEKNUM(Table1[[#This Row],[Column6]],2)))</f>
        <v>Sem 13</v>
      </c>
      <c r="AW564" s="211"/>
    </row>
    <row r="565" spans="2:49" ht="19.5" customHeight="1" x14ac:dyDescent="0.3">
      <c r="B565" s="412" t="s">
        <v>880</v>
      </c>
      <c r="C565" s="413"/>
      <c r="D565" s="414" t="s">
        <v>766</v>
      </c>
      <c r="E565" s="414" t="s">
        <v>133</v>
      </c>
      <c r="F565" s="415"/>
      <c r="G565" s="416">
        <v>46107</v>
      </c>
      <c r="H565" s="417">
        <v>1992.73</v>
      </c>
      <c r="I565" s="418">
        <v>51.54</v>
      </c>
      <c r="J565" s="419">
        <v>2578</v>
      </c>
      <c r="K565" s="420" t="s">
        <v>218</v>
      </c>
      <c r="L565" s="421" t="s">
        <v>660</v>
      </c>
      <c r="M565" s="422">
        <v>15</v>
      </c>
      <c r="N565" s="423"/>
      <c r="O565" s="414"/>
      <c r="P565" s="424">
        <v>10.332294911734152</v>
      </c>
      <c r="Q565" s="425"/>
      <c r="R565" s="426">
        <v>1.6824371255035284</v>
      </c>
      <c r="S565" s="426"/>
      <c r="T565" s="426">
        <v>1.8562714910150557</v>
      </c>
      <c r="U565" s="426" t="s">
        <v>142</v>
      </c>
      <c r="V565" s="414" t="s">
        <v>137</v>
      </c>
      <c r="W565" s="427" t="s">
        <v>173</v>
      </c>
      <c r="X565" s="428" t="s">
        <v>680</v>
      </c>
      <c r="Y565" s="429"/>
      <c r="Z565" s="414" t="s">
        <v>227</v>
      </c>
      <c r="AA565" s="424">
        <v>98.286604361370721</v>
      </c>
      <c r="AB565" s="424">
        <v>80.062305295950154</v>
      </c>
      <c r="AC565" s="424">
        <v>35.695742471443396</v>
      </c>
      <c r="AD565" s="430">
        <v>11.1111111111111</v>
      </c>
      <c r="AE565" s="431">
        <v>1.681</v>
      </c>
      <c r="AF565" s="432">
        <v>17.100000000000001</v>
      </c>
      <c r="AG565" s="433" t="s">
        <v>267</v>
      </c>
      <c r="AH565" s="434">
        <v>1.6804765812354312</v>
      </c>
      <c r="AI565" s="435">
        <v>1.9679991494790563</v>
      </c>
      <c r="AJ565" s="436">
        <v>17.109584950731545</v>
      </c>
      <c r="AK565" s="437" t="s">
        <v>267</v>
      </c>
      <c r="AL565" s="436">
        <v>-9.5849507315435289E-3</v>
      </c>
      <c r="AM565" s="432">
        <v>100.08549229646214</v>
      </c>
      <c r="AN565" s="438" t="s">
        <v>139</v>
      </c>
      <c r="AO565" s="439" t="s">
        <v>144</v>
      </c>
      <c r="AP565" s="436">
        <v>0</v>
      </c>
      <c r="AQ565" s="440" t="s">
        <v>879</v>
      </c>
      <c r="AR565" s="211"/>
      <c r="AS565" s="297">
        <f>+IF(Table1[[#This Row],[Column40]]="ok",Table1[[#This Row],[Column7]],0)</f>
        <v>1992.73</v>
      </c>
      <c r="AT565" s="295">
        <f>+IF(Table1[[#This Row],[Column40]]="No",Table1[[#This Row],[Column7]],0)</f>
        <v>0</v>
      </c>
      <c r="AU565" s="4" t="str">
        <f>+IF(LEFT(Table1[[#This Row],[Column42]],2)="DN",IF(Table1[[#This Row],[Column40]]="ok","(CA)",_xlfn.CONCAT("(CA)",CHAR(10),"FAIL")),"")</f>
        <v>(CA)</v>
      </c>
      <c r="AV565" s="154" t="str">
        <f>+IF(Table1[[#This Row],[Column6]]=0,"",_xlfn.CONCAT("Sem ",WEEKNUM(Table1[[#This Row],[Column6]],2)))</f>
        <v>Sem 13</v>
      </c>
      <c r="AW565" s="211"/>
    </row>
    <row r="566" spans="2:49" ht="19.5" customHeight="1" x14ac:dyDescent="0.3">
      <c r="B566" s="412" t="s">
        <v>881</v>
      </c>
      <c r="C566" s="413"/>
      <c r="D566" s="414" t="s">
        <v>766</v>
      </c>
      <c r="E566" s="414" t="s">
        <v>133</v>
      </c>
      <c r="F566" s="415"/>
      <c r="G566" s="416">
        <v>46107</v>
      </c>
      <c r="H566" s="417">
        <v>1938.48</v>
      </c>
      <c r="I566" s="418">
        <v>-52.84</v>
      </c>
      <c r="J566" s="419">
        <v>2611.94</v>
      </c>
      <c r="K566" s="420" t="s">
        <v>218</v>
      </c>
      <c r="L566" s="421" t="s">
        <v>441</v>
      </c>
      <c r="M566" s="422">
        <v>30</v>
      </c>
      <c r="N566" s="423">
        <v>85462</v>
      </c>
      <c r="O566" s="414">
        <v>59.78</v>
      </c>
      <c r="P566" s="424">
        <v>9.6</v>
      </c>
      <c r="Q566" s="425">
        <v>11.059640995946719</v>
      </c>
      <c r="R566" s="426">
        <v>1.7499999999999998</v>
      </c>
      <c r="S566" s="426">
        <v>1.7270000000000001</v>
      </c>
      <c r="T566" s="426">
        <v>1.9179999999999999</v>
      </c>
      <c r="U566" s="426" t="s">
        <v>136</v>
      </c>
      <c r="V566" s="414" t="s">
        <v>137</v>
      </c>
      <c r="W566" s="427">
        <v>8</v>
      </c>
      <c r="X566" s="428">
        <v>4</v>
      </c>
      <c r="Y566" s="429">
        <v>2.8069999999999999</v>
      </c>
      <c r="Z566" s="414"/>
      <c r="AA566" s="424"/>
      <c r="AB566" s="424"/>
      <c r="AC566" s="424"/>
      <c r="AD566" s="430"/>
      <c r="AE566" s="431">
        <v>1.675</v>
      </c>
      <c r="AF566" s="432">
        <v>0</v>
      </c>
      <c r="AG566" s="433"/>
      <c r="AH566" s="434" t="s">
        <v>139</v>
      </c>
      <c r="AI566" s="435" t="s">
        <v>139</v>
      </c>
      <c r="AJ566" s="436" t="s">
        <v>139</v>
      </c>
      <c r="AK566" s="437" t="s">
        <v>864</v>
      </c>
      <c r="AL566" s="436" t="s">
        <v>139</v>
      </c>
      <c r="AM566" s="432">
        <v>104.4776119402985</v>
      </c>
      <c r="AN566" s="438" t="s">
        <v>139</v>
      </c>
      <c r="AO566" s="439" t="s">
        <v>140</v>
      </c>
      <c r="AP566" s="436" t="s">
        <v>139</v>
      </c>
      <c r="AQ566" s="440">
        <v>0</v>
      </c>
      <c r="AR566" s="211"/>
      <c r="AS566" s="297">
        <f>+IF(Table1[[#This Row],[Column40]]="ok",Table1[[#This Row],[Column7]],0)</f>
        <v>1938.48</v>
      </c>
      <c r="AT566" s="295">
        <f>+IF(Table1[[#This Row],[Column40]]="No",Table1[[#This Row],[Column7]],0)</f>
        <v>0</v>
      </c>
      <c r="AU566" s="4" t="str">
        <f>+IF(LEFT(Table1[[#This Row],[Column42]],2)="DN",IF(Table1[[#This Row],[Column40]]="ok","(CA)",_xlfn.CONCAT("(CA)",CHAR(10),"FAIL")),"")</f>
        <v/>
      </c>
      <c r="AV566" s="154" t="str">
        <f>+IF(Table1[[#This Row],[Column6]]=0,"",_xlfn.CONCAT("Sem ",WEEKNUM(Table1[[#This Row],[Column6]],2)))</f>
        <v>Sem 13</v>
      </c>
      <c r="AW566" s="211"/>
    </row>
    <row r="567" spans="2:49" ht="19.5" customHeight="1" x14ac:dyDescent="0.3">
      <c r="B567" s="412" t="s">
        <v>882</v>
      </c>
      <c r="C567" s="413"/>
      <c r="D567" s="414" t="s">
        <v>766</v>
      </c>
      <c r="E567" s="414" t="s">
        <v>133</v>
      </c>
      <c r="F567" s="415"/>
      <c r="G567" s="416">
        <v>46107</v>
      </c>
      <c r="H567" s="417">
        <v>1928.48</v>
      </c>
      <c r="I567" s="418">
        <v>80.12</v>
      </c>
      <c r="J567" s="419">
        <v>2584.3000000000002</v>
      </c>
      <c r="K567" s="420" t="s">
        <v>218</v>
      </c>
      <c r="L567" s="421" t="s">
        <v>441</v>
      </c>
      <c r="M567" s="422">
        <v>30</v>
      </c>
      <c r="N567" s="423">
        <v>85462</v>
      </c>
      <c r="O567" s="414">
        <v>59.78</v>
      </c>
      <c r="P567" s="424">
        <v>10.6</v>
      </c>
      <c r="Q567" s="425">
        <v>13.160987074030551</v>
      </c>
      <c r="R567" s="426">
        <v>1.7414104882459311</v>
      </c>
      <c r="S567" s="426">
        <v>1.702</v>
      </c>
      <c r="T567" s="426">
        <v>1.9259999999999999</v>
      </c>
      <c r="U567" s="426" t="s">
        <v>136</v>
      </c>
      <c r="V567" s="414" t="s">
        <v>137</v>
      </c>
      <c r="W567" s="427">
        <v>8</v>
      </c>
      <c r="X567" s="428">
        <v>4</v>
      </c>
      <c r="Y567" s="429">
        <v>2.8069999999999999</v>
      </c>
      <c r="Z567" s="414"/>
      <c r="AA567" s="424"/>
      <c r="AB567" s="424"/>
      <c r="AC567" s="424"/>
      <c r="AD567" s="430"/>
      <c r="AE567" s="431">
        <v>1.675</v>
      </c>
      <c r="AF567" s="432">
        <v>0</v>
      </c>
      <c r="AG567" s="433"/>
      <c r="AH567" s="434" t="s">
        <v>139</v>
      </c>
      <c r="AI567" s="435" t="s">
        <v>139</v>
      </c>
      <c r="AJ567" s="436" t="s">
        <v>139</v>
      </c>
      <c r="AK567" s="437" t="s">
        <v>864</v>
      </c>
      <c r="AL567" s="436" t="s">
        <v>139</v>
      </c>
      <c r="AM567" s="432">
        <v>103.96480526841381</v>
      </c>
      <c r="AN567" s="438" t="s">
        <v>139</v>
      </c>
      <c r="AO567" s="439" t="s">
        <v>140</v>
      </c>
      <c r="AP567" s="436" t="s">
        <v>139</v>
      </c>
      <c r="AQ567" s="440">
        <v>0</v>
      </c>
      <c r="AR567" s="211"/>
      <c r="AS567" s="297">
        <f>+IF(Table1[[#This Row],[Column40]]="ok",Table1[[#This Row],[Column7]],0)</f>
        <v>1928.48</v>
      </c>
      <c r="AT567" s="295">
        <f>+IF(Table1[[#This Row],[Column40]]="No",Table1[[#This Row],[Column7]],0)</f>
        <v>0</v>
      </c>
      <c r="AU567" s="4" t="str">
        <f>+IF(LEFT(Table1[[#This Row],[Column42]],2)="DN",IF(Table1[[#This Row],[Column40]]="ok","(CA)",_xlfn.CONCAT("(CA)",CHAR(10),"FAIL")),"")</f>
        <v/>
      </c>
      <c r="AV567" s="154" t="str">
        <f>+IF(Table1[[#This Row],[Column6]]=0,"",_xlfn.CONCAT("Sem ",WEEKNUM(Table1[[#This Row],[Column6]],2)))</f>
        <v>Sem 13</v>
      </c>
      <c r="AW567" s="211"/>
    </row>
    <row r="568" spans="2:49" ht="19.5" customHeight="1" x14ac:dyDescent="0.3">
      <c r="B568" s="412" t="s">
        <v>883</v>
      </c>
      <c r="C568" s="413"/>
      <c r="D568" s="414" t="s">
        <v>766</v>
      </c>
      <c r="E568" s="414" t="s">
        <v>133</v>
      </c>
      <c r="F568" s="415"/>
      <c r="G568" s="416">
        <v>46107</v>
      </c>
      <c r="H568" s="417">
        <v>1897.27</v>
      </c>
      <c r="I568" s="418">
        <v>147.87</v>
      </c>
      <c r="J568" s="419">
        <v>2574.23</v>
      </c>
      <c r="K568" s="420" t="s">
        <v>134</v>
      </c>
      <c r="L568" s="421" t="s">
        <v>156</v>
      </c>
      <c r="M568" s="422">
        <v>30</v>
      </c>
      <c r="N568" s="423">
        <v>85462</v>
      </c>
      <c r="O568" s="414">
        <v>59.78</v>
      </c>
      <c r="P568" s="424">
        <v>11.200000000000001</v>
      </c>
      <c r="Q568" s="425">
        <v>13.475177304964546</v>
      </c>
      <c r="R568" s="426">
        <v>1.7266187050359709</v>
      </c>
      <c r="S568" s="426">
        <v>1.6919999999999999</v>
      </c>
      <c r="T568" s="426">
        <v>1.92</v>
      </c>
      <c r="U568" s="426" t="s">
        <v>136</v>
      </c>
      <c r="V568" s="414" t="s">
        <v>137</v>
      </c>
      <c r="W568" s="427">
        <v>8</v>
      </c>
      <c r="X568" s="428">
        <v>4</v>
      </c>
      <c r="Y568" s="429">
        <v>2.8069999999999999</v>
      </c>
      <c r="Z568" s="414"/>
      <c r="AA568" s="424"/>
      <c r="AB568" s="424"/>
      <c r="AC568" s="424"/>
      <c r="AD568" s="430"/>
      <c r="AE568" s="431">
        <v>1.675</v>
      </c>
      <c r="AF568" s="432">
        <v>0</v>
      </c>
      <c r="AG568" s="433"/>
      <c r="AH568" s="434" t="s">
        <v>139</v>
      </c>
      <c r="AI568" s="435" t="s">
        <v>139</v>
      </c>
      <c r="AJ568" s="436" t="s">
        <v>139</v>
      </c>
      <c r="AK568" s="437" t="s">
        <v>864</v>
      </c>
      <c r="AL568" s="436" t="s">
        <v>139</v>
      </c>
      <c r="AM568" s="432">
        <v>103.0817137334908</v>
      </c>
      <c r="AN568" s="438" t="s">
        <v>139</v>
      </c>
      <c r="AO568" s="439" t="s">
        <v>140</v>
      </c>
      <c r="AP568" s="436" t="s">
        <v>139</v>
      </c>
      <c r="AQ568" s="440">
        <v>0</v>
      </c>
      <c r="AR568" s="211"/>
      <c r="AS568" s="297">
        <f>+IF(Table1[[#This Row],[Column40]]="ok",Table1[[#This Row],[Column7]],0)</f>
        <v>1897.27</v>
      </c>
      <c r="AT568" s="295">
        <f>+IF(Table1[[#This Row],[Column40]]="No",Table1[[#This Row],[Column7]],0)</f>
        <v>0</v>
      </c>
      <c r="AU568" s="4" t="str">
        <f>+IF(LEFT(Table1[[#This Row],[Column42]],2)="DN",IF(Table1[[#This Row],[Column40]]="ok","(CA)",_xlfn.CONCAT("(CA)",CHAR(10),"FAIL")),"")</f>
        <v/>
      </c>
      <c r="AV568" s="154" t="str">
        <f>+IF(Table1[[#This Row],[Column6]]=0,"",_xlfn.CONCAT("Sem ",WEEKNUM(Table1[[#This Row],[Column6]],2)))</f>
        <v>Sem 13</v>
      </c>
      <c r="AW568" s="211"/>
    </row>
    <row r="569" spans="2:49" ht="19.5" customHeight="1" x14ac:dyDescent="0.3">
      <c r="B569" s="412" t="s">
        <v>884</v>
      </c>
      <c r="C569" s="413"/>
      <c r="D569" s="414" t="s">
        <v>766</v>
      </c>
      <c r="E569" s="414" t="s">
        <v>133</v>
      </c>
      <c r="F569" s="415"/>
      <c r="G569" s="416">
        <v>46107</v>
      </c>
      <c r="H569" s="417">
        <v>900.1</v>
      </c>
      <c r="I569" s="418">
        <v>60.26</v>
      </c>
      <c r="J569" s="419">
        <v>2626.7</v>
      </c>
      <c r="K569" s="420" t="s">
        <v>200</v>
      </c>
      <c r="L569" s="421" t="s">
        <v>311</v>
      </c>
      <c r="M569" s="422" t="s">
        <v>293</v>
      </c>
      <c r="N569" s="423" t="s">
        <v>293</v>
      </c>
      <c r="O569" s="414" t="s">
        <v>293</v>
      </c>
      <c r="P569" s="424" t="s">
        <v>293</v>
      </c>
      <c r="Q569" s="425" t="s">
        <v>293</v>
      </c>
      <c r="R569" s="426" t="s">
        <v>293</v>
      </c>
      <c r="S569" s="426" t="s">
        <v>293</v>
      </c>
      <c r="T569" s="426" t="s">
        <v>293</v>
      </c>
      <c r="U569" s="426" t="s">
        <v>294</v>
      </c>
      <c r="V569" s="414" t="s">
        <v>293</v>
      </c>
      <c r="W569" s="427" t="s">
        <v>293</v>
      </c>
      <c r="X569" s="428" t="s">
        <v>293</v>
      </c>
      <c r="Y569" s="429">
        <v>2.7634557556342334</v>
      </c>
      <c r="Z569" s="414" t="s">
        <v>143</v>
      </c>
      <c r="AA569" s="424">
        <v>98.782269849001466</v>
      </c>
      <c r="AB569" s="424">
        <v>76.522162688748182</v>
      </c>
      <c r="AC569" s="424">
        <v>34.510472479298585</v>
      </c>
      <c r="AD569" s="430">
        <v>11.836337067705799</v>
      </c>
      <c r="AE569" s="431">
        <v>1.7321071827531895</v>
      </c>
      <c r="AF569" s="432">
        <v>15.504116639327659</v>
      </c>
      <c r="AG569" s="433" t="s">
        <v>884</v>
      </c>
      <c r="AH569" s="434" t="s">
        <v>293</v>
      </c>
      <c r="AI569" s="435" t="s">
        <v>293</v>
      </c>
      <c r="AJ569" s="436" t="s">
        <v>293</v>
      </c>
      <c r="AK569" s="437" t="s">
        <v>293</v>
      </c>
      <c r="AL569" s="436" t="s">
        <v>293</v>
      </c>
      <c r="AM569" s="432" t="s">
        <v>293</v>
      </c>
      <c r="AN569" s="438" t="s">
        <v>293</v>
      </c>
      <c r="AO569" s="439" t="s">
        <v>293</v>
      </c>
      <c r="AP569" s="436" t="s">
        <v>293</v>
      </c>
      <c r="AQ569" s="440" t="s">
        <v>295</v>
      </c>
      <c r="AR569" s="211"/>
      <c r="AS569" s="297">
        <f>+IF(Table1[[#This Row],[Column40]]="ok",Table1[[#This Row],[Column7]],0)</f>
        <v>0</v>
      </c>
      <c r="AT569" s="295">
        <f>+IF(Table1[[#This Row],[Column40]]="No",Table1[[#This Row],[Column7]],0)</f>
        <v>0</v>
      </c>
      <c r="AU569" s="4" t="str">
        <f>+IF(LEFT(Table1[[#This Row],[Column42]],2)="DN",IF(Table1[[#This Row],[Column40]]="ok","(CA)",_xlfn.CONCAT("(CA)",CHAR(10),"FAIL")),"")</f>
        <v/>
      </c>
      <c r="AV569" s="154" t="str">
        <f>+IF(Table1[[#This Row],[Column6]]=0,"",_xlfn.CONCAT("Sem ",WEEKNUM(Table1[[#This Row],[Column6]],2)))</f>
        <v>Sem 13</v>
      </c>
      <c r="AW569" s="211"/>
    </row>
    <row r="570" spans="2:49" ht="19.5" customHeight="1" x14ac:dyDescent="0.3">
      <c r="B570" s="412" t="s">
        <v>885</v>
      </c>
      <c r="C570" s="413"/>
      <c r="D570" s="414" t="s">
        <v>766</v>
      </c>
      <c r="E570" s="414" t="s">
        <v>176</v>
      </c>
      <c r="F570" s="415"/>
      <c r="G570" s="416">
        <v>46107</v>
      </c>
      <c r="H570" s="417">
        <v>937.88</v>
      </c>
      <c r="I570" s="418">
        <v>38.340000000000003</v>
      </c>
      <c r="J570" s="419">
        <v>2633.66</v>
      </c>
      <c r="K570" s="420" t="s">
        <v>200</v>
      </c>
      <c r="L570" s="421" t="s">
        <v>237</v>
      </c>
      <c r="M570" s="422">
        <v>30</v>
      </c>
      <c r="N570" s="423">
        <v>85462</v>
      </c>
      <c r="O570" s="414">
        <v>59.78</v>
      </c>
      <c r="P570" s="424">
        <v>10.199999999999999</v>
      </c>
      <c r="Q570" s="425">
        <v>11.136107986501687</v>
      </c>
      <c r="R570" s="426">
        <v>1.7931034482758619</v>
      </c>
      <c r="S570" s="426">
        <v>1.778</v>
      </c>
      <c r="T570" s="426">
        <v>1.976</v>
      </c>
      <c r="U570" s="426" t="s">
        <v>136</v>
      </c>
      <c r="V570" s="414" t="s">
        <v>137</v>
      </c>
      <c r="W570" s="427">
        <v>8</v>
      </c>
      <c r="X570" s="428">
        <v>4</v>
      </c>
      <c r="Y570" s="429">
        <v>2.8069999999999999</v>
      </c>
      <c r="Z570" s="414"/>
      <c r="AA570" s="424"/>
      <c r="AB570" s="424"/>
      <c r="AC570" s="424"/>
      <c r="AD570" s="430"/>
      <c r="AE570" s="431">
        <v>1.732</v>
      </c>
      <c r="AF570" s="432">
        <v>0</v>
      </c>
      <c r="AG570" s="433"/>
      <c r="AH570" s="434" t="s">
        <v>139</v>
      </c>
      <c r="AI570" s="435" t="s">
        <v>139</v>
      </c>
      <c r="AJ570" s="436" t="s">
        <v>139</v>
      </c>
      <c r="AK570" s="437" t="s">
        <v>884</v>
      </c>
      <c r="AL570" s="436" t="s">
        <v>139</v>
      </c>
      <c r="AM570" s="432">
        <v>103.52791271800588</v>
      </c>
      <c r="AN570" s="438" t="s">
        <v>139</v>
      </c>
      <c r="AO570" s="439" t="s">
        <v>140</v>
      </c>
      <c r="AP570" s="436" t="s">
        <v>139</v>
      </c>
      <c r="AQ570" s="440">
        <v>0</v>
      </c>
      <c r="AR570" s="211"/>
      <c r="AS570" s="297">
        <f>+IF(Table1[[#This Row],[Column40]]="ok",Table1[[#This Row],[Column7]],0)</f>
        <v>937.88</v>
      </c>
      <c r="AT570" s="295">
        <f>+IF(Table1[[#This Row],[Column40]]="No",Table1[[#This Row],[Column7]],0)</f>
        <v>0</v>
      </c>
      <c r="AU570" s="4" t="str">
        <f>+IF(LEFT(Table1[[#This Row],[Column42]],2)="DN",IF(Table1[[#This Row],[Column40]]="ok","(CA)",_xlfn.CONCAT("(CA)",CHAR(10),"FAIL")),"")</f>
        <v/>
      </c>
      <c r="AV570" s="154" t="str">
        <f>+IF(Table1[[#This Row],[Column6]]=0,"",_xlfn.CONCAT("Sem ",WEEKNUM(Table1[[#This Row],[Column6]],2)))</f>
        <v>Sem 13</v>
      </c>
      <c r="AW570" s="211"/>
    </row>
    <row r="571" spans="2:49" ht="19.5" customHeight="1" x14ac:dyDescent="0.3">
      <c r="B571" s="356" t="s">
        <v>886</v>
      </c>
      <c r="C571" s="331"/>
      <c r="D571" s="332" t="s">
        <v>766</v>
      </c>
      <c r="E571" s="332" t="s">
        <v>176</v>
      </c>
      <c r="F571" s="333"/>
      <c r="G571" s="334">
        <v>46107</v>
      </c>
      <c r="H571" s="335">
        <v>946.71</v>
      </c>
      <c r="I571" s="336">
        <v>160.56</v>
      </c>
      <c r="J571" s="337">
        <v>2596.37</v>
      </c>
      <c r="K571" s="338" t="s">
        <v>205</v>
      </c>
      <c r="L571" s="339" t="s">
        <v>237</v>
      </c>
      <c r="M571" s="340">
        <v>30</v>
      </c>
      <c r="N571" s="341">
        <v>85462</v>
      </c>
      <c r="O571" s="332">
        <v>59.78</v>
      </c>
      <c r="P571" s="342">
        <v>9.5</v>
      </c>
      <c r="Q571" s="343">
        <v>11.492957746478893</v>
      </c>
      <c r="R571" s="344">
        <v>1.8073059360730594</v>
      </c>
      <c r="S571" s="344">
        <v>1.7749999999999999</v>
      </c>
      <c r="T571" s="344">
        <v>1.9790000000000001</v>
      </c>
      <c r="U571" s="344" t="s">
        <v>136</v>
      </c>
      <c r="V571" s="332" t="s">
        <v>137</v>
      </c>
      <c r="W571" s="345">
        <v>8</v>
      </c>
      <c r="X571" s="346">
        <v>4</v>
      </c>
      <c r="Y571" s="208">
        <v>2.8069999999999999</v>
      </c>
      <c r="Z571" s="332"/>
      <c r="AA571" s="342"/>
      <c r="AB571" s="342"/>
      <c r="AC571" s="342"/>
      <c r="AD571" s="347"/>
      <c r="AE571" s="348">
        <v>1.732</v>
      </c>
      <c r="AF571" s="349">
        <v>0</v>
      </c>
      <c r="AG571" s="350"/>
      <c r="AH571" s="351" t="s">
        <v>139</v>
      </c>
      <c r="AI571" s="352" t="s">
        <v>139</v>
      </c>
      <c r="AJ571" s="206" t="s">
        <v>139</v>
      </c>
      <c r="AK571" s="353" t="s">
        <v>884</v>
      </c>
      <c r="AL571" s="206" t="s">
        <v>139</v>
      </c>
      <c r="AM571" s="349">
        <v>104.34791778712815</v>
      </c>
      <c r="AN571" s="354" t="s">
        <v>139</v>
      </c>
      <c r="AO571" s="355" t="s">
        <v>140</v>
      </c>
      <c r="AP571" s="206" t="s">
        <v>139</v>
      </c>
      <c r="AQ571" s="207">
        <v>0</v>
      </c>
      <c r="AR571" s="211"/>
      <c r="AS571" s="297">
        <f>+IF(Table1[[#This Row],[Column40]]="ok",Table1[[#This Row],[Column7]],0)</f>
        <v>946.71</v>
      </c>
      <c r="AT571" s="295">
        <f>+IF(Table1[[#This Row],[Column40]]="No",Table1[[#This Row],[Column7]],0)</f>
        <v>0</v>
      </c>
      <c r="AU571" s="4" t="str">
        <f>+IF(LEFT(Table1[[#This Row],[Column42]],2)="DN",IF(Table1[[#This Row],[Column40]]="ok","(CA)",_xlfn.CONCAT("(CA)",CHAR(10),"FAIL")),"")</f>
        <v/>
      </c>
      <c r="AV571" s="154" t="str">
        <f>+IF(Table1[[#This Row],[Column6]]=0,"",_xlfn.CONCAT("Sem ",WEEKNUM(Table1[[#This Row],[Column6]],2)))</f>
        <v>Sem 13</v>
      </c>
      <c r="AW571" s="211"/>
    </row>
    <row r="572" spans="2:49" ht="19.5" customHeight="1" x14ac:dyDescent="0.3">
      <c r="B572" s="356" t="s">
        <v>887</v>
      </c>
      <c r="C572" s="331"/>
      <c r="D572" s="332" t="s">
        <v>766</v>
      </c>
      <c r="E572" s="332" t="s">
        <v>176</v>
      </c>
      <c r="F572" s="333"/>
      <c r="G572" s="334">
        <v>46107</v>
      </c>
      <c r="H572" s="335">
        <v>866.8</v>
      </c>
      <c r="I572" s="336">
        <v>34.67</v>
      </c>
      <c r="J572" s="337">
        <v>2634.38</v>
      </c>
      <c r="K572" s="338" t="s">
        <v>200</v>
      </c>
      <c r="L572" s="339" t="s">
        <v>302</v>
      </c>
      <c r="M572" s="340">
        <v>30</v>
      </c>
      <c r="N572" s="341">
        <v>85462</v>
      </c>
      <c r="O572" s="332">
        <v>59.78</v>
      </c>
      <c r="P572" s="342">
        <v>10.4</v>
      </c>
      <c r="Q572" s="343">
        <v>11.008645533141204</v>
      </c>
      <c r="R572" s="344">
        <v>1.7445652173913042</v>
      </c>
      <c r="S572" s="344">
        <v>1.7350000000000001</v>
      </c>
      <c r="T572" s="344">
        <v>1.9259999999999999</v>
      </c>
      <c r="U572" s="344" t="s">
        <v>136</v>
      </c>
      <c r="V572" s="332" t="s">
        <v>137</v>
      </c>
      <c r="W572" s="345">
        <v>8</v>
      </c>
      <c r="X572" s="346">
        <v>4</v>
      </c>
      <c r="Y572" s="208">
        <v>2.8069999999999999</v>
      </c>
      <c r="Z572" s="332"/>
      <c r="AA572" s="342"/>
      <c r="AB572" s="342"/>
      <c r="AC572" s="342"/>
      <c r="AD572" s="347"/>
      <c r="AE572" s="348">
        <v>1.732</v>
      </c>
      <c r="AF572" s="349">
        <v>0</v>
      </c>
      <c r="AG572" s="350"/>
      <c r="AH572" s="351" t="s">
        <v>139</v>
      </c>
      <c r="AI572" s="352" t="s">
        <v>139</v>
      </c>
      <c r="AJ572" s="206" t="s">
        <v>139</v>
      </c>
      <c r="AK572" s="353" t="s">
        <v>884</v>
      </c>
      <c r="AL572" s="206" t="s">
        <v>139</v>
      </c>
      <c r="AM572" s="349">
        <v>100.72547444522542</v>
      </c>
      <c r="AN572" s="354" t="s">
        <v>139</v>
      </c>
      <c r="AO572" s="355" t="s">
        <v>140</v>
      </c>
      <c r="AP572" s="206" t="s">
        <v>139</v>
      </c>
      <c r="AQ572" s="207">
        <v>0</v>
      </c>
      <c r="AR572" s="211"/>
      <c r="AS572" s="297">
        <f>+IF(Table1[[#This Row],[Column40]]="ok",Table1[[#This Row],[Column7]],0)</f>
        <v>866.8</v>
      </c>
      <c r="AT572" s="295">
        <f>+IF(Table1[[#This Row],[Column40]]="No",Table1[[#This Row],[Column7]],0)</f>
        <v>0</v>
      </c>
      <c r="AU572" s="4" t="str">
        <f>+IF(LEFT(Table1[[#This Row],[Column42]],2)="DN",IF(Table1[[#This Row],[Column40]]="ok","(CA)",_xlfn.CONCAT("(CA)",CHAR(10),"FAIL")),"")</f>
        <v/>
      </c>
      <c r="AV572" s="154" t="str">
        <f>+IF(Table1[[#This Row],[Column6]]=0,"",_xlfn.CONCAT("Sem ",WEEKNUM(Table1[[#This Row],[Column6]],2)))</f>
        <v>Sem 13</v>
      </c>
      <c r="AW572" s="211"/>
    </row>
    <row r="573" spans="2:49" ht="19.5" customHeight="1" x14ac:dyDescent="0.3">
      <c r="B573" s="356" t="s">
        <v>888</v>
      </c>
      <c r="C573" s="331"/>
      <c r="D573" s="332" t="s">
        <v>766</v>
      </c>
      <c r="E573" s="332" t="s">
        <v>176</v>
      </c>
      <c r="F573" s="333"/>
      <c r="G573" s="334">
        <v>46107</v>
      </c>
      <c r="H573" s="335">
        <v>873.93</v>
      </c>
      <c r="I573" s="336">
        <v>210.27</v>
      </c>
      <c r="J573" s="337">
        <v>2582.9899999999998</v>
      </c>
      <c r="K573" s="338" t="s">
        <v>200</v>
      </c>
      <c r="L573" s="339" t="s">
        <v>302</v>
      </c>
      <c r="M573" s="340">
        <v>30</v>
      </c>
      <c r="N573" s="341">
        <v>85462</v>
      </c>
      <c r="O573" s="332">
        <v>59.78</v>
      </c>
      <c r="P573" s="342">
        <v>11.200000000000001</v>
      </c>
      <c r="Q573" s="343">
        <v>10.743801652892548</v>
      </c>
      <c r="R573" s="344">
        <v>1.807553956834532</v>
      </c>
      <c r="S573" s="344">
        <v>1.8149999999999999</v>
      </c>
      <c r="T573" s="344">
        <v>2.0099999999999998</v>
      </c>
      <c r="U573" s="344" t="s">
        <v>136</v>
      </c>
      <c r="V573" s="332" t="s">
        <v>137</v>
      </c>
      <c r="W573" s="345">
        <v>8</v>
      </c>
      <c r="X573" s="346">
        <v>4</v>
      </c>
      <c r="Y573" s="208">
        <v>2.8069999999999999</v>
      </c>
      <c r="Z573" s="332"/>
      <c r="AA573" s="342"/>
      <c r="AB573" s="342"/>
      <c r="AC573" s="342"/>
      <c r="AD573" s="347"/>
      <c r="AE573" s="348">
        <v>1.732</v>
      </c>
      <c r="AF573" s="349">
        <v>0</v>
      </c>
      <c r="AG573" s="350"/>
      <c r="AH573" s="351" t="s">
        <v>139</v>
      </c>
      <c r="AI573" s="352" t="s">
        <v>139</v>
      </c>
      <c r="AJ573" s="206" t="s">
        <v>139</v>
      </c>
      <c r="AK573" s="353" t="s">
        <v>884</v>
      </c>
      <c r="AL573" s="206" t="s">
        <v>139</v>
      </c>
      <c r="AM573" s="349">
        <v>104.36223769252496</v>
      </c>
      <c r="AN573" s="354" t="s">
        <v>139</v>
      </c>
      <c r="AO573" s="355" t="s">
        <v>140</v>
      </c>
      <c r="AP573" s="206" t="s">
        <v>139</v>
      </c>
      <c r="AQ573" s="207">
        <v>0</v>
      </c>
      <c r="AR573" s="211"/>
      <c r="AS573" s="297">
        <f>+IF(Table1[[#This Row],[Column40]]="ok",Table1[[#This Row],[Column7]],0)</f>
        <v>873.93</v>
      </c>
      <c r="AT573" s="295">
        <f>+IF(Table1[[#This Row],[Column40]]="No",Table1[[#This Row],[Column7]],0)</f>
        <v>0</v>
      </c>
      <c r="AU573" s="4" t="str">
        <f>+IF(LEFT(Table1[[#This Row],[Column42]],2)="DN",IF(Table1[[#This Row],[Column40]]="ok","(CA)",_xlfn.CONCAT("(CA)",CHAR(10),"FAIL")),"")</f>
        <v/>
      </c>
      <c r="AV573" s="154" t="str">
        <f>+IF(Table1[[#This Row],[Column6]]=0,"",_xlfn.CONCAT("Sem ",WEEKNUM(Table1[[#This Row],[Column6]],2)))</f>
        <v>Sem 13</v>
      </c>
      <c r="AW573" s="211"/>
    </row>
    <row r="574" spans="2:49" ht="19.5" customHeight="1" x14ac:dyDescent="0.3">
      <c r="B574" s="356" t="s">
        <v>889</v>
      </c>
      <c r="C574" s="331"/>
      <c r="D574" s="332" t="s">
        <v>766</v>
      </c>
      <c r="E574" s="332" t="s">
        <v>176</v>
      </c>
      <c r="F574" s="333"/>
      <c r="G574" s="334">
        <v>46107</v>
      </c>
      <c r="H574" s="335">
        <v>891.53</v>
      </c>
      <c r="I574" s="336">
        <v>119.53</v>
      </c>
      <c r="J574" s="337">
        <v>2609.09</v>
      </c>
      <c r="K574" s="338" t="s">
        <v>200</v>
      </c>
      <c r="L574" s="339" t="s">
        <v>311</v>
      </c>
      <c r="M574" s="340">
        <v>30</v>
      </c>
      <c r="N574" s="341">
        <v>85462</v>
      </c>
      <c r="O574" s="332">
        <v>59.78</v>
      </c>
      <c r="P574" s="342">
        <v>9.7000000000000011</v>
      </c>
      <c r="Q574" s="343">
        <v>10.932105868814723</v>
      </c>
      <c r="R574" s="344">
        <v>1.7575205104831357</v>
      </c>
      <c r="S574" s="344">
        <v>1.738</v>
      </c>
      <c r="T574" s="344">
        <v>1.9279999999999999</v>
      </c>
      <c r="U574" s="344" t="s">
        <v>136</v>
      </c>
      <c r="V574" s="332" t="s">
        <v>137</v>
      </c>
      <c r="W574" s="345">
        <v>8</v>
      </c>
      <c r="X574" s="346">
        <v>4</v>
      </c>
      <c r="Y574" s="208">
        <v>2.8069999999999999</v>
      </c>
      <c r="Z574" s="332"/>
      <c r="AA574" s="342"/>
      <c r="AB574" s="342"/>
      <c r="AC574" s="342"/>
      <c r="AD574" s="347"/>
      <c r="AE574" s="348">
        <v>1.732</v>
      </c>
      <c r="AF574" s="349">
        <v>0</v>
      </c>
      <c r="AG574" s="350"/>
      <c r="AH574" s="351" t="s">
        <v>139</v>
      </c>
      <c r="AI574" s="352" t="s">
        <v>139</v>
      </c>
      <c r="AJ574" s="206" t="s">
        <v>139</v>
      </c>
      <c r="AK574" s="353" t="s">
        <v>884</v>
      </c>
      <c r="AL574" s="206" t="s">
        <v>139</v>
      </c>
      <c r="AM574" s="349">
        <v>101.47347058216718</v>
      </c>
      <c r="AN574" s="354" t="s">
        <v>139</v>
      </c>
      <c r="AO574" s="355" t="s">
        <v>140</v>
      </c>
      <c r="AP574" s="206" t="s">
        <v>139</v>
      </c>
      <c r="AQ574" s="207">
        <v>0</v>
      </c>
      <c r="AR574" s="211"/>
      <c r="AS574" s="297">
        <f>+IF(Table1[[#This Row],[Column40]]="ok",Table1[[#This Row],[Column7]],0)</f>
        <v>891.53</v>
      </c>
      <c r="AT574" s="295">
        <f>+IF(Table1[[#This Row],[Column40]]="No",Table1[[#This Row],[Column7]],0)</f>
        <v>0</v>
      </c>
      <c r="AU574" s="4" t="str">
        <f>+IF(LEFT(Table1[[#This Row],[Column42]],2)="DN",IF(Table1[[#This Row],[Column40]]="ok","(CA)",_xlfn.CONCAT("(CA)",CHAR(10),"FAIL")),"")</f>
        <v/>
      </c>
      <c r="AV574" s="154" t="str">
        <f>+IF(Table1[[#This Row],[Column6]]=0,"",_xlfn.CONCAT("Sem ",WEEKNUM(Table1[[#This Row],[Column6]],2)))</f>
        <v>Sem 13</v>
      </c>
      <c r="AW574" s="211"/>
    </row>
    <row r="575" spans="2:49" ht="19.5" customHeight="1" x14ac:dyDescent="0.3">
      <c r="B575" s="356" t="s">
        <v>890</v>
      </c>
      <c r="C575" s="331"/>
      <c r="D575" s="332" t="s">
        <v>766</v>
      </c>
      <c r="E575" s="332" t="s">
        <v>176</v>
      </c>
      <c r="F575" s="333"/>
      <c r="G575" s="334">
        <v>46107</v>
      </c>
      <c r="H575" s="335">
        <v>790.12</v>
      </c>
      <c r="I575" s="336">
        <v>33.47</v>
      </c>
      <c r="J575" s="337">
        <v>2634.68</v>
      </c>
      <c r="K575" s="338" t="s">
        <v>200</v>
      </c>
      <c r="L575" s="339" t="s">
        <v>304</v>
      </c>
      <c r="M575" s="340">
        <v>30</v>
      </c>
      <c r="N575" s="341">
        <v>85462</v>
      </c>
      <c r="O575" s="332">
        <v>59.78</v>
      </c>
      <c r="P575" s="342">
        <v>11.5</v>
      </c>
      <c r="Q575" s="343">
        <v>11.88690132717829</v>
      </c>
      <c r="R575" s="344">
        <v>1.7390134529147983</v>
      </c>
      <c r="S575" s="344">
        <v>1.7330000000000001</v>
      </c>
      <c r="T575" s="344">
        <v>1.9390000000000001</v>
      </c>
      <c r="U575" s="344" t="s">
        <v>136</v>
      </c>
      <c r="V575" s="332" t="s">
        <v>137</v>
      </c>
      <c r="W575" s="345">
        <v>8</v>
      </c>
      <c r="X575" s="346">
        <v>4</v>
      </c>
      <c r="Y575" s="208">
        <v>2.8069999999999999</v>
      </c>
      <c r="Z575" s="332"/>
      <c r="AA575" s="342"/>
      <c r="AB575" s="342"/>
      <c r="AC575" s="342"/>
      <c r="AD575" s="347"/>
      <c r="AE575" s="348">
        <v>1.732</v>
      </c>
      <c r="AF575" s="349">
        <v>0</v>
      </c>
      <c r="AG575" s="350"/>
      <c r="AH575" s="351" t="s">
        <v>139</v>
      </c>
      <c r="AI575" s="352" t="s">
        <v>139</v>
      </c>
      <c r="AJ575" s="206" t="s">
        <v>139</v>
      </c>
      <c r="AK575" s="353" t="s">
        <v>884</v>
      </c>
      <c r="AL575" s="206" t="s">
        <v>139</v>
      </c>
      <c r="AM575" s="349">
        <v>100.40493377106226</v>
      </c>
      <c r="AN575" s="354" t="s">
        <v>139</v>
      </c>
      <c r="AO575" s="355" t="s">
        <v>140</v>
      </c>
      <c r="AP575" s="206" t="s">
        <v>139</v>
      </c>
      <c r="AQ575" s="207">
        <v>0</v>
      </c>
      <c r="AR575" s="211"/>
      <c r="AS575" s="297">
        <f>+IF(Table1[[#This Row],[Column40]]="ok",Table1[[#This Row],[Column7]],0)</f>
        <v>790.12</v>
      </c>
      <c r="AT575" s="295">
        <f>+IF(Table1[[#This Row],[Column40]]="No",Table1[[#This Row],[Column7]],0)</f>
        <v>0</v>
      </c>
      <c r="AU575" s="4" t="str">
        <f>+IF(LEFT(Table1[[#This Row],[Column42]],2)="DN",IF(Table1[[#This Row],[Column40]]="ok","(CA)",_xlfn.CONCAT("(CA)",CHAR(10),"FAIL")),"")</f>
        <v/>
      </c>
      <c r="AV575" s="154" t="str">
        <f>+IF(Table1[[#This Row],[Column6]]=0,"",_xlfn.CONCAT("Sem ",WEEKNUM(Table1[[#This Row],[Column6]],2)))</f>
        <v>Sem 13</v>
      </c>
      <c r="AW575" s="211"/>
    </row>
    <row r="576" spans="2:49" ht="19.5" customHeight="1" x14ac:dyDescent="0.3">
      <c r="B576" s="356" t="s">
        <v>891</v>
      </c>
      <c r="C576" s="331"/>
      <c r="D576" s="332" t="s">
        <v>766</v>
      </c>
      <c r="E576" s="332" t="s">
        <v>176</v>
      </c>
      <c r="F576" s="333"/>
      <c r="G576" s="334">
        <v>46107</v>
      </c>
      <c r="H576" s="335">
        <v>821.27</v>
      </c>
      <c r="I576" s="336">
        <v>131.07</v>
      </c>
      <c r="J576" s="337">
        <v>2608.2600000000002</v>
      </c>
      <c r="K576" s="338" t="s">
        <v>200</v>
      </c>
      <c r="L576" s="339" t="s">
        <v>304</v>
      </c>
      <c r="M576" s="340">
        <v>30</v>
      </c>
      <c r="N576" s="341">
        <v>85462</v>
      </c>
      <c r="O576" s="332">
        <v>59.78</v>
      </c>
      <c r="P576" s="342">
        <v>11.4</v>
      </c>
      <c r="Q576" s="343">
        <v>12.863795110593724</v>
      </c>
      <c r="R576" s="344">
        <v>1.7405745062836624</v>
      </c>
      <c r="S576" s="344">
        <v>1.718</v>
      </c>
      <c r="T576" s="344">
        <v>1.9390000000000001</v>
      </c>
      <c r="U576" s="344" t="s">
        <v>136</v>
      </c>
      <c r="V576" s="332" t="s">
        <v>137</v>
      </c>
      <c r="W576" s="345">
        <v>8</v>
      </c>
      <c r="X576" s="346">
        <v>4</v>
      </c>
      <c r="Y576" s="208">
        <v>2.8069999999999999</v>
      </c>
      <c r="Z576" s="332"/>
      <c r="AA576" s="342"/>
      <c r="AB576" s="342"/>
      <c r="AC576" s="342"/>
      <c r="AD576" s="347"/>
      <c r="AE576" s="348">
        <v>1.7395712274036264</v>
      </c>
      <c r="AF576" s="349">
        <v>16.45842367824752</v>
      </c>
      <c r="AG576" s="350"/>
      <c r="AH576" s="351">
        <v>1.7363872082973206</v>
      </c>
      <c r="AI576" s="352">
        <v>2.0089999999999999</v>
      </c>
      <c r="AJ576" s="206">
        <v>15.7</v>
      </c>
      <c r="AK576" s="353" t="s">
        <v>196</v>
      </c>
      <c r="AL576" s="206">
        <v>0.75842367824752088</v>
      </c>
      <c r="AM576" s="349">
        <v>100.05767391781558</v>
      </c>
      <c r="AN576" s="354" t="s">
        <v>139</v>
      </c>
      <c r="AO576" s="355" t="s">
        <v>140</v>
      </c>
      <c r="AP576" s="206" t="s">
        <v>139</v>
      </c>
      <c r="AQ576" s="207" t="s">
        <v>892</v>
      </c>
      <c r="AR576" s="211"/>
      <c r="AS576" s="297">
        <f>+IF(Table1[[#This Row],[Column40]]="ok",Table1[[#This Row],[Column7]],0)</f>
        <v>821.27</v>
      </c>
      <c r="AT576" s="295">
        <f>+IF(Table1[[#This Row],[Column40]]="No",Table1[[#This Row],[Column7]],0)</f>
        <v>0</v>
      </c>
      <c r="AU576" s="4" t="str">
        <f>+IF(LEFT(Table1[[#This Row],[Column42]],2)="DN",IF(Table1[[#This Row],[Column40]]="ok","(CA)",_xlfn.CONCAT("(CA)",CHAR(10),"FAIL")),"")</f>
        <v/>
      </c>
      <c r="AV576" s="154" t="str">
        <f>+IF(Table1[[#This Row],[Column6]]=0,"",_xlfn.CONCAT("Sem ",WEEKNUM(Table1[[#This Row],[Column6]],2)))</f>
        <v>Sem 13</v>
      </c>
      <c r="AW576" s="211"/>
    </row>
    <row r="577" spans="2:49" ht="19.5" customHeight="1" x14ac:dyDescent="0.3">
      <c r="B577" s="356" t="s">
        <v>892</v>
      </c>
      <c r="C577" s="331"/>
      <c r="D577" s="332" t="s">
        <v>766</v>
      </c>
      <c r="E577" s="332" t="s">
        <v>176</v>
      </c>
      <c r="F577" s="333"/>
      <c r="G577" s="334">
        <v>46107</v>
      </c>
      <c r="H577" s="335">
        <v>821.27</v>
      </c>
      <c r="I577" s="336">
        <v>131.07</v>
      </c>
      <c r="J577" s="337">
        <v>2608.2600000000002</v>
      </c>
      <c r="K577" s="338" t="s">
        <v>200</v>
      </c>
      <c r="L577" s="339" t="s">
        <v>304</v>
      </c>
      <c r="M577" s="340">
        <v>15</v>
      </c>
      <c r="N577" s="341"/>
      <c r="O577" s="332"/>
      <c r="P577" s="342">
        <v>11.357243319268653</v>
      </c>
      <c r="Q577" s="343"/>
      <c r="R577" s="344">
        <v>1.7168965844063959</v>
      </c>
      <c r="S577" s="344"/>
      <c r="T577" s="344">
        <v>1.9118887070376431</v>
      </c>
      <c r="U577" s="344" t="s">
        <v>142</v>
      </c>
      <c r="V577" s="332" t="s">
        <v>137</v>
      </c>
      <c r="W577" s="345" t="s">
        <v>173</v>
      </c>
      <c r="X577" s="346" t="s">
        <v>680</v>
      </c>
      <c r="Y577" s="208"/>
      <c r="Z577" s="332" t="s">
        <v>227</v>
      </c>
      <c r="AA577" s="342">
        <v>98.988903557591911</v>
      </c>
      <c r="AB577" s="342">
        <v>80.597879078115156</v>
      </c>
      <c r="AC577" s="342">
        <v>38.405097805734577</v>
      </c>
      <c r="AD577" s="347">
        <v>13.26432139991195</v>
      </c>
      <c r="AE577" s="348">
        <v>1.7395712274036264</v>
      </c>
      <c r="AF577" s="349">
        <v>16.45842367824752</v>
      </c>
      <c r="AG577" s="350" t="s">
        <v>196</v>
      </c>
      <c r="AH577" s="351">
        <v>1.7361722951494452</v>
      </c>
      <c r="AI577" s="352">
        <v>2.0085378868729991</v>
      </c>
      <c r="AJ577" s="206">
        <v>15.687705217074063</v>
      </c>
      <c r="AK577" s="353" t="s">
        <v>196</v>
      </c>
      <c r="AL577" s="206">
        <v>0.77071846117345721</v>
      </c>
      <c r="AM577" s="349">
        <v>98.696538397506544</v>
      </c>
      <c r="AN577" s="354" t="s">
        <v>139</v>
      </c>
      <c r="AO577" s="355" t="s">
        <v>144</v>
      </c>
      <c r="AP577" s="206">
        <v>0</v>
      </c>
      <c r="AQ577" s="207" t="s">
        <v>891</v>
      </c>
      <c r="AR577" s="211"/>
      <c r="AS577" s="297">
        <f>+IF(Table1[[#This Row],[Column40]]="ok",Table1[[#This Row],[Column7]],0)</f>
        <v>821.27</v>
      </c>
      <c r="AT577" s="295">
        <f>+IF(Table1[[#This Row],[Column40]]="No",Table1[[#This Row],[Column7]],0)</f>
        <v>0</v>
      </c>
      <c r="AU577" s="4" t="str">
        <f>+IF(LEFT(Table1[[#This Row],[Column42]],2)="DN",IF(Table1[[#This Row],[Column40]]="ok","(CA)",_xlfn.CONCAT("(CA)",CHAR(10),"FAIL")),"")</f>
        <v>(CA)</v>
      </c>
      <c r="AV577" s="154" t="str">
        <f>+IF(Table1[[#This Row],[Column6]]=0,"",_xlfn.CONCAT("Sem ",WEEKNUM(Table1[[#This Row],[Column6]],2)))</f>
        <v>Sem 13</v>
      </c>
      <c r="AW577" s="211"/>
    </row>
    <row r="578" spans="2:49" ht="19.5" customHeight="1" x14ac:dyDescent="0.3">
      <c r="B578" s="356" t="s">
        <v>893</v>
      </c>
      <c r="C578" s="331"/>
      <c r="D578" s="332" t="s">
        <v>766</v>
      </c>
      <c r="E578" s="332" t="s">
        <v>176</v>
      </c>
      <c r="F578" s="333"/>
      <c r="G578" s="334">
        <v>46107</v>
      </c>
      <c r="H578" s="335">
        <v>792.95</v>
      </c>
      <c r="I578" s="336">
        <v>232.01</v>
      </c>
      <c r="J578" s="337">
        <v>2582.23</v>
      </c>
      <c r="K578" s="338" t="s">
        <v>200</v>
      </c>
      <c r="L578" s="339" t="s">
        <v>304</v>
      </c>
      <c r="M578" s="340">
        <v>30</v>
      </c>
      <c r="N578" s="341">
        <v>85462</v>
      </c>
      <c r="O578" s="332">
        <v>59.78</v>
      </c>
      <c r="P578" s="342">
        <v>7.8</v>
      </c>
      <c r="Q578" s="343">
        <v>9.6253602305475425</v>
      </c>
      <c r="R578" s="344">
        <v>1.7643784786641927</v>
      </c>
      <c r="S578" s="344">
        <v>1.7350000000000001</v>
      </c>
      <c r="T578" s="344">
        <v>1.9019999999999999</v>
      </c>
      <c r="U578" s="344" t="s">
        <v>136</v>
      </c>
      <c r="V578" s="332" t="s">
        <v>137</v>
      </c>
      <c r="W578" s="345">
        <v>8</v>
      </c>
      <c r="X578" s="346">
        <v>4</v>
      </c>
      <c r="Y578" s="208">
        <v>2.8069999999999999</v>
      </c>
      <c r="Z578" s="332"/>
      <c r="AA578" s="342"/>
      <c r="AB578" s="342"/>
      <c r="AC578" s="342"/>
      <c r="AD578" s="347"/>
      <c r="AE578" s="348">
        <v>1.732</v>
      </c>
      <c r="AF578" s="349">
        <v>0</v>
      </c>
      <c r="AG578" s="350"/>
      <c r="AH578" s="351" t="s">
        <v>139</v>
      </c>
      <c r="AI578" s="352" t="s">
        <v>139</v>
      </c>
      <c r="AJ578" s="206" t="s">
        <v>139</v>
      </c>
      <c r="AK578" s="353" t="s">
        <v>884</v>
      </c>
      <c r="AL578" s="206" t="s">
        <v>139</v>
      </c>
      <c r="AM578" s="349">
        <v>101.86942717460697</v>
      </c>
      <c r="AN578" s="354" t="s">
        <v>139</v>
      </c>
      <c r="AO578" s="355" t="s">
        <v>140</v>
      </c>
      <c r="AP578" s="206" t="s">
        <v>139</v>
      </c>
      <c r="AQ578" s="207">
        <v>0</v>
      </c>
      <c r="AR578" s="211"/>
      <c r="AS578" s="297">
        <f>+IF(Table1[[#This Row],[Column40]]="ok",Table1[[#This Row],[Column7]],0)</f>
        <v>792.95</v>
      </c>
      <c r="AT578" s="295">
        <f>+IF(Table1[[#This Row],[Column40]]="No",Table1[[#This Row],[Column7]],0)</f>
        <v>0</v>
      </c>
      <c r="AU578" s="4" t="str">
        <f>+IF(LEFT(Table1[[#This Row],[Column42]],2)="DN",IF(Table1[[#This Row],[Column40]]="ok","(CA)",_xlfn.CONCAT("(CA)",CHAR(10),"FAIL")),"")</f>
        <v/>
      </c>
      <c r="AV578" s="154" t="str">
        <f>+IF(Table1[[#This Row],[Column6]]=0,"",_xlfn.CONCAT("Sem ",WEEKNUM(Table1[[#This Row],[Column6]],2)))</f>
        <v>Sem 13</v>
      </c>
      <c r="AW578" s="211"/>
    </row>
    <row r="579" spans="2:49" ht="19.5" customHeight="1" x14ac:dyDescent="0.3">
      <c r="B579" s="356" t="s">
        <v>894</v>
      </c>
      <c r="C579" s="331"/>
      <c r="D579" s="332" t="s">
        <v>766</v>
      </c>
      <c r="E579" s="332" t="s">
        <v>176</v>
      </c>
      <c r="F579" s="333"/>
      <c r="G579" s="334">
        <v>46107</v>
      </c>
      <c r="H579" s="335">
        <v>1760</v>
      </c>
      <c r="I579" s="336">
        <v>-23.62</v>
      </c>
      <c r="J579" s="337">
        <v>2634.73</v>
      </c>
      <c r="K579" s="338" t="s">
        <v>134</v>
      </c>
      <c r="L579" s="339" t="s">
        <v>146</v>
      </c>
      <c r="M579" s="340">
        <v>30</v>
      </c>
      <c r="N579" s="341">
        <v>85462</v>
      </c>
      <c r="O579" s="332">
        <v>59.78</v>
      </c>
      <c r="P579" s="342">
        <v>9.3000000000000007</v>
      </c>
      <c r="Q579" s="343">
        <v>11.038186157517904</v>
      </c>
      <c r="R579" s="344">
        <v>1.7026532479414456</v>
      </c>
      <c r="S579" s="344">
        <v>1.6759999999999999</v>
      </c>
      <c r="T579" s="344">
        <v>1.861</v>
      </c>
      <c r="U579" s="344" t="s">
        <v>136</v>
      </c>
      <c r="V579" s="332" t="s">
        <v>137</v>
      </c>
      <c r="W579" s="345">
        <v>8</v>
      </c>
      <c r="X579" s="346">
        <v>4</v>
      </c>
      <c r="Y579" s="208">
        <v>2.8069999999999999</v>
      </c>
      <c r="Z579" s="332"/>
      <c r="AA579" s="342"/>
      <c r="AB579" s="342"/>
      <c r="AC579" s="342"/>
      <c r="AD579" s="347"/>
      <c r="AE579" s="348">
        <v>1.675</v>
      </c>
      <c r="AF579" s="349">
        <v>0</v>
      </c>
      <c r="AG579" s="350"/>
      <c r="AH579" s="351" t="s">
        <v>139</v>
      </c>
      <c r="AI579" s="352" t="s">
        <v>139</v>
      </c>
      <c r="AJ579" s="206" t="s">
        <v>139</v>
      </c>
      <c r="AK579" s="353" t="s">
        <v>864</v>
      </c>
      <c r="AL579" s="206" t="s">
        <v>139</v>
      </c>
      <c r="AM579" s="349">
        <v>101.6509401756087</v>
      </c>
      <c r="AN579" s="354" t="s">
        <v>139</v>
      </c>
      <c r="AO579" s="355" t="s">
        <v>140</v>
      </c>
      <c r="AP579" s="206" t="s">
        <v>139</v>
      </c>
      <c r="AQ579" s="207">
        <v>0</v>
      </c>
      <c r="AR579" s="211"/>
      <c r="AS579" s="297">
        <f>+IF(Table1[[#This Row],[Column40]]="ok",Table1[[#This Row],[Column7]],0)</f>
        <v>1760</v>
      </c>
      <c r="AT579" s="295">
        <f>+IF(Table1[[#This Row],[Column40]]="No",Table1[[#This Row],[Column7]],0)</f>
        <v>0</v>
      </c>
      <c r="AU579" s="4" t="str">
        <f>+IF(LEFT(Table1[[#This Row],[Column42]],2)="DN",IF(Table1[[#This Row],[Column40]]="ok","(CA)",_xlfn.CONCAT("(CA)",CHAR(10),"FAIL")),"")</f>
        <v/>
      </c>
      <c r="AV579" s="154" t="str">
        <f>+IF(Table1[[#This Row],[Column6]]=0,"",_xlfn.CONCAT("Sem ",WEEKNUM(Table1[[#This Row],[Column6]],2)))</f>
        <v>Sem 13</v>
      </c>
      <c r="AW579" s="211"/>
    </row>
    <row r="580" spans="2:49" ht="19.5" customHeight="1" x14ac:dyDescent="0.3">
      <c r="B580" s="356" t="s">
        <v>895</v>
      </c>
      <c r="C580" s="331"/>
      <c r="D580" s="332" t="s">
        <v>766</v>
      </c>
      <c r="E580" s="332" t="s">
        <v>176</v>
      </c>
      <c r="F580" s="333"/>
      <c r="G580" s="334">
        <v>46107</v>
      </c>
      <c r="H580" s="335">
        <v>1713.38</v>
      </c>
      <c r="I580" s="336">
        <v>14.82</v>
      </c>
      <c r="J580" s="337">
        <v>2634.83</v>
      </c>
      <c r="K580" s="338" t="s">
        <v>149</v>
      </c>
      <c r="L580" s="339" t="s">
        <v>152</v>
      </c>
      <c r="M580" s="340">
        <v>30</v>
      </c>
      <c r="N580" s="341">
        <v>85462</v>
      </c>
      <c r="O580" s="332">
        <v>59.78</v>
      </c>
      <c r="P580" s="342">
        <v>11</v>
      </c>
      <c r="Q580" s="343">
        <v>11.150652431791229</v>
      </c>
      <c r="R580" s="344">
        <v>1.6882882882882881</v>
      </c>
      <c r="S580" s="344">
        <v>1.6859999999999999</v>
      </c>
      <c r="T580" s="344">
        <v>1.8740000000000001</v>
      </c>
      <c r="U580" s="344" t="s">
        <v>136</v>
      </c>
      <c r="V580" s="332" t="s">
        <v>137</v>
      </c>
      <c r="W580" s="345">
        <v>8</v>
      </c>
      <c r="X580" s="346">
        <v>4</v>
      </c>
      <c r="Y580" s="208">
        <v>2.8069999999999999</v>
      </c>
      <c r="Z580" s="332"/>
      <c r="AA580" s="342"/>
      <c r="AB580" s="342"/>
      <c r="AC580" s="342"/>
      <c r="AD580" s="347"/>
      <c r="AE580" s="348">
        <v>1.675</v>
      </c>
      <c r="AF580" s="349">
        <v>0</v>
      </c>
      <c r="AG580" s="350"/>
      <c r="AH580" s="351" t="s">
        <v>139</v>
      </c>
      <c r="AI580" s="352" t="s">
        <v>139</v>
      </c>
      <c r="AJ580" s="206" t="s">
        <v>139</v>
      </c>
      <c r="AK580" s="353" t="s">
        <v>864</v>
      </c>
      <c r="AL580" s="206" t="s">
        <v>139</v>
      </c>
      <c r="AM580" s="349">
        <v>100.79333064407689</v>
      </c>
      <c r="AN580" s="354" t="s">
        <v>139</v>
      </c>
      <c r="AO580" s="355" t="s">
        <v>140</v>
      </c>
      <c r="AP580" s="206" t="s">
        <v>139</v>
      </c>
      <c r="AQ580" s="207">
        <v>0</v>
      </c>
      <c r="AR580" s="211"/>
      <c r="AS580" s="297">
        <f>+IF(Table1[[#This Row],[Column40]]="ok",Table1[[#This Row],[Column7]],0)</f>
        <v>1713.38</v>
      </c>
      <c r="AT580" s="295">
        <f>+IF(Table1[[#This Row],[Column40]]="No",Table1[[#This Row],[Column7]],0)</f>
        <v>0</v>
      </c>
      <c r="AU580" s="4" t="str">
        <f>+IF(LEFT(Table1[[#This Row],[Column42]],2)="DN",IF(Table1[[#This Row],[Column40]]="ok","(CA)",_xlfn.CONCAT("(CA)",CHAR(10),"FAIL")),"")</f>
        <v/>
      </c>
      <c r="AV580" s="154" t="str">
        <f>+IF(Table1[[#This Row],[Column6]]=0,"",_xlfn.CONCAT("Sem ",WEEKNUM(Table1[[#This Row],[Column6]],2)))</f>
        <v>Sem 13</v>
      </c>
      <c r="AW580" s="211"/>
    </row>
    <row r="581" spans="2:49" ht="19.5" customHeight="1" x14ac:dyDescent="0.3">
      <c r="B581" s="356" t="s">
        <v>896</v>
      </c>
      <c r="C581" s="331"/>
      <c r="D581" s="332" t="s">
        <v>766</v>
      </c>
      <c r="E581" s="332" t="s">
        <v>176</v>
      </c>
      <c r="F581" s="333"/>
      <c r="G581" s="334">
        <v>46107</v>
      </c>
      <c r="H581" s="335">
        <v>1636</v>
      </c>
      <c r="I581" s="336">
        <v>40.53</v>
      </c>
      <c r="J581" s="337">
        <v>2632.49</v>
      </c>
      <c r="K581" s="338" t="s">
        <v>162</v>
      </c>
      <c r="L581" s="339" t="s">
        <v>163</v>
      </c>
      <c r="M581" s="340">
        <v>30</v>
      </c>
      <c r="N581" s="341">
        <v>85462</v>
      </c>
      <c r="O581" s="332">
        <v>59.78</v>
      </c>
      <c r="P581" s="342">
        <v>8.6999999999999993</v>
      </c>
      <c r="Q581" s="343">
        <v>10.866983372921624</v>
      </c>
      <c r="R581" s="344">
        <v>1.7175712971481141</v>
      </c>
      <c r="S581" s="344">
        <v>1.6839999999999999</v>
      </c>
      <c r="T581" s="344">
        <v>1.867</v>
      </c>
      <c r="U581" s="344" t="s">
        <v>136</v>
      </c>
      <c r="V581" s="332" t="s">
        <v>137</v>
      </c>
      <c r="W581" s="345">
        <v>8</v>
      </c>
      <c r="X581" s="346">
        <v>4</v>
      </c>
      <c r="Y581" s="208">
        <v>2.8069999999999999</v>
      </c>
      <c r="Z581" s="332"/>
      <c r="AA581" s="342"/>
      <c r="AB581" s="342"/>
      <c r="AC581" s="342"/>
      <c r="AD581" s="347"/>
      <c r="AE581" s="348">
        <v>1.675</v>
      </c>
      <c r="AF581" s="349">
        <v>0</v>
      </c>
      <c r="AG581" s="350"/>
      <c r="AH581" s="351" t="s">
        <v>139</v>
      </c>
      <c r="AI581" s="352" t="s">
        <v>139</v>
      </c>
      <c r="AJ581" s="206" t="s">
        <v>139</v>
      </c>
      <c r="AK581" s="353" t="s">
        <v>864</v>
      </c>
      <c r="AL581" s="206" t="s">
        <v>139</v>
      </c>
      <c r="AM581" s="349">
        <v>102.54156997899189</v>
      </c>
      <c r="AN581" s="354" t="s">
        <v>139</v>
      </c>
      <c r="AO581" s="355" t="s">
        <v>140</v>
      </c>
      <c r="AP581" s="206" t="s">
        <v>139</v>
      </c>
      <c r="AQ581" s="207">
        <v>0</v>
      </c>
      <c r="AR581" s="211"/>
      <c r="AS581" s="297">
        <f>+IF(Table1[[#This Row],[Column40]]="ok",Table1[[#This Row],[Column7]],0)</f>
        <v>1636</v>
      </c>
      <c r="AT581" s="295">
        <f>+IF(Table1[[#This Row],[Column40]]="No",Table1[[#This Row],[Column7]],0)</f>
        <v>0</v>
      </c>
      <c r="AU581" s="4" t="str">
        <f>+IF(LEFT(Table1[[#This Row],[Column42]],2)="DN",IF(Table1[[#This Row],[Column40]]="ok","(CA)",_xlfn.CONCAT("(CA)",CHAR(10),"FAIL")),"")</f>
        <v/>
      </c>
      <c r="AV581" s="154" t="str">
        <f>+IF(Table1[[#This Row],[Column6]]=0,"",_xlfn.CONCAT("Sem ",WEEKNUM(Table1[[#This Row],[Column6]],2)))</f>
        <v>Sem 13</v>
      </c>
      <c r="AW581" s="211"/>
    </row>
    <row r="582" spans="2:49" ht="19.5" customHeight="1" x14ac:dyDescent="0.3">
      <c r="B582" s="356" t="s">
        <v>897</v>
      </c>
      <c r="C582" s="331"/>
      <c r="D582" s="332" t="s">
        <v>766</v>
      </c>
      <c r="E582" s="332" t="s">
        <v>176</v>
      </c>
      <c r="F582" s="333"/>
      <c r="G582" s="334">
        <v>46107</v>
      </c>
      <c r="H582" s="335">
        <v>1645.76</v>
      </c>
      <c r="I582" s="336">
        <v>169.23</v>
      </c>
      <c r="J582" s="337">
        <v>2593.04</v>
      </c>
      <c r="K582" s="338" t="s">
        <v>149</v>
      </c>
      <c r="L582" s="339" t="s">
        <v>641</v>
      </c>
      <c r="M582" s="340">
        <v>30</v>
      </c>
      <c r="N582" s="341">
        <v>85462</v>
      </c>
      <c r="O582" s="332">
        <v>59.78</v>
      </c>
      <c r="P582" s="342">
        <v>9.1999999999999993</v>
      </c>
      <c r="Q582" s="343">
        <v>11.66666666666667</v>
      </c>
      <c r="R582" s="344">
        <v>1.7179487179487176</v>
      </c>
      <c r="S582" s="344">
        <v>1.68</v>
      </c>
      <c r="T582" s="344">
        <v>1.8759999999999999</v>
      </c>
      <c r="U582" s="344" t="s">
        <v>136</v>
      </c>
      <c r="V582" s="332" t="s">
        <v>137</v>
      </c>
      <c r="W582" s="345">
        <v>8</v>
      </c>
      <c r="X582" s="346">
        <v>4</v>
      </c>
      <c r="Y582" s="208">
        <v>2.8069999999999999</v>
      </c>
      <c r="Z582" s="332"/>
      <c r="AA582" s="342"/>
      <c r="AB582" s="342"/>
      <c r="AC582" s="342"/>
      <c r="AD582" s="347"/>
      <c r="AE582" s="348">
        <v>1.675</v>
      </c>
      <c r="AF582" s="349">
        <v>0</v>
      </c>
      <c r="AG582" s="350"/>
      <c r="AH582" s="351" t="s">
        <v>139</v>
      </c>
      <c r="AI582" s="352" t="s">
        <v>139</v>
      </c>
      <c r="AJ582" s="206" t="s">
        <v>139</v>
      </c>
      <c r="AK582" s="353" t="s">
        <v>864</v>
      </c>
      <c r="AL582" s="206" t="s">
        <v>139</v>
      </c>
      <c r="AM582" s="349">
        <v>102.56410256410253</v>
      </c>
      <c r="AN582" s="354" t="s">
        <v>139</v>
      </c>
      <c r="AO582" s="355" t="s">
        <v>140</v>
      </c>
      <c r="AP582" s="206" t="s">
        <v>139</v>
      </c>
      <c r="AQ582" s="207">
        <v>0</v>
      </c>
      <c r="AR582" s="211"/>
      <c r="AS582" s="297">
        <f>+IF(Table1[[#This Row],[Column40]]="ok",Table1[[#This Row],[Column7]],0)</f>
        <v>1645.76</v>
      </c>
      <c r="AT582" s="295">
        <f>+IF(Table1[[#This Row],[Column40]]="No",Table1[[#This Row],[Column7]],0)</f>
        <v>0</v>
      </c>
      <c r="AU582" s="4" t="str">
        <f>+IF(LEFT(Table1[[#This Row],[Column42]],2)="DN",IF(Table1[[#This Row],[Column40]]="ok","(CA)",_xlfn.CONCAT("(CA)",CHAR(10),"FAIL")),"")</f>
        <v/>
      </c>
      <c r="AV582" s="154" t="str">
        <f>+IF(Table1[[#This Row],[Column6]]=0,"",_xlfn.CONCAT("Sem ",WEEKNUM(Table1[[#This Row],[Column6]],2)))</f>
        <v>Sem 13</v>
      </c>
      <c r="AW582" s="211"/>
    </row>
    <row r="583" spans="2:49" ht="19.5" customHeight="1" x14ac:dyDescent="0.3">
      <c r="B583" s="356" t="s">
        <v>898</v>
      </c>
      <c r="C583" s="331"/>
      <c r="D583" s="332" t="s">
        <v>766</v>
      </c>
      <c r="E583" s="332" t="s">
        <v>176</v>
      </c>
      <c r="F583" s="333"/>
      <c r="G583" s="334">
        <v>46107</v>
      </c>
      <c r="H583" s="335">
        <v>1704.84</v>
      </c>
      <c r="I583" s="336">
        <v>134.04</v>
      </c>
      <c r="J583" s="337">
        <v>2603.46</v>
      </c>
      <c r="K583" s="338" t="s">
        <v>149</v>
      </c>
      <c r="L583" s="339" t="s">
        <v>152</v>
      </c>
      <c r="M583" s="340">
        <v>30</v>
      </c>
      <c r="N583" s="341">
        <v>85462</v>
      </c>
      <c r="O583" s="332">
        <v>59.78</v>
      </c>
      <c r="P583" s="342">
        <v>8.6</v>
      </c>
      <c r="Q583" s="343">
        <v>10.235294117647076</v>
      </c>
      <c r="R583" s="344">
        <v>1.725598526703499</v>
      </c>
      <c r="S583" s="344">
        <v>1.7</v>
      </c>
      <c r="T583" s="344">
        <v>1.8740000000000001</v>
      </c>
      <c r="U583" s="344" t="s">
        <v>136</v>
      </c>
      <c r="V583" s="332" t="s">
        <v>137</v>
      </c>
      <c r="W583" s="345">
        <v>8</v>
      </c>
      <c r="X583" s="346">
        <v>4</v>
      </c>
      <c r="Y583" s="208">
        <v>2.8069999999999999</v>
      </c>
      <c r="Z583" s="332"/>
      <c r="AA583" s="342"/>
      <c r="AB583" s="342"/>
      <c r="AC583" s="342"/>
      <c r="AD583" s="347"/>
      <c r="AE583" s="348">
        <v>1.675</v>
      </c>
      <c r="AF583" s="349">
        <v>0</v>
      </c>
      <c r="AG583" s="350"/>
      <c r="AH583" s="351" t="s">
        <v>139</v>
      </c>
      <c r="AI583" s="352" t="s">
        <v>139</v>
      </c>
      <c r="AJ583" s="206" t="s">
        <v>139</v>
      </c>
      <c r="AK583" s="353" t="s">
        <v>864</v>
      </c>
      <c r="AL583" s="206" t="s">
        <v>139</v>
      </c>
      <c r="AM583" s="349">
        <v>103.02080756438801</v>
      </c>
      <c r="AN583" s="354" t="s">
        <v>139</v>
      </c>
      <c r="AO583" s="355" t="s">
        <v>140</v>
      </c>
      <c r="AP583" s="206" t="s">
        <v>139</v>
      </c>
      <c r="AQ583" s="207">
        <v>0</v>
      </c>
      <c r="AR583" s="211"/>
      <c r="AS583" s="297">
        <f>+IF(Table1[[#This Row],[Column40]]="ok",Table1[[#This Row],[Column7]],0)</f>
        <v>1704.84</v>
      </c>
      <c r="AT583" s="295">
        <f>+IF(Table1[[#This Row],[Column40]]="No",Table1[[#This Row],[Column7]],0)</f>
        <v>0</v>
      </c>
      <c r="AU583" s="4" t="str">
        <f>+IF(LEFT(Table1[[#This Row],[Column42]],2)="DN",IF(Table1[[#This Row],[Column40]]="ok","(CA)",_xlfn.CONCAT("(CA)",CHAR(10),"FAIL")),"")</f>
        <v/>
      </c>
      <c r="AV583" s="154" t="str">
        <f>+IF(Table1[[#This Row],[Column6]]=0,"",_xlfn.CONCAT("Sem ",WEEKNUM(Table1[[#This Row],[Column6]],2)))</f>
        <v>Sem 13</v>
      </c>
      <c r="AW583" s="211"/>
    </row>
    <row r="584" spans="2:49" ht="19.5" customHeight="1" x14ac:dyDescent="0.3">
      <c r="B584" s="356" t="s">
        <v>899</v>
      </c>
      <c r="C584" s="331"/>
      <c r="D584" s="332" t="s">
        <v>766</v>
      </c>
      <c r="E584" s="332" t="s">
        <v>176</v>
      </c>
      <c r="F584" s="333"/>
      <c r="G584" s="334">
        <v>46107</v>
      </c>
      <c r="H584" s="335">
        <v>1824.89</v>
      </c>
      <c r="I584" s="336">
        <v>57.94</v>
      </c>
      <c r="J584" s="337">
        <v>2604.15</v>
      </c>
      <c r="K584" s="338" t="s">
        <v>134</v>
      </c>
      <c r="L584" s="339" t="s">
        <v>159</v>
      </c>
      <c r="M584" s="340">
        <v>30</v>
      </c>
      <c r="N584" s="341">
        <v>85462</v>
      </c>
      <c r="O584" s="332">
        <v>59.78</v>
      </c>
      <c r="P584" s="342">
        <v>10</v>
      </c>
      <c r="Q584" s="343">
        <v>10.726846424384529</v>
      </c>
      <c r="R584" s="344">
        <v>1.7172727272727271</v>
      </c>
      <c r="S584" s="344">
        <v>1.706</v>
      </c>
      <c r="T584" s="344">
        <v>1.889</v>
      </c>
      <c r="U584" s="344" t="s">
        <v>136</v>
      </c>
      <c r="V584" s="332" t="s">
        <v>137</v>
      </c>
      <c r="W584" s="345">
        <v>8</v>
      </c>
      <c r="X584" s="346">
        <v>4</v>
      </c>
      <c r="Y584" s="208">
        <v>2.8069999999999999</v>
      </c>
      <c r="Z584" s="332"/>
      <c r="AA584" s="342"/>
      <c r="AB584" s="342"/>
      <c r="AC584" s="342"/>
      <c r="AD584" s="347"/>
      <c r="AE584" s="348">
        <v>1.675</v>
      </c>
      <c r="AF584" s="349">
        <v>0</v>
      </c>
      <c r="AG584" s="350"/>
      <c r="AH584" s="351" t="s">
        <v>139</v>
      </c>
      <c r="AI584" s="352" t="s">
        <v>139</v>
      </c>
      <c r="AJ584" s="206" t="s">
        <v>139</v>
      </c>
      <c r="AK584" s="353" t="s">
        <v>864</v>
      </c>
      <c r="AL584" s="206" t="s">
        <v>139</v>
      </c>
      <c r="AM584" s="349">
        <v>102.5237449118046</v>
      </c>
      <c r="AN584" s="354" t="s">
        <v>139</v>
      </c>
      <c r="AO584" s="355" t="s">
        <v>140</v>
      </c>
      <c r="AP584" s="206" t="s">
        <v>139</v>
      </c>
      <c r="AQ584" s="207">
        <v>0</v>
      </c>
      <c r="AR584" s="211"/>
      <c r="AS584" s="297">
        <f>+IF(Table1[[#This Row],[Column40]]="ok",Table1[[#This Row],[Column7]],0)</f>
        <v>1824.89</v>
      </c>
      <c r="AT584" s="295">
        <f>+IF(Table1[[#This Row],[Column40]]="No",Table1[[#This Row],[Column7]],0)</f>
        <v>0</v>
      </c>
      <c r="AU584" s="4" t="str">
        <f>+IF(LEFT(Table1[[#This Row],[Column42]],2)="DN",IF(Table1[[#This Row],[Column40]]="ok","(CA)",_xlfn.CONCAT("(CA)",CHAR(10),"FAIL")),"")</f>
        <v/>
      </c>
      <c r="AV584" s="154" t="str">
        <f>+IF(Table1[[#This Row],[Column6]]=0,"",_xlfn.CONCAT("Sem ",WEEKNUM(Table1[[#This Row],[Column6]],2)))</f>
        <v>Sem 13</v>
      </c>
      <c r="AW584" s="211"/>
    </row>
    <row r="585" spans="2:49" ht="19.5" customHeight="1" x14ac:dyDescent="0.3">
      <c r="B585" s="356" t="s">
        <v>900</v>
      </c>
      <c r="C585" s="331"/>
      <c r="D585" s="332" t="s">
        <v>766</v>
      </c>
      <c r="E585" s="332" t="s">
        <v>176</v>
      </c>
      <c r="F585" s="333"/>
      <c r="G585" s="334">
        <v>46107</v>
      </c>
      <c r="H585" s="335">
        <v>1870.67</v>
      </c>
      <c r="I585" s="336">
        <v>133.57</v>
      </c>
      <c r="J585" s="337">
        <v>2580.0500000000002</v>
      </c>
      <c r="K585" s="338" t="s">
        <v>134</v>
      </c>
      <c r="L585" s="339" t="s">
        <v>384</v>
      </c>
      <c r="M585" s="340">
        <v>30</v>
      </c>
      <c r="N585" s="341">
        <v>85462</v>
      </c>
      <c r="O585" s="332">
        <v>59.78</v>
      </c>
      <c r="P585" s="342">
        <v>11</v>
      </c>
      <c r="Q585" s="343">
        <v>11.485714285714298</v>
      </c>
      <c r="R585" s="344">
        <v>1.7576576576576575</v>
      </c>
      <c r="S585" s="344">
        <v>1.75</v>
      </c>
      <c r="T585" s="344">
        <v>1.9510000000000001</v>
      </c>
      <c r="U585" s="344" t="s">
        <v>136</v>
      </c>
      <c r="V585" s="332" t="s">
        <v>137</v>
      </c>
      <c r="W585" s="345">
        <v>8</v>
      </c>
      <c r="X585" s="346">
        <v>4</v>
      </c>
      <c r="Y585" s="208">
        <v>2.8069999999999999</v>
      </c>
      <c r="Z585" s="332"/>
      <c r="AA585" s="342"/>
      <c r="AB585" s="342"/>
      <c r="AC585" s="342"/>
      <c r="AD585" s="347"/>
      <c r="AE585" s="348">
        <v>1.675</v>
      </c>
      <c r="AF585" s="349">
        <v>0</v>
      </c>
      <c r="AG585" s="350"/>
      <c r="AH585" s="351" t="s">
        <v>139</v>
      </c>
      <c r="AI585" s="352" t="s">
        <v>139</v>
      </c>
      <c r="AJ585" s="206" t="s">
        <v>139</v>
      </c>
      <c r="AK585" s="353" t="s">
        <v>864</v>
      </c>
      <c r="AL585" s="206" t="s">
        <v>139</v>
      </c>
      <c r="AM585" s="349">
        <v>104.93478553180044</v>
      </c>
      <c r="AN585" s="354" t="s">
        <v>139</v>
      </c>
      <c r="AO585" s="355" t="s">
        <v>140</v>
      </c>
      <c r="AP585" s="206" t="s">
        <v>139</v>
      </c>
      <c r="AQ585" s="207">
        <v>0</v>
      </c>
      <c r="AR585" s="211"/>
      <c r="AS585" s="297">
        <f>+IF(Table1[[#This Row],[Column40]]="ok",Table1[[#This Row],[Column7]],0)</f>
        <v>1870.67</v>
      </c>
      <c r="AT585" s="295">
        <f>+IF(Table1[[#This Row],[Column40]]="No",Table1[[#This Row],[Column7]],0)</f>
        <v>0</v>
      </c>
      <c r="AU585" s="4" t="str">
        <f>+IF(LEFT(Table1[[#This Row],[Column42]],2)="DN",IF(Table1[[#This Row],[Column40]]="ok","(CA)",_xlfn.CONCAT("(CA)",CHAR(10),"FAIL")),"")</f>
        <v/>
      </c>
      <c r="AV585" s="154" t="str">
        <f>+IF(Table1[[#This Row],[Column6]]=0,"",_xlfn.CONCAT("Sem ",WEEKNUM(Table1[[#This Row],[Column6]],2)))</f>
        <v>Sem 13</v>
      </c>
      <c r="AW585" s="211"/>
    </row>
    <row r="586" spans="2:49" ht="19.5" customHeight="1" x14ac:dyDescent="0.3">
      <c r="B586" s="356" t="s">
        <v>968</v>
      </c>
      <c r="C586" s="331"/>
      <c r="D586" s="332" t="s">
        <v>766</v>
      </c>
      <c r="E586" s="332" t="s">
        <v>133</v>
      </c>
      <c r="F586" s="333"/>
      <c r="G586" s="334">
        <v>46108</v>
      </c>
      <c r="H586" s="335">
        <v>472.39</v>
      </c>
      <c r="I586" s="336">
        <v>111.35</v>
      </c>
      <c r="J586" s="337">
        <v>2633.7739999999999</v>
      </c>
      <c r="K586" s="338" t="s">
        <v>349</v>
      </c>
      <c r="L586" s="339" t="s">
        <v>338</v>
      </c>
      <c r="M586" s="340">
        <v>30</v>
      </c>
      <c r="N586" s="341">
        <v>85462</v>
      </c>
      <c r="O586" s="332">
        <v>59.78</v>
      </c>
      <c r="P586" s="342">
        <v>10.6</v>
      </c>
      <c r="Q586" s="343">
        <v>11.259012756516906</v>
      </c>
      <c r="R586" s="344">
        <v>1.8137432188065097</v>
      </c>
      <c r="S586" s="344">
        <v>1.8029999999999999</v>
      </c>
      <c r="T586" s="344">
        <v>2.0059999999999998</v>
      </c>
      <c r="U586" s="344" t="s">
        <v>136</v>
      </c>
      <c r="V586" s="332" t="s">
        <v>137</v>
      </c>
      <c r="W586" s="345">
        <v>8</v>
      </c>
      <c r="X586" s="346">
        <v>4</v>
      </c>
      <c r="Y586" s="208">
        <v>2.8069999999999999</v>
      </c>
      <c r="Z586" s="332"/>
      <c r="AA586" s="342"/>
      <c r="AB586" s="342"/>
      <c r="AC586" s="342"/>
      <c r="AD586" s="347"/>
      <c r="AE586" s="348">
        <v>1.732</v>
      </c>
      <c r="AF586" s="349">
        <v>0</v>
      </c>
      <c r="AG586" s="350"/>
      <c r="AH586" s="351" t="s">
        <v>139</v>
      </c>
      <c r="AI586" s="352" t="s">
        <v>139</v>
      </c>
      <c r="AJ586" s="206" t="s">
        <v>139</v>
      </c>
      <c r="AK586" s="353" t="s">
        <v>884</v>
      </c>
      <c r="AL586" s="206" t="s">
        <v>139</v>
      </c>
      <c r="AM586" s="349">
        <v>104.71958538143819</v>
      </c>
      <c r="AN586" s="354" t="s">
        <v>139</v>
      </c>
      <c r="AO586" s="355" t="s">
        <v>140</v>
      </c>
      <c r="AP586" s="206" t="s">
        <v>139</v>
      </c>
      <c r="AQ586" s="207">
        <v>0</v>
      </c>
      <c r="AR586" s="211"/>
      <c r="AS586" s="297">
        <f>+IF(Table1[[#This Row],[Column40]]="ok",Table1[[#This Row],[Column7]],0)</f>
        <v>472.39</v>
      </c>
      <c r="AT586" s="295">
        <f>+IF(Table1[[#This Row],[Column40]]="No",Table1[[#This Row],[Column7]],0)</f>
        <v>0</v>
      </c>
      <c r="AU586" s="4" t="str">
        <f>+IF(LEFT(Table1[[#This Row],[Column42]],2)="DN",IF(Table1[[#This Row],[Column40]]="ok","(CA)",_xlfn.CONCAT("(CA)",CHAR(10),"FAIL")),"")</f>
        <v/>
      </c>
      <c r="AV586" s="154" t="str">
        <f>+IF(Table1[[#This Row],[Column6]]=0,"",_xlfn.CONCAT("Sem ",WEEKNUM(Table1[[#This Row],[Column6]],2)))</f>
        <v>Sem 13</v>
      </c>
      <c r="AW586" s="211"/>
    </row>
    <row r="587" spans="2:49" ht="19.5" customHeight="1" x14ac:dyDescent="0.3">
      <c r="B587" s="356" t="s">
        <v>969</v>
      </c>
      <c r="C587" s="331"/>
      <c r="D587" s="332" t="s">
        <v>766</v>
      </c>
      <c r="E587" s="332" t="s">
        <v>133</v>
      </c>
      <c r="F587" s="333"/>
      <c r="G587" s="334">
        <v>46108</v>
      </c>
      <c r="H587" s="335">
        <v>539.21</v>
      </c>
      <c r="I587" s="336">
        <v>119.68</v>
      </c>
      <c r="J587" s="337">
        <v>2631.7040000000002</v>
      </c>
      <c r="K587" s="338" t="s">
        <v>349</v>
      </c>
      <c r="L587" s="339" t="s">
        <v>342</v>
      </c>
      <c r="M587" s="340">
        <v>30</v>
      </c>
      <c r="N587" s="341">
        <v>85462</v>
      </c>
      <c r="O587" s="332">
        <v>59.78</v>
      </c>
      <c r="P587" s="342">
        <v>10.299999999999999</v>
      </c>
      <c r="Q587" s="343">
        <v>11.247901510912151</v>
      </c>
      <c r="R587" s="344">
        <v>1.8023572076155938</v>
      </c>
      <c r="S587" s="344">
        <v>1.7869999999999999</v>
      </c>
      <c r="T587" s="344">
        <v>1.988</v>
      </c>
      <c r="U587" s="344" t="s">
        <v>136</v>
      </c>
      <c r="V587" s="332" t="s">
        <v>137</v>
      </c>
      <c r="W587" s="345">
        <v>8</v>
      </c>
      <c r="X587" s="346">
        <v>4</v>
      </c>
      <c r="Y587" s="208">
        <v>2.8069999999999999</v>
      </c>
      <c r="Z587" s="332"/>
      <c r="AA587" s="342"/>
      <c r="AB587" s="342"/>
      <c r="AC587" s="342"/>
      <c r="AD587" s="347"/>
      <c r="AE587" s="348">
        <v>1.7321071827531895</v>
      </c>
      <c r="AF587" s="349">
        <v>15.504116639327659</v>
      </c>
      <c r="AG587" s="350"/>
      <c r="AH587" s="351">
        <v>1.726643598615917</v>
      </c>
      <c r="AI587" s="352">
        <v>1.996</v>
      </c>
      <c r="AJ587" s="206">
        <v>15.6</v>
      </c>
      <c r="AK587" s="353" t="s">
        <v>884</v>
      </c>
      <c r="AL587" s="206">
        <v>-9.5883360672340601E-2</v>
      </c>
      <c r="AM587" s="349">
        <v>104.05575506884865</v>
      </c>
      <c r="AN587" s="354" t="s">
        <v>139</v>
      </c>
      <c r="AO587" s="355" t="s">
        <v>140</v>
      </c>
      <c r="AP587" s="206" t="s">
        <v>139</v>
      </c>
      <c r="AQ587" s="207" t="s">
        <v>970</v>
      </c>
      <c r="AR587" s="211"/>
      <c r="AS587" s="297">
        <f>+IF(Table1[[#This Row],[Column40]]="ok",Table1[[#This Row],[Column7]],0)</f>
        <v>539.21</v>
      </c>
      <c r="AT587" s="295">
        <f>+IF(Table1[[#This Row],[Column40]]="No",Table1[[#This Row],[Column7]],0)</f>
        <v>0</v>
      </c>
      <c r="AU587" s="4" t="str">
        <f>+IF(LEFT(Table1[[#This Row],[Column42]],2)="DN",IF(Table1[[#This Row],[Column40]]="ok","(CA)",_xlfn.CONCAT("(CA)",CHAR(10),"FAIL")),"")</f>
        <v/>
      </c>
      <c r="AV587" s="154" t="str">
        <f>+IF(Table1[[#This Row],[Column6]]=0,"",_xlfn.CONCAT("Sem ",WEEKNUM(Table1[[#This Row],[Column6]],2)))</f>
        <v>Sem 13</v>
      </c>
      <c r="AW587" s="211"/>
    </row>
    <row r="588" spans="2:49" ht="19.5" customHeight="1" x14ac:dyDescent="0.3">
      <c r="B588" s="356" t="s">
        <v>970</v>
      </c>
      <c r="C588" s="331"/>
      <c r="D588" s="332" t="s">
        <v>766</v>
      </c>
      <c r="E588" s="332" t="s">
        <v>133</v>
      </c>
      <c r="F588" s="333"/>
      <c r="G588" s="334">
        <v>46108</v>
      </c>
      <c r="H588" s="335">
        <v>539.21</v>
      </c>
      <c r="I588" s="336">
        <v>119.68</v>
      </c>
      <c r="J588" s="337">
        <v>2631.7040000000002</v>
      </c>
      <c r="K588" s="338" t="s">
        <v>349</v>
      </c>
      <c r="L588" s="339" t="s">
        <v>342</v>
      </c>
      <c r="M588" s="340">
        <v>15</v>
      </c>
      <c r="N588" s="341"/>
      <c r="O588" s="332"/>
      <c r="P588" s="342">
        <v>10.33172955178528</v>
      </c>
      <c r="Q588" s="343"/>
      <c r="R588" s="344">
        <v>1.7795316003570998</v>
      </c>
      <c r="S588" s="344"/>
      <c r="T588" s="344">
        <v>1.9633879925945517</v>
      </c>
      <c r="U588" s="344" t="s">
        <v>142</v>
      </c>
      <c r="V588" s="332" t="s">
        <v>137</v>
      </c>
      <c r="W588" s="345" t="s">
        <v>173</v>
      </c>
      <c r="X588" s="346" t="s">
        <v>680</v>
      </c>
      <c r="Y588" s="208"/>
      <c r="Z588" s="332" t="s">
        <v>143</v>
      </c>
      <c r="AA588" s="342">
        <v>99.139022537351224</v>
      </c>
      <c r="AB588" s="342">
        <v>80.096226892884275</v>
      </c>
      <c r="AC588" s="342">
        <v>37.351228159027599</v>
      </c>
      <c r="AD588" s="347">
        <v>13.243859204861991</v>
      </c>
      <c r="AE588" s="348">
        <v>1.7321071827531895</v>
      </c>
      <c r="AF588" s="349">
        <v>15.504116639327659</v>
      </c>
      <c r="AG588" s="350" t="s">
        <v>884</v>
      </c>
      <c r="AH588" s="351">
        <v>1.7261222418085911</v>
      </c>
      <c r="AI588" s="352">
        <v>1.9956410801615994</v>
      </c>
      <c r="AJ588" s="206">
        <v>15.614122327200446</v>
      </c>
      <c r="AK588" s="353" t="s">
        <v>884</v>
      </c>
      <c r="AL588" s="206">
        <v>-0.11000568787278731</v>
      </c>
      <c r="AM588" s="349">
        <v>102.73796091120234</v>
      </c>
      <c r="AN588" s="354" t="s">
        <v>139</v>
      </c>
      <c r="AO588" s="355" t="s">
        <v>144</v>
      </c>
      <c r="AP588" s="206">
        <v>0</v>
      </c>
      <c r="AQ588" s="207" t="s">
        <v>969</v>
      </c>
      <c r="AR588" s="211"/>
      <c r="AS588" s="297">
        <f>+IF(Table1[[#This Row],[Column40]]="ok",Table1[[#This Row],[Column7]],0)</f>
        <v>539.21</v>
      </c>
      <c r="AT588" s="295">
        <f>+IF(Table1[[#This Row],[Column40]]="No",Table1[[#This Row],[Column7]],0)</f>
        <v>0</v>
      </c>
      <c r="AU588" s="4" t="str">
        <f>+IF(LEFT(Table1[[#This Row],[Column42]],2)="DN",IF(Table1[[#This Row],[Column40]]="ok","(CA)",_xlfn.CONCAT("(CA)",CHAR(10),"FAIL")),"")</f>
        <v>(CA)</v>
      </c>
      <c r="AV588" s="154" t="str">
        <f>+IF(Table1[[#This Row],[Column6]]=0,"",_xlfn.CONCAT("Sem ",WEEKNUM(Table1[[#This Row],[Column6]],2)))</f>
        <v>Sem 13</v>
      </c>
      <c r="AW588" s="211"/>
    </row>
    <row r="589" spans="2:49" ht="19.5" customHeight="1" x14ac:dyDescent="0.3">
      <c r="B589" s="356" t="s">
        <v>971</v>
      </c>
      <c r="C589" s="331"/>
      <c r="D589" s="332" t="s">
        <v>766</v>
      </c>
      <c r="E589" s="332" t="s">
        <v>133</v>
      </c>
      <c r="F589" s="333"/>
      <c r="G589" s="334">
        <v>46108</v>
      </c>
      <c r="H589" s="335">
        <v>538.95000000000005</v>
      </c>
      <c r="I589" s="336">
        <v>211.02</v>
      </c>
      <c r="J589" s="337">
        <v>2606.8560000000002</v>
      </c>
      <c r="K589" s="338" t="s">
        <v>349</v>
      </c>
      <c r="L589" s="339" t="s">
        <v>342</v>
      </c>
      <c r="M589" s="340">
        <v>30</v>
      </c>
      <c r="N589" s="341">
        <v>85462</v>
      </c>
      <c r="O589" s="332">
        <v>59.78</v>
      </c>
      <c r="P589" s="342">
        <v>9</v>
      </c>
      <c r="Q589" s="343">
        <v>10.787172011661795</v>
      </c>
      <c r="R589" s="344">
        <v>1.7431192660550456</v>
      </c>
      <c r="S589" s="344">
        <v>1.7150000000000001</v>
      </c>
      <c r="T589" s="344">
        <v>1.9</v>
      </c>
      <c r="U589" s="344" t="s">
        <v>136</v>
      </c>
      <c r="V589" s="332" t="s">
        <v>137</v>
      </c>
      <c r="W589" s="345">
        <v>8</v>
      </c>
      <c r="X589" s="346">
        <v>4</v>
      </c>
      <c r="Y589" s="208">
        <v>2.8069999999999999</v>
      </c>
      <c r="Z589" s="332"/>
      <c r="AA589" s="342"/>
      <c r="AB589" s="342"/>
      <c r="AC589" s="342"/>
      <c r="AD589" s="347"/>
      <c r="AE589" s="348">
        <v>1.7321071827531895</v>
      </c>
      <c r="AF589" s="349">
        <v>15.504116639327659</v>
      </c>
      <c r="AG589" s="350"/>
      <c r="AH589" s="351">
        <v>1.7246753246753246</v>
      </c>
      <c r="AI589" s="352">
        <v>1.992</v>
      </c>
      <c r="AJ589" s="206">
        <v>15.5</v>
      </c>
      <c r="AK589" s="353" t="s">
        <v>884</v>
      </c>
      <c r="AL589" s="206">
        <v>4.1166393276590441E-3</v>
      </c>
      <c r="AM589" s="349">
        <v>100.63576223293251</v>
      </c>
      <c r="AN589" s="354" t="s">
        <v>139</v>
      </c>
      <c r="AO589" s="355" t="s">
        <v>140</v>
      </c>
      <c r="AP589" s="206" t="s">
        <v>139</v>
      </c>
      <c r="AQ589" s="207">
        <v>0</v>
      </c>
      <c r="AR589" s="211"/>
      <c r="AS589" s="297">
        <f>+IF(Table1[[#This Row],[Column40]]="ok",Table1[[#This Row],[Column7]],0)</f>
        <v>538.95000000000005</v>
      </c>
      <c r="AT589" s="295">
        <f>+IF(Table1[[#This Row],[Column40]]="No",Table1[[#This Row],[Column7]],0)</f>
        <v>0</v>
      </c>
      <c r="AU589" s="4" t="str">
        <f>+IF(LEFT(Table1[[#This Row],[Column42]],2)="DN",IF(Table1[[#This Row],[Column40]]="ok","(CA)",_xlfn.CONCAT("(CA)",CHAR(10),"FAIL")),"")</f>
        <v/>
      </c>
      <c r="AV589" s="154" t="str">
        <f>+IF(Table1[[#This Row],[Column6]]=0,"",_xlfn.CONCAT("Sem ",WEEKNUM(Table1[[#This Row],[Column6]],2)))</f>
        <v>Sem 13</v>
      </c>
      <c r="AW589" s="211"/>
    </row>
    <row r="590" spans="2:49" ht="19.5" customHeight="1" x14ac:dyDescent="0.3">
      <c r="B590" s="356" t="s">
        <v>972</v>
      </c>
      <c r="C590" s="331"/>
      <c r="D590" s="332" t="s">
        <v>766</v>
      </c>
      <c r="E590" s="332" t="s">
        <v>133</v>
      </c>
      <c r="F590" s="333"/>
      <c r="G590" s="334">
        <v>46108</v>
      </c>
      <c r="H590" s="335">
        <v>473.57</v>
      </c>
      <c r="I590" s="336">
        <v>202.63</v>
      </c>
      <c r="J590" s="337">
        <v>2608.5909999999999</v>
      </c>
      <c r="K590" s="338" t="s">
        <v>349</v>
      </c>
      <c r="L590" s="339" t="s">
        <v>338</v>
      </c>
      <c r="M590" s="340">
        <v>30</v>
      </c>
      <c r="N590" s="341">
        <v>85462</v>
      </c>
      <c r="O590" s="332">
        <v>59.78</v>
      </c>
      <c r="P590" s="342">
        <v>10.8</v>
      </c>
      <c r="Q590" s="343">
        <v>11.085450346420323</v>
      </c>
      <c r="R590" s="344">
        <v>1.7364620938628157</v>
      </c>
      <c r="S590" s="344">
        <v>1.732</v>
      </c>
      <c r="T590" s="344">
        <v>1.9239999999999999</v>
      </c>
      <c r="U590" s="344" t="s">
        <v>136</v>
      </c>
      <c r="V590" s="332" t="s">
        <v>137</v>
      </c>
      <c r="W590" s="345">
        <v>8</v>
      </c>
      <c r="X590" s="346">
        <v>4</v>
      </c>
      <c r="Y590" s="208">
        <v>2.8069999999999999</v>
      </c>
      <c r="Z590" s="332"/>
      <c r="AA590" s="342"/>
      <c r="AB590" s="342"/>
      <c r="AC590" s="342"/>
      <c r="AD590" s="347"/>
      <c r="AE590" s="348">
        <v>1.732</v>
      </c>
      <c r="AF590" s="349">
        <v>0</v>
      </c>
      <c r="AG590" s="350"/>
      <c r="AH590" s="351" t="s">
        <v>139</v>
      </c>
      <c r="AI590" s="352" t="s">
        <v>139</v>
      </c>
      <c r="AJ590" s="206" t="s">
        <v>139</v>
      </c>
      <c r="AK590" s="353" t="s">
        <v>884</v>
      </c>
      <c r="AL590" s="206" t="s">
        <v>139</v>
      </c>
      <c r="AM590" s="349">
        <v>100.25762666644434</v>
      </c>
      <c r="AN590" s="354" t="s">
        <v>139</v>
      </c>
      <c r="AO590" s="355" t="s">
        <v>140</v>
      </c>
      <c r="AP590" s="206" t="s">
        <v>139</v>
      </c>
      <c r="AQ590" s="207">
        <v>0</v>
      </c>
      <c r="AR590" s="211"/>
      <c r="AS590" s="297">
        <f>+IF(Table1[[#This Row],[Column40]]="ok",Table1[[#This Row],[Column7]],0)</f>
        <v>473.57</v>
      </c>
      <c r="AT590" s="295">
        <f>+IF(Table1[[#This Row],[Column40]]="No",Table1[[#This Row],[Column7]],0)</f>
        <v>0</v>
      </c>
      <c r="AU590" s="4" t="str">
        <f>+IF(LEFT(Table1[[#This Row],[Column42]],2)="DN",IF(Table1[[#This Row],[Column40]]="ok","(CA)",_xlfn.CONCAT("(CA)",CHAR(10),"FAIL")),"")</f>
        <v/>
      </c>
      <c r="AV590" s="154" t="str">
        <f>+IF(Table1[[#This Row],[Column6]]=0,"",_xlfn.CONCAT("Sem ",WEEKNUM(Table1[[#This Row],[Column6]],2)))</f>
        <v>Sem 13</v>
      </c>
      <c r="AW590" s="211"/>
    </row>
    <row r="591" spans="2:49" ht="19.5" customHeight="1" x14ac:dyDescent="0.3">
      <c r="B591" s="356" t="s">
        <v>973</v>
      </c>
      <c r="C591" s="331"/>
      <c r="D591" s="332" t="s">
        <v>766</v>
      </c>
      <c r="E591" s="332" t="s">
        <v>133</v>
      </c>
      <c r="F591" s="333"/>
      <c r="G591" s="334">
        <v>46108</v>
      </c>
      <c r="H591" s="335">
        <v>495.66</v>
      </c>
      <c r="I591" s="336">
        <v>302.56</v>
      </c>
      <c r="J591" s="337">
        <v>2578.558</v>
      </c>
      <c r="K591" s="338" t="s">
        <v>331</v>
      </c>
      <c r="L591" s="339" t="s">
        <v>338</v>
      </c>
      <c r="M591" s="340">
        <v>30</v>
      </c>
      <c r="N591" s="341">
        <v>85462</v>
      </c>
      <c r="O591" s="332">
        <v>59.78</v>
      </c>
      <c r="P591" s="342">
        <v>9.5</v>
      </c>
      <c r="Q591" s="343">
        <v>10.553633217993074</v>
      </c>
      <c r="R591" s="344">
        <v>1.7506849315068493</v>
      </c>
      <c r="S591" s="344">
        <v>1.734</v>
      </c>
      <c r="T591" s="344">
        <v>1.917</v>
      </c>
      <c r="U591" s="344" t="s">
        <v>136</v>
      </c>
      <c r="V591" s="332" t="s">
        <v>137</v>
      </c>
      <c r="W591" s="345">
        <v>8</v>
      </c>
      <c r="X591" s="346">
        <v>4</v>
      </c>
      <c r="Y591" s="208">
        <v>2.8069999999999999</v>
      </c>
      <c r="Z591" s="332"/>
      <c r="AA591" s="342"/>
      <c r="AB591" s="342"/>
      <c r="AC591" s="342"/>
      <c r="AD591" s="347"/>
      <c r="AE591" s="348">
        <v>1.732</v>
      </c>
      <c r="AF591" s="349">
        <v>0</v>
      </c>
      <c r="AG591" s="350"/>
      <c r="AH591" s="351" t="s">
        <v>139</v>
      </c>
      <c r="AI591" s="352" t="s">
        <v>139</v>
      </c>
      <c r="AJ591" s="206" t="s">
        <v>139</v>
      </c>
      <c r="AK591" s="353" t="s">
        <v>884</v>
      </c>
      <c r="AL591" s="206" t="s">
        <v>139</v>
      </c>
      <c r="AM591" s="349">
        <v>101.07880666898667</v>
      </c>
      <c r="AN591" s="354" t="s">
        <v>139</v>
      </c>
      <c r="AO591" s="355" t="s">
        <v>140</v>
      </c>
      <c r="AP591" s="206" t="s">
        <v>139</v>
      </c>
      <c r="AQ591" s="207">
        <v>0</v>
      </c>
      <c r="AR591" s="211"/>
      <c r="AS591" s="297">
        <f>+IF(Table1[[#This Row],[Column40]]="ok",Table1[[#This Row],[Column7]],0)</f>
        <v>495.66</v>
      </c>
      <c r="AT591" s="295">
        <f>+IF(Table1[[#This Row],[Column40]]="No",Table1[[#This Row],[Column7]],0)</f>
        <v>0</v>
      </c>
      <c r="AU591" s="4" t="str">
        <f>+IF(LEFT(Table1[[#This Row],[Column42]],2)="DN",IF(Table1[[#This Row],[Column40]]="ok","(CA)",_xlfn.CONCAT("(CA)",CHAR(10),"FAIL")),"")</f>
        <v/>
      </c>
      <c r="AV591" s="154" t="str">
        <f>+IF(Table1[[#This Row],[Column6]]=0,"",_xlfn.CONCAT("Sem ",WEEKNUM(Table1[[#This Row],[Column6]],2)))</f>
        <v>Sem 13</v>
      </c>
      <c r="AW591" s="211"/>
    </row>
    <row r="592" spans="2:49" ht="19.5" customHeight="1" x14ac:dyDescent="0.3">
      <c r="B592" s="356" t="s">
        <v>974</v>
      </c>
      <c r="C592" s="331"/>
      <c r="D592" s="332" t="s">
        <v>766</v>
      </c>
      <c r="E592" s="332" t="s">
        <v>133</v>
      </c>
      <c r="F592" s="333"/>
      <c r="G592" s="334">
        <v>46108</v>
      </c>
      <c r="H592" s="335">
        <v>588.29</v>
      </c>
      <c r="I592" s="336">
        <v>111.69</v>
      </c>
      <c r="J592" s="337">
        <v>2633.9949999999999</v>
      </c>
      <c r="K592" s="338" t="s">
        <v>349</v>
      </c>
      <c r="L592" s="339" t="s">
        <v>340</v>
      </c>
      <c r="M592" s="340">
        <v>30</v>
      </c>
      <c r="N592" s="341">
        <v>85462</v>
      </c>
      <c r="O592" s="332">
        <v>59.78</v>
      </c>
      <c r="P592" s="342">
        <v>11.799999999999999</v>
      </c>
      <c r="Q592" s="343">
        <v>11.41732283464567</v>
      </c>
      <c r="R592" s="344">
        <v>1.7719141323792489</v>
      </c>
      <c r="S592" s="344">
        <v>1.778</v>
      </c>
      <c r="T592" s="344">
        <v>1.9810000000000001</v>
      </c>
      <c r="U592" s="344" t="s">
        <v>136</v>
      </c>
      <c r="V592" s="332" t="s">
        <v>137</v>
      </c>
      <c r="W592" s="345">
        <v>8</v>
      </c>
      <c r="X592" s="346">
        <v>4</v>
      </c>
      <c r="Y592" s="208">
        <v>2.8069999999999999</v>
      </c>
      <c r="Z592" s="332"/>
      <c r="AA592" s="342"/>
      <c r="AB592" s="342"/>
      <c r="AC592" s="342"/>
      <c r="AD592" s="347"/>
      <c r="AE592" s="348">
        <v>1.732</v>
      </c>
      <c r="AF592" s="349">
        <v>0</v>
      </c>
      <c r="AG592" s="350"/>
      <c r="AH592" s="351" t="s">
        <v>139</v>
      </c>
      <c r="AI592" s="352" t="s">
        <v>139</v>
      </c>
      <c r="AJ592" s="206" t="s">
        <v>139</v>
      </c>
      <c r="AK592" s="353" t="s">
        <v>884</v>
      </c>
      <c r="AL592" s="206" t="s">
        <v>139</v>
      </c>
      <c r="AM592" s="349">
        <v>102.30451110734693</v>
      </c>
      <c r="AN592" s="354" t="s">
        <v>139</v>
      </c>
      <c r="AO592" s="355" t="s">
        <v>140</v>
      </c>
      <c r="AP592" s="206" t="s">
        <v>139</v>
      </c>
      <c r="AQ592" s="207">
        <v>0</v>
      </c>
      <c r="AR592" s="211"/>
      <c r="AS592" s="297">
        <f>+IF(Table1[[#This Row],[Column40]]="ok",Table1[[#This Row],[Column7]],0)</f>
        <v>588.29</v>
      </c>
      <c r="AT592" s="295">
        <f>+IF(Table1[[#This Row],[Column40]]="No",Table1[[#This Row],[Column7]],0)</f>
        <v>0</v>
      </c>
      <c r="AU592" s="4" t="str">
        <f>+IF(LEFT(Table1[[#This Row],[Column42]],2)="DN",IF(Table1[[#This Row],[Column40]]="ok","(CA)",_xlfn.CONCAT("(CA)",CHAR(10),"FAIL")),"")</f>
        <v/>
      </c>
      <c r="AV592" s="154" t="str">
        <f>+IF(Table1[[#This Row],[Column6]]=0,"",_xlfn.CONCAT("Sem ",WEEKNUM(Table1[[#This Row],[Column6]],2)))</f>
        <v>Sem 13</v>
      </c>
      <c r="AW592" s="211"/>
    </row>
    <row r="593" spans="2:49" ht="19.5" customHeight="1" x14ac:dyDescent="0.3">
      <c r="B593" s="356" t="s">
        <v>975</v>
      </c>
      <c r="C593" s="331"/>
      <c r="D593" s="332" t="s">
        <v>766</v>
      </c>
      <c r="E593" s="332" t="s">
        <v>133</v>
      </c>
      <c r="F593" s="333"/>
      <c r="G593" s="334">
        <v>46108</v>
      </c>
      <c r="H593" s="335">
        <v>667.96</v>
      </c>
      <c r="I593" s="336">
        <v>86.98</v>
      </c>
      <c r="J593" s="337">
        <v>2634.5790000000002</v>
      </c>
      <c r="K593" s="338" t="s">
        <v>167</v>
      </c>
      <c r="L593" s="339" t="s">
        <v>322</v>
      </c>
      <c r="M593" s="340">
        <v>30</v>
      </c>
      <c r="N593" s="341">
        <v>85462</v>
      </c>
      <c r="O593" s="332">
        <v>59.78</v>
      </c>
      <c r="P593" s="342">
        <v>10.299999999999999</v>
      </c>
      <c r="Q593" s="343">
        <v>11.433447098976114</v>
      </c>
      <c r="R593" s="344">
        <v>1.7760652765185858</v>
      </c>
      <c r="S593" s="344">
        <v>1.758</v>
      </c>
      <c r="T593" s="344">
        <v>1.9590000000000001</v>
      </c>
      <c r="U593" s="344" t="s">
        <v>136</v>
      </c>
      <c r="V593" s="332" t="s">
        <v>137</v>
      </c>
      <c r="W593" s="345">
        <v>8</v>
      </c>
      <c r="X593" s="346">
        <v>4</v>
      </c>
      <c r="Y593" s="208">
        <v>2.8069999999999999</v>
      </c>
      <c r="Z593" s="332"/>
      <c r="AA593" s="342"/>
      <c r="AB593" s="342"/>
      <c r="AC593" s="342"/>
      <c r="AD593" s="347"/>
      <c r="AE593" s="348">
        <v>1.732</v>
      </c>
      <c r="AF593" s="349">
        <v>0</v>
      </c>
      <c r="AG593" s="350"/>
      <c r="AH593" s="351" t="s">
        <v>139</v>
      </c>
      <c r="AI593" s="352" t="s">
        <v>139</v>
      </c>
      <c r="AJ593" s="206" t="s">
        <v>139</v>
      </c>
      <c r="AK593" s="353" t="s">
        <v>884</v>
      </c>
      <c r="AL593" s="206" t="s">
        <v>139</v>
      </c>
      <c r="AM593" s="349">
        <v>102.54418455650034</v>
      </c>
      <c r="AN593" s="354" t="s">
        <v>139</v>
      </c>
      <c r="AO593" s="355" t="s">
        <v>140</v>
      </c>
      <c r="AP593" s="206" t="s">
        <v>139</v>
      </c>
      <c r="AQ593" s="207">
        <v>0</v>
      </c>
      <c r="AR593" s="211"/>
      <c r="AS593" s="297">
        <f>+IF(Table1[[#This Row],[Column40]]="ok",Table1[[#This Row],[Column7]],0)</f>
        <v>667.96</v>
      </c>
      <c r="AT593" s="295">
        <f>+IF(Table1[[#This Row],[Column40]]="No",Table1[[#This Row],[Column7]],0)</f>
        <v>0</v>
      </c>
      <c r="AU593" s="4" t="str">
        <f>+IF(LEFT(Table1[[#This Row],[Column42]],2)="DN",IF(Table1[[#This Row],[Column40]]="ok","(CA)",_xlfn.CONCAT("(CA)",CHAR(10),"FAIL")),"")</f>
        <v/>
      </c>
      <c r="AV593" s="154" t="str">
        <f>+IF(Table1[[#This Row],[Column6]]=0,"",_xlfn.CONCAT("Sem ",WEEKNUM(Table1[[#This Row],[Column6]],2)))</f>
        <v>Sem 13</v>
      </c>
      <c r="AW593" s="211"/>
    </row>
    <row r="594" spans="2:49" ht="19.5" customHeight="1" x14ac:dyDescent="0.3">
      <c r="B594" s="356" t="s">
        <v>976</v>
      </c>
      <c r="C594" s="331"/>
      <c r="D594" s="332" t="s">
        <v>766</v>
      </c>
      <c r="E594" s="332" t="s">
        <v>133</v>
      </c>
      <c r="F594" s="333"/>
      <c r="G594" s="334">
        <v>46108</v>
      </c>
      <c r="H594" s="335">
        <v>729.87</v>
      </c>
      <c r="I594" s="336">
        <v>44.78</v>
      </c>
      <c r="J594" s="337">
        <v>2635.0619999999999</v>
      </c>
      <c r="K594" s="338" t="s">
        <v>167</v>
      </c>
      <c r="L594" s="339" t="s">
        <v>307</v>
      </c>
      <c r="M594" s="340">
        <v>30</v>
      </c>
      <c r="N594" s="341">
        <v>85462</v>
      </c>
      <c r="O594" s="332">
        <v>59.78</v>
      </c>
      <c r="P594" s="342">
        <v>9.9</v>
      </c>
      <c r="Q594" s="343">
        <v>9.5555555555555607</v>
      </c>
      <c r="R594" s="344">
        <v>1.7943585077343038</v>
      </c>
      <c r="S594" s="344">
        <v>1.8</v>
      </c>
      <c r="T594" s="344">
        <v>1.972</v>
      </c>
      <c r="U594" s="344" t="s">
        <v>136</v>
      </c>
      <c r="V594" s="332" t="s">
        <v>137</v>
      </c>
      <c r="W594" s="345">
        <v>8</v>
      </c>
      <c r="X594" s="346">
        <v>4</v>
      </c>
      <c r="Y594" s="208">
        <v>2.8069999999999999</v>
      </c>
      <c r="Z594" s="332"/>
      <c r="AA594" s="342"/>
      <c r="AB594" s="342"/>
      <c r="AC594" s="342"/>
      <c r="AD594" s="347"/>
      <c r="AE594" s="348">
        <v>1.732</v>
      </c>
      <c r="AF594" s="349">
        <v>0</v>
      </c>
      <c r="AG594" s="350"/>
      <c r="AH594" s="351" t="s">
        <v>139</v>
      </c>
      <c r="AI594" s="352" t="s">
        <v>139</v>
      </c>
      <c r="AJ594" s="206" t="s">
        <v>139</v>
      </c>
      <c r="AK594" s="353" t="s">
        <v>884</v>
      </c>
      <c r="AL594" s="206" t="s">
        <v>139</v>
      </c>
      <c r="AM594" s="349">
        <v>103.60037573523695</v>
      </c>
      <c r="AN594" s="354" t="s">
        <v>139</v>
      </c>
      <c r="AO594" s="355" t="s">
        <v>140</v>
      </c>
      <c r="AP594" s="206" t="s">
        <v>139</v>
      </c>
      <c r="AQ594" s="207">
        <v>0</v>
      </c>
      <c r="AR594" s="211"/>
      <c r="AS594" s="297">
        <f>+IF(Table1[[#This Row],[Column40]]="ok",Table1[[#This Row],[Column7]],0)</f>
        <v>729.87</v>
      </c>
      <c r="AT594" s="295">
        <f>+IF(Table1[[#This Row],[Column40]]="No",Table1[[#This Row],[Column7]],0)</f>
        <v>0</v>
      </c>
      <c r="AU594" s="4" t="str">
        <f>+IF(LEFT(Table1[[#This Row],[Column42]],2)="DN",IF(Table1[[#This Row],[Column40]]="ok","(CA)",_xlfn.CONCAT("(CA)",CHAR(10),"FAIL")),"")</f>
        <v/>
      </c>
      <c r="AV594" s="154" t="str">
        <f>+IF(Table1[[#This Row],[Column6]]=0,"",_xlfn.CONCAT("Sem ",WEEKNUM(Table1[[#This Row],[Column6]],2)))</f>
        <v>Sem 13</v>
      </c>
      <c r="AW594" s="211"/>
    </row>
    <row r="595" spans="2:49" ht="19.5" customHeight="1" x14ac:dyDescent="0.3">
      <c r="B595" s="356" t="s">
        <v>977</v>
      </c>
      <c r="C595" s="331"/>
      <c r="D595" s="332" t="s">
        <v>766</v>
      </c>
      <c r="E595" s="332" t="s">
        <v>133</v>
      </c>
      <c r="F595" s="333"/>
      <c r="G595" s="334">
        <v>46108</v>
      </c>
      <c r="H595" s="335">
        <v>756.95</v>
      </c>
      <c r="I595" s="336">
        <v>132.13</v>
      </c>
      <c r="J595" s="337">
        <v>2613.1480000000001</v>
      </c>
      <c r="K595" s="338" t="s">
        <v>167</v>
      </c>
      <c r="L595" s="339" t="s">
        <v>354</v>
      </c>
      <c r="M595" s="340">
        <v>30</v>
      </c>
      <c r="N595" s="341">
        <v>85462</v>
      </c>
      <c r="O595" s="332">
        <v>59.78</v>
      </c>
      <c r="P595" s="342">
        <v>9.9</v>
      </c>
      <c r="Q595" s="343">
        <v>10.829493087557607</v>
      </c>
      <c r="R595" s="344">
        <v>1.7506824385805277</v>
      </c>
      <c r="S595" s="344">
        <v>1.736</v>
      </c>
      <c r="T595" s="344">
        <v>1.9239999999999999</v>
      </c>
      <c r="U595" s="344" t="s">
        <v>136</v>
      </c>
      <c r="V595" s="332" t="s">
        <v>137</v>
      </c>
      <c r="W595" s="345">
        <v>8</v>
      </c>
      <c r="X595" s="346">
        <v>4</v>
      </c>
      <c r="Y595" s="208">
        <v>2.8069999999999999</v>
      </c>
      <c r="Z595" s="332"/>
      <c r="AA595" s="342"/>
      <c r="AB595" s="342"/>
      <c r="AC595" s="342"/>
      <c r="AD595" s="347"/>
      <c r="AE595" s="348">
        <v>1.732</v>
      </c>
      <c r="AF595" s="349">
        <v>0</v>
      </c>
      <c r="AG595" s="350"/>
      <c r="AH595" s="351" t="s">
        <v>139</v>
      </c>
      <c r="AI595" s="352" t="s">
        <v>139</v>
      </c>
      <c r="AJ595" s="206" t="s">
        <v>139</v>
      </c>
      <c r="AK595" s="353" t="s">
        <v>884</v>
      </c>
      <c r="AL595" s="206" t="s">
        <v>139</v>
      </c>
      <c r="AM595" s="349">
        <v>101.0786627355963</v>
      </c>
      <c r="AN595" s="354" t="s">
        <v>139</v>
      </c>
      <c r="AO595" s="355" t="s">
        <v>140</v>
      </c>
      <c r="AP595" s="206" t="s">
        <v>139</v>
      </c>
      <c r="AQ595" s="207">
        <v>0</v>
      </c>
      <c r="AR595" s="211"/>
      <c r="AS595" s="297">
        <f>+IF(Table1[[#This Row],[Column40]]="ok",Table1[[#This Row],[Column7]],0)</f>
        <v>756.95</v>
      </c>
      <c r="AT595" s="295">
        <f>+IF(Table1[[#This Row],[Column40]]="No",Table1[[#This Row],[Column7]],0)</f>
        <v>0</v>
      </c>
      <c r="AU595" s="4" t="str">
        <f>+IF(LEFT(Table1[[#This Row],[Column42]],2)="DN",IF(Table1[[#This Row],[Column40]]="ok","(CA)",_xlfn.CONCAT("(CA)",CHAR(10),"FAIL")),"")</f>
        <v/>
      </c>
      <c r="AV595" s="154" t="str">
        <f>+IF(Table1[[#This Row],[Column6]]=0,"",_xlfn.CONCAT("Sem ",WEEKNUM(Table1[[#This Row],[Column6]],2)))</f>
        <v>Sem 13</v>
      </c>
      <c r="AW595" s="211"/>
    </row>
    <row r="596" spans="2:49" ht="19.5" customHeight="1" x14ac:dyDescent="0.3">
      <c r="B596" s="356" t="s">
        <v>978</v>
      </c>
      <c r="C596" s="331"/>
      <c r="D596" s="332" t="s">
        <v>766</v>
      </c>
      <c r="E596" s="332" t="s">
        <v>133</v>
      </c>
      <c r="F596" s="333"/>
      <c r="G596" s="334">
        <v>46108</v>
      </c>
      <c r="H596" s="335">
        <v>695.03</v>
      </c>
      <c r="I596" s="336">
        <v>158.58000000000001</v>
      </c>
      <c r="J596" s="337">
        <v>2612.4110000000001</v>
      </c>
      <c r="K596" s="338" t="s">
        <v>167</v>
      </c>
      <c r="L596" s="339" t="s">
        <v>347</v>
      </c>
      <c r="M596" s="340">
        <v>30</v>
      </c>
      <c r="N596" s="341">
        <v>85462</v>
      </c>
      <c r="O596" s="332">
        <v>59.78</v>
      </c>
      <c r="P596" s="342">
        <v>10.5</v>
      </c>
      <c r="Q596" s="343">
        <v>11.200923787528861</v>
      </c>
      <c r="R596" s="344">
        <v>1.7429864253393665</v>
      </c>
      <c r="S596" s="344">
        <v>1.732</v>
      </c>
      <c r="T596" s="344">
        <v>1.9259999999999999</v>
      </c>
      <c r="U596" s="344" t="s">
        <v>136</v>
      </c>
      <c r="V596" s="332" t="s">
        <v>137</v>
      </c>
      <c r="W596" s="345">
        <v>8</v>
      </c>
      <c r="X596" s="346">
        <v>4</v>
      </c>
      <c r="Y596" s="208">
        <v>2.8069999999999999</v>
      </c>
      <c r="Z596" s="332"/>
      <c r="AA596" s="342"/>
      <c r="AB596" s="342"/>
      <c r="AC596" s="342"/>
      <c r="AD596" s="347"/>
      <c r="AE596" s="348">
        <v>1.732</v>
      </c>
      <c r="AF596" s="349">
        <v>0</v>
      </c>
      <c r="AG596" s="350"/>
      <c r="AH596" s="351" t="s">
        <v>139</v>
      </c>
      <c r="AI596" s="352" t="s">
        <v>139</v>
      </c>
      <c r="AJ596" s="206" t="s">
        <v>139</v>
      </c>
      <c r="AK596" s="353" t="s">
        <v>884</v>
      </c>
      <c r="AL596" s="206" t="s">
        <v>139</v>
      </c>
      <c r="AM596" s="349">
        <v>100.63432016970938</v>
      </c>
      <c r="AN596" s="354" t="s">
        <v>139</v>
      </c>
      <c r="AO596" s="355" t="s">
        <v>140</v>
      </c>
      <c r="AP596" s="206" t="s">
        <v>139</v>
      </c>
      <c r="AQ596" s="207">
        <v>0</v>
      </c>
      <c r="AR596" s="211"/>
      <c r="AS596" s="297">
        <f>+IF(Table1[[#This Row],[Column40]]="ok",Table1[[#This Row],[Column7]],0)</f>
        <v>695.03</v>
      </c>
      <c r="AT596" s="295">
        <f>+IF(Table1[[#This Row],[Column40]]="No",Table1[[#This Row],[Column7]],0)</f>
        <v>0</v>
      </c>
      <c r="AU596" s="4" t="str">
        <f>+IF(LEFT(Table1[[#This Row],[Column42]],2)="DN",IF(Table1[[#This Row],[Column40]]="ok","(CA)",_xlfn.CONCAT("(CA)",CHAR(10),"FAIL")),"")</f>
        <v/>
      </c>
      <c r="AV596" s="154" t="str">
        <f>+IF(Table1[[#This Row],[Column6]]=0,"",_xlfn.CONCAT("Sem ",WEEKNUM(Table1[[#This Row],[Column6]],2)))</f>
        <v>Sem 13</v>
      </c>
      <c r="AW596" s="211"/>
    </row>
    <row r="597" spans="2:49" ht="19.5" customHeight="1" x14ac:dyDescent="0.3">
      <c r="B597" s="356" t="s">
        <v>979</v>
      </c>
      <c r="C597" s="331"/>
      <c r="D597" s="332" t="s">
        <v>766</v>
      </c>
      <c r="E597" s="332" t="s">
        <v>133</v>
      </c>
      <c r="F597" s="333"/>
      <c r="G597" s="334">
        <v>46108</v>
      </c>
      <c r="H597" s="335">
        <v>606.02</v>
      </c>
      <c r="I597" s="336">
        <v>185.3</v>
      </c>
      <c r="J597" s="337">
        <v>2610.4749999999999</v>
      </c>
      <c r="K597" s="338" t="s">
        <v>167</v>
      </c>
      <c r="L597" s="339" t="s">
        <v>340</v>
      </c>
      <c r="M597" s="340">
        <v>30</v>
      </c>
      <c r="N597" s="341">
        <v>85462</v>
      </c>
      <c r="O597" s="332">
        <v>59.78</v>
      </c>
      <c r="P597" s="342">
        <v>10.7</v>
      </c>
      <c r="Q597" s="343">
        <v>10.91922005571031</v>
      </c>
      <c r="R597" s="344">
        <v>1.798554652213189</v>
      </c>
      <c r="S597" s="344">
        <v>1.7949999999999999</v>
      </c>
      <c r="T597" s="344">
        <v>1.9910000000000001</v>
      </c>
      <c r="U597" s="344" t="s">
        <v>136</v>
      </c>
      <c r="V597" s="332" t="s">
        <v>137</v>
      </c>
      <c r="W597" s="345">
        <v>8</v>
      </c>
      <c r="X597" s="346">
        <v>4</v>
      </c>
      <c r="Y597" s="208">
        <v>2.8069999999999999</v>
      </c>
      <c r="Z597" s="332"/>
      <c r="AA597" s="342"/>
      <c r="AB597" s="342"/>
      <c r="AC597" s="342"/>
      <c r="AD597" s="347"/>
      <c r="AE597" s="348">
        <v>1.732</v>
      </c>
      <c r="AF597" s="349">
        <v>0</v>
      </c>
      <c r="AG597" s="350"/>
      <c r="AH597" s="351" t="s">
        <v>139</v>
      </c>
      <c r="AI597" s="352" t="s">
        <v>139</v>
      </c>
      <c r="AJ597" s="206" t="s">
        <v>139</v>
      </c>
      <c r="AK597" s="353" t="s">
        <v>884</v>
      </c>
      <c r="AL597" s="206" t="s">
        <v>139</v>
      </c>
      <c r="AM597" s="349">
        <v>103.84264735641968</v>
      </c>
      <c r="AN597" s="354" t="s">
        <v>139</v>
      </c>
      <c r="AO597" s="355" t="s">
        <v>140</v>
      </c>
      <c r="AP597" s="206" t="s">
        <v>139</v>
      </c>
      <c r="AQ597" s="207">
        <v>0</v>
      </c>
      <c r="AR597" s="211"/>
      <c r="AS597" s="297">
        <f>+IF(Table1[[#This Row],[Column40]]="ok",Table1[[#This Row],[Column7]],0)</f>
        <v>606.02</v>
      </c>
      <c r="AT597" s="295">
        <f>+IF(Table1[[#This Row],[Column40]]="No",Table1[[#This Row],[Column7]],0)</f>
        <v>0</v>
      </c>
      <c r="AU597" s="4" t="str">
        <f>+IF(LEFT(Table1[[#This Row],[Column42]],2)="DN",IF(Table1[[#This Row],[Column40]]="ok","(CA)",_xlfn.CONCAT("(CA)",CHAR(10),"FAIL")),"")</f>
        <v/>
      </c>
      <c r="AV597" s="154" t="str">
        <f>+IF(Table1[[#This Row],[Column6]]=0,"",_xlfn.CONCAT("Sem ",WEEKNUM(Table1[[#This Row],[Column6]],2)))</f>
        <v>Sem 13</v>
      </c>
      <c r="AW597" s="211"/>
    </row>
    <row r="598" spans="2:49" ht="19.5" customHeight="1" x14ac:dyDescent="0.3">
      <c r="B598" s="356" t="s">
        <v>980</v>
      </c>
      <c r="C598" s="331"/>
      <c r="D598" s="332" t="s">
        <v>766</v>
      </c>
      <c r="E598" s="332" t="s">
        <v>133</v>
      </c>
      <c r="F598" s="333"/>
      <c r="G598" s="334">
        <v>46108</v>
      </c>
      <c r="H598" s="335">
        <v>653.20000000000005</v>
      </c>
      <c r="I598" s="336">
        <v>235.45</v>
      </c>
      <c r="J598" s="337">
        <v>2594.5880000000002</v>
      </c>
      <c r="K598" s="338" t="s">
        <v>167</v>
      </c>
      <c r="L598" s="339" t="s">
        <v>322</v>
      </c>
      <c r="M598" s="340">
        <v>30</v>
      </c>
      <c r="N598" s="341">
        <v>85462</v>
      </c>
      <c r="O598" s="332">
        <v>59.78</v>
      </c>
      <c r="P598" s="342">
        <v>9.9</v>
      </c>
      <c r="Q598" s="343">
        <v>11.425274091171378</v>
      </c>
      <c r="R598" s="344">
        <v>1.7570518653321201</v>
      </c>
      <c r="S598" s="344">
        <v>1.7330000000000001</v>
      </c>
      <c r="T598" s="344">
        <v>1.931</v>
      </c>
      <c r="U598" s="344" t="s">
        <v>136</v>
      </c>
      <c r="V598" s="332" t="s">
        <v>137</v>
      </c>
      <c r="W598" s="345">
        <v>8</v>
      </c>
      <c r="X598" s="346">
        <v>4</v>
      </c>
      <c r="Y598" s="208">
        <v>2.8069999999999999</v>
      </c>
      <c r="Z598" s="332"/>
      <c r="AA598" s="342"/>
      <c r="AB598" s="342"/>
      <c r="AC598" s="342"/>
      <c r="AD598" s="347"/>
      <c r="AE598" s="348">
        <v>1.7321071827531895</v>
      </c>
      <c r="AF598" s="349">
        <v>15.504116639327659</v>
      </c>
      <c r="AG598" s="350"/>
      <c r="AH598" s="351">
        <v>1.7188581314878895</v>
      </c>
      <c r="AI598" s="352">
        <v>1.9870000000000001</v>
      </c>
      <c r="AJ598" s="206">
        <v>15.6</v>
      </c>
      <c r="AK598" s="353" t="s">
        <v>884</v>
      </c>
      <c r="AL598" s="206">
        <v>-9.5883360672340601E-2</v>
      </c>
      <c r="AM598" s="349">
        <v>101.44013504633594</v>
      </c>
      <c r="AN598" s="354" t="s">
        <v>139</v>
      </c>
      <c r="AO598" s="355" t="s">
        <v>140</v>
      </c>
      <c r="AP598" s="206" t="s">
        <v>139</v>
      </c>
      <c r="AQ598" s="207" t="s">
        <v>981</v>
      </c>
      <c r="AR598" s="211"/>
      <c r="AS598" s="297">
        <f>+IF(Table1[[#This Row],[Column40]]="ok",Table1[[#This Row],[Column7]],0)</f>
        <v>653.20000000000005</v>
      </c>
      <c r="AT598" s="295">
        <f>+IF(Table1[[#This Row],[Column40]]="No",Table1[[#This Row],[Column7]],0)</f>
        <v>0</v>
      </c>
      <c r="AU598" s="4" t="str">
        <f>+IF(LEFT(Table1[[#This Row],[Column42]],2)="DN",IF(Table1[[#This Row],[Column40]]="ok","(CA)",_xlfn.CONCAT("(CA)",CHAR(10),"FAIL")),"")</f>
        <v/>
      </c>
      <c r="AV598" s="154" t="str">
        <f>+IF(Table1[[#This Row],[Column6]]=0,"",_xlfn.CONCAT("Sem ",WEEKNUM(Table1[[#This Row],[Column6]],2)))</f>
        <v>Sem 13</v>
      </c>
      <c r="AW598" s="211"/>
    </row>
    <row r="599" spans="2:49" ht="19.5" customHeight="1" x14ac:dyDescent="0.3">
      <c r="B599" s="356" t="s">
        <v>981</v>
      </c>
      <c r="C599" s="331"/>
      <c r="D599" s="332" t="s">
        <v>766</v>
      </c>
      <c r="E599" s="332" t="s">
        <v>172</v>
      </c>
      <c r="F599" s="333"/>
      <c r="G599" s="334">
        <v>46108</v>
      </c>
      <c r="H599" s="335">
        <v>653.20000000000005</v>
      </c>
      <c r="I599" s="336">
        <v>235.45</v>
      </c>
      <c r="J599" s="337">
        <v>2594.5880000000002</v>
      </c>
      <c r="K599" s="338" t="s">
        <v>167</v>
      </c>
      <c r="L599" s="339" t="s">
        <v>322</v>
      </c>
      <c r="M599" s="340">
        <v>15</v>
      </c>
      <c r="N599" s="341"/>
      <c r="O599" s="332"/>
      <c r="P599" s="342">
        <v>9.9448963526633687</v>
      </c>
      <c r="Q599" s="343"/>
      <c r="R599" s="344">
        <v>1.752521397043143</v>
      </c>
      <c r="S599" s="344"/>
      <c r="T599" s="344">
        <v>1.9268078335373318</v>
      </c>
      <c r="U599" s="344" t="s">
        <v>142</v>
      </c>
      <c r="V599" s="332" t="s">
        <v>137</v>
      </c>
      <c r="W599" s="345" t="s">
        <v>173</v>
      </c>
      <c r="X599" s="346" t="s">
        <v>680</v>
      </c>
      <c r="Y599" s="208"/>
      <c r="Z599" s="332" t="s">
        <v>143</v>
      </c>
      <c r="AA599" s="342">
        <v>99.081605877722382</v>
      </c>
      <c r="AB599" s="342">
        <v>79.244292836525844</v>
      </c>
      <c r="AC599" s="342">
        <v>36.762004723169767</v>
      </c>
      <c r="AD599" s="347">
        <v>12.306481238520064</v>
      </c>
      <c r="AE599" s="348">
        <v>1.7321071827531895</v>
      </c>
      <c r="AF599" s="349">
        <v>15.504116639327659</v>
      </c>
      <c r="AG599" s="350" t="s">
        <v>884</v>
      </c>
      <c r="AH599" s="351">
        <v>1.7190029047532882</v>
      </c>
      <c r="AI599" s="352">
        <v>1.9871358707208169</v>
      </c>
      <c r="AJ599" s="206">
        <v>15.598168288494596</v>
      </c>
      <c r="AK599" s="353" t="s">
        <v>884</v>
      </c>
      <c r="AL599" s="206">
        <v>-9.4051649166937423E-2</v>
      </c>
      <c r="AM599" s="349">
        <v>101.17857685097206</v>
      </c>
      <c r="AN599" s="354" t="s">
        <v>139</v>
      </c>
      <c r="AO599" s="355" t="s">
        <v>144</v>
      </c>
      <c r="AP599" s="206">
        <v>0</v>
      </c>
      <c r="AQ599" s="207" t="s">
        <v>980</v>
      </c>
      <c r="AR599" s="211"/>
      <c r="AS599" s="297">
        <f>+IF(Table1[[#This Row],[Column40]]="ok",Table1[[#This Row],[Column7]],0)</f>
        <v>653.20000000000005</v>
      </c>
      <c r="AT599" s="295">
        <f>+IF(Table1[[#This Row],[Column40]]="No",Table1[[#This Row],[Column7]],0)</f>
        <v>0</v>
      </c>
      <c r="AU599" s="4" t="str">
        <f>+IF(LEFT(Table1[[#This Row],[Column42]],2)="DN",IF(Table1[[#This Row],[Column40]]="ok","(CA)",_xlfn.CONCAT("(CA)",CHAR(10),"FAIL")),"")</f>
        <v>(CA)</v>
      </c>
      <c r="AV599" s="154" t="str">
        <f>+IF(Table1[[#This Row],[Column6]]=0,"",_xlfn.CONCAT("Sem ",WEEKNUM(Table1[[#This Row],[Column6]],2)))</f>
        <v>Sem 13</v>
      </c>
      <c r="AW599" s="211"/>
    </row>
    <row r="600" spans="2:49" ht="19.5" customHeight="1" x14ac:dyDescent="0.3">
      <c r="B600" s="356" t="s">
        <v>982</v>
      </c>
      <c r="C600" s="331"/>
      <c r="D600" s="332" t="s">
        <v>766</v>
      </c>
      <c r="E600" s="332" t="s">
        <v>133</v>
      </c>
      <c r="F600" s="333"/>
      <c r="G600" s="334">
        <v>46108</v>
      </c>
      <c r="H600" s="335">
        <v>743.1</v>
      </c>
      <c r="I600" s="336">
        <v>201.69</v>
      </c>
      <c r="J600" s="337">
        <v>2595.9899999999998</v>
      </c>
      <c r="K600" s="338" t="s">
        <v>167</v>
      </c>
      <c r="L600" s="339" t="s">
        <v>307</v>
      </c>
      <c r="M600" s="340">
        <v>30</v>
      </c>
      <c r="N600" s="341">
        <v>85462</v>
      </c>
      <c r="O600" s="332">
        <v>59.78</v>
      </c>
      <c r="P600" s="342">
        <v>10.4</v>
      </c>
      <c r="Q600" s="343">
        <v>10.414269275028776</v>
      </c>
      <c r="R600" s="344">
        <v>1.7382246376811592</v>
      </c>
      <c r="S600" s="344">
        <v>1.738</v>
      </c>
      <c r="T600" s="344">
        <v>1.919</v>
      </c>
      <c r="U600" s="344" t="s">
        <v>136</v>
      </c>
      <c r="V600" s="332" t="s">
        <v>137</v>
      </c>
      <c r="W600" s="345">
        <v>8</v>
      </c>
      <c r="X600" s="346">
        <v>4</v>
      </c>
      <c r="Y600" s="208">
        <v>2.8069999999999999</v>
      </c>
      <c r="Z600" s="332"/>
      <c r="AA600" s="342"/>
      <c r="AB600" s="342"/>
      <c r="AC600" s="342"/>
      <c r="AD600" s="347"/>
      <c r="AE600" s="348">
        <v>1.732</v>
      </c>
      <c r="AF600" s="349">
        <v>0</v>
      </c>
      <c r="AG600" s="350"/>
      <c r="AH600" s="351" t="s">
        <v>139</v>
      </c>
      <c r="AI600" s="352" t="s">
        <v>139</v>
      </c>
      <c r="AJ600" s="206" t="s">
        <v>139</v>
      </c>
      <c r="AK600" s="353" t="s">
        <v>884</v>
      </c>
      <c r="AL600" s="206" t="s">
        <v>139</v>
      </c>
      <c r="AM600" s="349">
        <v>100.35939016634869</v>
      </c>
      <c r="AN600" s="354" t="s">
        <v>139</v>
      </c>
      <c r="AO600" s="355" t="s">
        <v>140</v>
      </c>
      <c r="AP600" s="206" t="s">
        <v>139</v>
      </c>
      <c r="AQ600" s="207">
        <v>0</v>
      </c>
      <c r="AR600" s="211"/>
      <c r="AS600" s="297">
        <f>+IF(Table1[[#This Row],[Column40]]="ok",Table1[[#This Row],[Column7]],0)</f>
        <v>743.1</v>
      </c>
      <c r="AT600" s="295">
        <f>+IF(Table1[[#This Row],[Column40]]="No",Table1[[#This Row],[Column7]],0)</f>
        <v>0</v>
      </c>
      <c r="AU600" s="4" t="str">
        <f>+IF(LEFT(Table1[[#This Row],[Column42]],2)="DN",IF(Table1[[#This Row],[Column40]]="ok","(CA)",_xlfn.CONCAT("(CA)",CHAR(10),"FAIL")),"")</f>
        <v/>
      </c>
      <c r="AV600" s="154" t="str">
        <f>+IF(Table1[[#This Row],[Column6]]=0,"",_xlfn.CONCAT("Sem ",WEEKNUM(Table1[[#This Row],[Column6]],2)))</f>
        <v>Sem 13</v>
      </c>
      <c r="AW600" s="211"/>
    </row>
    <row r="601" spans="2:49" ht="19.5" customHeight="1" x14ac:dyDescent="0.3">
      <c r="B601" s="356" t="s">
        <v>983</v>
      </c>
      <c r="C601" s="331"/>
      <c r="D601" s="332" t="s">
        <v>766</v>
      </c>
      <c r="E601" s="332" t="s">
        <v>133</v>
      </c>
      <c r="F601" s="333"/>
      <c r="G601" s="334">
        <v>46108</v>
      </c>
      <c r="H601" s="335">
        <v>1780.35</v>
      </c>
      <c r="I601" s="336">
        <v>520.01</v>
      </c>
      <c r="J601" s="337">
        <v>2490.1999999999998</v>
      </c>
      <c r="K601" s="338" t="s">
        <v>984</v>
      </c>
      <c r="L601" s="339" t="s">
        <v>146</v>
      </c>
      <c r="M601" s="340" t="s">
        <v>293</v>
      </c>
      <c r="N601" s="341" t="s">
        <v>293</v>
      </c>
      <c r="O601" s="332" t="s">
        <v>293</v>
      </c>
      <c r="P601" s="342" t="s">
        <v>293</v>
      </c>
      <c r="Q601" s="343" t="s">
        <v>293</v>
      </c>
      <c r="R601" s="344" t="s">
        <v>293</v>
      </c>
      <c r="S601" s="344" t="s">
        <v>293</v>
      </c>
      <c r="T601" s="344" t="s">
        <v>293</v>
      </c>
      <c r="U601" s="344" t="s">
        <v>294</v>
      </c>
      <c r="V601" s="332" t="s">
        <v>293</v>
      </c>
      <c r="W601" s="345" t="s">
        <v>293</v>
      </c>
      <c r="X601" s="346" t="s">
        <v>293</v>
      </c>
      <c r="Y601" s="208">
        <v>2.7846993091402341</v>
      </c>
      <c r="Z601" s="332" t="s">
        <v>227</v>
      </c>
      <c r="AA601" s="342">
        <v>98.996865203761757</v>
      </c>
      <c r="AB601" s="342">
        <v>77.722048066875658</v>
      </c>
      <c r="AC601" s="342">
        <v>34.085684430512032</v>
      </c>
      <c r="AD601" s="347">
        <v>10.449320794148406</v>
      </c>
      <c r="AE601" s="348">
        <v>1.7290261991938713</v>
      </c>
      <c r="AF601" s="349">
        <v>15.990231053027493</v>
      </c>
      <c r="AG601" s="350" t="s">
        <v>983</v>
      </c>
      <c r="AH601" s="351" t="s">
        <v>293</v>
      </c>
      <c r="AI601" s="352" t="s">
        <v>293</v>
      </c>
      <c r="AJ601" s="206" t="s">
        <v>293</v>
      </c>
      <c r="AK601" s="353" t="s">
        <v>293</v>
      </c>
      <c r="AL601" s="206" t="s">
        <v>293</v>
      </c>
      <c r="AM601" s="349" t="s">
        <v>293</v>
      </c>
      <c r="AN601" s="354" t="s">
        <v>293</v>
      </c>
      <c r="AO601" s="355" t="s">
        <v>293</v>
      </c>
      <c r="AP601" s="206" t="s">
        <v>293</v>
      </c>
      <c r="AQ601" s="207" t="s">
        <v>295</v>
      </c>
      <c r="AR601" s="211"/>
      <c r="AS601" s="297">
        <f>+IF(Table1[[#This Row],[Column40]]="ok",Table1[[#This Row],[Column7]],0)</f>
        <v>0</v>
      </c>
      <c r="AT601" s="295">
        <f>+IF(Table1[[#This Row],[Column40]]="No",Table1[[#This Row],[Column7]],0)</f>
        <v>0</v>
      </c>
      <c r="AU601" s="4" t="str">
        <f>+IF(LEFT(Table1[[#This Row],[Column42]],2)="DN",IF(Table1[[#This Row],[Column40]]="ok","(CA)",_xlfn.CONCAT("(CA)",CHAR(10),"FAIL")),"")</f>
        <v/>
      </c>
      <c r="AV601" s="154" t="str">
        <f>+IF(Table1[[#This Row],[Column6]]=0,"",_xlfn.CONCAT("Sem ",WEEKNUM(Table1[[#This Row],[Column6]],2)))</f>
        <v>Sem 13</v>
      </c>
      <c r="AW601" s="211"/>
    </row>
    <row r="602" spans="2:49" ht="19.5" customHeight="1" x14ac:dyDescent="0.3">
      <c r="B602" s="356" t="s">
        <v>985</v>
      </c>
      <c r="C602" s="331"/>
      <c r="D602" s="332" t="s">
        <v>132</v>
      </c>
      <c r="E602" s="332" t="s">
        <v>176</v>
      </c>
      <c r="F602" s="333"/>
      <c r="G602" s="334">
        <v>46108</v>
      </c>
      <c r="H602" s="335">
        <v>1457.21</v>
      </c>
      <c r="I602" s="336">
        <v>461.98</v>
      </c>
      <c r="J602" s="337">
        <v>2509.0300000000002</v>
      </c>
      <c r="K602" s="338" t="s">
        <v>398</v>
      </c>
      <c r="L602" s="339" t="s">
        <v>558</v>
      </c>
      <c r="M602" s="340">
        <v>30</v>
      </c>
      <c r="N602" s="341">
        <v>88653</v>
      </c>
      <c r="O602" s="332">
        <v>58</v>
      </c>
      <c r="P602" s="342">
        <v>9</v>
      </c>
      <c r="Q602" s="343">
        <v>9.7701149425287284</v>
      </c>
      <c r="R602" s="344">
        <v>1.7522935779816511</v>
      </c>
      <c r="S602" s="344">
        <v>1.74</v>
      </c>
      <c r="T602" s="344">
        <v>1.91</v>
      </c>
      <c r="U602" s="344" t="s">
        <v>136</v>
      </c>
      <c r="V602" s="332" t="s">
        <v>137</v>
      </c>
      <c r="W602" s="345">
        <v>8</v>
      </c>
      <c r="X602" s="346">
        <v>4</v>
      </c>
      <c r="Y602" s="208">
        <v>2.8069999999999999</v>
      </c>
      <c r="Z602" s="332"/>
      <c r="AA602" s="342"/>
      <c r="AB602" s="342"/>
      <c r="AC602" s="342"/>
      <c r="AD602" s="347"/>
      <c r="AE602" s="348">
        <v>1.7290000000000001</v>
      </c>
      <c r="AF602" s="349">
        <v>0</v>
      </c>
      <c r="AG602" s="350"/>
      <c r="AH602" s="351" t="s">
        <v>139</v>
      </c>
      <c r="AI602" s="352" t="s">
        <v>139</v>
      </c>
      <c r="AJ602" s="206" t="s">
        <v>139</v>
      </c>
      <c r="AK602" s="353" t="s">
        <v>983</v>
      </c>
      <c r="AL602" s="206" t="s">
        <v>139</v>
      </c>
      <c r="AM602" s="349">
        <v>101.34722833901972</v>
      </c>
      <c r="AN602" s="354" t="s">
        <v>139</v>
      </c>
      <c r="AO602" s="355" t="s">
        <v>140</v>
      </c>
      <c r="AP602" s="206" t="s">
        <v>139</v>
      </c>
      <c r="AQ602" s="207">
        <v>0</v>
      </c>
      <c r="AR602" s="211"/>
      <c r="AS602" s="297">
        <f>+IF(Table1[[#This Row],[Column40]]="ok",Table1[[#This Row],[Column7]],0)</f>
        <v>1457.21</v>
      </c>
      <c r="AT602" s="295">
        <f>+IF(Table1[[#This Row],[Column40]]="No",Table1[[#This Row],[Column7]],0)</f>
        <v>0</v>
      </c>
      <c r="AU602" s="4" t="str">
        <f>+IF(LEFT(Table1[[#This Row],[Column42]],2)="DN",IF(Table1[[#This Row],[Column40]]="ok","(CA)",_xlfn.CONCAT("(CA)",CHAR(10),"FAIL")),"")</f>
        <v/>
      </c>
      <c r="AV602" s="154" t="str">
        <f>+IF(Table1[[#This Row],[Column6]]=0,"",_xlfn.CONCAT("Sem ",WEEKNUM(Table1[[#This Row],[Column6]],2)))</f>
        <v>Sem 13</v>
      </c>
      <c r="AW602" s="211"/>
    </row>
    <row r="603" spans="2:49" ht="19.5" customHeight="1" x14ac:dyDescent="0.3">
      <c r="B603" s="356" t="s">
        <v>986</v>
      </c>
      <c r="C603" s="331"/>
      <c r="D603" s="332" t="s">
        <v>132</v>
      </c>
      <c r="E603" s="332" t="s">
        <v>176</v>
      </c>
      <c r="F603" s="333"/>
      <c r="G603" s="334">
        <v>46108</v>
      </c>
      <c r="H603" s="335">
        <v>1384.49</v>
      </c>
      <c r="I603" s="336">
        <v>427.55</v>
      </c>
      <c r="J603" s="337">
        <v>2520.4499999999998</v>
      </c>
      <c r="K603" s="338" t="s">
        <v>398</v>
      </c>
      <c r="L603" s="339" t="s">
        <v>224</v>
      </c>
      <c r="M603" s="340">
        <v>30</v>
      </c>
      <c r="N603" s="341">
        <v>88653</v>
      </c>
      <c r="O603" s="332">
        <v>58</v>
      </c>
      <c r="P603" s="342">
        <v>8.6999999999999993</v>
      </c>
      <c r="Q603" s="343">
        <v>9.6253602305475425</v>
      </c>
      <c r="R603" s="344">
        <v>1.749770009199632</v>
      </c>
      <c r="S603" s="344">
        <v>1.7350000000000001</v>
      </c>
      <c r="T603" s="344">
        <v>1.9019999999999999</v>
      </c>
      <c r="U603" s="344" t="s">
        <v>136</v>
      </c>
      <c r="V603" s="332" t="s">
        <v>137</v>
      </c>
      <c r="W603" s="345">
        <v>8</v>
      </c>
      <c r="X603" s="346">
        <v>4</v>
      </c>
      <c r="Y603" s="208">
        <v>2.8069999999999999</v>
      </c>
      <c r="Z603" s="332"/>
      <c r="AA603" s="342"/>
      <c r="AB603" s="342"/>
      <c r="AC603" s="342"/>
      <c r="AD603" s="347"/>
      <c r="AE603" s="348">
        <v>1.7290000000000001</v>
      </c>
      <c r="AF603" s="349">
        <v>0</v>
      </c>
      <c r="AG603" s="350"/>
      <c r="AH603" s="351" t="s">
        <v>139</v>
      </c>
      <c r="AI603" s="352" t="s">
        <v>139</v>
      </c>
      <c r="AJ603" s="206" t="s">
        <v>139</v>
      </c>
      <c r="AK603" s="353" t="s">
        <v>983</v>
      </c>
      <c r="AL603" s="206" t="s">
        <v>139</v>
      </c>
      <c r="AM603" s="349">
        <v>101.2012729438769</v>
      </c>
      <c r="AN603" s="354" t="s">
        <v>139</v>
      </c>
      <c r="AO603" s="355" t="s">
        <v>140</v>
      </c>
      <c r="AP603" s="206" t="s">
        <v>139</v>
      </c>
      <c r="AQ603" s="207">
        <v>0</v>
      </c>
      <c r="AR603" s="211"/>
      <c r="AS603" s="297">
        <f>+IF(Table1[[#This Row],[Column40]]="ok",Table1[[#This Row],[Column7]],0)</f>
        <v>1384.49</v>
      </c>
      <c r="AT603" s="295">
        <f>+IF(Table1[[#This Row],[Column40]]="No",Table1[[#This Row],[Column7]],0)</f>
        <v>0</v>
      </c>
      <c r="AU603" s="4" t="str">
        <f>+IF(LEFT(Table1[[#This Row],[Column42]],2)="DN",IF(Table1[[#This Row],[Column40]]="ok","(CA)",_xlfn.CONCAT("(CA)",CHAR(10),"FAIL")),"")</f>
        <v/>
      </c>
      <c r="AV603" s="154" t="str">
        <f>+IF(Table1[[#This Row],[Column6]]=0,"",_xlfn.CONCAT("Sem ",WEEKNUM(Table1[[#This Row],[Column6]],2)))</f>
        <v>Sem 13</v>
      </c>
      <c r="AW603" s="211"/>
    </row>
    <row r="604" spans="2:49" ht="19.5" customHeight="1" x14ac:dyDescent="0.3">
      <c r="B604" s="356" t="s">
        <v>987</v>
      </c>
      <c r="C604" s="331"/>
      <c r="D604" s="332" t="s">
        <v>132</v>
      </c>
      <c r="E604" s="332" t="s">
        <v>176</v>
      </c>
      <c r="F604" s="333"/>
      <c r="G604" s="334">
        <v>46108</v>
      </c>
      <c r="H604" s="335">
        <v>1294.69</v>
      </c>
      <c r="I604" s="336">
        <v>394.15</v>
      </c>
      <c r="J604" s="337">
        <v>2530.48</v>
      </c>
      <c r="K604" s="338" t="s">
        <v>398</v>
      </c>
      <c r="L604" s="339" t="s">
        <v>402</v>
      </c>
      <c r="M604" s="340">
        <v>30</v>
      </c>
      <c r="N604" s="341">
        <v>88653</v>
      </c>
      <c r="O604" s="332">
        <v>58</v>
      </c>
      <c r="P604" s="342">
        <v>11.4</v>
      </c>
      <c r="Q604" s="343">
        <v>11.258660508083151</v>
      </c>
      <c r="R604" s="344">
        <v>1.7298025134649908</v>
      </c>
      <c r="S604" s="344">
        <v>1.732</v>
      </c>
      <c r="T604" s="344">
        <v>1.927</v>
      </c>
      <c r="U604" s="344" t="s">
        <v>136</v>
      </c>
      <c r="V604" s="332" t="s">
        <v>137</v>
      </c>
      <c r="W604" s="345">
        <v>8</v>
      </c>
      <c r="X604" s="346">
        <v>4</v>
      </c>
      <c r="Y604" s="208">
        <v>2.8069999999999999</v>
      </c>
      <c r="Z604" s="332"/>
      <c r="AA604" s="342"/>
      <c r="AB604" s="342"/>
      <c r="AC604" s="342"/>
      <c r="AD604" s="347"/>
      <c r="AE604" s="348">
        <v>1.7290000000000001</v>
      </c>
      <c r="AF604" s="349">
        <v>0</v>
      </c>
      <c r="AG604" s="350"/>
      <c r="AH604" s="351" t="s">
        <v>139</v>
      </c>
      <c r="AI604" s="352" t="s">
        <v>139</v>
      </c>
      <c r="AJ604" s="206" t="s">
        <v>139</v>
      </c>
      <c r="AK604" s="353" t="s">
        <v>983</v>
      </c>
      <c r="AL604" s="206" t="s">
        <v>139</v>
      </c>
      <c r="AM604" s="349">
        <v>100.04641489097691</v>
      </c>
      <c r="AN604" s="354" t="s">
        <v>139</v>
      </c>
      <c r="AO604" s="355" t="s">
        <v>140</v>
      </c>
      <c r="AP604" s="206" t="s">
        <v>139</v>
      </c>
      <c r="AQ604" s="207">
        <v>0</v>
      </c>
      <c r="AR604" s="211"/>
      <c r="AS604" s="297">
        <f>+IF(Table1[[#This Row],[Column40]]="ok",Table1[[#This Row],[Column7]],0)</f>
        <v>1294.69</v>
      </c>
      <c r="AT604" s="295">
        <f>+IF(Table1[[#This Row],[Column40]]="No",Table1[[#This Row],[Column7]],0)</f>
        <v>0</v>
      </c>
      <c r="AU604" s="4" t="str">
        <f>+IF(LEFT(Table1[[#This Row],[Column42]],2)="DN",IF(Table1[[#This Row],[Column40]]="ok","(CA)",_xlfn.CONCAT("(CA)",CHAR(10),"FAIL")),"")</f>
        <v/>
      </c>
      <c r="AV604" s="154" t="str">
        <f>+IF(Table1[[#This Row],[Column6]]=0,"",_xlfn.CONCAT("Sem ",WEEKNUM(Table1[[#This Row],[Column6]],2)))</f>
        <v>Sem 13</v>
      </c>
      <c r="AW604" s="211"/>
    </row>
    <row r="605" spans="2:49" ht="19.5" customHeight="1" x14ac:dyDescent="0.3">
      <c r="B605" s="356" t="s">
        <v>988</v>
      </c>
      <c r="C605" s="331"/>
      <c r="D605" s="332" t="s">
        <v>132</v>
      </c>
      <c r="E605" s="332" t="s">
        <v>176</v>
      </c>
      <c r="F605" s="333"/>
      <c r="G605" s="334">
        <v>46108</v>
      </c>
      <c r="H605" s="335">
        <v>1289.51</v>
      </c>
      <c r="I605" s="336">
        <v>494.19</v>
      </c>
      <c r="J605" s="337">
        <v>2501.27</v>
      </c>
      <c r="K605" s="338" t="s">
        <v>398</v>
      </c>
      <c r="L605" s="339" t="s">
        <v>402</v>
      </c>
      <c r="M605" s="340">
        <v>30</v>
      </c>
      <c r="N605" s="341">
        <v>88653</v>
      </c>
      <c r="O605" s="332">
        <v>58</v>
      </c>
      <c r="P605" s="342">
        <v>9.9</v>
      </c>
      <c r="Q605" s="343">
        <v>9.7574732092498664</v>
      </c>
      <c r="R605" s="344">
        <v>1.7707006369426752</v>
      </c>
      <c r="S605" s="344">
        <v>1.7729999999999999</v>
      </c>
      <c r="T605" s="344">
        <v>1.946</v>
      </c>
      <c r="U605" s="344" t="s">
        <v>136</v>
      </c>
      <c r="V605" s="332" t="s">
        <v>137</v>
      </c>
      <c r="W605" s="345">
        <v>8</v>
      </c>
      <c r="X605" s="346">
        <v>4</v>
      </c>
      <c r="Y605" s="208">
        <v>2.8069999999999999</v>
      </c>
      <c r="Z605" s="332"/>
      <c r="AA605" s="342"/>
      <c r="AB605" s="342"/>
      <c r="AC605" s="342"/>
      <c r="AD605" s="347"/>
      <c r="AE605" s="348">
        <v>1.7290000000000001</v>
      </c>
      <c r="AF605" s="349">
        <v>0</v>
      </c>
      <c r="AG605" s="350"/>
      <c r="AH605" s="351" t="s">
        <v>139</v>
      </c>
      <c r="AI605" s="352" t="s">
        <v>139</v>
      </c>
      <c r="AJ605" s="206" t="s">
        <v>139</v>
      </c>
      <c r="AK605" s="353" t="s">
        <v>983</v>
      </c>
      <c r="AL605" s="206" t="s">
        <v>139</v>
      </c>
      <c r="AM605" s="349">
        <v>102.41183556637796</v>
      </c>
      <c r="AN605" s="354" t="s">
        <v>139</v>
      </c>
      <c r="AO605" s="355" t="s">
        <v>140</v>
      </c>
      <c r="AP605" s="206" t="s">
        <v>139</v>
      </c>
      <c r="AQ605" s="207">
        <v>0</v>
      </c>
      <c r="AR605" s="211"/>
      <c r="AS605" s="297">
        <f>+IF(Table1[[#This Row],[Column40]]="ok",Table1[[#This Row],[Column7]],0)</f>
        <v>1289.51</v>
      </c>
      <c r="AT605" s="295">
        <f>+IF(Table1[[#This Row],[Column40]]="No",Table1[[#This Row],[Column7]],0)</f>
        <v>0</v>
      </c>
      <c r="AU605" s="4" t="str">
        <f>+IF(LEFT(Table1[[#This Row],[Column42]],2)="DN",IF(Table1[[#This Row],[Column40]]="ok","(CA)",_xlfn.CONCAT("(CA)",CHAR(10),"FAIL")),"")</f>
        <v/>
      </c>
      <c r="AV605" s="154" t="str">
        <f>+IF(Table1[[#This Row],[Column6]]=0,"",_xlfn.CONCAT("Sem ",WEEKNUM(Table1[[#This Row],[Column6]],2)))</f>
        <v>Sem 13</v>
      </c>
      <c r="AW605" s="211"/>
    </row>
    <row r="606" spans="2:49" ht="19.5" customHeight="1" x14ac:dyDescent="0.3">
      <c r="B606" s="356" t="s">
        <v>989</v>
      </c>
      <c r="C606" s="331"/>
      <c r="D606" s="332" t="s">
        <v>132</v>
      </c>
      <c r="E606" s="332" t="s">
        <v>176</v>
      </c>
      <c r="F606" s="333"/>
      <c r="G606" s="334">
        <v>46108</v>
      </c>
      <c r="H606" s="335">
        <v>1373.1</v>
      </c>
      <c r="I606" s="336">
        <v>507.67</v>
      </c>
      <c r="J606" s="337">
        <v>2498.36</v>
      </c>
      <c r="K606" s="338" t="s">
        <v>429</v>
      </c>
      <c r="L606" s="339" t="s">
        <v>224</v>
      </c>
      <c r="M606" s="340">
        <v>30</v>
      </c>
      <c r="N606" s="341">
        <v>88653</v>
      </c>
      <c r="O606" s="332">
        <v>58</v>
      </c>
      <c r="P606" s="342">
        <v>9.8000000000000007</v>
      </c>
      <c r="Q606" s="343">
        <v>10.323312535450935</v>
      </c>
      <c r="R606" s="344">
        <v>1.7714025500910746</v>
      </c>
      <c r="S606" s="344">
        <v>1.7629999999999999</v>
      </c>
      <c r="T606" s="344">
        <v>1.9450000000000001</v>
      </c>
      <c r="U606" s="344" t="s">
        <v>136</v>
      </c>
      <c r="V606" s="332" t="s">
        <v>137</v>
      </c>
      <c r="W606" s="345">
        <v>8</v>
      </c>
      <c r="X606" s="346">
        <v>4</v>
      </c>
      <c r="Y606" s="208">
        <v>2.8069999999999999</v>
      </c>
      <c r="Z606" s="332"/>
      <c r="AA606" s="342"/>
      <c r="AB606" s="342"/>
      <c r="AC606" s="342"/>
      <c r="AD606" s="347"/>
      <c r="AE606" s="348">
        <v>1.7290000000000001</v>
      </c>
      <c r="AF606" s="349">
        <v>0</v>
      </c>
      <c r="AG606" s="350"/>
      <c r="AH606" s="351" t="s">
        <v>139</v>
      </c>
      <c r="AI606" s="352" t="s">
        <v>139</v>
      </c>
      <c r="AJ606" s="206" t="s">
        <v>139</v>
      </c>
      <c r="AK606" s="353" t="s">
        <v>983</v>
      </c>
      <c r="AL606" s="206" t="s">
        <v>139</v>
      </c>
      <c r="AM606" s="349">
        <v>102.45243204691003</v>
      </c>
      <c r="AN606" s="354" t="s">
        <v>139</v>
      </c>
      <c r="AO606" s="355" t="s">
        <v>140</v>
      </c>
      <c r="AP606" s="206" t="s">
        <v>139</v>
      </c>
      <c r="AQ606" s="207">
        <v>0</v>
      </c>
      <c r="AR606" s="211"/>
      <c r="AS606" s="297">
        <f>+IF(Table1[[#This Row],[Column40]]="ok",Table1[[#This Row],[Column7]],0)</f>
        <v>1373.1</v>
      </c>
      <c r="AT606" s="295">
        <f>+IF(Table1[[#This Row],[Column40]]="No",Table1[[#This Row],[Column7]],0)</f>
        <v>0</v>
      </c>
      <c r="AU606" s="4" t="str">
        <f>+IF(LEFT(Table1[[#This Row],[Column42]],2)="DN",IF(Table1[[#This Row],[Column40]]="ok","(CA)",_xlfn.CONCAT("(CA)",CHAR(10),"FAIL")),"")</f>
        <v/>
      </c>
      <c r="AV606" s="154" t="str">
        <f>+IF(Table1[[#This Row],[Column6]]=0,"",_xlfn.CONCAT("Sem ",WEEKNUM(Table1[[#This Row],[Column6]],2)))</f>
        <v>Sem 13</v>
      </c>
      <c r="AW606" s="211"/>
    </row>
    <row r="607" spans="2:49" ht="19.5" customHeight="1" x14ac:dyDescent="0.3">
      <c r="B607" s="356" t="s">
        <v>990</v>
      </c>
      <c r="C607" s="331"/>
      <c r="D607" s="332" t="s">
        <v>132</v>
      </c>
      <c r="E607" s="332" t="s">
        <v>176</v>
      </c>
      <c r="F607" s="333"/>
      <c r="G607" s="334">
        <v>46108</v>
      </c>
      <c r="H607" s="335">
        <v>1451.89</v>
      </c>
      <c r="I607" s="336">
        <v>561.38</v>
      </c>
      <c r="J607" s="337">
        <v>2481.65</v>
      </c>
      <c r="K607" s="338" t="s">
        <v>429</v>
      </c>
      <c r="L607" s="339" t="s">
        <v>558</v>
      </c>
      <c r="M607" s="340">
        <v>30</v>
      </c>
      <c r="N607" s="341">
        <v>88653</v>
      </c>
      <c r="O607" s="332">
        <v>58</v>
      </c>
      <c r="P607" s="342">
        <v>10.4</v>
      </c>
      <c r="Q607" s="343">
        <v>11.325028312570783</v>
      </c>
      <c r="R607" s="344">
        <v>1.7807971014492752</v>
      </c>
      <c r="S607" s="344">
        <v>1.766</v>
      </c>
      <c r="T607" s="344">
        <v>1.966</v>
      </c>
      <c r="U607" s="344" t="s">
        <v>136</v>
      </c>
      <c r="V607" s="332" t="s">
        <v>137</v>
      </c>
      <c r="W607" s="345">
        <v>8</v>
      </c>
      <c r="X607" s="346">
        <v>4</v>
      </c>
      <c r="Y607" s="208">
        <v>2.8069999999999999</v>
      </c>
      <c r="Z607" s="332"/>
      <c r="AA607" s="342"/>
      <c r="AB607" s="342"/>
      <c r="AC607" s="342"/>
      <c r="AD607" s="347"/>
      <c r="AE607" s="348">
        <v>1.7290000000000001</v>
      </c>
      <c r="AF607" s="349">
        <v>0</v>
      </c>
      <c r="AG607" s="350"/>
      <c r="AH607" s="351" t="s">
        <v>139</v>
      </c>
      <c r="AI607" s="352" t="s">
        <v>139</v>
      </c>
      <c r="AJ607" s="206" t="s">
        <v>139</v>
      </c>
      <c r="AK607" s="353" t="s">
        <v>983</v>
      </c>
      <c r="AL607" s="206" t="s">
        <v>139</v>
      </c>
      <c r="AM607" s="349">
        <v>102.9957837738158</v>
      </c>
      <c r="AN607" s="354" t="s">
        <v>139</v>
      </c>
      <c r="AO607" s="355" t="s">
        <v>140</v>
      </c>
      <c r="AP607" s="206" t="s">
        <v>139</v>
      </c>
      <c r="AQ607" s="207">
        <v>0</v>
      </c>
      <c r="AR607" s="211"/>
      <c r="AS607" s="297">
        <f>+IF(Table1[[#This Row],[Column40]]="ok",Table1[[#This Row],[Column7]],0)</f>
        <v>1451.89</v>
      </c>
      <c r="AT607" s="295">
        <f>+IF(Table1[[#This Row],[Column40]]="No",Table1[[#This Row],[Column7]],0)</f>
        <v>0</v>
      </c>
      <c r="AU607" s="4" t="str">
        <f>+IF(LEFT(Table1[[#This Row],[Column42]],2)="DN",IF(Table1[[#This Row],[Column40]]="ok","(CA)",_xlfn.CONCAT("(CA)",CHAR(10),"FAIL")),"")</f>
        <v/>
      </c>
      <c r="AV607" s="154" t="str">
        <f>+IF(Table1[[#This Row],[Column6]]=0,"",_xlfn.CONCAT("Sem ",WEEKNUM(Table1[[#This Row],[Column6]],2)))</f>
        <v>Sem 13</v>
      </c>
      <c r="AW607" s="211"/>
    </row>
    <row r="608" spans="2:49" ht="19.5" customHeight="1" x14ac:dyDescent="0.3">
      <c r="B608" s="356" t="s">
        <v>991</v>
      </c>
      <c r="C608" s="331"/>
      <c r="D608" s="332" t="s">
        <v>132</v>
      </c>
      <c r="E608" s="332" t="s">
        <v>176</v>
      </c>
      <c r="F608" s="333"/>
      <c r="G608" s="334">
        <v>46108</v>
      </c>
      <c r="H608" s="335">
        <v>1841.54</v>
      </c>
      <c r="I608" s="336">
        <v>446.48</v>
      </c>
      <c r="J608" s="337">
        <v>2499.7600000000002</v>
      </c>
      <c r="K608" s="338" t="s">
        <v>158</v>
      </c>
      <c r="L608" s="339" t="s">
        <v>992</v>
      </c>
      <c r="M608" s="340">
        <v>30</v>
      </c>
      <c r="N608" s="341">
        <v>88653</v>
      </c>
      <c r="O608" s="332">
        <v>58</v>
      </c>
      <c r="P608" s="342">
        <v>16.600000000000001</v>
      </c>
      <c r="Q608" s="343">
        <v>14.384748700173301</v>
      </c>
      <c r="R608" s="344">
        <v>1.6981132075471699</v>
      </c>
      <c r="S608" s="344">
        <v>1.7310000000000001</v>
      </c>
      <c r="T608" s="344">
        <v>1.98</v>
      </c>
      <c r="U608" s="344" t="s">
        <v>136</v>
      </c>
      <c r="V608" s="332" t="s">
        <v>137</v>
      </c>
      <c r="W608" s="345">
        <v>8</v>
      </c>
      <c r="X608" s="346">
        <v>4</v>
      </c>
      <c r="Y608" s="208">
        <v>2.8069999999999999</v>
      </c>
      <c r="Z608" s="332"/>
      <c r="AA608" s="342"/>
      <c r="AB608" s="342"/>
      <c r="AC608" s="342"/>
      <c r="AD608" s="347"/>
      <c r="AE608" s="348">
        <v>1.7290000000000001</v>
      </c>
      <c r="AF608" s="349">
        <v>0</v>
      </c>
      <c r="AG608" s="350"/>
      <c r="AH608" s="351" t="s">
        <v>139</v>
      </c>
      <c r="AI608" s="352" t="s">
        <v>139</v>
      </c>
      <c r="AJ608" s="206" t="s">
        <v>139</v>
      </c>
      <c r="AK608" s="353" t="s">
        <v>983</v>
      </c>
      <c r="AL608" s="206" t="s">
        <v>139</v>
      </c>
      <c r="AM608" s="349">
        <v>98.213603675371303</v>
      </c>
      <c r="AN608" s="354" t="s">
        <v>139</v>
      </c>
      <c r="AO608" s="355" t="s">
        <v>140</v>
      </c>
      <c r="AP608" s="206" t="s">
        <v>139</v>
      </c>
      <c r="AQ608" s="207">
        <v>0</v>
      </c>
      <c r="AR608" s="211"/>
      <c r="AS608" s="297">
        <f>+IF(Table1[[#This Row],[Column40]]="ok",Table1[[#This Row],[Column7]],0)</f>
        <v>1841.54</v>
      </c>
      <c r="AT608" s="295">
        <f>+IF(Table1[[#This Row],[Column40]]="No",Table1[[#This Row],[Column7]],0)</f>
        <v>0</v>
      </c>
      <c r="AU608" s="4" t="str">
        <f>+IF(LEFT(Table1[[#This Row],[Column42]],2)="DN",IF(Table1[[#This Row],[Column40]]="ok","(CA)",_xlfn.CONCAT("(CA)",CHAR(10),"FAIL")),"")</f>
        <v/>
      </c>
      <c r="AV608" s="154" t="str">
        <f>+IF(Table1[[#This Row],[Column6]]=0,"",_xlfn.CONCAT("Sem ",WEEKNUM(Table1[[#This Row],[Column6]],2)))</f>
        <v>Sem 13</v>
      </c>
      <c r="AW608" s="211"/>
    </row>
    <row r="609" spans="2:49" ht="19.5" customHeight="1" x14ac:dyDescent="0.3">
      <c r="B609" s="356" t="s">
        <v>993</v>
      </c>
      <c r="C609" s="331"/>
      <c r="D609" s="332" t="s">
        <v>132</v>
      </c>
      <c r="E609" s="332" t="s">
        <v>176</v>
      </c>
      <c r="F609" s="333"/>
      <c r="G609" s="334">
        <v>46108</v>
      </c>
      <c r="H609" s="335">
        <v>1794.11</v>
      </c>
      <c r="I609" s="336">
        <v>452.71</v>
      </c>
      <c r="J609" s="337">
        <v>2503.66</v>
      </c>
      <c r="K609" s="338" t="s">
        <v>158</v>
      </c>
      <c r="L609" s="339" t="s">
        <v>992</v>
      </c>
      <c r="M609" s="340">
        <v>30</v>
      </c>
      <c r="N609" s="341">
        <v>88653</v>
      </c>
      <c r="O609" s="332">
        <v>58</v>
      </c>
      <c r="P609" s="342">
        <v>15.4</v>
      </c>
      <c r="Q609" s="343">
        <v>14.318573893041965</v>
      </c>
      <c r="R609" s="344">
        <v>1.7227036395147315</v>
      </c>
      <c r="S609" s="344">
        <v>1.7390000000000001</v>
      </c>
      <c r="T609" s="344">
        <v>1.988</v>
      </c>
      <c r="U609" s="344" t="s">
        <v>136</v>
      </c>
      <c r="V609" s="332" t="s">
        <v>137</v>
      </c>
      <c r="W609" s="345">
        <v>8</v>
      </c>
      <c r="X609" s="346">
        <v>4</v>
      </c>
      <c r="Y609" s="208">
        <v>2.8069999999999999</v>
      </c>
      <c r="Z609" s="332"/>
      <c r="AA609" s="342"/>
      <c r="AB609" s="342"/>
      <c r="AC609" s="342"/>
      <c r="AD609" s="347"/>
      <c r="AE609" s="348">
        <v>1.7290000000000001</v>
      </c>
      <c r="AF609" s="349">
        <v>0</v>
      </c>
      <c r="AG609" s="350"/>
      <c r="AH609" s="351" t="s">
        <v>139</v>
      </c>
      <c r="AI609" s="352" t="s">
        <v>139</v>
      </c>
      <c r="AJ609" s="206" t="s">
        <v>139</v>
      </c>
      <c r="AK609" s="353" t="s">
        <v>983</v>
      </c>
      <c r="AL609" s="206" t="s">
        <v>139</v>
      </c>
      <c r="AM609" s="349">
        <v>99.635838028613733</v>
      </c>
      <c r="AN609" s="354" t="s">
        <v>139</v>
      </c>
      <c r="AO609" s="355" t="s">
        <v>140</v>
      </c>
      <c r="AP609" s="206" t="s">
        <v>139</v>
      </c>
      <c r="AQ609" s="207">
        <v>0</v>
      </c>
      <c r="AR609" s="211"/>
      <c r="AS609" s="297">
        <f>+IF(Table1[[#This Row],[Column40]]="ok",Table1[[#This Row],[Column7]],0)</f>
        <v>1794.11</v>
      </c>
      <c r="AT609" s="295">
        <f>+IF(Table1[[#This Row],[Column40]]="No",Table1[[#This Row],[Column7]],0)</f>
        <v>0</v>
      </c>
      <c r="AU609" s="4" t="str">
        <f>+IF(LEFT(Table1[[#This Row],[Column42]],2)="DN",IF(Table1[[#This Row],[Column40]]="ok","(CA)",_xlfn.CONCAT("(CA)",CHAR(10),"FAIL")),"")</f>
        <v/>
      </c>
      <c r="AV609" s="154" t="str">
        <f>+IF(Table1[[#This Row],[Column6]]=0,"",_xlfn.CONCAT("Sem ",WEEKNUM(Table1[[#This Row],[Column6]],2)))</f>
        <v>Sem 13</v>
      </c>
      <c r="AW609" s="211"/>
    </row>
    <row r="610" spans="2:49" ht="19.5" customHeight="1" x14ac:dyDescent="0.3">
      <c r="B610" s="356" t="s">
        <v>994</v>
      </c>
      <c r="C610" s="331"/>
      <c r="D610" s="332" t="s">
        <v>132</v>
      </c>
      <c r="E610" s="332" t="s">
        <v>176</v>
      </c>
      <c r="F610" s="333"/>
      <c r="G610" s="334">
        <v>46108</v>
      </c>
      <c r="H610" s="335">
        <v>1827.52</v>
      </c>
      <c r="I610" s="336">
        <v>540.16</v>
      </c>
      <c r="J610" s="337">
        <v>2480.77</v>
      </c>
      <c r="K610" s="338" t="s">
        <v>984</v>
      </c>
      <c r="L610" s="339" t="s">
        <v>992</v>
      </c>
      <c r="M610" s="340">
        <v>30</v>
      </c>
      <c r="N610" s="341">
        <v>88653</v>
      </c>
      <c r="O610" s="332">
        <v>58</v>
      </c>
      <c r="P610" s="342">
        <v>13.5</v>
      </c>
      <c r="Q610" s="343">
        <v>11.505437893531756</v>
      </c>
      <c r="R610" s="344">
        <v>1.7162995594713655</v>
      </c>
      <c r="S610" s="344">
        <v>1.7470000000000001</v>
      </c>
      <c r="T610" s="344">
        <v>1.948</v>
      </c>
      <c r="U610" s="344" t="s">
        <v>136</v>
      </c>
      <c r="V610" s="332" t="s">
        <v>137</v>
      </c>
      <c r="W610" s="345">
        <v>8</v>
      </c>
      <c r="X610" s="346">
        <v>4</v>
      </c>
      <c r="Y610" s="208">
        <v>2.8069999999999999</v>
      </c>
      <c r="Z610" s="332"/>
      <c r="AA610" s="342"/>
      <c r="AB610" s="342"/>
      <c r="AC610" s="342"/>
      <c r="AD610" s="347"/>
      <c r="AE610" s="348">
        <v>1.7290261991938713</v>
      </c>
      <c r="AF610" s="349">
        <v>15.990231053027493</v>
      </c>
      <c r="AG610" s="350"/>
      <c r="AH610" s="351">
        <v>1.7235142118863047</v>
      </c>
      <c r="AI610" s="352">
        <v>2.0009999999999999</v>
      </c>
      <c r="AJ610" s="206">
        <v>16.100000000000001</v>
      </c>
      <c r="AK610" s="353" t="s">
        <v>983</v>
      </c>
      <c r="AL610" s="206">
        <v>-0.10976894697250827</v>
      </c>
      <c r="AM610" s="349">
        <v>99.263941765113827</v>
      </c>
      <c r="AN610" s="354" t="s">
        <v>139</v>
      </c>
      <c r="AO610" s="355" t="s">
        <v>140</v>
      </c>
      <c r="AP610" s="206" t="s">
        <v>139</v>
      </c>
      <c r="AQ610" s="207" t="s">
        <v>995</v>
      </c>
      <c r="AR610" s="211"/>
      <c r="AS610" s="297">
        <f>+IF(Table1[[#This Row],[Column40]]="ok",Table1[[#This Row],[Column7]],0)</f>
        <v>1827.52</v>
      </c>
      <c r="AT610" s="295">
        <f>+IF(Table1[[#This Row],[Column40]]="No",Table1[[#This Row],[Column7]],0)</f>
        <v>0</v>
      </c>
      <c r="AU610" s="4" t="str">
        <f>+IF(LEFT(Table1[[#This Row],[Column42]],2)="DN",IF(Table1[[#This Row],[Column40]]="ok","(CA)",_xlfn.CONCAT("(CA)",CHAR(10),"FAIL")),"")</f>
        <v/>
      </c>
      <c r="AV610" s="154" t="str">
        <f>+IF(Table1[[#This Row],[Column6]]=0,"",_xlfn.CONCAT("Sem ",WEEKNUM(Table1[[#This Row],[Column6]],2)))</f>
        <v>Sem 13</v>
      </c>
      <c r="AW610" s="211"/>
    </row>
    <row r="611" spans="2:49" ht="19.5" customHeight="1" x14ac:dyDescent="0.3">
      <c r="B611" s="356" t="s">
        <v>995</v>
      </c>
      <c r="C611" s="331"/>
      <c r="D611" s="332" t="s">
        <v>132</v>
      </c>
      <c r="E611" s="332" t="s">
        <v>176</v>
      </c>
      <c r="F611" s="333"/>
      <c r="G611" s="334">
        <v>46108</v>
      </c>
      <c r="H611" s="335">
        <v>1827.52</v>
      </c>
      <c r="I611" s="336">
        <v>540.16</v>
      </c>
      <c r="J611" s="337">
        <v>2480.77</v>
      </c>
      <c r="K611" s="338" t="s">
        <v>984</v>
      </c>
      <c r="L611" s="339" t="s">
        <v>992</v>
      </c>
      <c r="M611" s="340">
        <v>15</v>
      </c>
      <c r="N611" s="341"/>
      <c r="O611" s="332"/>
      <c r="P611" s="342">
        <v>13.526995305164352</v>
      </c>
      <c r="Q611" s="343"/>
      <c r="R611" s="344">
        <v>1.695677318504283</v>
      </c>
      <c r="S611" s="344"/>
      <c r="T611" s="344">
        <v>1.9250515097690941</v>
      </c>
      <c r="U611" s="344" t="s">
        <v>142</v>
      </c>
      <c r="V611" s="332" t="s">
        <v>137</v>
      </c>
      <c r="W611" s="345" t="s">
        <v>173</v>
      </c>
      <c r="X611" s="346" t="s">
        <v>680</v>
      </c>
      <c r="Y611" s="208"/>
      <c r="Z611" s="332" t="s">
        <v>143</v>
      </c>
      <c r="AA611" s="342">
        <v>99.265197441390526</v>
      </c>
      <c r="AB611" s="342">
        <v>81.21004885841478</v>
      </c>
      <c r="AC611" s="342">
        <v>36.885708805150195</v>
      </c>
      <c r="AD611" s="347">
        <v>11.561263481644971</v>
      </c>
      <c r="AE611" s="348">
        <v>1.7290261991938713</v>
      </c>
      <c r="AF611" s="349">
        <v>15.990231053027493</v>
      </c>
      <c r="AG611" s="350" t="s">
        <v>983</v>
      </c>
      <c r="AH611" s="351">
        <v>1.7240625325526591</v>
      </c>
      <c r="AI611" s="352">
        <v>2.001067235859125</v>
      </c>
      <c r="AJ611" s="206">
        <v>16.066975418596375</v>
      </c>
      <c r="AK611" s="353" t="s">
        <v>983</v>
      </c>
      <c r="AL611" s="206">
        <v>-7.6744365568881534E-2</v>
      </c>
      <c r="AM611" s="349">
        <v>98.071233350591413</v>
      </c>
      <c r="AN611" s="354" t="s">
        <v>139</v>
      </c>
      <c r="AO611" s="355" t="s">
        <v>144</v>
      </c>
      <c r="AP611" s="206">
        <v>0</v>
      </c>
      <c r="AQ611" s="207" t="s">
        <v>994</v>
      </c>
      <c r="AR611" s="211"/>
      <c r="AS611" s="297">
        <f>+IF(Table1[[#This Row],[Column40]]="ok",Table1[[#This Row],[Column7]],0)</f>
        <v>1827.52</v>
      </c>
      <c r="AT611" s="295">
        <f>+IF(Table1[[#This Row],[Column40]]="No",Table1[[#This Row],[Column7]],0)</f>
        <v>0</v>
      </c>
      <c r="AU611" s="4" t="str">
        <f>+IF(LEFT(Table1[[#This Row],[Column42]],2)="DN",IF(Table1[[#This Row],[Column40]]="ok","(CA)",_xlfn.CONCAT("(CA)",CHAR(10),"FAIL")),"")</f>
        <v>(CA)</v>
      </c>
      <c r="AV611" s="154" t="str">
        <f>+IF(Table1[[#This Row],[Column6]]=0,"",_xlfn.CONCAT("Sem ",WEEKNUM(Table1[[#This Row],[Column6]],2)))</f>
        <v>Sem 13</v>
      </c>
      <c r="AW611" s="211"/>
    </row>
    <row r="612" spans="2:49" ht="19.5" customHeight="1" x14ac:dyDescent="0.3">
      <c r="B612" s="356" t="s">
        <v>996</v>
      </c>
      <c r="C612" s="331"/>
      <c r="D612" s="332" t="s">
        <v>132</v>
      </c>
      <c r="E612" s="332" t="s">
        <v>176</v>
      </c>
      <c r="F612" s="333"/>
      <c r="G612" s="334">
        <v>46108</v>
      </c>
      <c r="H612" s="335">
        <v>1719.21</v>
      </c>
      <c r="I612" s="336">
        <v>451.39</v>
      </c>
      <c r="J612" s="337">
        <v>2509.41</v>
      </c>
      <c r="K612" s="338" t="s">
        <v>715</v>
      </c>
      <c r="L612" s="339" t="s">
        <v>992</v>
      </c>
      <c r="M612" s="340">
        <v>30</v>
      </c>
      <c r="N612" s="341">
        <v>88653</v>
      </c>
      <c r="O612" s="332">
        <v>58</v>
      </c>
      <c r="P612" s="342">
        <v>15</v>
      </c>
      <c r="Q612" s="343">
        <v>13.258093935248528</v>
      </c>
      <c r="R612" s="344">
        <v>1.7278260869565221</v>
      </c>
      <c r="S612" s="344">
        <v>1.7544</v>
      </c>
      <c r="T612" s="344">
        <v>1.9870000000000001</v>
      </c>
      <c r="U612" s="344" t="s">
        <v>136</v>
      </c>
      <c r="V612" s="332" t="s">
        <v>137</v>
      </c>
      <c r="W612" s="345">
        <v>8</v>
      </c>
      <c r="X612" s="346">
        <v>4</v>
      </c>
      <c r="Y612" s="208">
        <v>2.8069999999999999</v>
      </c>
      <c r="Z612" s="332"/>
      <c r="AA612" s="342"/>
      <c r="AB612" s="342"/>
      <c r="AC612" s="342"/>
      <c r="AD612" s="347"/>
      <c r="AE612" s="348">
        <v>1.7290000000000001</v>
      </c>
      <c r="AF612" s="349">
        <v>0</v>
      </c>
      <c r="AG612" s="350"/>
      <c r="AH612" s="351" t="s">
        <v>139</v>
      </c>
      <c r="AI612" s="352" t="s">
        <v>139</v>
      </c>
      <c r="AJ612" s="206" t="s">
        <v>139</v>
      </c>
      <c r="AK612" s="353" t="s">
        <v>983</v>
      </c>
      <c r="AL612" s="206" t="s">
        <v>139</v>
      </c>
      <c r="AM612" s="349">
        <v>99.932104508763558</v>
      </c>
      <c r="AN612" s="354" t="s">
        <v>139</v>
      </c>
      <c r="AO612" s="355" t="s">
        <v>140</v>
      </c>
      <c r="AP612" s="206" t="s">
        <v>139</v>
      </c>
      <c r="AQ612" s="207">
        <v>0</v>
      </c>
      <c r="AR612" s="211"/>
      <c r="AS612" s="297">
        <f>+IF(Table1[[#This Row],[Column40]]="ok",Table1[[#This Row],[Column7]],0)</f>
        <v>1719.21</v>
      </c>
      <c r="AT612" s="295">
        <f>+IF(Table1[[#This Row],[Column40]]="No",Table1[[#This Row],[Column7]],0)</f>
        <v>0</v>
      </c>
      <c r="AU612" s="4" t="str">
        <f>+IF(LEFT(Table1[[#This Row],[Column42]],2)="DN",IF(Table1[[#This Row],[Column40]]="ok","(CA)",_xlfn.CONCAT("(CA)",CHAR(10),"FAIL")),"")</f>
        <v/>
      </c>
      <c r="AV612" s="154" t="str">
        <f>+IF(Table1[[#This Row],[Column6]]=0,"",_xlfn.CONCAT("Sem ",WEEKNUM(Table1[[#This Row],[Column6]],2)))</f>
        <v>Sem 13</v>
      </c>
      <c r="AW612" s="211"/>
    </row>
    <row r="613" spans="2:49" ht="19.5" customHeight="1" x14ac:dyDescent="0.3">
      <c r="B613" s="356" t="s">
        <v>997</v>
      </c>
      <c r="C613" s="331"/>
      <c r="D613" s="332" t="s">
        <v>132</v>
      </c>
      <c r="E613" s="332" t="s">
        <v>176</v>
      </c>
      <c r="F613" s="333"/>
      <c r="G613" s="334">
        <v>46108</v>
      </c>
      <c r="H613" s="335">
        <v>1659.25</v>
      </c>
      <c r="I613" s="336">
        <v>486.88</v>
      </c>
      <c r="J613" s="337">
        <v>2502.69</v>
      </c>
      <c r="K613" s="338" t="s">
        <v>715</v>
      </c>
      <c r="L613" s="339" t="s">
        <v>992</v>
      </c>
      <c r="M613" s="340">
        <v>30</v>
      </c>
      <c r="N613" s="341">
        <v>88653</v>
      </c>
      <c r="O613" s="332">
        <v>58</v>
      </c>
      <c r="P613" s="342">
        <v>10.5</v>
      </c>
      <c r="Q613" s="343">
        <v>11.96228638774306</v>
      </c>
      <c r="R613" s="344">
        <v>1.7194570135746605</v>
      </c>
      <c r="S613" s="344">
        <v>1.6970000000000001</v>
      </c>
      <c r="T613" s="344">
        <v>1.9</v>
      </c>
      <c r="U613" s="344" t="s">
        <v>136</v>
      </c>
      <c r="V613" s="332" t="s">
        <v>137</v>
      </c>
      <c r="W613" s="345">
        <v>8</v>
      </c>
      <c r="X613" s="346">
        <v>4</v>
      </c>
      <c r="Y613" s="208">
        <v>2.8069999999999999</v>
      </c>
      <c r="Z613" s="332"/>
      <c r="AA613" s="342"/>
      <c r="AB613" s="342"/>
      <c r="AC613" s="342"/>
      <c r="AD613" s="347"/>
      <c r="AE613" s="348">
        <v>1.7</v>
      </c>
      <c r="AF613" s="349">
        <v>16.2</v>
      </c>
      <c r="AG613" s="350"/>
      <c r="AH613" s="351">
        <v>1.6970740103270225</v>
      </c>
      <c r="AI613" s="352">
        <v>1.972</v>
      </c>
      <c r="AJ613" s="206">
        <v>16.2</v>
      </c>
      <c r="AK613" s="353" t="s">
        <v>714</v>
      </c>
      <c r="AL613" s="206">
        <v>0</v>
      </c>
      <c r="AM613" s="349">
        <v>101.14453021027414</v>
      </c>
      <c r="AN613" s="354" t="s">
        <v>139</v>
      </c>
      <c r="AO613" s="355" t="s">
        <v>140</v>
      </c>
      <c r="AP613" s="206" t="s">
        <v>139</v>
      </c>
      <c r="AQ613" s="207">
        <v>0</v>
      </c>
      <c r="AR613" s="211"/>
      <c r="AS613" s="297">
        <f>+IF(Table1[[#This Row],[Column40]]="ok",Table1[[#This Row],[Column7]],0)</f>
        <v>1659.25</v>
      </c>
      <c r="AT613" s="295">
        <f>+IF(Table1[[#This Row],[Column40]]="No",Table1[[#This Row],[Column7]],0)</f>
        <v>0</v>
      </c>
      <c r="AU613" s="4" t="str">
        <f>+IF(LEFT(Table1[[#This Row],[Column42]],2)="DN",IF(Table1[[#This Row],[Column40]]="ok","(CA)",_xlfn.CONCAT("(CA)",CHAR(10),"FAIL")),"")</f>
        <v/>
      </c>
      <c r="AV613" s="154" t="str">
        <f>+IF(Table1[[#This Row],[Column6]]=0,"",_xlfn.CONCAT("Sem ",WEEKNUM(Table1[[#This Row],[Column6]],2)))</f>
        <v>Sem 13</v>
      </c>
      <c r="AW613" s="211"/>
    </row>
    <row r="614" spans="2:49" ht="19.5" customHeight="1" x14ac:dyDescent="0.3">
      <c r="B614" s="356" t="s">
        <v>998</v>
      </c>
      <c r="C614" s="331"/>
      <c r="D614" s="332" t="s">
        <v>132</v>
      </c>
      <c r="E614" s="332" t="s">
        <v>176</v>
      </c>
      <c r="F614" s="333"/>
      <c r="G614" s="334">
        <v>46108</v>
      </c>
      <c r="H614" s="335">
        <v>1743.27</v>
      </c>
      <c r="I614" s="336">
        <v>553.96</v>
      </c>
      <c r="J614" s="337">
        <v>2481.2600000000002</v>
      </c>
      <c r="K614" s="338" t="s">
        <v>999</v>
      </c>
      <c r="L614" s="339" t="s">
        <v>992</v>
      </c>
      <c r="M614" s="340">
        <v>30</v>
      </c>
      <c r="N614" s="341">
        <v>88653</v>
      </c>
      <c r="O614" s="332">
        <v>58</v>
      </c>
      <c r="P614" s="342">
        <v>17.299999999999997</v>
      </c>
      <c r="Q614" s="343">
        <v>15.242494226327953</v>
      </c>
      <c r="R614" s="344">
        <v>1.7016197783461209</v>
      </c>
      <c r="S614" s="344">
        <v>1.732</v>
      </c>
      <c r="T614" s="344">
        <v>1.996</v>
      </c>
      <c r="U614" s="344" t="s">
        <v>136</v>
      </c>
      <c r="V614" s="332" t="s">
        <v>137</v>
      </c>
      <c r="W614" s="345">
        <v>8</v>
      </c>
      <c r="X614" s="346">
        <v>4</v>
      </c>
      <c r="Y614" s="208">
        <v>2.8069999999999999</v>
      </c>
      <c r="Z614" s="332"/>
      <c r="AA614" s="342"/>
      <c r="AB614" s="342"/>
      <c r="AC614" s="342"/>
      <c r="AD614" s="347"/>
      <c r="AE614" s="348">
        <v>1.7290000000000001</v>
      </c>
      <c r="AF614" s="349">
        <v>0</v>
      </c>
      <c r="AG614" s="350"/>
      <c r="AH614" s="351" t="s">
        <v>139</v>
      </c>
      <c r="AI614" s="352" t="s">
        <v>139</v>
      </c>
      <c r="AJ614" s="206" t="s">
        <v>139</v>
      </c>
      <c r="AK614" s="353" t="s">
        <v>983</v>
      </c>
      <c r="AL614" s="206" t="s">
        <v>139</v>
      </c>
      <c r="AM614" s="349">
        <v>98.416412859810336</v>
      </c>
      <c r="AN614" s="354" t="s">
        <v>139</v>
      </c>
      <c r="AO614" s="355" t="s">
        <v>140</v>
      </c>
      <c r="AP614" s="206" t="s">
        <v>139</v>
      </c>
      <c r="AQ614" s="207">
        <v>0</v>
      </c>
      <c r="AR614" s="211"/>
      <c r="AS614" s="297">
        <f>+IF(Table1[[#This Row],[Column40]]="ok",Table1[[#This Row],[Column7]],0)</f>
        <v>1743.27</v>
      </c>
      <c r="AT614" s="295">
        <f>+IF(Table1[[#This Row],[Column40]]="No",Table1[[#This Row],[Column7]],0)</f>
        <v>0</v>
      </c>
      <c r="AU614" s="4" t="str">
        <f>+IF(LEFT(Table1[[#This Row],[Column42]],2)="DN",IF(Table1[[#This Row],[Column40]]="ok","(CA)",_xlfn.CONCAT("(CA)",CHAR(10),"FAIL")),"")</f>
        <v/>
      </c>
      <c r="AV614" s="154" t="str">
        <f>+IF(Table1[[#This Row],[Column6]]=0,"",_xlfn.CONCAT("Sem ",WEEKNUM(Table1[[#This Row],[Column6]],2)))</f>
        <v>Sem 13</v>
      </c>
      <c r="AW614" s="211"/>
    </row>
    <row r="615" spans="2:49" ht="19.5" customHeight="1" x14ac:dyDescent="0.3">
      <c r="B615" s="356" t="s">
        <v>1000</v>
      </c>
      <c r="C615" s="331"/>
      <c r="D615" s="332" t="s">
        <v>132</v>
      </c>
      <c r="E615" s="332" t="s">
        <v>176</v>
      </c>
      <c r="F615" s="333"/>
      <c r="G615" s="334">
        <v>46108</v>
      </c>
      <c r="H615" s="335">
        <v>1661.04</v>
      </c>
      <c r="I615" s="336">
        <v>548.54999999999995</v>
      </c>
      <c r="J615" s="337">
        <v>2481.33</v>
      </c>
      <c r="K615" s="338" t="s">
        <v>999</v>
      </c>
      <c r="L615" s="339" t="s">
        <v>992</v>
      </c>
      <c r="M615" s="340">
        <v>30</v>
      </c>
      <c r="N615" s="341">
        <v>88653</v>
      </c>
      <c r="O615" s="332">
        <v>58</v>
      </c>
      <c r="P615" s="342">
        <v>12.9</v>
      </c>
      <c r="Q615" s="343">
        <v>13.087447947650199</v>
      </c>
      <c r="R615" s="344">
        <v>1.6837909654561558</v>
      </c>
      <c r="S615" s="344">
        <v>1.681</v>
      </c>
      <c r="T615" s="344">
        <v>1.901</v>
      </c>
      <c r="U615" s="344" t="s">
        <v>136</v>
      </c>
      <c r="V615" s="332" t="s">
        <v>137</v>
      </c>
      <c r="W615" s="345">
        <v>8</v>
      </c>
      <c r="X615" s="346">
        <v>4</v>
      </c>
      <c r="Y615" s="208">
        <v>2.8069999999999999</v>
      </c>
      <c r="Z615" s="332"/>
      <c r="AA615" s="342"/>
      <c r="AB615" s="342"/>
      <c r="AC615" s="342"/>
      <c r="AD615" s="347"/>
      <c r="AE615" s="348">
        <v>1.716</v>
      </c>
      <c r="AF615" s="349">
        <v>16</v>
      </c>
      <c r="AG615" s="350"/>
      <c r="AH615" s="351">
        <v>1.7155172413793105</v>
      </c>
      <c r="AI615" s="352">
        <v>1.99</v>
      </c>
      <c r="AJ615" s="206">
        <v>16</v>
      </c>
      <c r="AK615" s="353" t="s">
        <v>437</v>
      </c>
      <c r="AL615" s="206">
        <v>0</v>
      </c>
      <c r="AM615" s="349">
        <v>98.123016634974107</v>
      </c>
      <c r="AN615" s="354" t="s">
        <v>139</v>
      </c>
      <c r="AO615" s="355" t="s">
        <v>140</v>
      </c>
      <c r="AP615" s="206" t="s">
        <v>139</v>
      </c>
      <c r="AQ615" s="207">
        <v>0</v>
      </c>
      <c r="AR615" s="211"/>
      <c r="AS615" s="297">
        <f>+IF(Table1[[#This Row],[Column40]]="ok",Table1[[#This Row],[Column7]],0)</f>
        <v>1661.04</v>
      </c>
      <c r="AT615" s="295">
        <f>+IF(Table1[[#This Row],[Column40]]="No",Table1[[#This Row],[Column7]],0)</f>
        <v>0</v>
      </c>
      <c r="AU615" s="4" t="str">
        <f>+IF(LEFT(Table1[[#This Row],[Column42]],2)="DN",IF(Table1[[#This Row],[Column40]]="ok","(CA)",_xlfn.CONCAT("(CA)",CHAR(10),"FAIL")),"")</f>
        <v/>
      </c>
      <c r="AV615" s="154" t="str">
        <f>+IF(Table1[[#This Row],[Column6]]=0,"",_xlfn.CONCAT("Sem ",WEEKNUM(Table1[[#This Row],[Column6]],2)))</f>
        <v>Sem 13</v>
      </c>
      <c r="AW615" s="211"/>
    </row>
    <row r="616" spans="2:49" ht="19.5" customHeight="1" x14ac:dyDescent="0.3">
      <c r="B616" s="356" t="s">
        <v>1001</v>
      </c>
      <c r="C616" s="331"/>
      <c r="D616" s="332" t="s">
        <v>132</v>
      </c>
      <c r="E616" s="332" t="s">
        <v>176</v>
      </c>
      <c r="F616" s="333"/>
      <c r="G616" s="334">
        <v>46108</v>
      </c>
      <c r="H616" s="335">
        <v>1696.48</v>
      </c>
      <c r="I616" s="336">
        <v>540.55999999999995</v>
      </c>
      <c r="J616" s="337">
        <v>2485.2600000000002</v>
      </c>
      <c r="K616" s="338" t="s">
        <v>999</v>
      </c>
      <c r="L616" s="339" t="s">
        <v>992</v>
      </c>
      <c r="M616" s="340">
        <v>30</v>
      </c>
      <c r="N616" s="341">
        <v>88653</v>
      </c>
      <c r="O616" s="332">
        <v>58</v>
      </c>
      <c r="P616" s="342">
        <v>16.3</v>
      </c>
      <c r="Q616" s="343">
        <v>13.649025069637899</v>
      </c>
      <c r="R616" s="344">
        <v>1.7540842648323303</v>
      </c>
      <c r="S616" s="344">
        <v>1.7949999999999999</v>
      </c>
      <c r="T616" s="344">
        <v>2.04</v>
      </c>
      <c r="U616" s="344" t="s">
        <v>136</v>
      </c>
      <c r="V616" s="332" t="s">
        <v>137</v>
      </c>
      <c r="W616" s="345">
        <v>8</v>
      </c>
      <c r="X616" s="346">
        <v>4</v>
      </c>
      <c r="Y616" s="208">
        <v>2.8069999999999999</v>
      </c>
      <c r="Z616" s="332"/>
      <c r="AA616" s="342"/>
      <c r="AB616" s="342"/>
      <c r="AC616" s="342"/>
      <c r="AD616" s="347"/>
      <c r="AE616" s="348">
        <v>1.7290000000000001</v>
      </c>
      <c r="AF616" s="349">
        <v>0</v>
      </c>
      <c r="AG616" s="350"/>
      <c r="AH616" s="351" t="s">
        <v>139</v>
      </c>
      <c r="AI616" s="352" t="s">
        <v>139</v>
      </c>
      <c r="AJ616" s="206" t="s">
        <v>139</v>
      </c>
      <c r="AK616" s="353" t="s">
        <v>983</v>
      </c>
      <c r="AL616" s="206" t="s">
        <v>139</v>
      </c>
      <c r="AM616" s="349">
        <v>101.4507961152302</v>
      </c>
      <c r="AN616" s="354" t="s">
        <v>139</v>
      </c>
      <c r="AO616" s="355" t="s">
        <v>140</v>
      </c>
      <c r="AP616" s="206" t="s">
        <v>139</v>
      </c>
      <c r="AQ616" s="207">
        <v>0</v>
      </c>
      <c r="AR616" s="211"/>
      <c r="AS616" s="297">
        <f>+IF(Table1[[#This Row],[Column40]]="ok",Table1[[#This Row],[Column7]],0)</f>
        <v>1696.48</v>
      </c>
      <c r="AT616" s="295">
        <f>+IF(Table1[[#This Row],[Column40]]="No",Table1[[#This Row],[Column7]],0)</f>
        <v>0</v>
      </c>
      <c r="AU616" s="4" t="str">
        <f>+IF(LEFT(Table1[[#This Row],[Column42]],2)="DN",IF(Table1[[#This Row],[Column40]]="ok","(CA)",_xlfn.CONCAT("(CA)",CHAR(10),"FAIL")),"")</f>
        <v/>
      </c>
      <c r="AV616" s="154" t="str">
        <f>+IF(Table1[[#This Row],[Column6]]=0,"",_xlfn.CONCAT("Sem ",WEEKNUM(Table1[[#This Row],[Column6]],2)))</f>
        <v>Sem 13</v>
      </c>
      <c r="AW616" s="211"/>
    </row>
    <row r="617" spans="2:49" ht="19.5" customHeight="1" x14ac:dyDescent="0.3">
      <c r="B617" s="356" t="s">
        <v>1002</v>
      </c>
      <c r="C617" s="331"/>
      <c r="D617" s="332" t="s">
        <v>132</v>
      </c>
      <c r="E617" s="332" t="s">
        <v>176</v>
      </c>
      <c r="F617" s="333"/>
      <c r="G617" s="334">
        <v>46108</v>
      </c>
      <c r="H617" s="335">
        <v>1625.96</v>
      </c>
      <c r="I617" s="336">
        <v>324.22000000000003</v>
      </c>
      <c r="J617" s="337">
        <v>2548.0100000000002</v>
      </c>
      <c r="K617" s="338" t="s">
        <v>184</v>
      </c>
      <c r="L617" s="339" t="s">
        <v>163</v>
      </c>
      <c r="M617" s="340">
        <v>30</v>
      </c>
      <c r="N617" s="341">
        <v>88653</v>
      </c>
      <c r="O617" s="332">
        <v>58</v>
      </c>
      <c r="P617" s="342">
        <v>12.1</v>
      </c>
      <c r="Q617" s="343">
        <v>12.427745664739899</v>
      </c>
      <c r="R617" s="344">
        <v>1.7350579839429081</v>
      </c>
      <c r="S617" s="344">
        <v>1.73</v>
      </c>
      <c r="T617" s="344">
        <v>1.9450000000000001</v>
      </c>
      <c r="U617" s="344" t="s">
        <v>136</v>
      </c>
      <c r="V617" s="332" t="s">
        <v>137</v>
      </c>
      <c r="W617" s="345">
        <v>8</v>
      </c>
      <c r="X617" s="346">
        <v>4</v>
      </c>
      <c r="Y617" s="208">
        <v>2.8069999999999999</v>
      </c>
      <c r="Z617" s="332"/>
      <c r="AA617" s="342"/>
      <c r="AB617" s="342"/>
      <c r="AC617" s="342"/>
      <c r="AD617" s="347"/>
      <c r="AE617" s="348">
        <v>1.7290000000000001</v>
      </c>
      <c r="AF617" s="349">
        <v>0</v>
      </c>
      <c r="AG617" s="350"/>
      <c r="AH617" s="351" t="s">
        <v>139</v>
      </c>
      <c r="AI617" s="352" t="s">
        <v>139</v>
      </c>
      <c r="AJ617" s="206" t="s">
        <v>139</v>
      </c>
      <c r="AK617" s="353" t="s">
        <v>983</v>
      </c>
      <c r="AL617" s="206" t="s">
        <v>139</v>
      </c>
      <c r="AM617" s="349">
        <v>100.3503750111572</v>
      </c>
      <c r="AN617" s="354" t="s">
        <v>139</v>
      </c>
      <c r="AO617" s="355" t="s">
        <v>140</v>
      </c>
      <c r="AP617" s="206" t="s">
        <v>139</v>
      </c>
      <c r="AQ617" s="207">
        <v>0</v>
      </c>
      <c r="AR617" s="211"/>
      <c r="AS617" s="297">
        <f>+IF(Table1[[#This Row],[Column40]]="ok",Table1[[#This Row],[Column7]],0)</f>
        <v>1625.96</v>
      </c>
      <c r="AT617" s="295">
        <f>+IF(Table1[[#This Row],[Column40]]="No",Table1[[#This Row],[Column7]],0)</f>
        <v>0</v>
      </c>
      <c r="AU617" s="4" t="str">
        <f>+IF(LEFT(Table1[[#This Row],[Column42]],2)="DN",IF(Table1[[#This Row],[Column40]]="ok","(CA)",_xlfn.CONCAT("(CA)",CHAR(10),"FAIL")),"")</f>
        <v/>
      </c>
      <c r="AV617" s="154" t="str">
        <f>+IF(Table1[[#This Row],[Column6]]=0,"",_xlfn.CONCAT("Sem ",WEEKNUM(Table1[[#This Row],[Column6]],2)))</f>
        <v>Sem 13</v>
      </c>
      <c r="AW617" s="211"/>
    </row>
    <row r="618" spans="2:49" ht="19.5" customHeight="1" x14ac:dyDescent="0.3">
      <c r="B618" s="356" t="s">
        <v>1003</v>
      </c>
      <c r="C618" s="331"/>
      <c r="D618" s="332" t="s">
        <v>132</v>
      </c>
      <c r="E618" s="332" t="s">
        <v>176</v>
      </c>
      <c r="F618" s="333"/>
      <c r="G618" s="334">
        <v>46108</v>
      </c>
      <c r="H618" s="335">
        <v>1622.03</v>
      </c>
      <c r="I618" s="336">
        <v>431.25</v>
      </c>
      <c r="J618" s="337">
        <v>2518.86</v>
      </c>
      <c r="K618" s="338" t="s">
        <v>184</v>
      </c>
      <c r="L618" s="339" t="s">
        <v>163</v>
      </c>
      <c r="M618" s="340">
        <v>30</v>
      </c>
      <c r="N618" s="341">
        <v>88653</v>
      </c>
      <c r="O618" s="332">
        <v>58</v>
      </c>
      <c r="P618" s="342">
        <v>12.7</v>
      </c>
      <c r="Q618" s="343">
        <v>13.524355300859604</v>
      </c>
      <c r="R618" s="344">
        <v>1.7577639751552796</v>
      </c>
      <c r="S618" s="344">
        <v>1.7450000000000001</v>
      </c>
      <c r="T618" s="344">
        <v>1.9810000000000001</v>
      </c>
      <c r="U618" s="344" t="s">
        <v>136</v>
      </c>
      <c r="V618" s="332" t="s">
        <v>137</v>
      </c>
      <c r="W618" s="345">
        <v>8</v>
      </c>
      <c r="X618" s="346">
        <v>4</v>
      </c>
      <c r="Y618" s="208">
        <v>2.8069999999999999</v>
      </c>
      <c r="Z618" s="332"/>
      <c r="AA618" s="342"/>
      <c r="AB618" s="342"/>
      <c r="AC618" s="342"/>
      <c r="AD618" s="347"/>
      <c r="AE618" s="348">
        <v>1.7290000000000001</v>
      </c>
      <c r="AF618" s="349">
        <v>0</v>
      </c>
      <c r="AG618" s="350"/>
      <c r="AH618" s="351" t="s">
        <v>139</v>
      </c>
      <c r="AI618" s="352" t="s">
        <v>139</v>
      </c>
      <c r="AJ618" s="206" t="s">
        <v>139</v>
      </c>
      <c r="AK618" s="353" t="s">
        <v>983</v>
      </c>
      <c r="AL618" s="206" t="s">
        <v>139</v>
      </c>
      <c r="AM618" s="349">
        <v>101.66361915299476</v>
      </c>
      <c r="AN618" s="354" t="s">
        <v>139</v>
      </c>
      <c r="AO618" s="355" t="s">
        <v>140</v>
      </c>
      <c r="AP618" s="206" t="s">
        <v>139</v>
      </c>
      <c r="AQ618" s="207">
        <v>0</v>
      </c>
      <c r="AR618" s="211"/>
      <c r="AS618" s="297">
        <f>+IF(Table1[[#This Row],[Column40]]="ok",Table1[[#This Row],[Column7]],0)</f>
        <v>1622.03</v>
      </c>
      <c r="AT618" s="295">
        <f>+IF(Table1[[#This Row],[Column40]]="No",Table1[[#This Row],[Column7]],0)</f>
        <v>0</v>
      </c>
      <c r="AU618" s="4" t="str">
        <f>+IF(LEFT(Table1[[#This Row],[Column42]],2)="DN",IF(Table1[[#This Row],[Column40]]="ok","(CA)",_xlfn.CONCAT("(CA)",CHAR(10),"FAIL")),"")</f>
        <v/>
      </c>
      <c r="AV618" s="154" t="str">
        <f>+IF(Table1[[#This Row],[Column6]]=0,"",_xlfn.CONCAT("Sem ",WEEKNUM(Table1[[#This Row],[Column6]],2)))</f>
        <v>Sem 13</v>
      </c>
      <c r="AW618" s="211"/>
    </row>
    <row r="619" spans="2:49" ht="19.5" customHeight="1" x14ac:dyDescent="0.3">
      <c r="B619" s="356" t="s">
        <v>1004</v>
      </c>
      <c r="C619" s="331"/>
      <c r="D619" s="332" t="s">
        <v>132</v>
      </c>
      <c r="E619" s="332" t="s">
        <v>133</v>
      </c>
      <c r="F619" s="333"/>
      <c r="G619" s="334">
        <v>46109</v>
      </c>
      <c r="H619" s="335">
        <v>1553.6</v>
      </c>
      <c r="I619" s="336">
        <v>282.77</v>
      </c>
      <c r="J619" s="337">
        <v>2562.3249999999998</v>
      </c>
      <c r="K619" s="338" t="s">
        <v>184</v>
      </c>
      <c r="L619" s="339" t="s">
        <v>177</v>
      </c>
      <c r="M619" s="340">
        <v>30</v>
      </c>
      <c r="N619" s="341">
        <v>88653</v>
      </c>
      <c r="O619" s="332">
        <v>58</v>
      </c>
      <c r="P619" s="342">
        <v>8.5</v>
      </c>
      <c r="Q619" s="343">
        <v>11.390955924441881</v>
      </c>
      <c r="R619" s="344">
        <v>1.7935483870967741</v>
      </c>
      <c r="S619" s="344">
        <v>1.7470000000000001</v>
      </c>
      <c r="T619" s="344">
        <v>1.946</v>
      </c>
      <c r="U619" s="344" t="s">
        <v>136</v>
      </c>
      <c r="V619" s="332" t="s">
        <v>137</v>
      </c>
      <c r="W619" s="345">
        <v>8</v>
      </c>
      <c r="X619" s="346">
        <v>4</v>
      </c>
      <c r="Y619" s="208">
        <v>2.8069999999999999</v>
      </c>
      <c r="Z619" s="332"/>
      <c r="AA619" s="342"/>
      <c r="AB619" s="342"/>
      <c r="AC619" s="342"/>
      <c r="AD619" s="347"/>
      <c r="AE619" s="348">
        <v>1.7290000000000001</v>
      </c>
      <c r="AF619" s="349">
        <v>0</v>
      </c>
      <c r="AG619" s="350"/>
      <c r="AH619" s="351" t="s">
        <v>139</v>
      </c>
      <c r="AI619" s="352" t="s">
        <v>139</v>
      </c>
      <c r="AJ619" s="206" t="s">
        <v>139</v>
      </c>
      <c r="AK619" s="353" t="s">
        <v>983</v>
      </c>
      <c r="AL619" s="206" t="s">
        <v>139</v>
      </c>
      <c r="AM619" s="349">
        <v>103.73327860594412</v>
      </c>
      <c r="AN619" s="354" t="s">
        <v>139</v>
      </c>
      <c r="AO619" s="355" t="s">
        <v>140</v>
      </c>
      <c r="AP619" s="206" t="s">
        <v>139</v>
      </c>
      <c r="AQ619" s="207">
        <v>0</v>
      </c>
      <c r="AR619" s="211"/>
      <c r="AS619" s="297">
        <f>+IF(Table1[[#This Row],[Column40]]="ok",Table1[[#This Row],[Column7]],0)</f>
        <v>1553.6</v>
      </c>
      <c r="AT619" s="295">
        <f>+IF(Table1[[#This Row],[Column40]]="No",Table1[[#This Row],[Column7]],0)</f>
        <v>0</v>
      </c>
      <c r="AU619" s="4" t="str">
        <f>+IF(LEFT(Table1[[#This Row],[Column42]],2)="DN",IF(Table1[[#This Row],[Column40]]="ok","(CA)",_xlfn.CONCAT("(CA)",CHAR(10),"FAIL")),"")</f>
        <v/>
      </c>
      <c r="AV619" s="154" t="str">
        <f>+IF(Table1[[#This Row],[Column6]]=0,"",_xlfn.CONCAT("Sem ",WEEKNUM(Table1[[#This Row],[Column6]],2)))</f>
        <v>Sem 13</v>
      </c>
      <c r="AW619" s="211"/>
    </row>
    <row r="620" spans="2:49" ht="19.5" customHeight="1" x14ac:dyDescent="0.3">
      <c r="B620" s="356" t="s">
        <v>1005</v>
      </c>
      <c r="C620" s="331"/>
      <c r="D620" s="332" t="s">
        <v>132</v>
      </c>
      <c r="E620" s="332" t="s">
        <v>133</v>
      </c>
      <c r="F620" s="333"/>
      <c r="G620" s="334">
        <v>46109</v>
      </c>
      <c r="H620" s="335">
        <v>1461.5</v>
      </c>
      <c r="I620" s="336">
        <v>261.5</v>
      </c>
      <c r="J620" s="337">
        <v>2569.27</v>
      </c>
      <c r="K620" s="338" t="s">
        <v>184</v>
      </c>
      <c r="L620" s="339" t="s">
        <v>558</v>
      </c>
      <c r="M620" s="340">
        <v>30</v>
      </c>
      <c r="N620" s="341">
        <v>88653</v>
      </c>
      <c r="O620" s="332">
        <v>58</v>
      </c>
      <c r="P620" s="342">
        <v>10.6</v>
      </c>
      <c r="Q620" s="343">
        <v>11.383039271485496</v>
      </c>
      <c r="R620" s="344">
        <v>1.7694394213381555</v>
      </c>
      <c r="S620" s="344">
        <v>1.7569999999999999</v>
      </c>
      <c r="T620" s="344">
        <v>1.9570000000000001</v>
      </c>
      <c r="U620" s="344" t="s">
        <v>136</v>
      </c>
      <c r="V620" s="332" t="s">
        <v>137</v>
      </c>
      <c r="W620" s="345">
        <v>8</v>
      </c>
      <c r="X620" s="346">
        <v>4</v>
      </c>
      <c r="Y620" s="208">
        <v>2.8069999999999999</v>
      </c>
      <c r="Z620" s="332"/>
      <c r="AA620" s="342"/>
      <c r="AB620" s="342"/>
      <c r="AC620" s="342"/>
      <c r="AD620" s="347"/>
      <c r="AE620" s="348">
        <v>1.7290000000000001</v>
      </c>
      <c r="AF620" s="349">
        <v>0</v>
      </c>
      <c r="AG620" s="350"/>
      <c r="AH620" s="351" t="s">
        <v>139</v>
      </c>
      <c r="AI620" s="352" t="s">
        <v>139</v>
      </c>
      <c r="AJ620" s="206" t="s">
        <v>139</v>
      </c>
      <c r="AK620" s="353" t="s">
        <v>983</v>
      </c>
      <c r="AL620" s="206" t="s">
        <v>139</v>
      </c>
      <c r="AM620" s="349">
        <v>102.33889076565387</v>
      </c>
      <c r="AN620" s="354" t="s">
        <v>139</v>
      </c>
      <c r="AO620" s="355" t="s">
        <v>140</v>
      </c>
      <c r="AP620" s="206" t="s">
        <v>139</v>
      </c>
      <c r="AQ620" s="207">
        <v>0</v>
      </c>
      <c r="AR620" s="211"/>
      <c r="AS620" s="297">
        <f>+IF(Table1[[#This Row],[Column40]]="ok",Table1[[#This Row],[Column7]],0)</f>
        <v>1461.5</v>
      </c>
      <c r="AT620" s="295">
        <f>+IF(Table1[[#This Row],[Column40]]="No",Table1[[#This Row],[Column7]],0)</f>
        <v>0</v>
      </c>
      <c r="AU620" s="4" t="str">
        <f>+IF(LEFT(Table1[[#This Row],[Column42]],2)="DN",IF(Table1[[#This Row],[Column40]]="ok","(CA)",_xlfn.CONCAT("(CA)",CHAR(10),"FAIL")),"")</f>
        <v/>
      </c>
      <c r="AV620" s="154" t="str">
        <f>+IF(Table1[[#This Row],[Column6]]=0,"",_xlfn.CONCAT("Sem ",WEEKNUM(Table1[[#This Row],[Column6]],2)))</f>
        <v>Sem 13</v>
      </c>
      <c r="AW620" s="211"/>
    </row>
    <row r="621" spans="2:49" ht="19.5" customHeight="1" x14ac:dyDescent="0.3">
      <c r="B621" s="356" t="s">
        <v>1006</v>
      </c>
      <c r="C621" s="331"/>
      <c r="D621" s="332" t="s">
        <v>132</v>
      </c>
      <c r="E621" s="332" t="s">
        <v>133</v>
      </c>
      <c r="F621" s="333"/>
      <c r="G621" s="334">
        <v>46109</v>
      </c>
      <c r="H621" s="335">
        <v>1372.64</v>
      </c>
      <c r="I621" s="336">
        <v>264.48</v>
      </c>
      <c r="J621" s="337">
        <v>2570.3180000000002</v>
      </c>
      <c r="K621" s="338" t="s">
        <v>398</v>
      </c>
      <c r="L621" s="339" t="s">
        <v>224</v>
      </c>
      <c r="M621" s="340">
        <v>30</v>
      </c>
      <c r="N621" s="341">
        <v>88653</v>
      </c>
      <c r="O621" s="332">
        <v>58</v>
      </c>
      <c r="P621" s="342">
        <v>11.600000000000001</v>
      </c>
      <c r="Q621" s="343">
        <v>10.968819599109136</v>
      </c>
      <c r="R621" s="344">
        <v>1.7858422939068099</v>
      </c>
      <c r="S621" s="344">
        <v>1.796</v>
      </c>
      <c r="T621" s="344">
        <v>1.9930000000000001</v>
      </c>
      <c r="U621" s="344" t="s">
        <v>136</v>
      </c>
      <c r="V621" s="332" t="s">
        <v>137</v>
      </c>
      <c r="W621" s="345">
        <v>8</v>
      </c>
      <c r="X621" s="346">
        <v>4</v>
      </c>
      <c r="Y621" s="208">
        <v>2.8069999999999999</v>
      </c>
      <c r="Z621" s="332"/>
      <c r="AA621" s="342"/>
      <c r="AB621" s="342"/>
      <c r="AC621" s="342"/>
      <c r="AD621" s="347"/>
      <c r="AE621" s="348">
        <v>1.7335601946928447</v>
      </c>
      <c r="AF621" s="349">
        <v>16.089592355110089</v>
      </c>
      <c r="AG621" s="350"/>
      <c r="AH621" s="351">
        <v>1.7278208440999137</v>
      </c>
      <c r="AI621" s="352">
        <v>2.0059999999999998</v>
      </c>
      <c r="AJ621" s="206">
        <v>16.100000000000001</v>
      </c>
      <c r="AK621" s="353" t="s">
        <v>655</v>
      </c>
      <c r="AL621" s="206">
        <v>-1.0407644889912859E-2</v>
      </c>
      <c r="AM621" s="349">
        <v>103.01588023156177</v>
      </c>
      <c r="AN621" s="354" t="s">
        <v>139</v>
      </c>
      <c r="AO621" s="355" t="s">
        <v>140</v>
      </c>
      <c r="AP621" s="206" t="s">
        <v>139</v>
      </c>
      <c r="AQ621" s="207" t="s">
        <v>1007</v>
      </c>
      <c r="AR621" s="211"/>
      <c r="AS621" s="297">
        <f>+IF(Table1[[#This Row],[Column40]]="ok",Table1[[#This Row],[Column7]],0)</f>
        <v>1372.64</v>
      </c>
      <c r="AT621" s="295">
        <f>+IF(Table1[[#This Row],[Column40]]="No",Table1[[#This Row],[Column7]],0)</f>
        <v>0</v>
      </c>
      <c r="AU621" s="4" t="str">
        <f>+IF(LEFT(Table1[[#This Row],[Column42]],2)="DN",IF(Table1[[#This Row],[Column40]]="ok","(CA)",_xlfn.CONCAT("(CA)",CHAR(10),"FAIL")),"")</f>
        <v/>
      </c>
      <c r="AV621" s="154" t="str">
        <f>+IF(Table1[[#This Row],[Column6]]=0,"",_xlfn.CONCAT("Sem ",WEEKNUM(Table1[[#This Row],[Column6]],2)))</f>
        <v>Sem 13</v>
      </c>
      <c r="AW621" s="211"/>
    </row>
    <row r="622" spans="2:49" ht="19.5" customHeight="1" x14ac:dyDescent="0.3">
      <c r="B622" s="356" t="s">
        <v>1007</v>
      </c>
      <c r="C622" s="331"/>
      <c r="D622" s="332" t="s">
        <v>132</v>
      </c>
      <c r="E622" s="332" t="s">
        <v>133</v>
      </c>
      <c r="F622" s="333"/>
      <c r="G622" s="334">
        <v>46109</v>
      </c>
      <c r="H622" s="335">
        <v>1372.64</v>
      </c>
      <c r="I622" s="336">
        <v>264.48</v>
      </c>
      <c r="J622" s="337">
        <v>2570.3180000000002</v>
      </c>
      <c r="K622" s="338" t="s">
        <v>398</v>
      </c>
      <c r="L622" s="339" t="s">
        <v>224</v>
      </c>
      <c r="M622" s="340">
        <v>15</v>
      </c>
      <c r="N622" s="341"/>
      <c r="O622" s="332"/>
      <c r="P622" s="342">
        <v>11.631730374023844</v>
      </c>
      <c r="Q622" s="343"/>
      <c r="R622" s="344">
        <v>1.7601322455720605</v>
      </c>
      <c r="S622" s="344"/>
      <c r="T622" s="344">
        <v>1.964866082603254</v>
      </c>
      <c r="U622" s="344" t="s">
        <v>142</v>
      </c>
      <c r="V622" s="332" t="s">
        <v>137</v>
      </c>
      <c r="W622" s="345" t="s">
        <v>173</v>
      </c>
      <c r="X622" s="346" t="s">
        <v>680</v>
      </c>
      <c r="Y622" s="208"/>
      <c r="Z622" s="332" t="s">
        <v>143</v>
      </c>
      <c r="AA622" s="342">
        <v>99.732840115084258</v>
      </c>
      <c r="AB622" s="342">
        <v>89.293053842992194</v>
      </c>
      <c r="AC622" s="342">
        <v>43.485408960131522</v>
      </c>
      <c r="AD622" s="347">
        <v>12.186600904233444</v>
      </c>
      <c r="AE622" s="348">
        <v>1.734</v>
      </c>
      <c r="AF622" s="349">
        <v>16.100000000000001</v>
      </c>
      <c r="AG622" s="350" t="s">
        <v>655</v>
      </c>
      <c r="AH622" s="351">
        <v>1.7192361785479835</v>
      </c>
      <c r="AI622" s="352">
        <v>1.9961673586713511</v>
      </c>
      <c r="AJ622" s="206">
        <v>16.10780319649016</v>
      </c>
      <c r="AK622" s="353" t="s">
        <v>655</v>
      </c>
      <c r="AL622" s="206">
        <v>-7.8031964901583706E-3</v>
      </c>
      <c r="AM622" s="349">
        <v>101.50704991765053</v>
      </c>
      <c r="AN622" s="354" t="s">
        <v>139</v>
      </c>
      <c r="AO622" s="355" t="s">
        <v>144</v>
      </c>
      <c r="AP622" s="206">
        <v>0</v>
      </c>
      <c r="AQ622" s="207" t="s">
        <v>1006</v>
      </c>
      <c r="AR622" s="211"/>
      <c r="AS622" s="297">
        <f>+IF(Table1[[#This Row],[Column40]]="ok",Table1[[#This Row],[Column7]],0)</f>
        <v>1372.64</v>
      </c>
      <c r="AT622" s="295">
        <f>+IF(Table1[[#This Row],[Column40]]="No",Table1[[#This Row],[Column7]],0)</f>
        <v>0</v>
      </c>
      <c r="AU622" s="4" t="str">
        <f>+IF(LEFT(Table1[[#This Row],[Column42]],2)="DN",IF(Table1[[#This Row],[Column40]]="ok","(CA)",_xlfn.CONCAT("(CA)",CHAR(10),"FAIL")),"")</f>
        <v>(CA)</v>
      </c>
      <c r="AV622" s="154" t="str">
        <f>+IF(Table1[[#This Row],[Column6]]=0,"",_xlfn.CONCAT("Sem ",WEEKNUM(Table1[[#This Row],[Column6]],2)))</f>
        <v>Sem 13</v>
      </c>
      <c r="AW622" s="211"/>
    </row>
    <row r="623" spans="2:49" ht="19.5" customHeight="1" x14ac:dyDescent="0.3">
      <c r="B623" s="356" t="s">
        <v>1008</v>
      </c>
      <c r="C623" s="331"/>
      <c r="D623" s="332" t="s">
        <v>132</v>
      </c>
      <c r="E623" s="332" t="s">
        <v>133</v>
      </c>
      <c r="F623" s="333"/>
      <c r="G623" s="334">
        <v>46109</v>
      </c>
      <c r="H623" s="335">
        <v>1290.52</v>
      </c>
      <c r="I623" s="336">
        <v>222.7</v>
      </c>
      <c r="J623" s="337">
        <v>2581.0320000000002</v>
      </c>
      <c r="K623" s="338" t="s">
        <v>221</v>
      </c>
      <c r="L623" s="339" t="s">
        <v>402</v>
      </c>
      <c r="M623" s="340">
        <v>30</v>
      </c>
      <c r="N623" s="341">
        <v>88653</v>
      </c>
      <c r="O623" s="332">
        <v>58</v>
      </c>
      <c r="P623" s="342">
        <v>9.9</v>
      </c>
      <c r="Q623" s="343">
        <v>11.262026032824002</v>
      </c>
      <c r="R623" s="344">
        <v>1.7888989990900819</v>
      </c>
      <c r="S623" s="344">
        <v>1.7669999999999999</v>
      </c>
      <c r="T623" s="344">
        <v>1.966</v>
      </c>
      <c r="U623" s="344" t="s">
        <v>136</v>
      </c>
      <c r="V623" s="332" t="s">
        <v>137</v>
      </c>
      <c r="W623" s="345">
        <v>8</v>
      </c>
      <c r="X623" s="346">
        <v>4</v>
      </c>
      <c r="Y623" s="208">
        <v>2.8069999999999999</v>
      </c>
      <c r="Z623" s="332"/>
      <c r="AA623" s="342"/>
      <c r="AB623" s="342"/>
      <c r="AC623" s="342"/>
      <c r="AD623" s="347"/>
      <c r="AE623" s="358">
        <v>1.7290000000000001</v>
      </c>
      <c r="AF623" s="349">
        <v>0</v>
      </c>
      <c r="AG623" s="350"/>
      <c r="AH623" s="351" t="s">
        <v>139</v>
      </c>
      <c r="AI623" s="352" t="s">
        <v>139</v>
      </c>
      <c r="AJ623" s="206" t="s">
        <v>139</v>
      </c>
      <c r="AK623" s="353" t="s">
        <v>983</v>
      </c>
      <c r="AL623" s="206" t="s">
        <v>139</v>
      </c>
      <c r="AM623" s="349">
        <v>103.46437241700879</v>
      </c>
      <c r="AN623" s="354" t="s">
        <v>139</v>
      </c>
      <c r="AO623" s="355" t="s">
        <v>140</v>
      </c>
      <c r="AP623" s="206" t="s">
        <v>139</v>
      </c>
      <c r="AQ623" s="246">
        <v>0</v>
      </c>
      <c r="AR623" s="211"/>
      <c r="AS623" s="297">
        <f>+IF(Table1[[#This Row],[Column40]]="ok",Table1[[#This Row],[Column7]],0)</f>
        <v>1290.52</v>
      </c>
      <c r="AT623" s="295">
        <f>+IF(Table1[[#This Row],[Column40]]="No",Table1[[#This Row],[Column7]],0)</f>
        <v>0</v>
      </c>
      <c r="AU623" s="4" t="str">
        <f>+IF(LEFT(Table1[[#This Row],[Column42]],2)="DN",IF(Table1[[#This Row],[Column40]]="ok","(CA)",_xlfn.CONCAT("(CA)",CHAR(10),"FAIL")),"")</f>
        <v/>
      </c>
      <c r="AV623" s="154" t="str">
        <f>+IF(Table1[[#This Row],[Column6]]=0,"",_xlfn.CONCAT("Sem ",WEEKNUM(Table1[[#This Row],[Column6]],2)))</f>
        <v>Sem 13</v>
      </c>
      <c r="AW623" s="211"/>
    </row>
    <row r="624" spans="2:49" ht="19.5" customHeight="1" x14ac:dyDescent="0.3">
      <c r="B624" s="356" t="s">
        <v>1009</v>
      </c>
      <c r="C624" s="331"/>
      <c r="D624" s="332" t="s">
        <v>132</v>
      </c>
      <c r="E624" s="332" t="s">
        <v>133</v>
      </c>
      <c r="F624" s="333"/>
      <c r="G624" s="334">
        <v>46109</v>
      </c>
      <c r="H624" s="335">
        <v>1285.26</v>
      </c>
      <c r="I624" s="336">
        <v>311.19</v>
      </c>
      <c r="J624" s="337">
        <v>2555.0529999999999</v>
      </c>
      <c r="K624" s="338" t="s">
        <v>398</v>
      </c>
      <c r="L624" s="339" t="s">
        <v>402</v>
      </c>
      <c r="M624" s="340">
        <v>30</v>
      </c>
      <c r="N624" s="341">
        <v>88653</v>
      </c>
      <c r="O624" s="332">
        <v>58</v>
      </c>
      <c r="P624" s="342">
        <v>11.3</v>
      </c>
      <c r="Q624" s="343">
        <v>11.918274687854712</v>
      </c>
      <c r="R624" s="344">
        <v>1.7717879604672058</v>
      </c>
      <c r="S624" s="344">
        <v>1.762</v>
      </c>
      <c r="T624" s="344">
        <v>1.972</v>
      </c>
      <c r="U624" s="344" t="s">
        <v>136</v>
      </c>
      <c r="V624" s="332" t="s">
        <v>137</v>
      </c>
      <c r="W624" s="345">
        <v>8</v>
      </c>
      <c r="X624" s="346">
        <v>4</v>
      </c>
      <c r="Y624" s="208">
        <v>2.8069999999999999</v>
      </c>
      <c r="Z624" s="332"/>
      <c r="AA624" s="342"/>
      <c r="AB624" s="342"/>
      <c r="AC624" s="342"/>
      <c r="AD624" s="347"/>
      <c r="AE624" s="358">
        <v>1.7290000000000001</v>
      </c>
      <c r="AF624" s="349">
        <v>0</v>
      </c>
      <c r="AG624" s="350"/>
      <c r="AH624" s="351" t="s">
        <v>139</v>
      </c>
      <c r="AI624" s="352" t="s">
        <v>139</v>
      </c>
      <c r="AJ624" s="206" t="s">
        <v>139</v>
      </c>
      <c r="AK624" s="353" t="s">
        <v>983</v>
      </c>
      <c r="AL624" s="206" t="s">
        <v>139</v>
      </c>
      <c r="AM624" s="349">
        <v>102.47472298827101</v>
      </c>
      <c r="AN624" s="354" t="s">
        <v>139</v>
      </c>
      <c r="AO624" s="355" t="s">
        <v>140</v>
      </c>
      <c r="AP624" s="206" t="s">
        <v>139</v>
      </c>
      <c r="AQ624" s="246">
        <v>0</v>
      </c>
      <c r="AR624" s="211"/>
      <c r="AS624" s="297">
        <f>+IF(Table1[[#This Row],[Column40]]="ok",Table1[[#This Row],[Column7]],0)</f>
        <v>1285.26</v>
      </c>
      <c r="AT624" s="295">
        <f>+IF(Table1[[#This Row],[Column40]]="No",Table1[[#This Row],[Column7]],0)</f>
        <v>0</v>
      </c>
      <c r="AU624" s="4" t="str">
        <f>+IF(LEFT(Table1[[#This Row],[Column42]],2)="DN",IF(Table1[[#This Row],[Column40]]="ok","(CA)",_xlfn.CONCAT("(CA)",CHAR(10),"FAIL")),"")</f>
        <v/>
      </c>
      <c r="AV624" s="154" t="str">
        <f>+IF(Table1[[#This Row],[Column6]]=0,"",_xlfn.CONCAT("Sem ",WEEKNUM(Table1[[#This Row],[Column6]],2)))</f>
        <v>Sem 13</v>
      </c>
      <c r="AW624" s="211"/>
    </row>
    <row r="625" spans="2:49" ht="19.5" customHeight="1" x14ac:dyDescent="0.3">
      <c r="B625" s="356" t="s">
        <v>1010</v>
      </c>
      <c r="C625" s="331"/>
      <c r="D625" s="332" t="s">
        <v>132</v>
      </c>
      <c r="E625" s="332" t="s">
        <v>133</v>
      </c>
      <c r="F625" s="333"/>
      <c r="G625" s="334">
        <v>46109</v>
      </c>
      <c r="H625" s="335">
        <v>1370.73</v>
      </c>
      <c r="I625" s="336">
        <v>349.71</v>
      </c>
      <c r="J625" s="337">
        <v>2544.2429999999999</v>
      </c>
      <c r="K625" s="338" t="s">
        <v>398</v>
      </c>
      <c r="L625" s="339" t="s">
        <v>224</v>
      </c>
      <c r="M625" s="340">
        <v>30</v>
      </c>
      <c r="N625" s="341">
        <v>88653</v>
      </c>
      <c r="O625" s="332">
        <v>58</v>
      </c>
      <c r="P625" s="342">
        <v>10.199999999999999</v>
      </c>
      <c r="Q625" s="343">
        <v>11.193181818181831</v>
      </c>
      <c r="R625" s="344">
        <v>1.7758620689655171</v>
      </c>
      <c r="S625" s="344">
        <v>1.76</v>
      </c>
      <c r="T625" s="344">
        <v>1.9570000000000001</v>
      </c>
      <c r="U625" s="344" t="s">
        <v>136</v>
      </c>
      <c r="V625" s="332" t="s">
        <v>137</v>
      </c>
      <c r="W625" s="345">
        <v>8</v>
      </c>
      <c r="X625" s="346">
        <v>4</v>
      </c>
      <c r="Y625" s="208">
        <v>2.8069999999999999</v>
      </c>
      <c r="Z625" s="332"/>
      <c r="AA625" s="342"/>
      <c r="AB625" s="342"/>
      <c r="AC625" s="342"/>
      <c r="AD625" s="347"/>
      <c r="AE625" s="358">
        <v>1.7290000000000001</v>
      </c>
      <c r="AF625" s="349">
        <v>0</v>
      </c>
      <c r="AG625" s="350"/>
      <c r="AH625" s="351" t="s">
        <v>139</v>
      </c>
      <c r="AI625" s="352" t="s">
        <v>139</v>
      </c>
      <c r="AJ625" s="206" t="s">
        <v>139</v>
      </c>
      <c r="AK625" s="353" t="s">
        <v>983</v>
      </c>
      <c r="AL625" s="206" t="s">
        <v>139</v>
      </c>
      <c r="AM625" s="349">
        <v>102.71035679384136</v>
      </c>
      <c r="AN625" s="354" t="s">
        <v>139</v>
      </c>
      <c r="AO625" s="355" t="s">
        <v>140</v>
      </c>
      <c r="AP625" s="206" t="s">
        <v>139</v>
      </c>
      <c r="AQ625" s="246">
        <v>0</v>
      </c>
      <c r="AR625" s="211"/>
      <c r="AS625" s="297">
        <f>+IF(Table1[[#This Row],[Column40]]="ok",Table1[[#This Row],[Column7]],0)</f>
        <v>1370.73</v>
      </c>
      <c r="AT625" s="295">
        <f>+IF(Table1[[#This Row],[Column40]]="No",Table1[[#This Row],[Column7]],0)</f>
        <v>0</v>
      </c>
      <c r="AU625" s="4" t="str">
        <f>+IF(LEFT(Table1[[#This Row],[Column42]],2)="DN",IF(Table1[[#This Row],[Column40]]="ok","(CA)",_xlfn.CONCAT("(CA)",CHAR(10),"FAIL")),"")</f>
        <v/>
      </c>
      <c r="AV625" s="154" t="str">
        <f>+IF(Table1[[#This Row],[Column6]]=0,"",_xlfn.CONCAT("Sem ",WEEKNUM(Table1[[#This Row],[Column6]],2)))</f>
        <v>Sem 13</v>
      </c>
      <c r="AW625" s="211"/>
    </row>
    <row r="626" spans="2:49" ht="19.5" customHeight="1" x14ac:dyDescent="0.3">
      <c r="B626" s="356" t="s">
        <v>1011</v>
      </c>
      <c r="C626" s="331"/>
      <c r="D626" s="332" t="s">
        <v>132</v>
      </c>
      <c r="E626" s="332" t="s">
        <v>133</v>
      </c>
      <c r="F626" s="333"/>
      <c r="G626" s="334">
        <v>46109</v>
      </c>
      <c r="H626" s="335">
        <v>1450.59</v>
      </c>
      <c r="I626" s="336">
        <v>350.81</v>
      </c>
      <c r="J626" s="337">
        <v>2543.1759999999999</v>
      </c>
      <c r="K626" s="338" t="s">
        <v>398</v>
      </c>
      <c r="L626" s="339" t="s">
        <v>558</v>
      </c>
      <c r="M626" s="340">
        <v>30</v>
      </c>
      <c r="N626" s="341">
        <v>88653</v>
      </c>
      <c r="O626" s="332">
        <v>58</v>
      </c>
      <c r="P626" s="342">
        <v>8.1</v>
      </c>
      <c r="Q626" s="343">
        <v>11.572700296735894</v>
      </c>
      <c r="R626" s="344">
        <v>1.7391304347826086</v>
      </c>
      <c r="S626" s="344">
        <v>1.6850000000000001</v>
      </c>
      <c r="T626" s="344">
        <v>1.88</v>
      </c>
      <c r="U626" s="344" t="s">
        <v>136</v>
      </c>
      <c r="V626" s="332" t="s">
        <v>137</v>
      </c>
      <c r="W626" s="345">
        <v>8</v>
      </c>
      <c r="X626" s="346">
        <v>4</v>
      </c>
      <c r="Y626" s="208">
        <v>2.8069999999999999</v>
      </c>
      <c r="Z626" s="332"/>
      <c r="AA626" s="342"/>
      <c r="AB626" s="342"/>
      <c r="AC626" s="342"/>
      <c r="AD626" s="347"/>
      <c r="AE626" s="358">
        <v>1.7335601946928447</v>
      </c>
      <c r="AF626" s="349">
        <v>16.089592355110089</v>
      </c>
      <c r="AG626" s="350"/>
      <c r="AH626" s="351">
        <v>1.722652885443583</v>
      </c>
      <c r="AI626" s="352">
        <v>2</v>
      </c>
      <c r="AJ626" s="206">
        <v>16.100000000000001</v>
      </c>
      <c r="AK626" s="353" t="s">
        <v>655</v>
      </c>
      <c r="AL626" s="206">
        <v>-1.0407644889912859E-2</v>
      </c>
      <c r="AM626" s="349">
        <v>100.32131795058612</v>
      </c>
      <c r="AN626" s="354" t="s">
        <v>139</v>
      </c>
      <c r="AO626" s="355" t="s">
        <v>140</v>
      </c>
      <c r="AP626" s="206" t="s">
        <v>139</v>
      </c>
      <c r="AQ626" s="246">
        <v>0</v>
      </c>
      <c r="AR626" s="211"/>
      <c r="AS626" s="297">
        <f>+IF(Table1[[#This Row],[Column40]]="ok",Table1[[#This Row],[Column7]],0)</f>
        <v>1450.59</v>
      </c>
      <c r="AT626" s="295">
        <f>+IF(Table1[[#This Row],[Column40]]="No",Table1[[#This Row],[Column7]],0)</f>
        <v>0</v>
      </c>
      <c r="AU626" s="4" t="str">
        <f>+IF(LEFT(Table1[[#This Row],[Column42]],2)="DN",IF(Table1[[#This Row],[Column40]]="ok","(CA)",_xlfn.CONCAT("(CA)",CHAR(10),"FAIL")),"")</f>
        <v/>
      </c>
      <c r="AV626" s="154" t="str">
        <f>+IF(Table1[[#This Row],[Column6]]=0,"",_xlfn.CONCAT("Sem ",WEEKNUM(Table1[[#This Row],[Column6]],2)))</f>
        <v>Sem 13</v>
      </c>
      <c r="AW626" s="211"/>
    </row>
    <row r="627" spans="2:49" ht="19.5" customHeight="1" x14ac:dyDescent="0.3">
      <c r="B627" s="356" t="s">
        <v>1012</v>
      </c>
      <c r="C627" s="331"/>
      <c r="D627" s="332" t="s">
        <v>132</v>
      </c>
      <c r="E627" s="332" t="s">
        <v>133</v>
      </c>
      <c r="F627" s="333"/>
      <c r="G627" s="334">
        <v>46109</v>
      </c>
      <c r="H627" s="335">
        <v>1553.79</v>
      </c>
      <c r="I627" s="336">
        <v>356.28</v>
      </c>
      <c r="J627" s="337">
        <v>2541.6379999999999</v>
      </c>
      <c r="K627" s="338" t="s">
        <v>184</v>
      </c>
      <c r="L627" s="339" t="s">
        <v>177</v>
      </c>
      <c r="M627" s="340">
        <v>30</v>
      </c>
      <c r="N627" s="341">
        <v>88653</v>
      </c>
      <c r="O627" s="332">
        <v>58</v>
      </c>
      <c r="P627" s="342">
        <v>10.6</v>
      </c>
      <c r="Q627" s="343">
        <v>11.049416990560811</v>
      </c>
      <c r="R627" s="344">
        <v>1.8083182640144664</v>
      </c>
      <c r="S627" s="344">
        <v>1.8009999999999999</v>
      </c>
      <c r="T627" s="344">
        <v>2</v>
      </c>
      <c r="U627" s="344" t="s">
        <v>136</v>
      </c>
      <c r="V627" s="332" t="s">
        <v>137</v>
      </c>
      <c r="W627" s="345">
        <v>8</v>
      </c>
      <c r="X627" s="346">
        <v>4</v>
      </c>
      <c r="Y627" s="208">
        <v>2.8069999999999999</v>
      </c>
      <c r="Z627" s="332"/>
      <c r="AA627" s="342"/>
      <c r="AB627" s="342"/>
      <c r="AC627" s="342"/>
      <c r="AD627" s="347"/>
      <c r="AE627" s="358">
        <v>1.7290000000000001</v>
      </c>
      <c r="AF627" s="349">
        <v>0</v>
      </c>
      <c r="AG627" s="350"/>
      <c r="AH627" s="351" t="s">
        <v>139</v>
      </c>
      <c r="AI627" s="352" t="s">
        <v>139</v>
      </c>
      <c r="AJ627" s="206" t="s">
        <v>139</v>
      </c>
      <c r="AK627" s="353" t="s">
        <v>983</v>
      </c>
      <c r="AL627" s="206" t="s">
        <v>139</v>
      </c>
      <c r="AM627" s="349">
        <v>104.58752249939076</v>
      </c>
      <c r="AN627" s="354" t="s">
        <v>139</v>
      </c>
      <c r="AO627" s="355" t="s">
        <v>140</v>
      </c>
      <c r="AP627" s="206" t="s">
        <v>139</v>
      </c>
      <c r="AQ627" s="246">
        <v>0</v>
      </c>
      <c r="AR627" s="211"/>
      <c r="AS627" s="297">
        <f>+IF(Table1[[#This Row],[Column40]]="ok",Table1[[#This Row],[Column7]],0)</f>
        <v>1553.79</v>
      </c>
      <c r="AT627" s="295">
        <f>+IF(Table1[[#This Row],[Column40]]="No",Table1[[#This Row],[Column7]],0)</f>
        <v>0</v>
      </c>
      <c r="AU627" s="4" t="str">
        <f>+IF(LEFT(Table1[[#This Row],[Column42]],2)="DN",IF(Table1[[#This Row],[Column40]]="ok","(CA)",_xlfn.CONCAT("(CA)",CHAR(10),"FAIL")),"")</f>
        <v/>
      </c>
      <c r="AV627" s="154" t="str">
        <f>+IF(Table1[[#This Row],[Column6]]=0,"",_xlfn.CONCAT("Sem ",WEEKNUM(Table1[[#This Row],[Column6]],2)))</f>
        <v>Sem 13</v>
      </c>
      <c r="AW627" s="211"/>
    </row>
    <row r="628" spans="2:49" ht="19.5" customHeight="1" x14ac:dyDescent="0.3">
      <c r="B628" s="356" t="s">
        <v>1013</v>
      </c>
      <c r="C628" s="331"/>
      <c r="D628" s="332" t="s">
        <v>132</v>
      </c>
      <c r="E628" s="332" t="s">
        <v>133</v>
      </c>
      <c r="F628" s="333"/>
      <c r="G628" s="334">
        <v>46109</v>
      </c>
      <c r="H628" s="335">
        <v>1564.3</v>
      </c>
      <c r="I628" s="336">
        <v>421.72</v>
      </c>
      <c r="J628" s="337">
        <v>2521.7570000000001</v>
      </c>
      <c r="K628" s="338" t="s">
        <v>184</v>
      </c>
      <c r="L628" s="339" t="s">
        <v>177</v>
      </c>
      <c r="M628" s="340">
        <v>30</v>
      </c>
      <c r="N628" s="341">
        <v>88653</v>
      </c>
      <c r="O628" s="332">
        <v>58</v>
      </c>
      <c r="P628" s="342">
        <v>9.7000000000000011</v>
      </c>
      <c r="Q628" s="343">
        <v>11.472501478415143</v>
      </c>
      <c r="R628" s="344">
        <v>1.7183226982680038</v>
      </c>
      <c r="S628" s="344">
        <v>1.6910000000000001</v>
      </c>
      <c r="T628" s="344">
        <v>1.885</v>
      </c>
      <c r="U628" s="344" t="s">
        <v>136</v>
      </c>
      <c r="V628" s="332" t="s">
        <v>137</v>
      </c>
      <c r="W628" s="345">
        <v>8</v>
      </c>
      <c r="X628" s="346">
        <v>4</v>
      </c>
      <c r="Y628" s="208">
        <v>2.8069999999999999</v>
      </c>
      <c r="Z628" s="332"/>
      <c r="AA628" s="342"/>
      <c r="AB628" s="342"/>
      <c r="AC628" s="342"/>
      <c r="AD628" s="347"/>
      <c r="AE628" s="358">
        <v>1.7335601946928447</v>
      </c>
      <c r="AF628" s="349">
        <v>16.089592355110089</v>
      </c>
      <c r="AG628" s="350"/>
      <c r="AH628" s="351">
        <v>1.719207579672696</v>
      </c>
      <c r="AI628" s="352">
        <v>1.996</v>
      </c>
      <c r="AJ628" s="206">
        <v>16.100000000000001</v>
      </c>
      <c r="AK628" s="353" t="s">
        <v>655</v>
      </c>
      <c r="AL628" s="206">
        <v>-1.0407644889912859E-2</v>
      </c>
      <c r="AM628" s="349">
        <v>99.121028708925749</v>
      </c>
      <c r="AN628" s="354" t="s">
        <v>139</v>
      </c>
      <c r="AO628" s="355" t="s">
        <v>140</v>
      </c>
      <c r="AP628" s="206" t="s">
        <v>139</v>
      </c>
      <c r="AQ628" s="246">
        <v>0</v>
      </c>
      <c r="AR628" s="211"/>
      <c r="AS628" s="297">
        <f>+IF(Table1[[#This Row],[Column40]]="ok",Table1[[#This Row],[Column7]],0)</f>
        <v>1564.3</v>
      </c>
      <c r="AT628" s="295">
        <f>+IF(Table1[[#This Row],[Column40]]="No",Table1[[#This Row],[Column7]],0)</f>
        <v>0</v>
      </c>
      <c r="AU628" s="4" t="str">
        <f>+IF(LEFT(Table1[[#This Row],[Column42]],2)="DN",IF(Table1[[#This Row],[Column40]]="ok","(CA)",_xlfn.CONCAT("(CA)",CHAR(10),"FAIL")),"")</f>
        <v/>
      </c>
      <c r="AV628" s="154" t="str">
        <f>+IF(Table1[[#This Row],[Column6]]=0,"",_xlfn.CONCAT("Sem ",WEEKNUM(Table1[[#This Row],[Column6]],2)))</f>
        <v>Sem 13</v>
      </c>
      <c r="AW628" s="211"/>
    </row>
    <row r="629" spans="2:49" ht="19.5" customHeight="1" x14ac:dyDescent="0.3">
      <c r="B629" s="356" t="s">
        <v>1014</v>
      </c>
      <c r="C629" s="331"/>
      <c r="D629" s="332" t="s">
        <v>132</v>
      </c>
      <c r="E629" s="332" t="s">
        <v>133</v>
      </c>
      <c r="F629" s="333"/>
      <c r="G629" s="334">
        <v>46109</v>
      </c>
      <c r="H629" s="335">
        <v>1425.66</v>
      </c>
      <c r="I629" s="336">
        <v>432.43</v>
      </c>
      <c r="J629" s="337">
        <v>2519.0279999999998</v>
      </c>
      <c r="K629" s="338" t="s">
        <v>398</v>
      </c>
      <c r="L629" s="339" t="s">
        <v>230</v>
      </c>
      <c r="M629" s="340">
        <v>30</v>
      </c>
      <c r="N629" s="341">
        <v>88653</v>
      </c>
      <c r="O629" s="332">
        <v>58</v>
      </c>
      <c r="P629" s="342">
        <v>8.4</v>
      </c>
      <c r="Q629" s="343">
        <v>11.512027491408938</v>
      </c>
      <c r="R629" s="344">
        <v>1.7961254612546125</v>
      </c>
      <c r="S629" s="344">
        <v>1.746</v>
      </c>
      <c r="T629" s="344">
        <v>1.9470000000000001</v>
      </c>
      <c r="U629" s="344" t="s">
        <v>136</v>
      </c>
      <c r="V629" s="332" t="s">
        <v>137</v>
      </c>
      <c r="W629" s="345">
        <v>8</v>
      </c>
      <c r="X629" s="346">
        <v>4</v>
      </c>
      <c r="Y629" s="208">
        <v>2.8069999999999999</v>
      </c>
      <c r="Z629" s="332"/>
      <c r="AA629" s="342"/>
      <c r="AB629" s="342"/>
      <c r="AC629" s="342"/>
      <c r="AD629" s="347"/>
      <c r="AE629" s="358">
        <v>1.7290000000000001</v>
      </c>
      <c r="AF629" s="349">
        <v>0</v>
      </c>
      <c r="AG629" s="350"/>
      <c r="AH629" s="351" t="s">
        <v>139</v>
      </c>
      <c r="AI629" s="352" t="s">
        <v>139</v>
      </c>
      <c r="AJ629" s="206" t="s">
        <v>139</v>
      </c>
      <c r="AK629" s="353" t="s">
        <v>983</v>
      </c>
      <c r="AL629" s="206" t="s">
        <v>139</v>
      </c>
      <c r="AM629" s="349">
        <v>103.88232858615456</v>
      </c>
      <c r="AN629" s="354" t="s">
        <v>139</v>
      </c>
      <c r="AO629" s="355" t="s">
        <v>140</v>
      </c>
      <c r="AP629" s="206" t="s">
        <v>139</v>
      </c>
      <c r="AQ629" s="246">
        <v>0</v>
      </c>
      <c r="AR629" s="211"/>
      <c r="AS629" s="297">
        <f>+IF(Table1[[#This Row],[Column40]]="ok",Table1[[#This Row],[Column7]],0)</f>
        <v>1425.66</v>
      </c>
      <c r="AT629" s="295">
        <f>+IF(Table1[[#This Row],[Column40]]="No",Table1[[#This Row],[Column7]],0)</f>
        <v>0</v>
      </c>
      <c r="AU629" s="4" t="str">
        <f>+IF(LEFT(Table1[[#This Row],[Column42]],2)="DN",IF(Table1[[#This Row],[Column40]]="ok","(CA)",_xlfn.CONCAT("(CA)",CHAR(10),"FAIL")),"")</f>
        <v/>
      </c>
      <c r="AV629" s="154" t="str">
        <f>+IF(Table1[[#This Row],[Column6]]=0,"",_xlfn.CONCAT("Sem ",WEEKNUM(Table1[[#This Row],[Column6]],2)))</f>
        <v>Sem 13</v>
      </c>
      <c r="AW629" s="211"/>
    </row>
    <row r="630" spans="2:49" ht="19.5" customHeight="1" x14ac:dyDescent="0.3">
      <c r="B630" s="356" t="s">
        <v>1015</v>
      </c>
      <c r="C630" s="331"/>
      <c r="D630" s="332" t="s">
        <v>132</v>
      </c>
      <c r="E630" s="332" t="s">
        <v>133</v>
      </c>
      <c r="F630" s="333"/>
      <c r="G630" s="334">
        <v>46109</v>
      </c>
      <c r="H630" s="335">
        <v>1286.23</v>
      </c>
      <c r="I630" s="336">
        <v>396.53</v>
      </c>
      <c r="J630" s="337">
        <v>2530.14</v>
      </c>
      <c r="K630" s="338" t="s">
        <v>398</v>
      </c>
      <c r="L630" s="339" t="s">
        <v>402</v>
      </c>
      <c r="M630" s="340">
        <v>30</v>
      </c>
      <c r="N630" s="341">
        <v>88653</v>
      </c>
      <c r="O630" s="332">
        <v>58</v>
      </c>
      <c r="P630" s="342">
        <v>11</v>
      </c>
      <c r="Q630" s="343">
        <v>11.341393206678173</v>
      </c>
      <c r="R630" s="344">
        <v>1.7423423423423421</v>
      </c>
      <c r="S630" s="344">
        <v>1.7370000000000001</v>
      </c>
      <c r="T630" s="344">
        <v>1.9339999999999999</v>
      </c>
      <c r="U630" s="344" t="s">
        <v>136</v>
      </c>
      <c r="V630" s="332" t="s">
        <v>137</v>
      </c>
      <c r="W630" s="345">
        <v>8</v>
      </c>
      <c r="X630" s="346">
        <v>4</v>
      </c>
      <c r="Y630" s="208">
        <v>2.8069999999999999</v>
      </c>
      <c r="Z630" s="332"/>
      <c r="AA630" s="342"/>
      <c r="AB630" s="342"/>
      <c r="AC630" s="342"/>
      <c r="AD630" s="347"/>
      <c r="AE630" s="358">
        <v>1.7290000000000001</v>
      </c>
      <c r="AF630" s="349" t="s">
        <v>139</v>
      </c>
      <c r="AG630" s="350"/>
      <c r="AH630" s="351" t="s">
        <v>139</v>
      </c>
      <c r="AI630" s="351" t="s">
        <v>139</v>
      </c>
      <c r="AJ630" s="206" t="s">
        <v>139</v>
      </c>
      <c r="AK630" s="353" t="s">
        <v>983</v>
      </c>
      <c r="AL630" s="206" t="s">
        <v>139</v>
      </c>
      <c r="AM630" s="349">
        <v>100.77167971904812</v>
      </c>
      <c r="AN630" s="354" t="s">
        <v>139</v>
      </c>
      <c r="AO630" s="355" t="s">
        <v>140</v>
      </c>
      <c r="AP630" s="206" t="s">
        <v>139</v>
      </c>
      <c r="AQ630" s="207">
        <v>0</v>
      </c>
      <c r="AR630" s="211"/>
      <c r="AS630" s="297">
        <f>+IF(Table1[[#This Row],[Column40]]="ok",Table1[[#This Row],[Column7]],0)</f>
        <v>1286.23</v>
      </c>
      <c r="AT630" s="295">
        <f>+IF(Table1[[#This Row],[Column40]]="No",Table1[[#This Row],[Column7]],0)</f>
        <v>0</v>
      </c>
      <c r="AU630" s="4" t="str">
        <f>+IF(LEFT(Table1[[#This Row],[Column42]],2)="DN",IF(Table1[[#This Row],[Column40]]="ok","(CA)",_xlfn.CONCAT("(CA)",CHAR(10),"FAIL")),"")</f>
        <v/>
      </c>
      <c r="AV630" s="154" t="str">
        <f>+IF(Table1[[#This Row],[Column6]]=0,"",_xlfn.CONCAT("Sem ",WEEKNUM(Table1[[#This Row],[Column6]],2)))</f>
        <v>Sem 13</v>
      </c>
      <c r="AW630" s="211"/>
    </row>
    <row r="631" spans="2:49" ht="19.5" customHeight="1" x14ac:dyDescent="0.3">
      <c r="B631" s="356" t="s">
        <v>1016</v>
      </c>
      <c r="C631" s="331"/>
      <c r="D631" s="332" t="s">
        <v>132</v>
      </c>
      <c r="E631" s="332" t="s">
        <v>133</v>
      </c>
      <c r="F631" s="333"/>
      <c r="G631" s="334">
        <v>46109</v>
      </c>
      <c r="H631" s="335">
        <v>40.22</v>
      </c>
      <c r="I631" s="336">
        <v>-16.14</v>
      </c>
      <c r="J631" s="337">
        <v>2636.2020000000002</v>
      </c>
      <c r="K631" s="338" t="s">
        <v>356</v>
      </c>
      <c r="L631" s="339" t="s">
        <v>1017</v>
      </c>
      <c r="M631" s="340">
        <v>30</v>
      </c>
      <c r="N631" s="341">
        <v>88653</v>
      </c>
      <c r="O631" s="332">
        <v>58</v>
      </c>
      <c r="P631" s="342">
        <v>15.6</v>
      </c>
      <c r="Q631" s="343">
        <v>14.852607709750565</v>
      </c>
      <c r="R631" s="344">
        <v>1.7525951557093424</v>
      </c>
      <c r="S631" s="344">
        <v>1.764</v>
      </c>
      <c r="T631" s="344">
        <v>2.0259999999999998</v>
      </c>
      <c r="U631" s="344" t="s">
        <v>136</v>
      </c>
      <c r="V631" s="332" t="s">
        <v>169</v>
      </c>
      <c r="W631" s="345">
        <v>4</v>
      </c>
      <c r="X631" s="346">
        <v>2</v>
      </c>
      <c r="Y631" s="208">
        <v>2.8069999999999999</v>
      </c>
      <c r="Z631" s="332"/>
      <c r="AA631" s="342"/>
      <c r="AB631" s="342"/>
      <c r="AC631" s="342"/>
      <c r="AD631" s="123"/>
      <c r="AE631" s="358">
        <v>1.7290000000000001</v>
      </c>
      <c r="AF631" s="349">
        <v>0</v>
      </c>
      <c r="AG631" s="350"/>
      <c r="AH631" s="351" t="s">
        <v>139</v>
      </c>
      <c r="AI631" s="351" t="s">
        <v>139</v>
      </c>
      <c r="AJ631" s="206" t="s">
        <v>139</v>
      </c>
      <c r="AK631" s="353" t="s">
        <v>983</v>
      </c>
      <c r="AL631" s="206" t="s">
        <v>139</v>
      </c>
      <c r="AM631" s="349">
        <v>101.364670659881</v>
      </c>
      <c r="AN631" s="354" t="s">
        <v>139</v>
      </c>
      <c r="AO631" s="355" t="s">
        <v>140</v>
      </c>
      <c r="AP631" s="206" t="s">
        <v>139</v>
      </c>
      <c r="AQ631" s="207">
        <v>0</v>
      </c>
      <c r="AR631" s="211"/>
      <c r="AS631" s="297">
        <f>+IF(Table1[[#This Row],[Column40]]="ok",Table1[[#This Row],[Column7]],0)</f>
        <v>40.22</v>
      </c>
      <c r="AT631" s="295">
        <f>+IF(Table1[[#This Row],[Column40]]="No",Table1[[#This Row],[Column7]],0)</f>
        <v>0</v>
      </c>
      <c r="AU631" s="4" t="str">
        <f>+IF(LEFT(Table1[[#This Row],[Column42]],2)="DN",IF(Table1[[#This Row],[Column40]]="ok","(CA)",_xlfn.CONCAT("(CA)",CHAR(10),"FAIL")),"")</f>
        <v/>
      </c>
      <c r="AV631" s="154" t="str">
        <f>+IF(Table1[[#This Row],[Column6]]=0,"",_xlfn.CONCAT("Sem ",WEEKNUM(Table1[[#This Row],[Column6]],2)))</f>
        <v>Sem 13</v>
      </c>
      <c r="AW631" s="211"/>
    </row>
    <row r="632" spans="2:49" ht="19.5" customHeight="1" x14ac:dyDescent="0.3">
      <c r="B632" s="356" t="s">
        <v>1018</v>
      </c>
      <c r="C632" s="331"/>
      <c r="D632" s="332" t="s">
        <v>132</v>
      </c>
      <c r="E632" s="332" t="s">
        <v>176</v>
      </c>
      <c r="F632" s="333"/>
      <c r="G632" s="334">
        <v>46109</v>
      </c>
      <c r="H632" s="335">
        <v>1616.19</v>
      </c>
      <c r="I632" s="336">
        <v>161.53</v>
      </c>
      <c r="J632" s="337">
        <v>2595.81</v>
      </c>
      <c r="K632" s="338" t="s">
        <v>162</v>
      </c>
      <c r="L632" s="339" t="s">
        <v>163</v>
      </c>
      <c r="M632" s="340">
        <v>30</v>
      </c>
      <c r="N632" s="341">
        <v>88653</v>
      </c>
      <c r="O632" s="332">
        <v>58</v>
      </c>
      <c r="P632" s="342">
        <v>8.6999999999999993</v>
      </c>
      <c r="Q632" s="343">
        <v>11.38070479491622</v>
      </c>
      <c r="R632" s="344">
        <v>1.7736890524379025</v>
      </c>
      <c r="S632" s="344">
        <v>1.7310000000000001</v>
      </c>
      <c r="T632" s="344">
        <v>1.9279999999999999</v>
      </c>
      <c r="U632" s="344" t="s">
        <v>136</v>
      </c>
      <c r="V632" s="332" t="s">
        <v>137</v>
      </c>
      <c r="W632" s="345">
        <v>8</v>
      </c>
      <c r="X632" s="346">
        <v>4</v>
      </c>
      <c r="Y632" s="208">
        <v>2.8069999999999999</v>
      </c>
      <c r="Z632" s="332"/>
      <c r="AA632" s="342"/>
      <c r="AB632" s="342"/>
      <c r="AC632" s="342"/>
      <c r="AD632" s="347"/>
      <c r="AE632" s="358">
        <v>1.7335601946928447</v>
      </c>
      <c r="AF632" s="349">
        <v>16.089592355110089</v>
      </c>
      <c r="AG632" s="350"/>
      <c r="AH632" s="351">
        <v>1.7344827586206897</v>
      </c>
      <c r="AI632" s="352">
        <v>2.012</v>
      </c>
      <c r="AJ632" s="206">
        <v>16</v>
      </c>
      <c r="AK632" s="353" t="s">
        <v>655</v>
      </c>
      <c r="AL632" s="206">
        <v>8.9592355110088562E-2</v>
      </c>
      <c r="AM632" s="349">
        <v>102.31482344068057</v>
      </c>
      <c r="AN632" s="354" t="s">
        <v>139</v>
      </c>
      <c r="AO632" s="355" t="s">
        <v>140</v>
      </c>
      <c r="AP632" s="206" t="s">
        <v>139</v>
      </c>
      <c r="AQ632" s="246" t="s">
        <v>1019</v>
      </c>
      <c r="AR632" s="211"/>
      <c r="AS632" s="297">
        <f>+IF(Table1[[#This Row],[Column40]]="ok",Table1[[#This Row],[Column7]],0)</f>
        <v>1616.19</v>
      </c>
      <c r="AT632" s="295">
        <f>+IF(Table1[[#This Row],[Column40]]="No",Table1[[#This Row],[Column7]],0)</f>
        <v>0</v>
      </c>
      <c r="AU632" s="4" t="str">
        <f>+IF(LEFT(Table1[[#This Row],[Column42]],2)="DN",IF(Table1[[#This Row],[Column40]]="ok","(CA)",_xlfn.CONCAT("(CA)",CHAR(10),"FAIL")),"")</f>
        <v/>
      </c>
      <c r="AV632" s="154" t="str">
        <f>+IF(Table1[[#This Row],[Column6]]=0,"",_xlfn.CONCAT("Sem ",WEEKNUM(Table1[[#This Row],[Column6]],2)))</f>
        <v>Sem 13</v>
      </c>
      <c r="AW632" s="211"/>
    </row>
    <row r="633" spans="2:49" ht="19.5" customHeight="1" x14ac:dyDescent="0.3">
      <c r="B633" s="356" t="s">
        <v>1019</v>
      </c>
      <c r="C633" s="331"/>
      <c r="D633" s="332" t="s">
        <v>132</v>
      </c>
      <c r="E633" s="332" t="s">
        <v>176</v>
      </c>
      <c r="F633" s="333"/>
      <c r="G633" s="334">
        <v>46109</v>
      </c>
      <c r="H633" s="335">
        <v>1616.19</v>
      </c>
      <c r="I633" s="336">
        <v>161.53</v>
      </c>
      <c r="J633" s="337">
        <v>2595.81</v>
      </c>
      <c r="K633" s="338" t="s">
        <v>162</v>
      </c>
      <c r="L633" s="339" t="s">
        <v>163</v>
      </c>
      <c r="M633" s="340">
        <v>15</v>
      </c>
      <c r="N633" s="341"/>
      <c r="O633" s="332"/>
      <c r="P633" s="342">
        <v>8.6912065439672812</v>
      </c>
      <c r="Q633" s="343"/>
      <c r="R633" s="344">
        <v>1.7650981661800096</v>
      </c>
      <c r="S633" s="344"/>
      <c r="T633" s="344">
        <v>1.9185064935064933</v>
      </c>
      <c r="U633" s="344" t="s">
        <v>142</v>
      </c>
      <c r="V633" s="332" t="s">
        <v>137</v>
      </c>
      <c r="W633" s="345" t="s">
        <v>173</v>
      </c>
      <c r="X633" s="346" t="s">
        <v>680</v>
      </c>
      <c r="Y633" s="208"/>
      <c r="Z633" s="332" t="s">
        <v>143</v>
      </c>
      <c r="AA633" s="342">
        <v>98.977505112474432</v>
      </c>
      <c r="AB633" s="342">
        <v>79.652351738241308</v>
      </c>
      <c r="AC633" s="342">
        <v>37.832310838445807</v>
      </c>
      <c r="AD633" s="347">
        <v>12.406271301976815</v>
      </c>
      <c r="AE633" s="358">
        <v>1.7335601946928447</v>
      </c>
      <c r="AF633" s="349">
        <v>16.089592355110089</v>
      </c>
      <c r="AG633" s="350" t="s">
        <v>655</v>
      </c>
      <c r="AH633" s="351">
        <v>1.7339044911632264</v>
      </c>
      <c r="AI633" s="352">
        <v>2.012136697540722</v>
      </c>
      <c r="AJ633" s="206">
        <v>16.046570488483923</v>
      </c>
      <c r="AK633" s="353" t="s">
        <v>655</v>
      </c>
      <c r="AL633" s="206">
        <v>4.3021866626165917E-2</v>
      </c>
      <c r="AM633" s="349">
        <v>101.81926024742123</v>
      </c>
      <c r="AN633" s="354" t="s">
        <v>139</v>
      </c>
      <c r="AO633" s="355" t="s">
        <v>144</v>
      </c>
      <c r="AP633" s="206">
        <v>0</v>
      </c>
      <c r="AQ633" s="246" t="s">
        <v>1018</v>
      </c>
      <c r="AR633" s="211"/>
      <c r="AS633" s="297">
        <f>+IF(Table1[[#This Row],[Column40]]="ok",Table1[[#This Row],[Column7]],0)</f>
        <v>1616.19</v>
      </c>
      <c r="AT633" s="295">
        <f>+IF(Table1[[#This Row],[Column40]]="No",Table1[[#This Row],[Column7]],0)</f>
        <v>0</v>
      </c>
      <c r="AU633" s="4" t="str">
        <f>+IF(LEFT(Table1[[#This Row],[Column42]],2)="DN",IF(Table1[[#This Row],[Column40]]="ok","(CA)",_xlfn.CONCAT("(CA)",CHAR(10),"FAIL")),"")</f>
        <v>(CA)</v>
      </c>
      <c r="AV633" s="154" t="str">
        <f>+IF(Table1[[#This Row],[Column6]]=0,"",_xlfn.CONCAT("Sem ",WEEKNUM(Table1[[#This Row],[Column6]],2)))</f>
        <v>Sem 13</v>
      </c>
      <c r="AW633" s="211"/>
    </row>
    <row r="634" spans="2:49" ht="19.5" customHeight="1" x14ac:dyDescent="0.3">
      <c r="B634" s="356" t="s">
        <v>1020</v>
      </c>
      <c r="C634" s="331"/>
      <c r="D634" s="332" t="s">
        <v>132</v>
      </c>
      <c r="E634" s="332" t="s">
        <v>176</v>
      </c>
      <c r="F634" s="333"/>
      <c r="G634" s="334">
        <v>46109</v>
      </c>
      <c r="H634" s="335">
        <v>1556.38</v>
      </c>
      <c r="I634" s="336">
        <v>129.65</v>
      </c>
      <c r="J634" s="337">
        <v>2607.38</v>
      </c>
      <c r="K634" s="338" t="s">
        <v>162</v>
      </c>
      <c r="L634" s="339" t="s">
        <v>177</v>
      </c>
      <c r="M634" s="340">
        <v>30</v>
      </c>
      <c r="N634" s="341">
        <v>88653</v>
      </c>
      <c r="O634" s="332">
        <v>58</v>
      </c>
      <c r="P634" s="342">
        <v>10.199999999999999</v>
      </c>
      <c r="Q634" s="343">
        <v>10.718294051627385</v>
      </c>
      <c r="R634" s="344">
        <v>1.7903811252268602</v>
      </c>
      <c r="S634" s="344">
        <v>1.782</v>
      </c>
      <c r="T634" s="344">
        <v>1.9730000000000001</v>
      </c>
      <c r="U634" s="344" t="s">
        <v>136</v>
      </c>
      <c r="V634" s="332" t="s">
        <v>137</v>
      </c>
      <c r="W634" s="345">
        <v>8</v>
      </c>
      <c r="X634" s="346">
        <v>4</v>
      </c>
      <c r="Y634" s="208">
        <v>2.8069999999999999</v>
      </c>
      <c r="Z634" s="332"/>
      <c r="AA634" s="342"/>
      <c r="AB634" s="342"/>
      <c r="AC634" s="342"/>
      <c r="AD634" s="347"/>
      <c r="AE634" s="358">
        <v>1.7290000000000001</v>
      </c>
      <c r="AF634" s="349">
        <v>0</v>
      </c>
      <c r="AG634" s="350"/>
      <c r="AH634" s="351" t="s">
        <v>139</v>
      </c>
      <c r="AI634" s="352" t="s">
        <v>139</v>
      </c>
      <c r="AJ634" s="206" t="s">
        <v>139</v>
      </c>
      <c r="AK634" s="353" t="s">
        <v>983</v>
      </c>
      <c r="AL634" s="206" t="s">
        <v>139</v>
      </c>
      <c r="AM634" s="349">
        <v>103.55009399808328</v>
      </c>
      <c r="AN634" s="354" t="s">
        <v>139</v>
      </c>
      <c r="AO634" s="355" t="s">
        <v>140</v>
      </c>
      <c r="AP634" s="206" t="s">
        <v>139</v>
      </c>
      <c r="AQ634" s="246"/>
      <c r="AR634" s="211"/>
      <c r="AS634" s="297">
        <f>+IF(Table1[[#This Row],[Column40]]="ok",Table1[[#This Row],[Column7]],0)</f>
        <v>1556.38</v>
      </c>
      <c r="AT634" s="295">
        <f>+IF(Table1[[#This Row],[Column40]]="No",Table1[[#This Row],[Column7]],0)</f>
        <v>0</v>
      </c>
      <c r="AU634" s="4" t="str">
        <f>+IF(LEFT(Table1[[#This Row],[Column42]],2)="DN",IF(Table1[[#This Row],[Column40]]="ok","(CA)",_xlfn.CONCAT("(CA)",CHAR(10),"FAIL")),"")</f>
        <v/>
      </c>
      <c r="AV634" s="154" t="str">
        <f>+IF(Table1[[#This Row],[Column6]]=0,"",_xlfn.CONCAT("Sem ",WEEKNUM(Table1[[#This Row],[Column6]],2)))</f>
        <v>Sem 13</v>
      </c>
      <c r="AW634" s="211"/>
    </row>
    <row r="635" spans="2:49" ht="19.5" customHeight="1" x14ac:dyDescent="0.3">
      <c r="B635" s="356" t="s">
        <v>1021</v>
      </c>
      <c r="C635" s="331"/>
      <c r="D635" s="332" t="s">
        <v>132</v>
      </c>
      <c r="E635" s="332" t="s">
        <v>176</v>
      </c>
      <c r="F635" s="333"/>
      <c r="G635" s="334">
        <v>46109</v>
      </c>
      <c r="H635" s="335">
        <v>1477.46</v>
      </c>
      <c r="I635" s="336">
        <v>108.72</v>
      </c>
      <c r="J635" s="337">
        <v>2613.73</v>
      </c>
      <c r="K635" s="338" t="s">
        <v>162</v>
      </c>
      <c r="L635" s="339" t="s">
        <v>179</v>
      </c>
      <c r="M635" s="340">
        <v>30</v>
      </c>
      <c r="N635" s="341">
        <v>88653</v>
      </c>
      <c r="O635" s="332">
        <v>58</v>
      </c>
      <c r="P635" s="342">
        <v>9.1999999999999993</v>
      </c>
      <c r="Q635" s="343">
        <v>11.509543088490437</v>
      </c>
      <c r="R635" s="344">
        <v>1.7655677655677653</v>
      </c>
      <c r="S635" s="344">
        <v>1.7290000000000001</v>
      </c>
      <c r="T635" s="344">
        <v>1.9279999999999999</v>
      </c>
      <c r="U635" s="344" t="s">
        <v>136</v>
      </c>
      <c r="V635" s="332" t="s">
        <v>137</v>
      </c>
      <c r="W635" s="345">
        <v>8</v>
      </c>
      <c r="X635" s="346">
        <v>4</v>
      </c>
      <c r="Y635" s="208">
        <v>2.8069999999999999</v>
      </c>
      <c r="Z635" s="332"/>
      <c r="AA635" s="342"/>
      <c r="AB635" s="342"/>
      <c r="AC635" s="342"/>
      <c r="AD635" s="347"/>
      <c r="AE635" s="358">
        <v>1.7290000000000001</v>
      </c>
      <c r="AF635" s="349">
        <v>0</v>
      </c>
      <c r="AG635" s="350"/>
      <c r="AH635" s="351" t="s">
        <v>139</v>
      </c>
      <c r="AI635" s="352" t="s">
        <v>139</v>
      </c>
      <c r="AJ635" s="206" t="s">
        <v>139</v>
      </c>
      <c r="AK635" s="353" t="s">
        <v>655</v>
      </c>
      <c r="AL635" s="206" t="s">
        <v>139</v>
      </c>
      <c r="AM635" s="349">
        <v>102.11496619825131</v>
      </c>
      <c r="AN635" s="354" t="s">
        <v>139</v>
      </c>
      <c r="AO635" s="355" t="s">
        <v>140</v>
      </c>
      <c r="AP635" s="206" t="s">
        <v>139</v>
      </c>
      <c r="AQ635" s="246"/>
      <c r="AR635" s="211"/>
      <c r="AS635" s="297">
        <f>+IF(Table1[[#This Row],[Column40]]="ok",Table1[[#This Row],[Column7]],0)</f>
        <v>1477.46</v>
      </c>
      <c r="AT635" s="295">
        <f>+IF(Table1[[#This Row],[Column40]]="No",Table1[[#This Row],[Column7]],0)</f>
        <v>0</v>
      </c>
      <c r="AU635" s="4" t="str">
        <f>+IF(LEFT(Table1[[#This Row],[Column42]],2)="DN",IF(Table1[[#This Row],[Column40]]="ok","(CA)",_xlfn.CONCAT("(CA)",CHAR(10),"FAIL")),"")</f>
        <v/>
      </c>
      <c r="AV635" s="154" t="str">
        <f>+IF(Table1[[#This Row],[Column6]]=0,"",_xlfn.CONCAT("Sem ",WEEKNUM(Table1[[#This Row],[Column6]],2)))</f>
        <v>Sem 13</v>
      </c>
      <c r="AW635" s="211"/>
    </row>
    <row r="636" spans="2:49" ht="19.5" customHeight="1" x14ac:dyDescent="0.3">
      <c r="B636" s="356" t="s">
        <v>1022</v>
      </c>
      <c r="C636" s="331"/>
      <c r="D636" s="332" t="s">
        <v>132</v>
      </c>
      <c r="E636" s="332" t="s">
        <v>176</v>
      </c>
      <c r="F636" s="333"/>
      <c r="G636" s="334">
        <v>46109</v>
      </c>
      <c r="H636" s="335">
        <v>1446.01</v>
      </c>
      <c r="I636" s="336">
        <v>166.69</v>
      </c>
      <c r="J636" s="337">
        <v>2596.15</v>
      </c>
      <c r="K636" s="338" t="s">
        <v>221</v>
      </c>
      <c r="L636" s="339" t="s">
        <v>558</v>
      </c>
      <c r="M636" s="340">
        <v>30</v>
      </c>
      <c r="N636" s="341">
        <v>88653</v>
      </c>
      <c r="O636" s="332">
        <v>58</v>
      </c>
      <c r="P636" s="342">
        <v>8.9</v>
      </c>
      <c r="Q636" s="343">
        <v>9.4742923165800121</v>
      </c>
      <c r="R636" s="344">
        <v>1.7401285583103765</v>
      </c>
      <c r="S636" s="344">
        <v>1.7310000000000001</v>
      </c>
      <c r="T636" s="344">
        <v>1.895</v>
      </c>
      <c r="U636" s="344" t="s">
        <v>136</v>
      </c>
      <c r="V636" s="332" t="s">
        <v>137</v>
      </c>
      <c r="W636" s="345">
        <v>8</v>
      </c>
      <c r="X636" s="346">
        <v>4</v>
      </c>
      <c r="Y636" s="208">
        <v>2.8069999999999999</v>
      </c>
      <c r="Z636" s="332"/>
      <c r="AA636" s="342"/>
      <c r="AB636" s="342"/>
      <c r="AC636" s="342"/>
      <c r="AD636" s="347"/>
      <c r="AE636" s="358">
        <v>1.7290000000000001</v>
      </c>
      <c r="AF636" s="349">
        <v>0</v>
      </c>
      <c r="AG636" s="350"/>
      <c r="AH636" s="351" t="s">
        <v>139</v>
      </c>
      <c r="AI636" s="352" t="s">
        <v>139</v>
      </c>
      <c r="AJ636" s="206" t="s">
        <v>139</v>
      </c>
      <c r="AK636" s="353" t="s">
        <v>983</v>
      </c>
      <c r="AL636" s="206" t="s">
        <v>139</v>
      </c>
      <c r="AM636" s="349">
        <v>100.64364131349777</v>
      </c>
      <c r="AN636" s="354" t="s">
        <v>139</v>
      </c>
      <c r="AO636" s="355" t="s">
        <v>140</v>
      </c>
      <c r="AP636" s="206" t="s">
        <v>139</v>
      </c>
      <c r="AQ636" s="246"/>
      <c r="AR636" s="211"/>
      <c r="AS636" s="297">
        <f>+IF(Table1[[#This Row],[Column40]]="ok",Table1[[#This Row],[Column7]],0)</f>
        <v>1446.01</v>
      </c>
      <c r="AT636" s="295">
        <f>+IF(Table1[[#This Row],[Column40]]="No",Table1[[#This Row],[Column7]],0)</f>
        <v>0</v>
      </c>
      <c r="AU636" s="4" t="str">
        <f>+IF(LEFT(Table1[[#This Row],[Column42]],2)="DN",IF(Table1[[#This Row],[Column40]]="ok","(CA)",_xlfn.CONCAT("(CA)",CHAR(10),"FAIL")),"")</f>
        <v/>
      </c>
      <c r="AV636" s="154" t="str">
        <f>+IF(Table1[[#This Row],[Column6]]=0,"",_xlfn.CONCAT("Sem ",WEEKNUM(Table1[[#This Row],[Column6]],2)))</f>
        <v>Sem 13</v>
      </c>
      <c r="AW636" s="211"/>
    </row>
    <row r="637" spans="2:49" ht="19.5" customHeight="1" x14ac:dyDescent="0.3">
      <c r="B637" s="356" t="s">
        <v>1023</v>
      </c>
      <c r="C637" s="331"/>
      <c r="D637" s="332" t="s">
        <v>132</v>
      </c>
      <c r="E637" s="332" t="s">
        <v>176</v>
      </c>
      <c r="F637" s="333"/>
      <c r="G637" s="334">
        <v>46109</v>
      </c>
      <c r="H637" s="335">
        <v>1532.53</v>
      </c>
      <c r="I637" s="336">
        <v>196.52</v>
      </c>
      <c r="J637" s="337">
        <v>2588.7600000000002</v>
      </c>
      <c r="K637" s="338" t="s">
        <v>162</v>
      </c>
      <c r="L637" s="339" t="s">
        <v>424</v>
      </c>
      <c r="M637" s="340">
        <v>30</v>
      </c>
      <c r="N637" s="341">
        <v>88653</v>
      </c>
      <c r="O637" s="332">
        <v>58</v>
      </c>
      <c r="P637" s="342">
        <v>10.199999999999999</v>
      </c>
      <c r="Q637" s="343">
        <v>12.197928653624857</v>
      </c>
      <c r="R637" s="344">
        <v>1.7695099818511795</v>
      </c>
      <c r="S637" s="344">
        <v>1.738</v>
      </c>
      <c r="T637" s="344">
        <v>1.95</v>
      </c>
      <c r="U637" s="344" t="s">
        <v>136</v>
      </c>
      <c r="V637" s="332" t="s">
        <v>137</v>
      </c>
      <c r="W637" s="345">
        <v>8</v>
      </c>
      <c r="X637" s="346">
        <v>4</v>
      </c>
      <c r="Y637" s="208">
        <v>2.8069999999999999</v>
      </c>
      <c r="Z637" s="332"/>
      <c r="AA637" s="342"/>
      <c r="AB637" s="342"/>
      <c r="AC637" s="342"/>
      <c r="AD637" s="347"/>
      <c r="AE637" s="358">
        <v>1.7290000000000001</v>
      </c>
      <c r="AF637" s="349">
        <v>0</v>
      </c>
      <c r="AG637" s="350"/>
      <c r="AH637" s="351" t="s">
        <v>139</v>
      </c>
      <c r="AI637" s="352" t="s">
        <v>139</v>
      </c>
      <c r="AJ637" s="206" t="s">
        <v>139</v>
      </c>
      <c r="AK637" s="353" t="s">
        <v>983</v>
      </c>
      <c r="AL637" s="206" t="s">
        <v>139</v>
      </c>
      <c r="AM637" s="349">
        <v>102.3429717669855</v>
      </c>
      <c r="AN637" s="354" t="s">
        <v>139</v>
      </c>
      <c r="AO637" s="355" t="s">
        <v>140</v>
      </c>
      <c r="AP637" s="206" t="s">
        <v>139</v>
      </c>
      <c r="AQ637" s="246"/>
      <c r="AR637" s="211"/>
      <c r="AS637" s="297">
        <f>+IF(Table1[[#This Row],[Column40]]="ok",Table1[[#This Row],[Column7]],0)</f>
        <v>1532.53</v>
      </c>
      <c r="AT637" s="295">
        <f>+IF(Table1[[#This Row],[Column40]]="No",Table1[[#This Row],[Column7]],0)</f>
        <v>0</v>
      </c>
      <c r="AU637" s="4" t="str">
        <f>+IF(LEFT(Table1[[#This Row],[Column42]],2)="DN",IF(Table1[[#This Row],[Column40]]="ok","(CA)",_xlfn.CONCAT("(CA)",CHAR(10),"FAIL")),"")</f>
        <v/>
      </c>
      <c r="AV637" s="154" t="str">
        <f>+IF(Table1[[#This Row],[Column6]]=0,"",_xlfn.CONCAT("Sem ",WEEKNUM(Table1[[#This Row],[Column6]],2)))</f>
        <v>Sem 13</v>
      </c>
      <c r="AW637" s="211"/>
    </row>
    <row r="638" spans="2:49" ht="19.5" customHeight="1" x14ac:dyDescent="0.3">
      <c r="B638" s="356" t="s">
        <v>1024</v>
      </c>
      <c r="C638" s="331"/>
      <c r="D638" s="332" t="s">
        <v>132</v>
      </c>
      <c r="E638" s="332" t="s">
        <v>176</v>
      </c>
      <c r="F638" s="333"/>
      <c r="G638" s="334">
        <v>46109</v>
      </c>
      <c r="H638" s="335">
        <v>1617.51</v>
      </c>
      <c r="I638" s="336">
        <v>235.72</v>
      </c>
      <c r="J638" s="337">
        <v>2573.5100000000002</v>
      </c>
      <c r="K638" s="338" t="s">
        <v>162</v>
      </c>
      <c r="L638" s="339" t="s">
        <v>163</v>
      </c>
      <c r="M638" s="340">
        <v>30</v>
      </c>
      <c r="N638" s="341">
        <v>88653</v>
      </c>
      <c r="O638" s="332">
        <v>58</v>
      </c>
      <c r="P638" s="342">
        <v>8.3000000000000007</v>
      </c>
      <c r="Q638" s="343">
        <v>8.9204545454545361</v>
      </c>
      <c r="R638" s="344">
        <v>1.770083102493075</v>
      </c>
      <c r="S638" s="344">
        <v>1.76</v>
      </c>
      <c r="T638" s="344">
        <v>1.917</v>
      </c>
      <c r="U638" s="344" t="s">
        <v>136</v>
      </c>
      <c r="V638" s="332" t="s">
        <v>137</v>
      </c>
      <c r="W638" s="345">
        <v>8</v>
      </c>
      <c r="X638" s="346">
        <v>4</v>
      </c>
      <c r="Y638" s="208">
        <v>2.8069999999999999</v>
      </c>
      <c r="Z638" s="332"/>
      <c r="AA638" s="342"/>
      <c r="AB638" s="342"/>
      <c r="AC638" s="342"/>
      <c r="AD638" s="347"/>
      <c r="AE638" s="358">
        <v>1.7290000000000001</v>
      </c>
      <c r="AF638" s="349">
        <v>0</v>
      </c>
      <c r="AG638" s="350"/>
      <c r="AH638" s="351" t="s">
        <v>139</v>
      </c>
      <c r="AI638" s="352" t="s">
        <v>139</v>
      </c>
      <c r="AJ638" s="206" t="s">
        <v>139</v>
      </c>
      <c r="AK638" s="353" t="s">
        <v>983</v>
      </c>
      <c r="AL638" s="206" t="s">
        <v>139</v>
      </c>
      <c r="AM638" s="349">
        <v>102.3761192882056</v>
      </c>
      <c r="AN638" s="354" t="s">
        <v>139</v>
      </c>
      <c r="AO638" s="355" t="s">
        <v>140</v>
      </c>
      <c r="AP638" s="206" t="s">
        <v>139</v>
      </c>
      <c r="AQ638" s="246"/>
      <c r="AR638" s="211"/>
      <c r="AS638" s="297">
        <f>+IF(Table1[[#This Row],[Column40]]="ok",Table1[[#This Row],[Column7]],0)</f>
        <v>1617.51</v>
      </c>
      <c r="AT638" s="295">
        <f>+IF(Table1[[#This Row],[Column40]]="No",Table1[[#This Row],[Column7]],0)</f>
        <v>0</v>
      </c>
      <c r="AU638" s="4" t="str">
        <f>+IF(LEFT(Table1[[#This Row],[Column42]],2)="DN",IF(Table1[[#This Row],[Column40]]="ok","(CA)",_xlfn.CONCAT("(CA)",CHAR(10),"FAIL")),"")</f>
        <v/>
      </c>
      <c r="AV638" s="154" t="str">
        <f>+IF(Table1[[#This Row],[Column6]]=0,"",_xlfn.CONCAT("Sem ",WEEKNUM(Table1[[#This Row],[Column6]],2)))</f>
        <v>Sem 13</v>
      </c>
      <c r="AW638" s="211"/>
    </row>
    <row r="639" spans="2:49" ht="19.5" customHeight="1" x14ac:dyDescent="0.3">
      <c r="B639" s="356" t="s">
        <v>1025</v>
      </c>
      <c r="C639" s="331"/>
      <c r="D639" s="332" t="s">
        <v>132</v>
      </c>
      <c r="E639" s="332" t="s">
        <v>133</v>
      </c>
      <c r="F639" s="333"/>
      <c r="G639" s="334">
        <v>46110</v>
      </c>
      <c r="H639" s="335">
        <v>469.25</v>
      </c>
      <c r="I639" s="336">
        <v>141.65</v>
      </c>
      <c r="J639" s="337">
        <v>2626.5549999999998</v>
      </c>
      <c r="K639" s="338" t="s">
        <v>349</v>
      </c>
      <c r="L639" s="339" t="s">
        <v>546</v>
      </c>
      <c r="M639" s="340">
        <v>30</v>
      </c>
      <c r="N639" s="341">
        <v>88653</v>
      </c>
      <c r="O639" s="332">
        <v>58</v>
      </c>
      <c r="P639" s="342">
        <v>13</v>
      </c>
      <c r="Q639" s="343">
        <v>12.442396313364057</v>
      </c>
      <c r="R639" s="344">
        <v>1.7274336283185843</v>
      </c>
      <c r="S639" s="344">
        <v>1.736</v>
      </c>
      <c r="T639" s="344">
        <v>1.952</v>
      </c>
      <c r="U639" s="344" t="s">
        <v>136</v>
      </c>
      <c r="V639" s="332" t="s">
        <v>137</v>
      </c>
      <c r="W639" s="345">
        <v>8</v>
      </c>
      <c r="X639" s="346">
        <v>4</v>
      </c>
      <c r="Y639" s="208">
        <v>2.8069999999999999</v>
      </c>
      <c r="Z639" s="332"/>
      <c r="AA639" s="342"/>
      <c r="AB639" s="342"/>
      <c r="AC639" s="342"/>
      <c r="AD639" s="347"/>
      <c r="AE639" s="358">
        <v>1.6950000000000001</v>
      </c>
      <c r="AF639" s="349">
        <v>0</v>
      </c>
      <c r="AG639" s="350"/>
      <c r="AH639" s="351" t="s">
        <v>139</v>
      </c>
      <c r="AI639" s="352" t="s">
        <v>139</v>
      </c>
      <c r="AJ639" s="206" t="s">
        <v>139</v>
      </c>
      <c r="AK639" s="353" t="s">
        <v>1026</v>
      </c>
      <c r="AL639" s="206" t="s">
        <v>139</v>
      </c>
      <c r="AM639" s="349">
        <v>101.91348839637664</v>
      </c>
      <c r="AN639" s="354" t="s">
        <v>139</v>
      </c>
      <c r="AO639" s="355" t="s">
        <v>140</v>
      </c>
      <c r="AP639" s="206" t="s">
        <v>139</v>
      </c>
      <c r="AQ639" s="246">
        <v>0</v>
      </c>
      <c r="AR639" s="211"/>
      <c r="AS639" s="297">
        <f>+IF(Table1[[#This Row],[Column40]]="ok",Table1[[#This Row],[Column7]],0)</f>
        <v>469.25</v>
      </c>
      <c r="AT639" s="295">
        <f>+IF(Table1[[#This Row],[Column40]]="No",Table1[[#This Row],[Column7]],0)</f>
        <v>0</v>
      </c>
      <c r="AU639" s="4" t="str">
        <f>+IF(LEFT(Table1[[#This Row],[Column42]],2)="DN",IF(Table1[[#This Row],[Column40]]="ok","(CA)",_xlfn.CONCAT("(CA)",CHAR(10),"FAIL")),"")</f>
        <v/>
      </c>
      <c r="AV639" s="154" t="str">
        <f>+IF(Table1[[#This Row],[Column6]]=0,"",_xlfn.CONCAT("Sem ",WEEKNUM(Table1[[#This Row],[Column6]],2)))</f>
        <v>Sem 13</v>
      </c>
      <c r="AW639" s="211"/>
    </row>
    <row r="640" spans="2:49" ht="19.5" customHeight="1" x14ac:dyDescent="0.3">
      <c r="B640" s="356" t="s">
        <v>1027</v>
      </c>
      <c r="C640" s="331"/>
      <c r="D640" s="332" t="s">
        <v>132</v>
      </c>
      <c r="E640" s="332" t="s">
        <v>133</v>
      </c>
      <c r="F640" s="333"/>
      <c r="G640" s="334">
        <v>46110</v>
      </c>
      <c r="H640" s="335">
        <v>432.59</v>
      </c>
      <c r="I640" s="336">
        <v>120.37</v>
      </c>
      <c r="J640" s="337">
        <v>2631.7150000000001</v>
      </c>
      <c r="K640" s="338" t="s">
        <v>335</v>
      </c>
      <c r="L640" s="339" t="s">
        <v>336</v>
      </c>
      <c r="M640" s="340">
        <v>30</v>
      </c>
      <c r="N640" s="341">
        <v>88653</v>
      </c>
      <c r="O640" s="332">
        <v>58</v>
      </c>
      <c r="P640" s="342">
        <v>11.3</v>
      </c>
      <c r="Q640" s="343">
        <v>10.273972602739722</v>
      </c>
      <c r="R640" s="344">
        <v>1.7358490566037736</v>
      </c>
      <c r="S640" s="344">
        <v>1.752</v>
      </c>
      <c r="T640" s="344">
        <v>1.9319999999999999</v>
      </c>
      <c r="U640" s="344" t="s">
        <v>136</v>
      </c>
      <c r="V640" s="332" t="s">
        <v>137</v>
      </c>
      <c r="W640" s="345">
        <v>8</v>
      </c>
      <c r="X640" s="346">
        <v>4</v>
      </c>
      <c r="Y640" s="208">
        <v>2.8069999999999999</v>
      </c>
      <c r="Z640" s="332"/>
      <c r="AA640" s="342"/>
      <c r="AB640" s="342"/>
      <c r="AC640" s="342"/>
      <c r="AD640" s="347"/>
      <c r="AE640" s="358">
        <v>1.6950000000000001</v>
      </c>
      <c r="AF640" s="349">
        <v>0</v>
      </c>
      <c r="AG640" s="350"/>
      <c r="AH640" s="351" t="s">
        <v>139</v>
      </c>
      <c r="AI640" s="352" t="s">
        <v>139</v>
      </c>
      <c r="AJ640" s="206" t="s">
        <v>139</v>
      </c>
      <c r="AK640" s="353" t="s">
        <v>1026</v>
      </c>
      <c r="AL640" s="206" t="s">
        <v>139</v>
      </c>
      <c r="AM640" s="349">
        <v>102.4099738409306</v>
      </c>
      <c r="AN640" s="354" t="s">
        <v>139</v>
      </c>
      <c r="AO640" s="355" t="s">
        <v>140</v>
      </c>
      <c r="AP640" s="206" t="s">
        <v>139</v>
      </c>
      <c r="AQ640" s="246">
        <v>0</v>
      </c>
      <c r="AR640" s="211"/>
      <c r="AS640" s="297">
        <f>+IF(Table1[[#This Row],[Column40]]="ok",Table1[[#This Row],[Column7]],0)</f>
        <v>432.59</v>
      </c>
      <c r="AT640" s="295">
        <f>+IF(Table1[[#This Row],[Column40]]="No",Table1[[#This Row],[Column7]],0)</f>
        <v>0</v>
      </c>
      <c r="AU640" s="4" t="str">
        <f>+IF(LEFT(Table1[[#This Row],[Column42]],2)="DN",IF(Table1[[#This Row],[Column40]]="ok","(CA)",_xlfn.CONCAT("(CA)",CHAR(10),"FAIL")),"")</f>
        <v/>
      </c>
      <c r="AV640" s="154" t="str">
        <f>+IF(Table1[[#This Row],[Column6]]=0,"",_xlfn.CONCAT("Sem ",WEEKNUM(Table1[[#This Row],[Column6]],2)))</f>
        <v>Sem 13</v>
      </c>
      <c r="AW640" s="211"/>
    </row>
    <row r="641" spans="2:49" ht="19.5" customHeight="1" x14ac:dyDescent="0.3">
      <c r="B641" s="356" t="s">
        <v>1028</v>
      </c>
      <c r="C641" s="331"/>
      <c r="D641" s="332" t="s">
        <v>132</v>
      </c>
      <c r="E641" s="332" t="s">
        <v>133</v>
      </c>
      <c r="F641" s="333"/>
      <c r="G641" s="334">
        <v>46110</v>
      </c>
      <c r="H641" s="335">
        <v>353.09</v>
      </c>
      <c r="I641" s="336">
        <v>137.09</v>
      </c>
      <c r="J641" s="337">
        <v>2625.8220000000001</v>
      </c>
      <c r="K641" s="338" t="s">
        <v>335</v>
      </c>
      <c r="L641" s="339" t="s">
        <v>370</v>
      </c>
      <c r="M641" s="340">
        <v>30</v>
      </c>
      <c r="N641" s="341">
        <v>88653</v>
      </c>
      <c r="O641" s="332">
        <v>58</v>
      </c>
      <c r="P641" s="342">
        <v>10.8</v>
      </c>
      <c r="Q641" s="343">
        <v>9.9539700805523665</v>
      </c>
      <c r="R641" s="344">
        <v>1.7247292418772562</v>
      </c>
      <c r="S641" s="344">
        <v>1.738</v>
      </c>
      <c r="T641" s="344">
        <v>1.911</v>
      </c>
      <c r="U641" s="344" t="s">
        <v>136</v>
      </c>
      <c r="V641" s="332" t="s">
        <v>137</v>
      </c>
      <c r="W641" s="345">
        <v>8</v>
      </c>
      <c r="X641" s="346">
        <v>4</v>
      </c>
      <c r="Y641" s="208">
        <v>2.8069999999999999</v>
      </c>
      <c r="Z641" s="332"/>
      <c r="AA641" s="342"/>
      <c r="AB641" s="342"/>
      <c r="AC641" s="342"/>
      <c r="AD641" s="347"/>
      <c r="AE641" s="358">
        <v>1.6950000000000001</v>
      </c>
      <c r="AF641" s="349">
        <v>0</v>
      </c>
      <c r="AG641" s="350"/>
      <c r="AH641" s="351" t="s">
        <v>139</v>
      </c>
      <c r="AI641" s="352" t="s">
        <v>139</v>
      </c>
      <c r="AJ641" s="206" t="s">
        <v>139</v>
      </c>
      <c r="AK641" s="353" t="s">
        <v>1026</v>
      </c>
      <c r="AL641" s="206" t="s">
        <v>139</v>
      </c>
      <c r="AM641" s="349">
        <v>101.75393757387943</v>
      </c>
      <c r="AN641" s="354" t="s">
        <v>139</v>
      </c>
      <c r="AO641" s="355" t="s">
        <v>140</v>
      </c>
      <c r="AP641" s="206" t="s">
        <v>139</v>
      </c>
      <c r="AQ641" s="246">
        <v>0</v>
      </c>
      <c r="AR641" s="211"/>
      <c r="AS641" s="297">
        <f>+IF(Table1[[#This Row],[Column40]]="ok",Table1[[#This Row],[Column7]],0)</f>
        <v>353.09</v>
      </c>
      <c r="AT641" s="295">
        <f>+IF(Table1[[#This Row],[Column40]]="No",Table1[[#This Row],[Column7]],0)</f>
        <v>0</v>
      </c>
      <c r="AU641" s="4" t="str">
        <f>+IF(LEFT(Table1[[#This Row],[Column42]],2)="DN",IF(Table1[[#This Row],[Column40]]="ok","(CA)",_xlfn.CONCAT("(CA)",CHAR(10),"FAIL")),"")</f>
        <v/>
      </c>
      <c r="AV641" s="154" t="str">
        <f>+IF(Table1[[#This Row],[Column6]]=0,"",_xlfn.CONCAT("Sem ",WEEKNUM(Table1[[#This Row],[Column6]],2)))</f>
        <v>Sem 13</v>
      </c>
      <c r="AW641" s="211"/>
    </row>
    <row r="642" spans="2:49" ht="19.5" customHeight="1" x14ac:dyDescent="0.3">
      <c r="B642" s="356" t="s">
        <v>1029</v>
      </c>
      <c r="C642" s="331"/>
      <c r="D642" s="332" t="s">
        <v>132</v>
      </c>
      <c r="E642" s="332" t="s">
        <v>133</v>
      </c>
      <c r="F642" s="333"/>
      <c r="G642" s="334">
        <v>46110</v>
      </c>
      <c r="H642" s="335">
        <v>253.08</v>
      </c>
      <c r="I642" s="336">
        <v>102.64</v>
      </c>
      <c r="J642" s="337">
        <v>2634.3389999999999</v>
      </c>
      <c r="K642" s="338" t="s">
        <v>356</v>
      </c>
      <c r="L642" s="339" t="s">
        <v>1030</v>
      </c>
      <c r="M642" s="340">
        <v>30</v>
      </c>
      <c r="N642" s="341">
        <v>88653</v>
      </c>
      <c r="O642" s="332">
        <v>58</v>
      </c>
      <c r="P642" s="342">
        <v>10.9</v>
      </c>
      <c r="Q642" s="343">
        <v>10.344827586206895</v>
      </c>
      <c r="R642" s="344">
        <v>1.7024346257889991</v>
      </c>
      <c r="S642" s="344">
        <v>1.7110000000000001</v>
      </c>
      <c r="T642" s="344">
        <v>1.8879999999999999</v>
      </c>
      <c r="U642" s="344" t="s">
        <v>136</v>
      </c>
      <c r="V642" s="332" t="s">
        <v>137</v>
      </c>
      <c r="W642" s="345">
        <v>8</v>
      </c>
      <c r="X642" s="346">
        <v>4</v>
      </c>
      <c r="Y642" s="208">
        <v>2.8069999999999999</v>
      </c>
      <c r="Z642" s="332"/>
      <c r="AA642" s="342"/>
      <c r="AB642" s="342"/>
      <c r="AC642" s="342"/>
      <c r="AD642" s="347"/>
      <c r="AE642" s="358">
        <v>1.6950000000000001</v>
      </c>
      <c r="AF642" s="349">
        <v>0</v>
      </c>
      <c r="AG642" s="350"/>
      <c r="AH642" s="351" t="s">
        <v>139</v>
      </c>
      <c r="AI642" s="352" t="s">
        <v>139</v>
      </c>
      <c r="AJ642" s="206" t="s">
        <v>139</v>
      </c>
      <c r="AK642" s="353" t="s">
        <v>1026</v>
      </c>
      <c r="AL642" s="206" t="s">
        <v>139</v>
      </c>
      <c r="AM642" s="349">
        <v>100.43862099050142</v>
      </c>
      <c r="AN642" s="354" t="s">
        <v>139</v>
      </c>
      <c r="AO642" s="355" t="s">
        <v>140</v>
      </c>
      <c r="AP642" s="206" t="s">
        <v>139</v>
      </c>
      <c r="AQ642" s="246">
        <v>0</v>
      </c>
      <c r="AR642" s="211"/>
      <c r="AS642" s="297">
        <f>+IF(Table1[[#This Row],[Column40]]="ok",Table1[[#This Row],[Column7]],0)</f>
        <v>253.08</v>
      </c>
      <c r="AT642" s="295">
        <f>+IF(Table1[[#This Row],[Column40]]="No",Table1[[#This Row],[Column7]],0)</f>
        <v>0</v>
      </c>
      <c r="AU642" s="4" t="str">
        <f>+IF(LEFT(Table1[[#This Row],[Column42]],2)="DN",IF(Table1[[#This Row],[Column40]]="ok","(CA)",_xlfn.CONCAT("(CA)",CHAR(10),"FAIL")),"")</f>
        <v/>
      </c>
      <c r="AV642" s="154" t="str">
        <f>+IF(Table1[[#This Row],[Column6]]=0,"",_xlfn.CONCAT("Sem ",WEEKNUM(Table1[[#This Row],[Column6]],2)))</f>
        <v>Sem 13</v>
      </c>
      <c r="AW642" s="211"/>
    </row>
    <row r="643" spans="2:49" ht="19.5" customHeight="1" x14ac:dyDescent="0.3">
      <c r="B643" s="356" t="s">
        <v>1031</v>
      </c>
      <c r="C643" s="331"/>
      <c r="D643" s="332" t="s">
        <v>132</v>
      </c>
      <c r="E643" s="332" t="s">
        <v>133</v>
      </c>
      <c r="F643" s="333"/>
      <c r="G643" s="334">
        <v>46110</v>
      </c>
      <c r="H643" s="335">
        <v>137.87</v>
      </c>
      <c r="I643" s="336">
        <v>80.150000000000006</v>
      </c>
      <c r="J643" s="337">
        <v>2633.4720000000002</v>
      </c>
      <c r="K643" s="338" t="s">
        <v>356</v>
      </c>
      <c r="L643" s="339" t="s">
        <v>805</v>
      </c>
      <c r="M643" s="340">
        <v>30</v>
      </c>
      <c r="N643" s="341">
        <v>88653</v>
      </c>
      <c r="O643" s="332">
        <v>58</v>
      </c>
      <c r="P643" s="342">
        <v>8.6</v>
      </c>
      <c r="Q643" s="343">
        <v>10.404624277456653</v>
      </c>
      <c r="R643" s="344">
        <v>1.7587476979742172</v>
      </c>
      <c r="S643" s="344">
        <v>1.73</v>
      </c>
      <c r="T643" s="344">
        <v>1.91</v>
      </c>
      <c r="U643" s="344" t="s">
        <v>136</v>
      </c>
      <c r="V643" s="332" t="s">
        <v>137</v>
      </c>
      <c r="W643" s="345">
        <v>8</v>
      </c>
      <c r="X643" s="346">
        <v>4</v>
      </c>
      <c r="Y643" s="208">
        <v>2.8069999999999999</v>
      </c>
      <c r="Z643" s="332"/>
      <c r="AA643" s="342"/>
      <c r="AB643" s="342"/>
      <c r="AC643" s="342"/>
      <c r="AD643" s="347"/>
      <c r="AE643" s="358">
        <v>1.7156347341791021</v>
      </c>
      <c r="AF643" s="349">
        <v>16.634713793678323</v>
      </c>
      <c r="AG643" s="350"/>
      <c r="AH643" s="351">
        <v>1.7092624356775301</v>
      </c>
      <c r="AI643" s="352">
        <v>1.9930000000000001</v>
      </c>
      <c r="AJ643" s="206">
        <v>16.600000000000001</v>
      </c>
      <c r="AK643" s="353" t="s">
        <v>467</v>
      </c>
      <c r="AL643" s="206">
        <v>3.4713793678321281E-2</v>
      </c>
      <c r="AM643" s="349">
        <v>102.51294538028479</v>
      </c>
      <c r="AN643" s="354" t="s">
        <v>139</v>
      </c>
      <c r="AO643" s="355" t="s">
        <v>140</v>
      </c>
      <c r="AP643" s="206" t="s">
        <v>139</v>
      </c>
      <c r="AQ643" s="246" t="s">
        <v>1032</v>
      </c>
      <c r="AR643" s="211"/>
      <c r="AS643" s="297">
        <f>+IF(Table1[[#This Row],[Column40]]="ok",Table1[[#This Row],[Column7]],0)</f>
        <v>137.87</v>
      </c>
      <c r="AT643" s="295">
        <f>+IF(Table1[[#This Row],[Column40]]="No",Table1[[#This Row],[Column7]],0)</f>
        <v>0</v>
      </c>
      <c r="AU643" s="4" t="str">
        <f>+IF(LEFT(Table1[[#This Row],[Column42]],2)="DN",IF(Table1[[#This Row],[Column40]]="ok","(CA)",_xlfn.CONCAT("(CA)",CHAR(10),"FAIL")),"")</f>
        <v/>
      </c>
      <c r="AV643" s="154" t="str">
        <f>+IF(Table1[[#This Row],[Column6]]=0,"",_xlfn.CONCAT("Sem ",WEEKNUM(Table1[[#This Row],[Column6]],2)))</f>
        <v>Sem 13</v>
      </c>
      <c r="AW643" s="211"/>
    </row>
    <row r="644" spans="2:49" ht="19.5" customHeight="1" x14ac:dyDescent="0.3">
      <c r="B644" s="356" t="s">
        <v>1032</v>
      </c>
      <c r="C644" s="331"/>
      <c r="D644" s="332" t="s">
        <v>132</v>
      </c>
      <c r="E644" s="332" t="s">
        <v>133</v>
      </c>
      <c r="F644" s="333"/>
      <c r="G644" s="334">
        <v>46110</v>
      </c>
      <c r="H644" s="335">
        <v>137.87</v>
      </c>
      <c r="I644" s="336">
        <v>80.150000000000006</v>
      </c>
      <c r="J644" s="337">
        <v>2633.4720000000002</v>
      </c>
      <c r="K644" s="338" t="s">
        <v>356</v>
      </c>
      <c r="L644" s="339" t="s">
        <v>805</v>
      </c>
      <c r="M644" s="340">
        <v>15</v>
      </c>
      <c r="N644" s="341"/>
      <c r="O644" s="332"/>
      <c r="P644" s="342">
        <v>8.5795454545454337</v>
      </c>
      <c r="Q644" s="343"/>
      <c r="R644" s="344">
        <v>1.7432897410235217</v>
      </c>
      <c r="S644" s="344"/>
      <c r="T644" s="344">
        <v>1.8928560767590619</v>
      </c>
      <c r="U644" s="344" t="s">
        <v>142</v>
      </c>
      <c r="V644" s="332" t="s">
        <v>137</v>
      </c>
      <c r="W644" s="345" t="s">
        <v>173</v>
      </c>
      <c r="X644" s="346" t="s">
        <v>680</v>
      </c>
      <c r="Y644" s="208"/>
      <c r="Z644" s="332" t="s">
        <v>143</v>
      </c>
      <c r="AA644" s="342">
        <v>98.55113636363636</v>
      </c>
      <c r="AB644" s="342">
        <v>76.13636363636364</v>
      </c>
      <c r="AC644" s="342">
        <v>32.982954545454561</v>
      </c>
      <c r="AD644" s="347">
        <v>10.738636363636388</v>
      </c>
      <c r="AE644" s="358">
        <v>1.716</v>
      </c>
      <c r="AF644" s="349">
        <v>16.600000000000001</v>
      </c>
      <c r="AG644" s="350" t="s">
        <v>467</v>
      </c>
      <c r="AH644" s="351">
        <v>1.7092057421935318</v>
      </c>
      <c r="AI644" s="352">
        <v>1.992973490897477</v>
      </c>
      <c r="AJ644" s="206">
        <v>16.602316602316584</v>
      </c>
      <c r="AK644" s="353" t="s">
        <v>467</v>
      </c>
      <c r="AL644" s="206">
        <v>-2.3166023165828165E-3</v>
      </c>
      <c r="AM644" s="349">
        <v>101.59031124845698</v>
      </c>
      <c r="AN644" s="354" t="s">
        <v>139</v>
      </c>
      <c r="AO644" s="355" t="s">
        <v>144</v>
      </c>
      <c r="AP644" s="206">
        <v>0</v>
      </c>
      <c r="AQ644" s="246" t="s">
        <v>1031</v>
      </c>
      <c r="AR644" s="211"/>
      <c r="AS644" s="297">
        <f>+IF(Table1[[#This Row],[Column40]]="ok",Table1[[#This Row],[Column7]],0)</f>
        <v>137.87</v>
      </c>
      <c r="AT644" s="295">
        <f>+IF(Table1[[#This Row],[Column40]]="No",Table1[[#This Row],[Column7]],0)</f>
        <v>0</v>
      </c>
      <c r="AU644" s="4" t="str">
        <f>+IF(LEFT(Table1[[#This Row],[Column42]],2)="DN",IF(Table1[[#This Row],[Column40]]="ok","(CA)",_xlfn.CONCAT("(CA)",CHAR(10),"FAIL")),"")</f>
        <v>(CA)</v>
      </c>
      <c r="AV644" s="154" t="str">
        <f>+IF(Table1[[#This Row],[Column6]]=0,"",_xlfn.CONCAT("Sem ",WEEKNUM(Table1[[#This Row],[Column6]],2)))</f>
        <v>Sem 13</v>
      </c>
      <c r="AW644" s="211"/>
    </row>
    <row r="645" spans="2:49" ht="19.5" customHeight="1" x14ac:dyDescent="0.3">
      <c r="B645" s="356" t="s">
        <v>1033</v>
      </c>
      <c r="C645" s="331"/>
      <c r="D645" s="332" t="s">
        <v>132</v>
      </c>
      <c r="E645" s="332" t="s">
        <v>133</v>
      </c>
      <c r="F645" s="333"/>
      <c r="G645" s="334">
        <v>46110</v>
      </c>
      <c r="H645" s="335">
        <v>42.47</v>
      </c>
      <c r="I645" s="336">
        <v>-15.78</v>
      </c>
      <c r="J645" s="337">
        <v>2636.806</v>
      </c>
      <c r="K645" s="338" t="s">
        <v>356</v>
      </c>
      <c r="L645" s="339" t="s">
        <v>1034</v>
      </c>
      <c r="M645" s="340">
        <v>30</v>
      </c>
      <c r="N645" s="341">
        <v>88653</v>
      </c>
      <c r="O645" s="332">
        <v>58</v>
      </c>
      <c r="P645" s="342">
        <v>15.1</v>
      </c>
      <c r="Q645" s="343">
        <v>15.538552089464396</v>
      </c>
      <c r="R645" s="344">
        <v>1.7054735013032147</v>
      </c>
      <c r="S645" s="344">
        <v>1.6990000000000001</v>
      </c>
      <c r="T645" s="344">
        <v>1.9630000000000001</v>
      </c>
      <c r="U645" s="344" t="s">
        <v>136</v>
      </c>
      <c r="V645" s="332" t="s">
        <v>169</v>
      </c>
      <c r="W645" s="345">
        <v>4</v>
      </c>
      <c r="X645" s="346">
        <v>2</v>
      </c>
      <c r="Y645" s="208">
        <v>2.8069999999999999</v>
      </c>
      <c r="Z645" s="332"/>
      <c r="AA645" s="342"/>
      <c r="AB645" s="342"/>
      <c r="AC645" s="342"/>
      <c r="AD645" s="347"/>
      <c r="AE645" s="358">
        <v>1.6950000000000001</v>
      </c>
      <c r="AF645" s="349">
        <v>0</v>
      </c>
      <c r="AG645" s="350"/>
      <c r="AH645" s="351" t="s">
        <v>139</v>
      </c>
      <c r="AI645" s="352" t="s">
        <v>139</v>
      </c>
      <c r="AJ645" s="206" t="s">
        <v>139</v>
      </c>
      <c r="AK645" s="353" t="s">
        <v>1026</v>
      </c>
      <c r="AL645" s="206" t="s">
        <v>139</v>
      </c>
      <c r="AM645" s="349">
        <v>100.61790568160558</v>
      </c>
      <c r="AN645" s="354" t="s">
        <v>139</v>
      </c>
      <c r="AO645" s="355" t="s">
        <v>140</v>
      </c>
      <c r="AP645" s="206" t="s">
        <v>139</v>
      </c>
      <c r="AQ645" s="246">
        <v>0</v>
      </c>
      <c r="AR645" s="211"/>
      <c r="AS645" s="297">
        <f>+IF(Table1[[#This Row],[Column40]]="ok",Table1[[#This Row],[Column7]],0)</f>
        <v>42.47</v>
      </c>
      <c r="AT645" s="295">
        <f>+IF(Table1[[#This Row],[Column40]]="No",Table1[[#This Row],[Column7]],0)</f>
        <v>0</v>
      </c>
      <c r="AU645" s="4" t="str">
        <f>+IF(LEFT(Table1[[#This Row],[Column42]],2)="DN",IF(Table1[[#This Row],[Column40]]="ok","(CA)",_xlfn.CONCAT("(CA)",CHAR(10),"FAIL")),"")</f>
        <v/>
      </c>
      <c r="AV645" s="154" t="str">
        <f>+IF(Table1[[#This Row],[Column6]]=0,"",_xlfn.CONCAT("Sem ",WEEKNUM(Table1[[#This Row],[Column6]],2)))</f>
        <v>Sem 13</v>
      </c>
      <c r="AW645" s="211"/>
    </row>
    <row r="646" spans="2:49" ht="19.5" customHeight="1" x14ac:dyDescent="0.3">
      <c r="B646" s="356" t="s">
        <v>1035</v>
      </c>
      <c r="C646" s="331"/>
      <c r="D646" s="332" t="s">
        <v>132</v>
      </c>
      <c r="E646" s="332" t="s">
        <v>133</v>
      </c>
      <c r="F646" s="333"/>
      <c r="G646" s="334">
        <v>46110</v>
      </c>
      <c r="H646" s="335">
        <v>122.67</v>
      </c>
      <c r="I646" s="336">
        <v>175.29</v>
      </c>
      <c r="J646" s="337">
        <v>2610.5279999999998</v>
      </c>
      <c r="K646" s="338" t="s">
        <v>356</v>
      </c>
      <c r="L646" s="339" t="s">
        <v>849</v>
      </c>
      <c r="M646" s="340">
        <v>30</v>
      </c>
      <c r="N646" s="341">
        <v>88653</v>
      </c>
      <c r="O646" s="332">
        <v>58</v>
      </c>
      <c r="P646" s="342">
        <v>11.1</v>
      </c>
      <c r="Q646" s="343">
        <v>9.8138747884940933</v>
      </c>
      <c r="R646" s="344">
        <v>1.7524752475247525</v>
      </c>
      <c r="S646" s="344">
        <v>1.7729999999999999</v>
      </c>
      <c r="T646" s="344">
        <v>1.9470000000000001</v>
      </c>
      <c r="U646" s="344" t="s">
        <v>136</v>
      </c>
      <c r="V646" s="332" t="s">
        <v>137</v>
      </c>
      <c r="W646" s="345">
        <v>8</v>
      </c>
      <c r="X646" s="346">
        <v>4</v>
      </c>
      <c r="Y646" s="208">
        <v>2.8069999999999999</v>
      </c>
      <c r="Z646" s="332"/>
      <c r="AA646" s="342"/>
      <c r="AB646" s="342"/>
      <c r="AC646" s="342"/>
      <c r="AD646" s="347"/>
      <c r="AE646" s="358">
        <v>1.6950000000000001</v>
      </c>
      <c r="AF646" s="349">
        <v>0</v>
      </c>
      <c r="AG646" s="350"/>
      <c r="AH646" s="351" t="s">
        <v>139</v>
      </c>
      <c r="AI646" s="352" t="s">
        <v>139</v>
      </c>
      <c r="AJ646" s="206" t="s">
        <v>139</v>
      </c>
      <c r="AK646" s="353" t="s">
        <v>1026</v>
      </c>
      <c r="AL646" s="206" t="s">
        <v>139</v>
      </c>
      <c r="AM646" s="349">
        <v>103.39087006045737</v>
      </c>
      <c r="AN646" s="354" t="s">
        <v>139</v>
      </c>
      <c r="AO646" s="355" t="s">
        <v>140</v>
      </c>
      <c r="AP646" s="206" t="s">
        <v>139</v>
      </c>
      <c r="AQ646" s="246">
        <v>0</v>
      </c>
      <c r="AR646" s="211"/>
      <c r="AS646" s="297">
        <f>+IF(Table1[[#This Row],[Column40]]="ok",Table1[[#This Row],[Column7]],0)</f>
        <v>122.67</v>
      </c>
      <c r="AT646" s="295">
        <f>+IF(Table1[[#This Row],[Column40]]="No",Table1[[#This Row],[Column7]],0)</f>
        <v>0</v>
      </c>
      <c r="AU646" s="4" t="str">
        <f>+IF(LEFT(Table1[[#This Row],[Column42]],2)="DN",IF(Table1[[#This Row],[Column40]]="ok","(CA)",_xlfn.CONCAT("(CA)",CHAR(10),"FAIL")),"")</f>
        <v/>
      </c>
      <c r="AV646" s="154" t="str">
        <f>+IF(Table1[[#This Row],[Column6]]=0,"",_xlfn.CONCAT("Sem ",WEEKNUM(Table1[[#This Row],[Column6]],2)))</f>
        <v>Sem 13</v>
      </c>
      <c r="AW646" s="211"/>
    </row>
    <row r="647" spans="2:49" ht="19.5" customHeight="1" x14ac:dyDescent="0.3">
      <c r="B647" s="356" t="s">
        <v>1036</v>
      </c>
      <c r="C647" s="331"/>
      <c r="D647" s="332" t="s">
        <v>132</v>
      </c>
      <c r="E647" s="332" t="s">
        <v>133</v>
      </c>
      <c r="F647" s="333"/>
      <c r="G647" s="334">
        <v>46110</v>
      </c>
      <c r="H647" s="335">
        <v>1469.85</v>
      </c>
      <c r="I647" s="336">
        <v>310.08</v>
      </c>
      <c r="J647" s="337">
        <v>2555.58</v>
      </c>
      <c r="K647" s="338" t="s">
        <v>184</v>
      </c>
      <c r="L647" s="339" t="s">
        <v>179</v>
      </c>
      <c r="M647" s="340">
        <v>30</v>
      </c>
      <c r="N647" s="341">
        <v>88653</v>
      </c>
      <c r="O647" s="332">
        <v>58</v>
      </c>
      <c r="P647" s="342">
        <v>8.6999999999999993</v>
      </c>
      <c r="Q647" s="343">
        <v>10.323312535450935</v>
      </c>
      <c r="R647" s="344">
        <v>1.7893284268629257</v>
      </c>
      <c r="S647" s="344">
        <v>1.7629999999999999</v>
      </c>
      <c r="T647" s="344">
        <v>1.9450000000000001</v>
      </c>
      <c r="U647" s="344" t="s">
        <v>136</v>
      </c>
      <c r="V647" s="332" t="s">
        <v>137</v>
      </c>
      <c r="W647" s="345">
        <v>8</v>
      </c>
      <c r="X647" s="346">
        <v>4</v>
      </c>
      <c r="Y647" s="208">
        <v>2.8069999999999999</v>
      </c>
      <c r="Z647" s="332"/>
      <c r="AA647" s="342"/>
      <c r="AB647" s="342"/>
      <c r="AC647" s="342"/>
      <c r="AD647" s="347"/>
      <c r="AE647" s="358">
        <v>1.7290000000000001</v>
      </c>
      <c r="AF647" s="349">
        <v>0</v>
      </c>
      <c r="AG647" s="350"/>
      <c r="AH647" s="351" t="s">
        <v>139</v>
      </c>
      <c r="AI647" s="352" t="s">
        <v>139</v>
      </c>
      <c r="AJ647" s="206" t="s">
        <v>139</v>
      </c>
      <c r="AK647" s="353" t="s">
        <v>983</v>
      </c>
      <c r="AL647" s="206" t="s">
        <v>139</v>
      </c>
      <c r="AM647" s="349">
        <v>103.48920918813913</v>
      </c>
      <c r="AN647" s="354" t="s">
        <v>139</v>
      </c>
      <c r="AO647" s="355" t="s">
        <v>140</v>
      </c>
      <c r="AP647" s="206" t="s">
        <v>139</v>
      </c>
      <c r="AQ647" s="246">
        <v>0</v>
      </c>
      <c r="AR647" s="211"/>
      <c r="AS647" s="297">
        <f>+IF(Table1[[#This Row],[Column40]]="ok",Table1[[#This Row],[Column7]],0)</f>
        <v>1469.85</v>
      </c>
      <c r="AT647" s="295">
        <f>+IF(Table1[[#This Row],[Column40]]="No",Table1[[#This Row],[Column7]],0)</f>
        <v>0</v>
      </c>
      <c r="AU647" s="4" t="str">
        <f>+IF(LEFT(Table1[[#This Row],[Column42]],2)="DN",IF(Table1[[#This Row],[Column40]]="ok","(CA)",_xlfn.CONCAT("(CA)",CHAR(10),"FAIL")),"")</f>
        <v/>
      </c>
      <c r="AV647" s="154" t="str">
        <f>+IF(Table1[[#This Row],[Column6]]=0,"",_xlfn.CONCAT("Sem ",WEEKNUM(Table1[[#This Row],[Column6]],2)))</f>
        <v>Sem 13</v>
      </c>
      <c r="AW647" s="211"/>
    </row>
    <row r="648" spans="2:49" ht="19.5" customHeight="1" x14ac:dyDescent="0.3">
      <c r="B648" s="356" t="s">
        <v>1037</v>
      </c>
      <c r="C648" s="331"/>
      <c r="D648" s="332" t="s">
        <v>132</v>
      </c>
      <c r="E648" s="332" t="s">
        <v>133</v>
      </c>
      <c r="F648" s="333"/>
      <c r="G648" s="334">
        <v>46110</v>
      </c>
      <c r="H648" s="335">
        <v>1568.23</v>
      </c>
      <c r="I648" s="336">
        <v>336.01</v>
      </c>
      <c r="J648" s="337">
        <v>2546.7600000000002</v>
      </c>
      <c r="K648" s="338" t="s">
        <v>184</v>
      </c>
      <c r="L648" s="339" t="s">
        <v>177</v>
      </c>
      <c r="M648" s="340">
        <v>30</v>
      </c>
      <c r="N648" s="341">
        <v>88653</v>
      </c>
      <c r="O648" s="332">
        <v>58</v>
      </c>
      <c r="P648" s="342">
        <v>10.8</v>
      </c>
      <c r="Q648" s="343">
        <v>11.561978877153978</v>
      </c>
      <c r="R648" s="344">
        <v>1.8113718411552346</v>
      </c>
      <c r="S648" s="344">
        <v>1.7989999999999999</v>
      </c>
      <c r="T648" s="344">
        <v>2.0070000000000001</v>
      </c>
      <c r="U648" s="344" t="s">
        <v>136</v>
      </c>
      <c r="V648" s="332" t="s">
        <v>137</v>
      </c>
      <c r="W648" s="345">
        <v>8</v>
      </c>
      <c r="X648" s="346">
        <v>4</v>
      </c>
      <c r="Y648" s="208">
        <v>2.8069999999999999</v>
      </c>
      <c r="Z648" s="332"/>
      <c r="AA648" s="342"/>
      <c r="AB648" s="342"/>
      <c r="AC648" s="342"/>
      <c r="AD648" s="347"/>
      <c r="AE648" s="358">
        <v>1.7290000000000001</v>
      </c>
      <c r="AF648" s="349">
        <v>0</v>
      </c>
      <c r="AG648" s="350"/>
      <c r="AH648" s="351" t="s">
        <v>139</v>
      </c>
      <c r="AI648" s="352" t="s">
        <v>139</v>
      </c>
      <c r="AJ648" s="206" t="s">
        <v>139</v>
      </c>
      <c r="AK648" s="353" t="s">
        <v>983</v>
      </c>
      <c r="AL648" s="206" t="s">
        <v>139</v>
      </c>
      <c r="AM648" s="349">
        <v>104.76413193494705</v>
      </c>
      <c r="AN648" s="354" t="s">
        <v>139</v>
      </c>
      <c r="AO648" s="355" t="s">
        <v>140</v>
      </c>
      <c r="AP648" s="206" t="s">
        <v>139</v>
      </c>
      <c r="AQ648" s="246">
        <v>0</v>
      </c>
      <c r="AR648" s="211"/>
      <c r="AS648" s="297">
        <f>+IF(Table1[[#This Row],[Column40]]="ok",Table1[[#This Row],[Column7]],0)</f>
        <v>1568.23</v>
      </c>
      <c r="AT648" s="295">
        <f>+IF(Table1[[#This Row],[Column40]]="No",Table1[[#This Row],[Column7]],0)</f>
        <v>0</v>
      </c>
      <c r="AU648" s="4" t="str">
        <f>+IF(LEFT(Table1[[#This Row],[Column42]],2)="DN",IF(Table1[[#This Row],[Column40]]="ok","(CA)",_xlfn.CONCAT("(CA)",CHAR(10),"FAIL")),"")</f>
        <v/>
      </c>
      <c r="AV648" s="154" t="str">
        <f>+IF(Table1[[#This Row],[Column6]]=0,"",_xlfn.CONCAT("Sem ",WEEKNUM(Table1[[#This Row],[Column6]],2)))</f>
        <v>Sem 13</v>
      </c>
      <c r="AW648" s="211"/>
    </row>
    <row r="649" spans="2:49" ht="19.5" customHeight="1" x14ac:dyDescent="0.3">
      <c r="B649" s="356" t="s">
        <v>1038</v>
      </c>
      <c r="C649" s="331"/>
      <c r="D649" s="332" t="s">
        <v>132</v>
      </c>
      <c r="E649" s="332" t="s">
        <v>176</v>
      </c>
      <c r="F649" s="333"/>
      <c r="G649" s="334">
        <v>46110</v>
      </c>
      <c r="H649" s="335">
        <v>928.36</v>
      </c>
      <c r="I649" s="336">
        <v>440.73</v>
      </c>
      <c r="J649" s="337">
        <v>2518.2800000000002</v>
      </c>
      <c r="K649" s="338" t="s">
        <v>290</v>
      </c>
      <c r="L649" s="339" t="s">
        <v>237</v>
      </c>
      <c r="M649" s="340">
        <v>30</v>
      </c>
      <c r="N649" s="341">
        <v>88653</v>
      </c>
      <c r="O649" s="332">
        <v>58</v>
      </c>
      <c r="P649" s="342">
        <v>16.400000000000002</v>
      </c>
      <c r="Q649" s="343">
        <v>13.895089285714279</v>
      </c>
      <c r="R649" s="344">
        <v>1.7534364261168385</v>
      </c>
      <c r="S649" s="344">
        <v>1.792</v>
      </c>
      <c r="T649" s="344">
        <v>2.0409999999999999</v>
      </c>
      <c r="U649" s="344" t="s">
        <v>136</v>
      </c>
      <c r="V649" s="332" t="s">
        <v>137</v>
      </c>
      <c r="W649" s="345">
        <v>8</v>
      </c>
      <c r="X649" s="346">
        <v>4</v>
      </c>
      <c r="Y649" s="208">
        <v>2.8069999999999999</v>
      </c>
      <c r="Z649" s="332"/>
      <c r="AA649" s="342"/>
      <c r="AB649" s="342"/>
      <c r="AC649" s="342"/>
      <c r="AD649" s="347"/>
      <c r="AE649" s="358">
        <v>1.7290000000000001</v>
      </c>
      <c r="AF649" s="349">
        <v>0</v>
      </c>
      <c r="AG649" s="350"/>
      <c r="AH649" s="351" t="s">
        <v>139</v>
      </c>
      <c r="AI649" s="352" t="s">
        <v>139</v>
      </c>
      <c r="AJ649" s="206" t="s">
        <v>139</v>
      </c>
      <c r="AK649" s="353" t="s">
        <v>1039</v>
      </c>
      <c r="AL649" s="206" t="s">
        <v>139</v>
      </c>
      <c r="AM649" s="349">
        <v>101.41332713226365</v>
      </c>
      <c r="AN649" s="354" t="s">
        <v>139</v>
      </c>
      <c r="AO649" s="355" t="s">
        <v>140</v>
      </c>
      <c r="AP649" s="206" t="s">
        <v>139</v>
      </c>
      <c r="AQ649" s="246">
        <v>0</v>
      </c>
      <c r="AR649" s="211"/>
      <c r="AS649" s="297">
        <f>+IF(Table1[[#This Row],[Column40]]="ok",Table1[[#This Row],[Column7]],0)</f>
        <v>928.36</v>
      </c>
      <c r="AT649" s="295">
        <f>+IF(Table1[[#This Row],[Column40]]="No",Table1[[#This Row],[Column7]],0)</f>
        <v>0</v>
      </c>
      <c r="AU649" s="4" t="str">
        <f>+IF(LEFT(Table1[[#This Row],[Column42]],2)="DN",IF(Table1[[#This Row],[Column40]]="ok","(CA)",_xlfn.CONCAT("(CA)",CHAR(10),"FAIL")),"")</f>
        <v/>
      </c>
      <c r="AV649" s="154" t="str">
        <f>+IF(Table1[[#This Row],[Column6]]=0,"",_xlfn.CONCAT("Sem ",WEEKNUM(Table1[[#This Row],[Column6]],2)))</f>
        <v>Sem 13</v>
      </c>
      <c r="AW649" s="211"/>
    </row>
    <row r="650" spans="2:49" ht="19.5" customHeight="1" x14ac:dyDescent="0.3">
      <c r="B650" s="356" t="s">
        <v>1040</v>
      </c>
      <c r="C650" s="331"/>
      <c r="D650" s="332" t="s">
        <v>132</v>
      </c>
      <c r="E650" s="332" t="s">
        <v>176</v>
      </c>
      <c r="F650" s="333"/>
      <c r="G650" s="334">
        <v>46110</v>
      </c>
      <c r="H650" s="335">
        <v>1000.65</v>
      </c>
      <c r="I650" s="336">
        <v>466.12</v>
      </c>
      <c r="J650" s="337">
        <v>2510.54</v>
      </c>
      <c r="K650" s="338" t="s">
        <v>236</v>
      </c>
      <c r="L650" s="339" t="s">
        <v>242</v>
      </c>
      <c r="M650" s="340">
        <v>30</v>
      </c>
      <c r="N650" s="341">
        <v>88653</v>
      </c>
      <c r="O650" s="332">
        <v>58</v>
      </c>
      <c r="P650" s="342">
        <v>11.600000000000001</v>
      </c>
      <c r="Q650" s="343">
        <v>11.923963133640548</v>
      </c>
      <c r="R650" s="344">
        <v>1.7410394265232974</v>
      </c>
      <c r="S650" s="344">
        <v>1.736</v>
      </c>
      <c r="T650" s="344">
        <v>1.9430000000000001</v>
      </c>
      <c r="U650" s="344" t="s">
        <v>136</v>
      </c>
      <c r="V650" s="332" t="s">
        <v>137</v>
      </c>
      <c r="W650" s="345">
        <v>8</v>
      </c>
      <c r="X650" s="346">
        <v>4</v>
      </c>
      <c r="Y650" s="208">
        <v>2.8069999999999999</v>
      </c>
      <c r="Z650" s="332"/>
      <c r="AA650" s="342"/>
      <c r="AB650" s="342"/>
      <c r="AC650" s="342"/>
      <c r="AD650" s="347"/>
      <c r="AE650" s="358">
        <v>1.7290000000000001</v>
      </c>
      <c r="AF650" s="349">
        <v>0</v>
      </c>
      <c r="AG650" s="350"/>
      <c r="AH650" s="351" t="s">
        <v>139</v>
      </c>
      <c r="AI650" s="352" t="s">
        <v>139</v>
      </c>
      <c r="AJ650" s="206" t="s">
        <v>139</v>
      </c>
      <c r="AK650" s="353" t="s">
        <v>1039</v>
      </c>
      <c r="AL650" s="206" t="s">
        <v>139</v>
      </c>
      <c r="AM650" s="349">
        <v>100.69632310718897</v>
      </c>
      <c r="AN650" s="354" t="s">
        <v>139</v>
      </c>
      <c r="AO650" s="355" t="s">
        <v>140</v>
      </c>
      <c r="AP650" s="206" t="s">
        <v>139</v>
      </c>
      <c r="AQ650" s="246">
        <v>0</v>
      </c>
      <c r="AR650" s="211"/>
      <c r="AS650" s="297">
        <f>+IF(Table1[[#This Row],[Column40]]="ok",Table1[[#This Row],[Column7]],0)</f>
        <v>1000.65</v>
      </c>
      <c r="AT650" s="295">
        <f>+IF(Table1[[#This Row],[Column40]]="No",Table1[[#This Row],[Column7]],0)</f>
        <v>0</v>
      </c>
      <c r="AU650" s="4" t="str">
        <f>+IF(LEFT(Table1[[#This Row],[Column42]],2)="DN",IF(Table1[[#This Row],[Column40]]="ok","(CA)",_xlfn.CONCAT("(CA)",CHAR(10),"FAIL")),"")</f>
        <v/>
      </c>
      <c r="AV650" s="154" t="str">
        <f>+IF(Table1[[#This Row],[Column6]]=0,"",_xlfn.CONCAT("Sem ",WEEKNUM(Table1[[#This Row],[Column6]],2)))</f>
        <v>Sem 13</v>
      </c>
      <c r="AW650" s="211"/>
    </row>
    <row r="651" spans="2:49" ht="19.5" customHeight="1" x14ac:dyDescent="0.3">
      <c r="B651" s="356" t="s">
        <v>1041</v>
      </c>
      <c r="C651" s="331"/>
      <c r="D651" s="332" t="s">
        <v>132</v>
      </c>
      <c r="E651" s="332" t="s">
        <v>176</v>
      </c>
      <c r="F651" s="333"/>
      <c r="G651" s="334">
        <v>46110</v>
      </c>
      <c r="H651" s="335">
        <v>1064.06</v>
      </c>
      <c r="I651" s="336">
        <v>496.73</v>
      </c>
      <c r="J651" s="337">
        <v>2500.58</v>
      </c>
      <c r="K651" s="338" t="s">
        <v>236</v>
      </c>
      <c r="L651" s="339" t="s">
        <v>249</v>
      </c>
      <c r="M651" s="340">
        <v>30</v>
      </c>
      <c r="N651" s="341">
        <v>88653</v>
      </c>
      <c r="O651" s="332">
        <v>58</v>
      </c>
      <c r="P651" s="342">
        <v>12.5</v>
      </c>
      <c r="Q651" s="343">
        <v>11.509543088490437</v>
      </c>
      <c r="R651" s="344">
        <v>1.7137777777777776</v>
      </c>
      <c r="S651" s="344">
        <v>1.7290000000000001</v>
      </c>
      <c r="T651" s="344">
        <v>1.9279999999999999</v>
      </c>
      <c r="U651" s="344" t="s">
        <v>136</v>
      </c>
      <c r="V651" s="332" t="s">
        <v>137</v>
      </c>
      <c r="W651" s="345">
        <v>8</v>
      </c>
      <c r="X651" s="346">
        <v>4</v>
      </c>
      <c r="Y651" s="208">
        <v>2.8069999999999999</v>
      </c>
      <c r="Z651" s="332"/>
      <c r="AA651" s="342"/>
      <c r="AB651" s="342"/>
      <c r="AC651" s="342"/>
      <c r="AD651" s="347"/>
      <c r="AE651" s="358">
        <v>1.7290000000000001</v>
      </c>
      <c r="AF651" s="349">
        <v>0</v>
      </c>
      <c r="AG651" s="350"/>
      <c r="AH651" s="351" t="s">
        <v>139</v>
      </c>
      <c r="AI651" s="352" t="s">
        <v>139</v>
      </c>
      <c r="AJ651" s="206" t="s">
        <v>139</v>
      </c>
      <c r="AK651" s="353" t="s">
        <v>655</v>
      </c>
      <c r="AL651" s="206" t="s">
        <v>139</v>
      </c>
      <c r="AM651" s="349">
        <v>99.119593856435955</v>
      </c>
      <c r="AN651" s="354" t="s">
        <v>139</v>
      </c>
      <c r="AO651" s="355" t="s">
        <v>140</v>
      </c>
      <c r="AP651" s="206" t="s">
        <v>139</v>
      </c>
      <c r="AQ651" s="246">
        <v>0</v>
      </c>
      <c r="AR651" s="211"/>
      <c r="AS651" s="297">
        <f>+IF(Table1[[#This Row],[Column40]]="ok",Table1[[#This Row],[Column7]],0)</f>
        <v>1064.06</v>
      </c>
      <c r="AT651" s="295">
        <f>+IF(Table1[[#This Row],[Column40]]="No",Table1[[#This Row],[Column7]],0)</f>
        <v>0</v>
      </c>
      <c r="AU651" s="4" t="str">
        <f>+IF(LEFT(Table1[[#This Row],[Column42]],2)="DN",IF(Table1[[#This Row],[Column40]]="ok","(CA)",_xlfn.CONCAT("(CA)",CHAR(10),"FAIL")),"")</f>
        <v/>
      </c>
      <c r="AV651" s="154" t="str">
        <f>+IF(Table1[[#This Row],[Column6]]=0,"",_xlfn.CONCAT("Sem ",WEEKNUM(Table1[[#This Row],[Column6]],2)))</f>
        <v>Sem 13</v>
      </c>
      <c r="AW651" s="211"/>
    </row>
    <row r="652" spans="2:49" ht="19.5" customHeight="1" x14ac:dyDescent="0.3">
      <c r="B652" s="356" t="s">
        <v>1042</v>
      </c>
      <c r="C652" s="331"/>
      <c r="D652" s="332" t="s">
        <v>132</v>
      </c>
      <c r="E652" s="332" t="s">
        <v>176</v>
      </c>
      <c r="F652" s="333"/>
      <c r="G652" s="334">
        <v>46110</v>
      </c>
      <c r="H652" s="335">
        <v>1139.98</v>
      </c>
      <c r="I652" s="336">
        <v>479.15</v>
      </c>
      <c r="J652" s="337">
        <v>2506.2199999999998</v>
      </c>
      <c r="K652" s="338" t="s">
        <v>253</v>
      </c>
      <c r="L652" s="339" t="s">
        <v>209</v>
      </c>
      <c r="M652" s="340">
        <v>30</v>
      </c>
      <c r="N652" s="341">
        <v>88653</v>
      </c>
      <c r="O652" s="332">
        <v>58</v>
      </c>
      <c r="P652" s="342">
        <v>12.5</v>
      </c>
      <c r="Q652" s="343">
        <v>9.6864501679731383</v>
      </c>
      <c r="R652" s="344">
        <v>1.7413333333333334</v>
      </c>
      <c r="S652" s="344">
        <v>1.786</v>
      </c>
      <c r="T652" s="344">
        <v>1.9590000000000001</v>
      </c>
      <c r="U652" s="344" t="s">
        <v>136</v>
      </c>
      <c r="V652" s="332" t="s">
        <v>137</v>
      </c>
      <c r="W652" s="345">
        <v>8</v>
      </c>
      <c r="X652" s="346">
        <v>4</v>
      </c>
      <c r="Y652" s="208">
        <v>2.8069999999999999</v>
      </c>
      <c r="Z652" s="332"/>
      <c r="AA652" s="342"/>
      <c r="AB652" s="342"/>
      <c r="AC652" s="342"/>
      <c r="AD652" s="347"/>
      <c r="AE652" s="358">
        <v>1.7290000000000001</v>
      </c>
      <c r="AF652" s="349">
        <v>0</v>
      </c>
      <c r="AG652" s="350"/>
      <c r="AH652" s="351" t="s">
        <v>139</v>
      </c>
      <c r="AI652" s="352" t="s">
        <v>139</v>
      </c>
      <c r="AJ652" s="206" t="s">
        <v>139</v>
      </c>
      <c r="AK652" s="353" t="s">
        <v>1039</v>
      </c>
      <c r="AL652" s="206" t="s">
        <v>139</v>
      </c>
      <c r="AM652" s="349">
        <v>100.71332176595334</v>
      </c>
      <c r="AN652" s="354" t="s">
        <v>139</v>
      </c>
      <c r="AO652" s="355" t="s">
        <v>140</v>
      </c>
      <c r="AP652" s="206" t="s">
        <v>139</v>
      </c>
      <c r="AQ652" s="246">
        <v>0</v>
      </c>
      <c r="AR652" s="211"/>
      <c r="AS652" s="297">
        <f>+IF(Table1[[#This Row],[Column40]]="ok",Table1[[#This Row],[Column7]],0)</f>
        <v>1139.98</v>
      </c>
      <c r="AT652" s="295">
        <f>+IF(Table1[[#This Row],[Column40]]="No",Table1[[#This Row],[Column7]],0)</f>
        <v>0</v>
      </c>
      <c r="AU652" s="4" t="str">
        <f>+IF(LEFT(Table1[[#This Row],[Column42]],2)="DN",IF(Table1[[#This Row],[Column40]]="ok","(CA)",_xlfn.CONCAT("(CA)",CHAR(10),"FAIL")),"")</f>
        <v/>
      </c>
      <c r="AV652" s="154" t="str">
        <f>+IF(Table1[[#This Row],[Column6]]=0,"",_xlfn.CONCAT("Sem ",WEEKNUM(Table1[[#This Row],[Column6]],2)))</f>
        <v>Sem 13</v>
      </c>
      <c r="AW652" s="211"/>
    </row>
    <row r="653" spans="2:49" ht="19.5" customHeight="1" x14ac:dyDescent="0.3">
      <c r="B653" s="356" t="s">
        <v>1043</v>
      </c>
      <c r="C653" s="331"/>
      <c r="D653" s="332" t="s">
        <v>132</v>
      </c>
      <c r="E653" s="332" t="s">
        <v>176</v>
      </c>
      <c r="F653" s="333"/>
      <c r="G653" s="334">
        <v>46110</v>
      </c>
      <c r="H653" s="335">
        <v>1214.24</v>
      </c>
      <c r="I653" s="336">
        <v>438.4</v>
      </c>
      <c r="J653" s="337">
        <v>2518.61</v>
      </c>
      <c r="K653" s="338" t="s">
        <v>253</v>
      </c>
      <c r="L653" s="339" t="s">
        <v>609</v>
      </c>
      <c r="M653" s="340">
        <v>30</v>
      </c>
      <c r="N653" s="341">
        <v>88653</v>
      </c>
      <c r="O653" s="332">
        <v>58</v>
      </c>
      <c r="P653" s="342">
        <v>12.4</v>
      </c>
      <c r="Q653" s="343">
        <v>11.357340720221609</v>
      </c>
      <c r="R653" s="344">
        <v>1.7882562277580067</v>
      </c>
      <c r="S653" s="344">
        <v>1.8049999999999999</v>
      </c>
      <c r="T653" s="344">
        <v>2.0099999999999998</v>
      </c>
      <c r="U653" s="344" t="s">
        <v>136</v>
      </c>
      <c r="V653" s="332" t="s">
        <v>137</v>
      </c>
      <c r="W653" s="345">
        <v>8</v>
      </c>
      <c r="X653" s="346">
        <v>4</v>
      </c>
      <c r="Y653" s="208">
        <v>2.8069999999999999</v>
      </c>
      <c r="Z653" s="332"/>
      <c r="AA653" s="342"/>
      <c r="AB653" s="342"/>
      <c r="AC653" s="342"/>
      <c r="AD653" s="347"/>
      <c r="AE653" s="358">
        <v>1.7290000000000001</v>
      </c>
      <c r="AF653" s="349">
        <v>0</v>
      </c>
      <c r="AG653" s="350"/>
      <c r="AH653" s="351" t="s">
        <v>139</v>
      </c>
      <c r="AI653" s="352" t="s">
        <v>139</v>
      </c>
      <c r="AJ653" s="206" t="s">
        <v>139</v>
      </c>
      <c r="AK653" s="353" t="s">
        <v>1039</v>
      </c>
      <c r="AL653" s="206" t="s">
        <v>139</v>
      </c>
      <c r="AM653" s="349">
        <v>103.42719651578986</v>
      </c>
      <c r="AN653" s="354" t="s">
        <v>139</v>
      </c>
      <c r="AO653" s="355" t="s">
        <v>140</v>
      </c>
      <c r="AP653" s="206" t="s">
        <v>139</v>
      </c>
      <c r="AQ653" s="246">
        <v>0</v>
      </c>
      <c r="AR653" s="211"/>
      <c r="AS653" s="297">
        <f>+IF(Table1[[#This Row],[Column40]]="ok",Table1[[#This Row],[Column7]],0)</f>
        <v>1214.24</v>
      </c>
      <c r="AT653" s="295">
        <f>+IF(Table1[[#This Row],[Column40]]="No",Table1[[#This Row],[Column7]],0)</f>
        <v>0</v>
      </c>
      <c r="AU653" s="4" t="str">
        <f>+IF(LEFT(Table1[[#This Row],[Column42]],2)="DN",IF(Table1[[#This Row],[Column40]]="ok","(CA)",_xlfn.CONCAT("(CA)",CHAR(10),"FAIL")),"")</f>
        <v/>
      </c>
      <c r="AV653" s="154" t="str">
        <f>+IF(Table1[[#This Row],[Column6]]=0,"",_xlfn.CONCAT("Sem ",WEEKNUM(Table1[[#This Row],[Column6]],2)))</f>
        <v>Sem 13</v>
      </c>
      <c r="AW653" s="211"/>
    </row>
    <row r="654" spans="2:49" ht="19.5" customHeight="1" x14ac:dyDescent="0.3">
      <c r="B654" s="356" t="s">
        <v>1044</v>
      </c>
      <c r="C654" s="331"/>
      <c r="D654" s="332" t="s">
        <v>132</v>
      </c>
      <c r="E654" s="332" t="s">
        <v>176</v>
      </c>
      <c r="F654" s="333"/>
      <c r="G654" s="334">
        <v>46110</v>
      </c>
      <c r="H654" s="335">
        <v>1109.72</v>
      </c>
      <c r="I654" s="336">
        <v>545.51</v>
      </c>
      <c r="J654" s="337">
        <v>2486.0500000000002</v>
      </c>
      <c r="K654" s="338" t="s">
        <v>244</v>
      </c>
      <c r="L654" s="339" t="s">
        <v>247</v>
      </c>
      <c r="M654" s="340">
        <v>30</v>
      </c>
      <c r="N654" s="341">
        <v>88653</v>
      </c>
      <c r="O654" s="332">
        <v>58</v>
      </c>
      <c r="P654" s="342">
        <v>10.5</v>
      </c>
      <c r="Q654" s="343">
        <v>11.520737327188947</v>
      </c>
      <c r="R654" s="344">
        <v>1.7520361990950226</v>
      </c>
      <c r="S654" s="344">
        <v>1.736</v>
      </c>
      <c r="T654" s="344">
        <v>1.9359999999999999</v>
      </c>
      <c r="U654" s="344" t="s">
        <v>136</v>
      </c>
      <c r="V654" s="332" t="s">
        <v>137</v>
      </c>
      <c r="W654" s="345">
        <v>8</v>
      </c>
      <c r="X654" s="346">
        <v>4</v>
      </c>
      <c r="Y654" s="208">
        <v>2.8069999999999999</v>
      </c>
      <c r="Z654" s="332"/>
      <c r="AA654" s="342"/>
      <c r="AB654" s="342"/>
      <c r="AC654" s="342"/>
      <c r="AD654" s="347"/>
      <c r="AE654" s="358">
        <v>1.7367984507633096</v>
      </c>
      <c r="AF654" s="349">
        <v>16.200078985825929</v>
      </c>
      <c r="AG654" s="350"/>
      <c r="AH654" s="351">
        <v>1.7349397590361446</v>
      </c>
      <c r="AI654" s="352">
        <v>2.016</v>
      </c>
      <c r="AJ654" s="206">
        <v>16.2</v>
      </c>
      <c r="AK654" s="353" t="s">
        <v>170</v>
      </c>
      <c r="AL654" s="206">
        <v>7.8985825929578368E-5</v>
      </c>
      <c r="AM654" s="349">
        <v>100.87734695554434</v>
      </c>
      <c r="AN654" s="354" t="s">
        <v>139</v>
      </c>
      <c r="AO654" s="355" t="s">
        <v>140</v>
      </c>
      <c r="AP654" s="206" t="s">
        <v>139</v>
      </c>
      <c r="AQ654" s="246" t="s">
        <v>1045</v>
      </c>
      <c r="AR654" s="211"/>
      <c r="AS654" s="297">
        <f>+IF(Table1[[#This Row],[Column40]]="ok",Table1[[#This Row],[Column7]],0)</f>
        <v>1109.72</v>
      </c>
      <c r="AT654" s="295">
        <f>+IF(Table1[[#This Row],[Column40]]="No",Table1[[#This Row],[Column7]],0)</f>
        <v>0</v>
      </c>
      <c r="AU654" s="4" t="str">
        <f>+IF(LEFT(Table1[[#This Row],[Column42]],2)="DN",IF(Table1[[#This Row],[Column40]]="ok","(CA)",_xlfn.CONCAT("(CA)",CHAR(10),"FAIL")),"")</f>
        <v/>
      </c>
      <c r="AV654" s="154" t="str">
        <f>+IF(Table1[[#This Row],[Column6]]=0,"",_xlfn.CONCAT("Sem ",WEEKNUM(Table1[[#This Row],[Column6]],2)))</f>
        <v>Sem 13</v>
      </c>
      <c r="AW654" s="211"/>
    </row>
    <row r="655" spans="2:49" ht="19.5" customHeight="1" x14ac:dyDescent="0.3">
      <c r="B655" s="356" t="s">
        <v>1045</v>
      </c>
      <c r="C655" s="331"/>
      <c r="D655" s="332" t="s">
        <v>132</v>
      </c>
      <c r="E655" s="332" t="s">
        <v>176</v>
      </c>
      <c r="F655" s="333"/>
      <c r="G655" s="334">
        <v>46110</v>
      </c>
      <c r="H655" s="335">
        <v>1109.72</v>
      </c>
      <c r="I655" s="336">
        <v>545.51</v>
      </c>
      <c r="J655" s="337">
        <v>2486.0500000000002</v>
      </c>
      <c r="K655" s="338" t="s">
        <v>244</v>
      </c>
      <c r="L655" s="339" t="s">
        <v>247</v>
      </c>
      <c r="M655" s="340">
        <v>15</v>
      </c>
      <c r="N655" s="341"/>
      <c r="O655" s="332"/>
      <c r="P655" s="342">
        <v>10.470409711684377</v>
      </c>
      <c r="Q655" s="343"/>
      <c r="R655" s="344">
        <v>1.7214542024675037</v>
      </c>
      <c r="S655" s="344"/>
      <c r="T655" s="344">
        <v>1.9016975104648601</v>
      </c>
      <c r="U655" s="344" t="s">
        <v>142</v>
      </c>
      <c r="V655" s="332" t="s">
        <v>137</v>
      </c>
      <c r="W655" s="345" t="s">
        <v>173</v>
      </c>
      <c r="X655" s="346" t="s">
        <v>680</v>
      </c>
      <c r="Y655" s="208"/>
      <c r="Z655" s="332" t="s">
        <v>143</v>
      </c>
      <c r="AA655" s="342">
        <v>99.279210925644918</v>
      </c>
      <c r="AB655" s="342">
        <v>80.61456752655539</v>
      </c>
      <c r="AC655" s="342">
        <v>36.8361153262519</v>
      </c>
      <c r="AD655" s="347">
        <v>11.722306525037936</v>
      </c>
      <c r="AE655" s="358">
        <v>1.7367984507633096</v>
      </c>
      <c r="AF655" s="349">
        <v>16.200078985825929</v>
      </c>
      <c r="AG655" s="350" t="s">
        <v>170</v>
      </c>
      <c r="AH655" s="351">
        <v>1.7146423250416292</v>
      </c>
      <c r="AI655" s="352">
        <v>1.992973490897477</v>
      </c>
      <c r="AJ655" s="206">
        <v>16.232607920085616</v>
      </c>
      <c r="AK655" s="353" t="s">
        <v>170</v>
      </c>
      <c r="AL655" s="206">
        <v>-3.2528934259687503E-2</v>
      </c>
      <c r="AM655" s="349">
        <v>99.116521074217772</v>
      </c>
      <c r="AN655" s="354" t="s">
        <v>139</v>
      </c>
      <c r="AO655" s="355" t="s">
        <v>144</v>
      </c>
      <c r="AP655" s="206">
        <v>0</v>
      </c>
      <c r="AQ655" s="246" t="s">
        <v>1044</v>
      </c>
      <c r="AR655" s="211"/>
      <c r="AS655" s="297">
        <f>+IF(Table1[[#This Row],[Column40]]="ok",Table1[[#This Row],[Column7]],0)</f>
        <v>1109.72</v>
      </c>
      <c r="AT655" s="295">
        <f>+IF(Table1[[#This Row],[Column40]]="No",Table1[[#This Row],[Column7]],0)</f>
        <v>0</v>
      </c>
      <c r="AU655" s="4" t="str">
        <f>+IF(LEFT(Table1[[#This Row],[Column42]],2)="DN",IF(Table1[[#This Row],[Column40]]="ok","(CA)",_xlfn.CONCAT("(CA)",CHAR(10),"FAIL")),"")</f>
        <v>(CA)</v>
      </c>
      <c r="AV655" s="154" t="str">
        <f>+IF(Table1[[#This Row],[Column6]]=0,"",_xlfn.CONCAT("Sem ",WEEKNUM(Table1[[#This Row],[Column6]],2)))</f>
        <v>Sem 13</v>
      </c>
      <c r="AW655" s="211"/>
    </row>
    <row r="656" spans="2:49" ht="19.5" customHeight="1" x14ac:dyDescent="0.3">
      <c r="B656" s="356" t="s">
        <v>1046</v>
      </c>
      <c r="C656" s="331"/>
      <c r="D656" s="332" t="s">
        <v>132</v>
      </c>
      <c r="E656" s="332" t="s">
        <v>176</v>
      </c>
      <c r="F656" s="333"/>
      <c r="G656" s="334">
        <v>46110</v>
      </c>
      <c r="H656" s="335">
        <v>1258.5999999999999</v>
      </c>
      <c r="I656" s="336">
        <v>503.53</v>
      </c>
      <c r="J656" s="337">
        <v>2498.98</v>
      </c>
      <c r="K656" s="338" t="s">
        <v>257</v>
      </c>
      <c r="L656" s="339" t="s">
        <v>212</v>
      </c>
      <c r="M656" s="340">
        <v>30</v>
      </c>
      <c r="N656" s="341">
        <v>88653</v>
      </c>
      <c r="O656" s="332">
        <v>58</v>
      </c>
      <c r="P656" s="342">
        <v>11.600000000000001</v>
      </c>
      <c r="Q656" s="343">
        <v>10.957324106113031</v>
      </c>
      <c r="R656" s="344">
        <v>1.7240143369175625</v>
      </c>
      <c r="S656" s="344">
        <v>1.734</v>
      </c>
      <c r="T656" s="344">
        <v>1.9239999999999999</v>
      </c>
      <c r="U656" s="344" t="s">
        <v>136</v>
      </c>
      <c r="V656" s="332" t="s">
        <v>137</v>
      </c>
      <c r="W656" s="345">
        <v>8</v>
      </c>
      <c r="X656" s="346">
        <v>4</v>
      </c>
      <c r="Y656" s="208">
        <v>2.8069999999999999</v>
      </c>
      <c r="Z656" s="332"/>
      <c r="AA656" s="342"/>
      <c r="AB656" s="342"/>
      <c r="AC656" s="342"/>
      <c r="AD656" s="347"/>
      <c r="AE656" s="358">
        <v>1.7290000000000001</v>
      </c>
      <c r="AF656" s="349">
        <v>0</v>
      </c>
      <c r="AG656" s="350"/>
      <c r="AH656" s="351" t="s">
        <v>139</v>
      </c>
      <c r="AI656" s="352" t="s">
        <v>139</v>
      </c>
      <c r="AJ656" s="206" t="s">
        <v>139</v>
      </c>
      <c r="AK656" s="353" t="s">
        <v>1039</v>
      </c>
      <c r="AL656" s="206" t="s">
        <v>139</v>
      </c>
      <c r="AM656" s="349">
        <v>99.711644703155727</v>
      </c>
      <c r="AN656" s="354" t="s">
        <v>139</v>
      </c>
      <c r="AO656" s="355" t="s">
        <v>140</v>
      </c>
      <c r="AP656" s="206" t="s">
        <v>139</v>
      </c>
      <c r="AQ656" s="246">
        <v>0</v>
      </c>
      <c r="AR656" s="211"/>
      <c r="AS656" s="297">
        <f>+IF(Table1[[#This Row],[Column40]]="ok",Table1[[#This Row],[Column7]],0)</f>
        <v>1258.5999999999999</v>
      </c>
      <c r="AT656" s="295">
        <f>+IF(Table1[[#This Row],[Column40]]="No",Table1[[#This Row],[Column7]],0)</f>
        <v>0</v>
      </c>
      <c r="AU656" s="4" t="str">
        <f>+IF(LEFT(Table1[[#This Row],[Column42]],2)="DN",IF(Table1[[#This Row],[Column40]]="ok","(CA)",_xlfn.CONCAT("(CA)",CHAR(10),"FAIL")),"")</f>
        <v/>
      </c>
      <c r="AV656" s="154" t="str">
        <f>+IF(Table1[[#This Row],[Column6]]=0,"",_xlfn.CONCAT("Sem ",WEEKNUM(Table1[[#This Row],[Column6]],2)))</f>
        <v>Sem 13</v>
      </c>
      <c r="AW656" s="211"/>
    </row>
    <row r="657" spans="2:49" ht="19.5" customHeight="1" x14ac:dyDescent="0.3">
      <c r="B657" s="356" t="s">
        <v>1047</v>
      </c>
      <c r="C657" s="331"/>
      <c r="D657" s="332" t="s">
        <v>132</v>
      </c>
      <c r="E657" s="332" t="s">
        <v>176</v>
      </c>
      <c r="F657" s="333"/>
      <c r="G657" s="334">
        <v>46110</v>
      </c>
      <c r="H657" s="335">
        <v>1183.3800000000001</v>
      </c>
      <c r="I657" s="336">
        <v>526.48</v>
      </c>
      <c r="J657" s="337">
        <v>2493.29</v>
      </c>
      <c r="K657" s="338" t="s">
        <v>257</v>
      </c>
      <c r="L657" s="339" t="s">
        <v>254</v>
      </c>
      <c r="M657" s="340">
        <v>30</v>
      </c>
      <c r="N657" s="341">
        <v>88653</v>
      </c>
      <c r="O657" s="332">
        <v>58</v>
      </c>
      <c r="P657" s="342">
        <v>10</v>
      </c>
      <c r="Q657" s="343">
        <v>10.366197183098592</v>
      </c>
      <c r="R657" s="344">
        <v>1.7809090909090908</v>
      </c>
      <c r="S657" s="344">
        <v>1.7749999999999999</v>
      </c>
      <c r="T657" s="344">
        <v>1.9590000000000001</v>
      </c>
      <c r="U657" s="344" t="s">
        <v>136</v>
      </c>
      <c r="V657" s="332" t="s">
        <v>137</v>
      </c>
      <c r="W657" s="345">
        <v>8</v>
      </c>
      <c r="X657" s="346">
        <v>4</v>
      </c>
      <c r="Y657" s="208">
        <v>2.8069999999999999</v>
      </c>
      <c r="Z657" s="332"/>
      <c r="AA657" s="342"/>
      <c r="AB657" s="342"/>
      <c r="AC657" s="342"/>
      <c r="AD657" s="347"/>
      <c r="AE657" s="358">
        <v>1.7290000000000001</v>
      </c>
      <c r="AF657" s="349">
        <v>0</v>
      </c>
      <c r="AG657" s="350"/>
      <c r="AH657" s="351" t="s">
        <v>139</v>
      </c>
      <c r="AI657" s="352" t="s">
        <v>139</v>
      </c>
      <c r="AJ657" s="206" t="s">
        <v>139</v>
      </c>
      <c r="AK657" s="353" t="s">
        <v>1039</v>
      </c>
      <c r="AL657" s="206" t="s">
        <v>139</v>
      </c>
      <c r="AM657" s="349">
        <v>103.00226089699774</v>
      </c>
      <c r="AN657" s="354" t="s">
        <v>139</v>
      </c>
      <c r="AO657" s="355" t="s">
        <v>140</v>
      </c>
      <c r="AP657" s="206" t="s">
        <v>139</v>
      </c>
      <c r="AQ657" s="246">
        <v>0</v>
      </c>
      <c r="AR657" s="211"/>
      <c r="AS657" s="297">
        <f>+IF(Table1[[#This Row],[Column40]]="ok",Table1[[#This Row],[Column7]],0)</f>
        <v>1183.3800000000001</v>
      </c>
      <c r="AT657" s="295">
        <f>+IF(Table1[[#This Row],[Column40]]="No",Table1[[#This Row],[Column7]],0)</f>
        <v>0</v>
      </c>
      <c r="AU657" s="4" t="str">
        <f>+IF(LEFT(Table1[[#This Row],[Column42]],2)="DN",IF(Table1[[#This Row],[Column40]]="ok","(CA)",_xlfn.CONCAT("(CA)",CHAR(10),"FAIL")),"")</f>
        <v/>
      </c>
      <c r="AV657" s="154" t="str">
        <f>+IF(Table1[[#This Row],[Column6]]=0,"",_xlfn.CONCAT("Sem ",WEEKNUM(Table1[[#This Row],[Column6]],2)))</f>
        <v>Sem 13</v>
      </c>
      <c r="AW657" s="211"/>
    </row>
    <row r="658" spans="2:49" ht="19.5" customHeight="1" x14ac:dyDescent="0.3">
      <c r="B658" s="356" t="s">
        <v>1048</v>
      </c>
      <c r="C658" s="331"/>
      <c r="D658" s="332" t="s">
        <v>132</v>
      </c>
      <c r="E658" s="332" t="s">
        <v>176</v>
      </c>
      <c r="F658" s="333"/>
      <c r="G658" s="334">
        <v>46110</v>
      </c>
      <c r="H658" s="335">
        <v>1029.27</v>
      </c>
      <c r="I658" s="336">
        <v>542.4</v>
      </c>
      <c r="J658" s="337">
        <v>2487.61</v>
      </c>
      <c r="K658" s="338" t="s">
        <v>244</v>
      </c>
      <c r="L658" s="339" t="s">
        <v>245</v>
      </c>
      <c r="M658" s="340">
        <v>30</v>
      </c>
      <c r="N658" s="341">
        <v>88653</v>
      </c>
      <c r="O658" s="332">
        <v>58</v>
      </c>
      <c r="P658" s="342">
        <v>14.000000000000002</v>
      </c>
      <c r="Q658" s="343">
        <v>12.479108635097514</v>
      </c>
      <c r="R658" s="344">
        <v>1.7710526315789472</v>
      </c>
      <c r="S658" s="344">
        <v>1.7949999999999999</v>
      </c>
      <c r="T658" s="344">
        <v>2.0190000000000001</v>
      </c>
      <c r="U658" s="344" t="s">
        <v>136</v>
      </c>
      <c r="V658" s="332" t="s">
        <v>137</v>
      </c>
      <c r="W658" s="345">
        <v>8</v>
      </c>
      <c r="X658" s="346">
        <v>4</v>
      </c>
      <c r="Y658" s="208">
        <v>2.8069999999999999</v>
      </c>
      <c r="Z658" s="332"/>
      <c r="AA658" s="342"/>
      <c r="AB658" s="342"/>
      <c r="AC658" s="342"/>
      <c r="AD658" s="347"/>
      <c r="AE658" s="358">
        <v>1.7290000000000001</v>
      </c>
      <c r="AF658" s="349">
        <v>0</v>
      </c>
      <c r="AG658" s="350"/>
      <c r="AH658" s="351" t="s">
        <v>139</v>
      </c>
      <c r="AI658" s="352" t="s">
        <v>139</v>
      </c>
      <c r="AJ658" s="206" t="s">
        <v>139</v>
      </c>
      <c r="AK658" s="353" t="s">
        <v>1039</v>
      </c>
      <c r="AL658" s="206" t="s">
        <v>139</v>
      </c>
      <c r="AM658" s="349">
        <v>102.43219384493621</v>
      </c>
      <c r="AN658" s="354" t="s">
        <v>139</v>
      </c>
      <c r="AO658" s="355" t="s">
        <v>140</v>
      </c>
      <c r="AP658" s="206" t="s">
        <v>139</v>
      </c>
      <c r="AQ658" s="246">
        <v>0</v>
      </c>
      <c r="AR658" s="211"/>
      <c r="AS658" s="297">
        <f>+IF(Table1[[#This Row],[Column40]]="ok",Table1[[#This Row],[Column7]],0)</f>
        <v>1029.27</v>
      </c>
      <c r="AT658" s="295">
        <f>+IF(Table1[[#This Row],[Column40]]="No",Table1[[#This Row],[Column7]],0)</f>
        <v>0</v>
      </c>
      <c r="AU658" s="4" t="str">
        <f>+IF(LEFT(Table1[[#This Row],[Column42]],2)="DN",IF(Table1[[#This Row],[Column40]]="ok","(CA)",_xlfn.CONCAT("(CA)",CHAR(10),"FAIL")),"")</f>
        <v/>
      </c>
      <c r="AV658" s="154" t="str">
        <f>+IF(Table1[[#This Row],[Column6]]=0,"",_xlfn.CONCAT("Sem ",WEEKNUM(Table1[[#This Row],[Column6]],2)))</f>
        <v>Sem 13</v>
      </c>
      <c r="AW658" s="211"/>
    </row>
    <row r="659" spans="2:49" ht="19.5" customHeight="1" x14ac:dyDescent="0.3">
      <c r="B659" s="356" t="s">
        <v>1049</v>
      </c>
      <c r="C659" s="331"/>
      <c r="D659" s="332" t="s">
        <v>132</v>
      </c>
      <c r="E659" s="332" t="s">
        <v>176</v>
      </c>
      <c r="F659" s="333"/>
      <c r="G659" s="334">
        <v>46110</v>
      </c>
      <c r="H659" s="335">
        <v>932.16</v>
      </c>
      <c r="I659" s="336">
        <v>548.4</v>
      </c>
      <c r="J659" s="337">
        <v>2487.3000000000002</v>
      </c>
      <c r="K659" s="338" t="s">
        <v>240</v>
      </c>
      <c r="L659" s="339" t="s">
        <v>237</v>
      </c>
      <c r="M659" s="340">
        <v>30</v>
      </c>
      <c r="N659" s="341">
        <v>88653</v>
      </c>
      <c r="O659" s="332">
        <v>58</v>
      </c>
      <c r="P659" s="342">
        <v>13.4</v>
      </c>
      <c r="Q659" s="343">
        <v>12.292738707833028</v>
      </c>
      <c r="R659" s="344">
        <v>1.7319223985890655</v>
      </c>
      <c r="S659" s="344">
        <v>1.7490000000000001</v>
      </c>
      <c r="T659" s="344">
        <v>1.964</v>
      </c>
      <c r="U659" s="344" t="s">
        <v>136</v>
      </c>
      <c r="V659" s="332" t="s">
        <v>137</v>
      </c>
      <c r="W659" s="345">
        <v>8</v>
      </c>
      <c r="X659" s="346">
        <v>4</v>
      </c>
      <c r="Y659" s="208">
        <v>2.8069999999999999</v>
      </c>
      <c r="Z659" s="332"/>
      <c r="AA659" s="342"/>
      <c r="AB659" s="342"/>
      <c r="AC659" s="342"/>
      <c r="AD659" s="347"/>
      <c r="AE659" s="358">
        <v>1.7290000000000001</v>
      </c>
      <c r="AF659" s="349">
        <v>0</v>
      </c>
      <c r="AG659" s="350"/>
      <c r="AH659" s="351" t="s">
        <v>139</v>
      </c>
      <c r="AI659" s="352" t="s">
        <v>139</v>
      </c>
      <c r="AJ659" s="206" t="s">
        <v>139</v>
      </c>
      <c r="AK659" s="353" t="s">
        <v>1039</v>
      </c>
      <c r="AL659" s="206" t="s">
        <v>139</v>
      </c>
      <c r="AM659" s="349">
        <v>100.1690224747869</v>
      </c>
      <c r="AN659" s="354" t="s">
        <v>139</v>
      </c>
      <c r="AO659" s="355" t="s">
        <v>140</v>
      </c>
      <c r="AP659" s="206" t="s">
        <v>139</v>
      </c>
      <c r="AQ659" s="246">
        <v>0</v>
      </c>
      <c r="AR659" s="211"/>
      <c r="AS659" s="297">
        <f>+IF(Table1[[#This Row],[Column40]]="ok",Table1[[#This Row],[Column7]],0)</f>
        <v>932.16</v>
      </c>
      <c r="AT659" s="295">
        <f>+IF(Table1[[#This Row],[Column40]]="No",Table1[[#This Row],[Column7]],0)</f>
        <v>0</v>
      </c>
      <c r="AU659" s="4" t="str">
        <f>+IF(LEFT(Table1[[#This Row],[Column42]],2)="DN",IF(Table1[[#This Row],[Column40]]="ok","(CA)",_xlfn.CONCAT("(CA)",CHAR(10),"FAIL")),"")</f>
        <v/>
      </c>
      <c r="AV659" s="154" t="str">
        <f>+IF(Table1[[#This Row],[Column6]]=0,"",_xlfn.CONCAT("Sem ",WEEKNUM(Table1[[#This Row],[Column6]],2)))</f>
        <v>Sem 13</v>
      </c>
      <c r="AW659" s="211"/>
    </row>
    <row r="660" spans="2:49" ht="19.5" customHeight="1" x14ac:dyDescent="0.3">
      <c r="B660" s="356" t="s">
        <v>1050</v>
      </c>
      <c r="C660" s="331"/>
      <c r="D660" s="332" t="s">
        <v>132</v>
      </c>
      <c r="E660" s="332" t="s">
        <v>176</v>
      </c>
      <c r="F660" s="333"/>
      <c r="G660" s="334">
        <v>46110</v>
      </c>
      <c r="H660" s="335">
        <v>978.95</v>
      </c>
      <c r="I660" s="336">
        <v>625.63</v>
      </c>
      <c r="J660" s="337">
        <v>2465.61</v>
      </c>
      <c r="K660" s="338" t="s">
        <v>244</v>
      </c>
      <c r="L660" s="339" t="s">
        <v>280</v>
      </c>
      <c r="M660" s="340">
        <v>30</v>
      </c>
      <c r="N660" s="341">
        <v>88653</v>
      </c>
      <c r="O660" s="332">
        <v>58</v>
      </c>
      <c r="P660" s="342">
        <v>13.200000000000001</v>
      </c>
      <c r="Q660" s="343">
        <v>12.621916236374076</v>
      </c>
      <c r="R660" s="344">
        <v>1.7340989399293285</v>
      </c>
      <c r="S660" s="344">
        <v>1.7430000000000001</v>
      </c>
      <c r="T660" s="344">
        <v>1.9630000000000001</v>
      </c>
      <c r="U660" s="344" t="s">
        <v>136</v>
      </c>
      <c r="V660" s="332" t="s">
        <v>137</v>
      </c>
      <c r="W660" s="345">
        <v>8</v>
      </c>
      <c r="X660" s="346">
        <v>4</v>
      </c>
      <c r="Y660" s="208">
        <v>2.8069999999999999</v>
      </c>
      <c r="Z660" s="332"/>
      <c r="AA660" s="342"/>
      <c r="AB660" s="342"/>
      <c r="AC660" s="342"/>
      <c r="AD660" s="347"/>
      <c r="AE660" s="358">
        <v>1.7290000000000001</v>
      </c>
      <c r="AF660" s="349" t="s">
        <v>139</v>
      </c>
      <c r="AG660" s="350"/>
      <c r="AH660" s="351" t="s">
        <v>139</v>
      </c>
      <c r="AI660" s="352" t="s">
        <v>139</v>
      </c>
      <c r="AJ660" s="206" t="s">
        <v>139</v>
      </c>
      <c r="AK660" s="353" t="s">
        <v>1039</v>
      </c>
      <c r="AL660" s="206" t="s">
        <v>139</v>
      </c>
      <c r="AM660" s="349">
        <v>100.29490687850367</v>
      </c>
      <c r="AN660" s="354" t="s">
        <v>139</v>
      </c>
      <c r="AO660" s="355" t="s">
        <v>140</v>
      </c>
      <c r="AP660" s="206" t="s">
        <v>139</v>
      </c>
      <c r="AQ660" s="246">
        <v>0</v>
      </c>
      <c r="AR660" s="211"/>
      <c r="AS660" s="297">
        <f>+IF(Table1[[#This Row],[Column40]]="ok",Table1[[#This Row],[Column7]],0)</f>
        <v>978.95</v>
      </c>
      <c r="AT660" s="295">
        <f>+IF(Table1[[#This Row],[Column40]]="No",Table1[[#This Row],[Column7]],0)</f>
        <v>0</v>
      </c>
      <c r="AU660" s="4" t="str">
        <f>+IF(LEFT(Table1[[#This Row],[Column42]],2)="DN",IF(Table1[[#This Row],[Column40]]="ok","(CA)",_xlfn.CONCAT("(CA)",CHAR(10),"FAIL")),"")</f>
        <v/>
      </c>
      <c r="AV660" s="154" t="str">
        <f>+IF(Table1[[#This Row],[Column6]]=0,"",_xlfn.CONCAT("Sem ",WEEKNUM(Table1[[#This Row],[Column6]],2)))</f>
        <v>Sem 13</v>
      </c>
      <c r="AW660" s="211"/>
    </row>
    <row r="661" spans="2:49" ht="19.5" customHeight="1" x14ac:dyDescent="0.3">
      <c r="B661" s="356" t="s">
        <v>1051</v>
      </c>
      <c r="C661" s="331"/>
      <c r="D661" s="332" t="s">
        <v>132</v>
      </c>
      <c r="E661" s="332" t="s">
        <v>176</v>
      </c>
      <c r="F661" s="333"/>
      <c r="G661" s="334">
        <v>46110</v>
      </c>
      <c r="H661" s="335">
        <v>1049.6199999999999</v>
      </c>
      <c r="I661" s="336">
        <v>638.01</v>
      </c>
      <c r="J661" s="337">
        <v>2462.5300000000002</v>
      </c>
      <c r="K661" s="338" t="s">
        <v>244</v>
      </c>
      <c r="L661" s="339" t="s">
        <v>245</v>
      </c>
      <c r="M661" s="340">
        <v>30</v>
      </c>
      <c r="N661" s="341">
        <v>88653</v>
      </c>
      <c r="O661" s="332">
        <v>58</v>
      </c>
      <c r="P661" s="342">
        <v>14.6</v>
      </c>
      <c r="Q661" s="343">
        <v>13.717805151175821</v>
      </c>
      <c r="R661" s="344">
        <v>1.7722513089005238</v>
      </c>
      <c r="S661" s="344">
        <v>1.786</v>
      </c>
      <c r="T661" s="344">
        <v>2.0310000000000001</v>
      </c>
      <c r="U661" s="344" t="s">
        <v>136</v>
      </c>
      <c r="V661" s="332" t="s">
        <v>137</v>
      </c>
      <c r="W661" s="345">
        <v>8</v>
      </c>
      <c r="X661" s="346">
        <v>4</v>
      </c>
      <c r="Y661" s="208">
        <v>2.8069999999999999</v>
      </c>
      <c r="Z661" s="332"/>
      <c r="AA661" s="342"/>
      <c r="AB661" s="342"/>
      <c r="AC661" s="342"/>
      <c r="AD661" s="347"/>
      <c r="AE661" s="358">
        <v>1.7290000000000001</v>
      </c>
      <c r="AF661" s="349">
        <v>0</v>
      </c>
      <c r="AG661" s="350"/>
      <c r="AH661" s="351" t="s">
        <v>139</v>
      </c>
      <c r="AI661" s="352" t="s">
        <v>139</v>
      </c>
      <c r="AJ661" s="206" t="s">
        <v>139</v>
      </c>
      <c r="AK661" s="353" t="s">
        <v>1039</v>
      </c>
      <c r="AL661" s="206" t="s">
        <v>139</v>
      </c>
      <c r="AM661" s="349">
        <v>102.50152162524716</v>
      </c>
      <c r="AN661" s="354" t="s">
        <v>139</v>
      </c>
      <c r="AO661" s="355" t="s">
        <v>140</v>
      </c>
      <c r="AP661" s="206" t="s">
        <v>139</v>
      </c>
      <c r="AQ661" s="246">
        <v>0</v>
      </c>
      <c r="AR661" s="211"/>
      <c r="AS661" s="297">
        <f>+IF(Table1[[#This Row],[Column40]]="ok",Table1[[#This Row],[Column7]],0)</f>
        <v>1049.6199999999999</v>
      </c>
      <c r="AT661" s="295">
        <f>+IF(Table1[[#This Row],[Column40]]="No",Table1[[#This Row],[Column7]],0)</f>
        <v>0</v>
      </c>
      <c r="AU661" s="4" t="str">
        <f>+IF(LEFT(Table1[[#This Row],[Column42]],2)="DN",IF(Table1[[#This Row],[Column40]]="ok","(CA)",_xlfn.CONCAT("(CA)",CHAR(10),"FAIL")),"")</f>
        <v/>
      </c>
      <c r="AV661" s="154" t="str">
        <f>+IF(Table1[[#This Row],[Column6]]=0,"",_xlfn.CONCAT("Sem ",WEEKNUM(Table1[[#This Row],[Column6]],2)))</f>
        <v>Sem 13</v>
      </c>
      <c r="AW661" s="211"/>
    </row>
    <row r="662" spans="2:49" ht="19.5" customHeight="1" x14ac:dyDescent="0.3">
      <c r="B662" s="356" t="s">
        <v>1052</v>
      </c>
      <c r="C662" s="331"/>
      <c r="D662" s="332" t="s">
        <v>132</v>
      </c>
      <c r="E662" s="332" t="s">
        <v>176</v>
      </c>
      <c r="F662" s="333"/>
      <c r="G662" s="334">
        <v>46110</v>
      </c>
      <c r="H662" s="335">
        <v>1132.74</v>
      </c>
      <c r="I662" s="336">
        <v>624.67999999999995</v>
      </c>
      <c r="J662" s="337">
        <v>2462.42</v>
      </c>
      <c r="K662" s="338" t="s">
        <v>257</v>
      </c>
      <c r="L662" s="339" t="s">
        <v>209</v>
      </c>
      <c r="M662" s="340">
        <v>30</v>
      </c>
      <c r="N662" s="341">
        <v>88653</v>
      </c>
      <c r="O662" s="332">
        <v>58</v>
      </c>
      <c r="P662" s="342">
        <v>12</v>
      </c>
      <c r="Q662" s="343">
        <v>12.117714945181767</v>
      </c>
      <c r="R662" s="344">
        <v>1.7348214285714285</v>
      </c>
      <c r="S662" s="344">
        <v>1.7330000000000001</v>
      </c>
      <c r="T662" s="344">
        <v>1.9430000000000001</v>
      </c>
      <c r="U662" s="344" t="s">
        <v>136</v>
      </c>
      <c r="V662" s="332" t="s">
        <v>137</v>
      </c>
      <c r="W662" s="345">
        <v>8</v>
      </c>
      <c r="X662" s="346">
        <v>4</v>
      </c>
      <c r="Y662" s="208">
        <v>2.8069999999999999</v>
      </c>
      <c r="Z662" s="332"/>
      <c r="AA662" s="342"/>
      <c r="AB662" s="342"/>
      <c r="AC662" s="342"/>
      <c r="AD662" s="347"/>
      <c r="AE662" s="358">
        <v>1.7290000000000001</v>
      </c>
      <c r="AF662" s="349" t="s">
        <v>139</v>
      </c>
      <c r="AG662" s="350"/>
      <c r="AH662" s="351" t="s">
        <v>139</v>
      </c>
      <c r="AI662" s="352" t="s">
        <v>139</v>
      </c>
      <c r="AJ662" s="206" t="s">
        <v>139</v>
      </c>
      <c r="AK662" s="353" t="s">
        <v>1039</v>
      </c>
      <c r="AL662" s="206" t="s">
        <v>139</v>
      </c>
      <c r="AM662" s="349">
        <v>100.33669338180616</v>
      </c>
      <c r="AN662" s="354" t="s">
        <v>139</v>
      </c>
      <c r="AO662" s="355" t="s">
        <v>140</v>
      </c>
      <c r="AP662" s="206" t="s">
        <v>139</v>
      </c>
      <c r="AQ662" s="246">
        <v>0</v>
      </c>
      <c r="AR662" s="211"/>
      <c r="AS662" s="297">
        <f>+IF(Table1[[#This Row],[Column40]]="ok",Table1[[#This Row],[Column7]],0)</f>
        <v>1132.74</v>
      </c>
      <c r="AT662" s="295">
        <f>+IF(Table1[[#This Row],[Column40]]="No",Table1[[#This Row],[Column7]],0)</f>
        <v>0</v>
      </c>
      <c r="AU662" s="4" t="str">
        <f>+IF(LEFT(Table1[[#This Row],[Column42]],2)="DN",IF(Table1[[#This Row],[Column40]]="ok","(CA)",_xlfn.CONCAT("(CA)",CHAR(10),"FAIL")),"")</f>
        <v/>
      </c>
      <c r="AV662" s="154" t="str">
        <f>+IF(Table1[[#This Row],[Column6]]=0,"",_xlfn.CONCAT("Sem ",WEEKNUM(Table1[[#This Row],[Column6]],2)))</f>
        <v>Sem 13</v>
      </c>
      <c r="AW662" s="211"/>
    </row>
    <row r="663" spans="2:49" ht="19.5" customHeight="1" x14ac:dyDescent="0.3">
      <c r="B663" s="356" t="s">
        <v>1053</v>
      </c>
      <c r="C663" s="331"/>
      <c r="D663" s="332" t="s">
        <v>132</v>
      </c>
      <c r="E663" s="332" t="s">
        <v>176</v>
      </c>
      <c r="F663" s="333"/>
      <c r="G663" s="334">
        <v>46110</v>
      </c>
      <c r="H663" s="335">
        <v>1226.75</v>
      </c>
      <c r="I663" s="336">
        <v>610.19000000000005</v>
      </c>
      <c r="J663" s="337">
        <v>2466.86</v>
      </c>
      <c r="K663" s="338" t="s">
        <v>257</v>
      </c>
      <c r="L663" s="339" t="s">
        <v>609</v>
      </c>
      <c r="M663" s="340">
        <v>30</v>
      </c>
      <c r="N663" s="341">
        <v>88653</v>
      </c>
      <c r="O663" s="332">
        <v>58</v>
      </c>
      <c r="P663" s="342">
        <v>12</v>
      </c>
      <c r="Q663" s="343">
        <v>11.791383219954653</v>
      </c>
      <c r="R663" s="344">
        <v>1.7607142857142855</v>
      </c>
      <c r="S663" s="344">
        <v>1.764</v>
      </c>
      <c r="T663" s="344">
        <v>1.972</v>
      </c>
      <c r="U663" s="344" t="s">
        <v>136</v>
      </c>
      <c r="V663" s="332" t="s">
        <v>137</v>
      </c>
      <c r="W663" s="345">
        <v>8</v>
      </c>
      <c r="X663" s="346">
        <v>4</v>
      </c>
      <c r="Y663" s="208">
        <v>2.8069999999999999</v>
      </c>
      <c r="Z663" s="332"/>
      <c r="AA663" s="342"/>
      <c r="AB663" s="342"/>
      <c r="AC663" s="342"/>
      <c r="AD663" s="347"/>
      <c r="AE663" s="358">
        <v>1.7290000000000001</v>
      </c>
      <c r="AF663" s="349">
        <v>0</v>
      </c>
      <c r="AG663" s="350"/>
      <c r="AH663" s="351" t="s">
        <v>139</v>
      </c>
      <c r="AI663" s="352" t="s">
        <v>139</v>
      </c>
      <c r="AJ663" s="206" t="s">
        <v>139</v>
      </c>
      <c r="AK663" s="353" t="s">
        <v>1039</v>
      </c>
      <c r="AL663" s="206" t="s">
        <v>139</v>
      </c>
      <c r="AM663" s="349">
        <v>101.8342559695943</v>
      </c>
      <c r="AN663" s="354" t="s">
        <v>139</v>
      </c>
      <c r="AO663" s="355" t="s">
        <v>140</v>
      </c>
      <c r="AP663" s="206" t="s">
        <v>139</v>
      </c>
      <c r="AQ663" s="246">
        <v>0</v>
      </c>
      <c r="AR663" s="211"/>
      <c r="AS663" s="297">
        <f>+IF(Table1[[#This Row],[Column40]]="ok",Table1[[#This Row],[Column7]],0)</f>
        <v>1226.75</v>
      </c>
      <c r="AT663" s="295">
        <f>+IF(Table1[[#This Row],[Column40]]="No",Table1[[#This Row],[Column7]],0)</f>
        <v>0</v>
      </c>
      <c r="AU663" s="4" t="str">
        <f>+IF(LEFT(Table1[[#This Row],[Column42]],2)="DN",IF(Table1[[#This Row],[Column40]]="ok","(CA)",_xlfn.CONCAT("(CA)",CHAR(10),"FAIL")),"")</f>
        <v/>
      </c>
      <c r="AV663" s="154" t="str">
        <f>+IF(Table1[[#This Row],[Column6]]=0,"",_xlfn.CONCAT("Sem ",WEEKNUM(Table1[[#This Row],[Column6]],2)))</f>
        <v>Sem 13</v>
      </c>
      <c r="AW663" s="211"/>
    </row>
    <row r="664" spans="2:49" ht="19.5" customHeight="1" x14ac:dyDescent="0.3">
      <c r="B664" s="356" t="s">
        <v>1054</v>
      </c>
      <c r="C664" s="331"/>
      <c r="D664" s="332" t="s">
        <v>132</v>
      </c>
      <c r="E664" s="332" t="s">
        <v>176</v>
      </c>
      <c r="F664" s="333"/>
      <c r="G664" s="334">
        <v>46110</v>
      </c>
      <c r="H664" s="335">
        <v>45.82</v>
      </c>
      <c r="I664" s="336">
        <v>-17.3</v>
      </c>
      <c r="J664" s="337">
        <v>2637.4</v>
      </c>
      <c r="K664" s="338" t="s">
        <v>356</v>
      </c>
      <c r="L664" s="339" t="s">
        <v>1055</v>
      </c>
      <c r="M664" s="340">
        <v>30</v>
      </c>
      <c r="N664" s="341">
        <v>88653</v>
      </c>
      <c r="O664" s="332">
        <v>58</v>
      </c>
      <c r="P664" s="342">
        <v>13.700000000000001</v>
      </c>
      <c r="Q664" s="343">
        <v>12.788018433179715</v>
      </c>
      <c r="R664" s="344">
        <v>1.7220756376429198</v>
      </c>
      <c r="S664" s="344">
        <v>1.736</v>
      </c>
      <c r="T664" s="344">
        <v>1.958</v>
      </c>
      <c r="U664" s="344" t="s">
        <v>136</v>
      </c>
      <c r="V664" s="332" t="s">
        <v>169</v>
      </c>
      <c r="W664" s="345">
        <v>4</v>
      </c>
      <c r="X664" s="346">
        <v>2</v>
      </c>
      <c r="Y664" s="208">
        <v>2.8069999999999999</v>
      </c>
      <c r="Z664" s="332"/>
      <c r="AA664" s="342"/>
      <c r="AB664" s="342"/>
      <c r="AC664" s="342"/>
      <c r="AD664" s="347"/>
      <c r="AE664" s="358">
        <v>1.7290000000000001</v>
      </c>
      <c r="AF664" s="349">
        <v>0</v>
      </c>
      <c r="AG664" s="350"/>
      <c r="AH664" s="351" t="s">
        <v>139</v>
      </c>
      <c r="AI664" s="352" t="s">
        <v>139</v>
      </c>
      <c r="AJ664" s="206" t="s">
        <v>139</v>
      </c>
      <c r="AK664" s="353" t="s">
        <v>1039</v>
      </c>
      <c r="AL664" s="206" t="s">
        <v>139</v>
      </c>
      <c r="AM664" s="349">
        <v>99.59951634719026</v>
      </c>
      <c r="AN664" s="354" t="s">
        <v>139</v>
      </c>
      <c r="AO664" s="355" t="s">
        <v>140</v>
      </c>
      <c r="AP664" s="206" t="s">
        <v>139</v>
      </c>
      <c r="AQ664" s="246">
        <v>0</v>
      </c>
      <c r="AR664" s="211"/>
      <c r="AS664" s="297">
        <f>+IF(Table1[[#This Row],[Column40]]="ok",Table1[[#This Row],[Column7]],0)</f>
        <v>45.82</v>
      </c>
      <c r="AT664" s="295">
        <f>+IF(Table1[[#This Row],[Column40]]="No",Table1[[#This Row],[Column7]],0)</f>
        <v>0</v>
      </c>
      <c r="AU664" s="4" t="str">
        <f>+IF(LEFT(Table1[[#This Row],[Column42]],2)="DN",IF(Table1[[#This Row],[Column40]]="ok","(CA)",_xlfn.CONCAT("(CA)",CHAR(10),"FAIL")),"")</f>
        <v/>
      </c>
      <c r="AV664" s="154" t="str">
        <f>+IF(Table1[[#This Row],[Column6]]=0,"",_xlfn.CONCAT("Sem ",WEEKNUM(Table1[[#This Row],[Column6]],2)))</f>
        <v>Sem 13</v>
      </c>
      <c r="AW664" s="211"/>
    </row>
    <row r="665" spans="2:49" ht="19.5" customHeight="1" x14ac:dyDescent="0.3">
      <c r="B665" s="356" t="s">
        <v>1056</v>
      </c>
      <c r="C665" s="331"/>
      <c r="D665" s="332" t="s">
        <v>132</v>
      </c>
      <c r="E665" s="332" t="s">
        <v>133</v>
      </c>
      <c r="F665" s="333"/>
      <c r="G665" s="334">
        <v>46111</v>
      </c>
      <c r="H665" s="335">
        <v>1248.45</v>
      </c>
      <c r="I665" s="336">
        <v>196.13</v>
      </c>
      <c r="J665" s="337">
        <v>2587.6970000000001</v>
      </c>
      <c r="K665" s="338" t="s">
        <v>208</v>
      </c>
      <c r="L665" s="339" t="s">
        <v>212</v>
      </c>
      <c r="M665" s="340">
        <v>30</v>
      </c>
      <c r="N665" s="341">
        <v>88653</v>
      </c>
      <c r="O665" s="332">
        <v>58</v>
      </c>
      <c r="P665" s="342">
        <v>11.3</v>
      </c>
      <c r="Q665" s="343">
        <v>12.006960556844559</v>
      </c>
      <c r="R665" s="344">
        <v>1.7349505840071879</v>
      </c>
      <c r="S665" s="344">
        <v>1.724</v>
      </c>
      <c r="T665" s="344">
        <v>1.931</v>
      </c>
      <c r="U665" s="344" t="s">
        <v>136</v>
      </c>
      <c r="V665" s="332" t="s">
        <v>137</v>
      </c>
      <c r="W665" s="345">
        <v>8</v>
      </c>
      <c r="X665" s="346">
        <v>4</v>
      </c>
      <c r="Y665" s="208">
        <v>2.8069999999999999</v>
      </c>
      <c r="Z665" s="332"/>
      <c r="AA665" s="342"/>
      <c r="AB665" s="342"/>
      <c r="AC665" s="342"/>
      <c r="AD665" s="347"/>
      <c r="AE665" s="358">
        <v>1.7230000000000001</v>
      </c>
      <c r="AF665" s="349">
        <v>16.399999999999999</v>
      </c>
      <c r="AG665" s="350"/>
      <c r="AH665" s="351">
        <v>1.7233676975945016</v>
      </c>
      <c r="AI665" s="352">
        <v>2.0059999999999998</v>
      </c>
      <c r="AJ665" s="206">
        <v>16.400000000000002</v>
      </c>
      <c r="AK665" s="353" t="s">
        <v>403</v>
      </c>
      <c r="AL665" s="206">
        <v>-3.5527136788005009E-15</v>
      </c>
      <c r="AM665" s="349">
        <v>100.69359164290121</v>
      </c>
      <c r="AN665" s="354" t="s">
        <v>139</v>
      </c>
      <c r="AO665" s="355" t="s">
        <v>140</v>
      </c>
      <c r="AP665" s="206" t="s">
        <v>139</v>
      </c>
      <c r="AQ665" s="246" t="s">
        <v>1057</v>
      </c>
      <c r="AR665" s="211"/>
      <c r="AS665" s="297">
        <f>+IF(Table1[[#This Row],[Column40]]="ok",Table1[[#This Row],[Column7]],0)</f>
        <v>1248.45</v>
      </c>
      <c r="AT665" s="295">
        <f>+IF(Table1[[#This Row],[Column40]]="No",Table1[[#This Row],[Column7]],0)</f>
        <v>0</v>
      </c>
      <c r="AU665" s="4" t="str">
        <f>+IF(LEFT(Table1[[#This Row],[Column42]],2)="DN",IF(Table1[[#This Row],[Column40]]="ok","(CA)",_xlfn.CONCAT("(CA)",CHAR(10),"FAIL")),"")</f>
        <v/>
      </c>
      <c r="AV665" s="154" t="str">
        <f>+IF(Table1[[#This Row],[Column6]]=0,"",_xlfn.CONCAT("Sem ",WEEKNUM(Table1[[#This Row],[Column6]],2)))</f>
        <v>Sem 14</v>
      </c>
      <c r="AW665" s="211"/>
    </row>
    <row r="666" spans="2:49" ht="19.5" customHeight="1" x14ac:dyDescent="0.3">
      <c r="B666" s="356" t="s">
        <v>1057</v>
      </c>
      <c r="C666" s="331"/>
      <c r="D666" s="332" t="s">
        <v>132</v>
      </c>
      <c r="E666" s="332" t="s">
        <v>133</v>
      </c>
      <c r="F666" s="333"/>
      <c r="G666" s="334">
        <v>46111</v>
      </c>
      <c r="H666" s="335">
        <v>1248.45</v>
      </c>
      <c r="I666" s="336">
        <v>196.13</v>
      </c>
      <c r="J666" s="337">
        <v>2587.6970000000001</v>
      </c>
      <c r="K666" s="338" t="s">
        <v>208</v>
      </c>
      <c r="L666" s="339" t="s">
        <v>212</v>
      </c>
      <c r="M666" s="340">
        <v>15</v>
      </c>
      <c r="N666" s="341"/>
      <c r="O666" s="332"/>
      <c r="P666" s="342">
        <v>11.274772362078208</v>
      </c>
      <c r="Q666" s="343"/>
      <c r="R666" s="344">
        <v>1.7060014221384769</v>
      </c>
      <c r="S666" s="344"/>
      <c r="T666" s="344">
        <v>1.8983491989784071</v>
      </c>
      <c r="U666" s="344" t="s">
        <v>142</v>
      </c>
      <c r="V666" s="332" t="s">
        <v>137</v>
      </c>
      <c r="W666" s="345" t="s">
        <v>173</v>
      </c>
      <c r="X666" s="346" t="s">
        <v>680</v>
      </c>
      <c r="Y666" s="208"/>
      <c r="Z666" s="332" t="s">
        <v>143</v>
      </c>
      <c r="AA666" s="342">
        <v>99.276914836636308</v>
      </c>
      <c r="AB666" s="342">
        <v>78.950187466523829</v>
      </c>
      <c r="AC666" s="342">
        <v>34.386716657739683</v>
      </c>
      <c r="AD666" s="347">
        <v>10.953401178360991</v>
      </c>
      <c r="AE666" s="358">
        <v>1.724</v>
      </c>
      <c r="AF666" s="349">
        <v>16.399999999999999</v>
      </c>
      <c r="AG666" s="350" t="s">
        <v>403</v>
      </c>
      <c r="AH666" s="351">
        <v>1.723727083439702</v>
      </c>
      <c r="AI666" s="352">
        <v>2.0057489619929734</v>
      </c>
      <c r="AJ666" s="206">
        <v>16.361167684996619</v>
      </c>
      <c r="AK666" s="353" t="s">
        <v>403</v>
      </c>
      <c r="AL666" s="206">
        <v>3.8832315003379136E-2</v>
      </c>
      <c r="AM666" s="349">
        <v>98.955998963948772</v>
      </c>
      <c r="AN666" s="354" t="s">
        <v>139</v>
      </c>
      <c r="AO666" s="355" t="s">
        <v>144</v>
      </c>
      <c r="AP666" s="206">
        <v>0</v>
      </c>
      <c r="AQ666" s="246" t="s">
        <v>1056</v>
      </c>
      <c r="AR666" s="211"/>
      <c r="AS666" s="297">
        <f>+IF(Table1[[#This Row],[Column40]]="ok",Table1[[#This Row],[Column7]],0)</f>
        <v>1248.45</v>
      </c>
      <c r="AT666" s="295">
        <f>+IF(Table1[[#This Row],[Column40]]="No",Table1[[#This Row],[Column7]],0)</f>
        <v>0</v>
      </c>
      <c r="AU666" s="4" t="str">
        <f>+IF(LEFT(Table1[[#This Row],[Column42]],2)="DN",IF(Table1[[#This Row],[Column40]]="ok","(CA)",_xlfn.CONCAT("(CA)",CHAR(10),"FAIL")),"")</f>
        <v>(CA)</v>
      </c>
      <c r="AV666" s="154" t="str">
        <f>+IF(Table1[[#This Row],[Column6]]=0,"",_xlfn.CONCAT("Sem ",WEEKNUM(Table1[[#This Row],[Column6]],2)))</f>
        <v>Sem 14</v>
      </c>
      <c r="AW666" s="211"/>
    </row>
    <row r="667" spans="2:49" ht="19.5" customHeight="1" x14ac:dyDescent="0.3">
      <c r="B667" s="356" t="s">
        <v>1058</v>
      </c>
      <c r="C667" s="331"/>
      <c r="D667" s="332" t="s">
        <v>132</v>
      </c>
      <c r="E667" s="332" t="s">
        <v>133</v>
      </c>
      <c r="F667" s="333"/>
      <c r="G667" s="334">
        <v>46111</v>
      </c>
      <c r="H667" s="335">
        <v>1186.48</v>
      </c>
      <c r="I667" s="336">
        <v>227.57</v>
      </c>
      <c r="J667" s="337">
        <v>2579.645</v>
      </c>
      <c r="K667" s="338" t="s">
        <v>208</v>
      </c>
      <c r="L667" s="339" t="s">
        <v>254</v>
      </c>
      <c r="M667" s="340">
        <v>30</v>
      </c>
      <c r="N667" s="341">
        <v>88653</v>
      </c>
      <c r="O667" s="332">
        <v>58</v>
      </c>
      <c r="P667" s="342">
        <v>14.299999999999999</v>
      </c>
      <c r="Q667" s="343">
        <v>11.27232142857142</v>
      </c>
      <c r="R667" s="344">
        <v>1.7445319335083114</v>
      </c>
      <c r="S667" s="344">
        <v>1.792</v>
      </c>
      <c r="T667" s="344">
        <v>1.994</v>
      </c>
      <c r="U667" s="344" t="s">
        <v>136</v>
      </c>
      <c r="V667" s="332" t="s">
        <v>137</v>
      </c>
      <c r="W667" s="345">
        <v>8</v>
      </c>
      <c r="X667" s="346">
        <v>4</v>
      </c>
      <c r="Y667" s="208">
        <v>2.8069999999999999</v>
      </c>
      <c r="Z667" s="332"/>
      <c r="AA667" s="342"/>
      <c r="AB667" s="342"/>
      <c r="AC667" s="342"/>
      <c r="AD667" s="347"/>
      <c r="AE667" s="358">
        <v>1.7330000000000001</v>
      </c>
      <c r="AF667" s="349">
        <v>0</v>
      </c>
      <c r="AG667" s="350"/>
      <c r="AH667" s="351" t="s">
        <v>139</v>
      </c>
      <c r="AI667" s="352" t="s">
        <v>139</v>
      </c>
      <c r="AJ667" s="206" t="s">
        <v>139</v>
      </c>
      <c r="AK667" s="353" t="s">
        <v>1039</v>
      </c>
      <c r="AL667" s="206" t="s">
        <v>139</v>
      </c>
      <c r="AM667" s="349">
        <v>100.66543182390717</v>
      </c>
      <c r="AN667" s="354" t="s">
        <v>139</v>
      </c>
      <c r="AO667" s="355" t="s">
        <v>140</v>
      </c>
      <c r="AP667" s="206" t="s">
        <v>139</v>
      </c>
      <c r="AQ667" s="246">
        <v>0</v>
      </c>
      <c r="AR667" s="211"/>
      <c r="AS667" s="297">
        <f>+IF(Table1[[#This Row],[Column40]]="ok",Table1[[#This Row],[Column7]],0)</f>
        <v>1186.48</v>
      </c>
      <c r="AT667" s="295">
        <f>+IF(Table1[[#This Row],[Column40]]="No",Table1[[#This Row],[Column7]],0)</f>
        <v>0</v>
      </c>
      <c r="AU667" s="4" t="str">
        <f>+IF(LEFT(Table1[[#This Row],[Column42]],2)="DN",IF(Table1[[#This Row],[Column40]]="ok","(CA)",_xlfn.CONCAT("(CA)",CHAR(10),"FAIL")),"")</f>
        <v/>
      </c>
      <c r="AV667" s="154" t="str">
        <f>+IF(Table1[[#This Row],[Column6]]=0,"",_xlfn.CONCAT("Sem ",WEEKNUM(Table1[[#This Row],[Column6]],2)))</f>
        <v>Sem 14</v>
      </c>
      <c r="AW667" s="211"/>
    </row>
    <row r="668" spans="2:49" ht="19.5" customHeight="1" x14ac:dyDescent="0.3">
      <c r="B668" s="356" t="s">
        <v>1059</v>
      </c>
      <c r="C668" s="331"/>
      <c r="D668" s="332" t="s">
        <v>132</v>
      </c>
      <c r="E668" s="332" t="s">
        <v>133</v>
      </c>
      <c r="F668" s="333"/>
      <c r="G668" s="334">
        <v>46111</v>
      </c>
      <c r="H668" s="335">
        <v>1123.96</v>
      </c>
      <c r="I668" s="336">
        <v>261.88</v>
      </c>
      <c r="J668" s="337">
        <v>2569.6680000000001</v>
      </c>
      <c r="K668" s="338" t="s">
        <v>253</v>
      </c>
      <c r="L668" s="339" t="s">
        <v>247</v>
      </c>
      <c r="M668" s="340">
        <v>30</v>
      </c>
      <c r="N668" s="341">
        <v>88653</v>
      </c>
      <c r="O668" s="332">
        <v>58</v>
      </c>
      <c r="P668" s="342">
        <v>9.1999999999999993</v>
      </c>
      <c r="Q668" s="343">
        <v>12.414578587699321</v>
      </c>
      <c r="R668" s="344">
        <v>1.8076923076923075</v>
      </c>
      <c r="S668" s="344">
        <v>1.756</v>
      </c>
      <c r="T668" s="344">
        <v>1.974</v>
      </c>
      <c r="U668" s="344" t="s">
        <v>136</v>
      </c>
      <c r="V668" s="332" t="s">
        <v>137</v>
      </c>
      <c r="W668" s="345">
        <v>8</v>
      </c>
      <c r="X668" s="346">
        <v>4</v>
      </c>
      <c r="Y668" s="208">
        <v>2.8069999999999999</v>
      </c>
      <c r="Z668" s="332"/>
      <c r="AA668" s="342"/>
      <c r="AB668" s="342"/>
      <c r="AC668" s="342"/>
      <c r="AD668" s="347"/>
      <c r="AE668" s="358">
        <v>1.7330000000000001</v>
      </c>
      <c r="AF668" s="349">
        <v>0</v>
      </c>
      <c r="AG668" s="350"/>
      <c r="AH668" s="351" t="s">
        <v>139</v>
      </c>
      <c r="AI668" s="352" t="s">
        <v>139</v>
      </c>
      <c r="AJ668" s="206" t="s">
        <v>139</v>
      </c>
      <c r="AK668" s="353" t="s">
        <v>1039</v>
      </c>
      <c r="AL668" s="206" t="s">
        <v>139</v>
      </c>
      <c r="AM668" s="349">
        <v>104.31000044387233</v>
      </c>
      <c r="AN668" s="354" t="s">
        <v>139</v>
      </c>
      <c r="AO668" s="355" t="s">
        <v>140</v>
      </c>
      <c r="AP668" s="206" t="s">
        <v>139</v>
      </c>
      <c r="AQ668" s="246">
        <v>0</v>
      </c>
      <c r="AR668" s="211"/>
      <c r="AS668" s="297">
        <f>+IF(Table1[[#This Row],[Column40]]="ok",Table1[[#This Row],[Column7]],0)</f>
        <v>1123.96</v>
      </c>
      <c r="AT668" s="295">
        <f>+IF(Table1[[#This Row],[Column40]]="No",Table1[[#This Row],[Column7]],0)</f>
        <v>0</v>
      </c>
      <c r="AU668" s="4" t="str">
        <f>+IF(LEFT(Table1[[#This Row],[Column42]],2)="DN",IF(Table1[[#This Row],[Column40]]="ok","(CA)",_xlfn.CONCAT("(CA)",CHAR(10),"FAIL")),"")</f>
        <v/>
      </c>
      <c r="AV668" s="154" t="str">
        <f>+IF(Table1[[#This Row],[Column6]]=0,"",_xlfn.CONCAT("Sem ",WEEKNUM(Table1[[#This Row],[Column6]],2)))</f>
        <v>Sem 14</v>
      </c>
      <c r="AW668" s="211"/>
    </row>
    <row r="669" spans="2:49" ht="19.5" customHeight="1" x14ac:dyDescent="0.3">
      <c r="B669" s="356" t="s">
        <v>1060</v>
      </c>
      <c r="C669" s="331"/>
      <c r="D669" s="332" t="s">
        <v>132</v>
      </c>
      <c r="E669" s="332" t="s">
        <v>133</v>
      </c>
      <c r="F669" s="333"/>
      <c r="G669" s="334">
        <v>46111</v>
      </c>
      <c r="H669" s="335">
        <v>1121.74</v>
      </c>
      <c r="I669" s="336">
        <v>337.76</v>
      </c>
      <c r="J669" s="337">
        <v>2549.7339999999999</v>
      </c>
      <c r="K669" s="338" t="s">
        <v>253</v>
      </c>
      <c r="L669" s="339" t="s">
        <v>247</v>
      </c>
      <c r="M669" s="340">
        <v>30</v>
      </c>
      <c r="N669" s="341">
        <v>88653</v>
      </c>
      <c r="O669" s="332">
        <v>58</v>
      </c>
      <c r="P669" s="342">
        <v>10.199999999999999</v>
      </c>
      <c r="Q669" s="343">
        <v>12.386877828054299</v>
      </c>
      <c r="R669" s="344">
        <v>1.8030852994555353</v>
      </c>
      <c r="S669" s="344">
        <v>1.768</v>
      </c>
      <c r="T669" s="344">
        <v>1.9870000000000001</v>
      </c>
      <c r="U669" s="344" t="s">
        <v>136</v>
      </c>
      <c r="V669" s="332" t="s">
        <v>137</v>
      </c>
      <c r="W669" s="345">
        <v>8</v>
      </c>
      <c r="X669" s="346">
        <v>4</v>
      </c>
      <c r="Y669" s="208">
        <v>2.8069999999999999</v>
      </c>
      <c r="Z669" s="332"/>
      <c r="AA669" s="342"/>
      <c r="AB669" s="342"/>
      <c r="AC669" s="342"/>
      <c r="AD669" s="347"/>
      <c r="AE669" s="358">
        <v>1.7330000000000001</v>
      </c>
      <c r="AF669" s="349">
        <v>0</v>
      </c>
      <c r="AG669" s="350"/>
      <c r="AH669" s="351" t="s">
        <v>139</v>
      </c>
      <c r="AI669" s="352" t="s">
        <v>139</v>
      </c>
      <c r="AJ669" s="206" t="s">
        <v>139</v>
      </c>
      <c r="AK669" s="353" t="s">
        <v>1039</v>
      </c>
      <c r="AL669" s="206" t="s">
        <v>139</v>
      </c>
      <c r="AM669" s="349">
        <v>104.04416038404705</v>
      </c>
      <c r="AN669" s="354" t="s">
        <v>139</v>
      </c>
      <c r="AO669" s="355" t="s">
        <v>140</v>
      </c>
      <c r="AP669" s="206" t="s">
        <v>139</v>
      </c>
      <c r="AQ669" s="246">
        <v>0</v>
      </c>
      <c r="AR669" s="211"/>
      <c r="AS669" s="297">
        <f>+IF(Table1[[#This Row],[Column40]]="ok",Table1[[#This Row],[Column7]],0)</f>
        <v>1121.74</v>
      </c>
      <c r="AT669" s="295">
        <f>+IF(Table1[[#This Row],[Column40]]="No",Table1[[#This Row],[Column7]],0)</f>
        <v>0</v>
      </c>
      <c r="AU669" s="4" t="str">
        <f>+IF(LEFT(Table1[[#This Row],[Column42]],2)="DN",IF(Table1[[#This Row],[Column40]]="ok","(CA)",_xlfn.CONCAT("(CA)",CHAR(10),"FAIL")),"")</f>
        <v/>
      </c>
      <c r="AV669" s="154" t="str">
        <f>+IF(Table1[[#This Row],[Column6]]=0,"",_xlfn.CONCAT("Sem ",WEEKNUM(Table1[[#This Row],[Column6]],2)))</f>
        <v>Sem 14</v>
      </c>
      <c r="AW669" s="211"/>
    </row>
    <row r="670" spans="2:49" ht="19.5" customHeight="1" x14ac:dyDescent="0.3">
      <c r="B670" s="356" t="s">
        <v>1061</v>
      </c>
      <c r="C670" s="331"/>
      <c r="D670" s="332" t="s">
        <v>132</v>
      </c>
      <c r="E670" s="332" t="s">
        <v>133</v>
      </c>
      <c r="F670" s="333"/>
      <c r="G670" s="334">
        <v>46111</v>
      </c>
      <c r="H670" s="335">
        <v>1184.52</v>
      </c>
      <c r="I670" s="336">
        <v>307.89999999999998</v>
      </c>
      <c r="J670" s="337">
        <v>2558.0839999999998</v>
      </c>
      <c r="K670" s="338" t="s">
        <v>253</v>
      </c>
      <c r="L670" s="339" t="s">
        <v>254</v>
      </c>
      <c r="M670" s="340">
        <v>30</v>
      </c>
      <c r="N670" s="341">
        <v>88653</v>
      </c>
      <c r="O670" s="332">
        <v>58</v>
      </c>
      <c r="P670" s="342">
        <v>12.3</v>
      </c>
      <c r="Q670" s="343">
        <v>11.873944850872252</v>
      </c>
      <c r="R670" s="344">
        <v>1.7702582368655386</v>
      </c>
      <c r="S670" s="344">
        <v>1.7769999999999999</v>
      </c>
      <c r="T670" s="344">
        <v>1.988</v>
      </c>
      <c r="U670" s="344" t="s">
        <v>136</v>
      </c>
      <c r="V670" s="332" t="s">
        <v>137</v>
      </c>
      <c r="W670" s="345">
        <v>8</v>
      </c>
      <c r="X670" s="346">
        <v>4</v>
      </c>
      <c r="Y670" s="208">
        <v>2.8069999999999999</v>
      </c>
      <c r="Z670" s="332"/>
      <c r="AA670" s="342"/>
      <c r="AB670" s="342"/>
      <c r="AC670" s="342"/>
      <c r="AD670" s="347"/>
      <c r="AE670" s="358">
        <v>1.7330000000000001</v>
      </c>
      <c r="AF670" s="349">
        <v>0</v>
      </c>
      <c r="AG670" s="350"/>
      <c r="AH670" s="351" t="s">
        <v>139</v>
      </c>
      <c r="AI670" s="352" t="s">
        <v>139</v>
      </c>
      <c r="AJ670" s="206" t="s">
        <v>139</v>
      </c>
      <c r="AK670" s="353" t="s">
        <v>1039</v>
      </c>
      <c r="AL670" s="206" t="s">
        <v>139</v>
      </c>
      <c r="AM670" s="349">
        <v>102.14992711284123</v>
      </c>
      <c r="AN670" s="354" t="s">
        <v>139</v>
      </c>
      <c r="AO670" s="355" t="s">
        <v>140</v>
      </c>
      <c r="AP670" s="206" t="s">
        <v>139</v>
      </c>
      <c r="AQ670" s="246">
        <v>0</v>
      </c>
      <c r="AR670" s="211"/>
      <c r="AS670" s="297">
        <f>+IF(Table1[[#This Row],[Column40]]="ok",Table1[[#This Row],[Column7]],0)</f>
        <v>1184.52</v>
      </c>
      <c r="AT670" s="295">
        <f>+IF(Table1[[#This Row],[Column40]]="No",Table1[[#This Row],[Column7]],0)</f>
        <v>0</v>
      </c>
      <c r="AU670" s="4" t="str">
        <f>+IF(LEFT(Table1[[#This Row],[Column42]],2)="DN",IF(Table1[[#This Row],[Column40]]="ok","(CA)",_xlfn.CONCAT("(CA)",CHAR(10),"FAIL")),"")</f>
        <v/>
      </c>
      <c r="AV670" s="154" t="str">
        <f>+IF(Table1[[#This Row],[Column6]]=0,"",_xlfn.CONCAT("Sem ",WEEKNUM(Table1[[#This Row],[Column6]],2)))</f>
        <v>Sem 14</v>
      </c>
      <c r="AW670" s="211"/>
    </row>
    <row r="671" spans="2:49" ht="19.5" customHeight="1" x14ac:dyDescent="0.3">
      <c r="B671" s="356" t="s">
        <v>1062</v>
      </c>
      <c r="C671" s="331"/>
      <c r="D671" s="332" t="s">
        <v>132</v>
      </c>
      <c r="E671" s="332" t="s">
        <v>133</v>
      </c>
      <c r="F671" s="333"/>
      <c r="G671" s="334">
        <v>46111</v>
      </c>
      <c r="H671" s="335">
        <v>1246.07</v>
      </c>
      <c r="I671" s="336">
        <v>331.57</v>
      </c>
      <c r="J671" s="337">
        <v>2549.7800000000002</v>
      </c>
      <c r="K671" s="338" t="s">
        <v>253</v>
      </c>
      <c r="L671" s="339" t="s">
        <v>212</v>
      </c>
      <c r="M671" s="340">
        <v>30</v>
      </c>
      <c r="N671" s="341">
        <v>88653</v>
      </c>
      <c r="O671" s="332">
        <v>58</v>
      </c>
      <c r="P671" s="342">
        <v>9.7000000000000011</v>
      </c>
      <c r="Q671" s="343">
        <v>11.678832116788328</v>
      </c>
      <c r="R671" s="344">
        <v>1.8131267092069281</v>
      </c>
      <c r="S671" s="344">
        <v>1.7809999999999999</v>
      </c>
      <c r="T671" s="344">
        <v>1.9890000000000001</v>
      </c>
      <c r="U671" s="344" t="s">
        <v>136</v>
      </c>
      <c r="V671" s="332" t="s">
        <v>169</v>
      </c>
      <c r="W671" s="345">
        <v>4</v>
      </c>
      <c r="X671" s="346">
        <v>2</v>
      </c>
      <c r="Y671" s="208">
        <v>2.8069999999999999</v>
      </c>
      <c r="Z671" s="332"/>
      <c r="AA671" s="342"/>
      <c r="AB671" s="342"/>
      <c r="AC671" s="342"/>
      <c r="AD671" s="347"/>
      <c r="AE671" s="358">
        <v>1.7330000000000001</v>
      </c>
      <c r="AF671" s="349">
        <v>0</v>
      </c>
      <c r="AG671" s="350"/>
      <c r="AH671" s="351" t="s">
        <v>139</v>
      </c>
      <c r="AI671" s="352" t="s">
        <v>139</v>
      </c>
      <c r="AJ671" s="206" t="s">
        <v>139</v>
      </c>
      <c r="AK671" s="353" t="s">
        <v>1039</v>
      </c>
      <c r="AL671" s="206" t="s">
        <v>139</v>
      </c>
      <c r="AM671" s="349">
        <v>104.62358391269061</v>
      </c>
      <c r="AN671" s="354" t="s">
        <v>139</v>
      </c>
      <c r="AO671" s="355" t="s">
        <v>140</v>
      </c>
      <c r="AP671" s="206" t="s">
        <v>139</v>
      </c>
      <c r="AQ671" s="246">
        <v>0</v>
      </c>
      <c r="AR671" s="211"/>
      <c r="AS671" s="297">
        <f>+IF(Table1[[#This Row],[Column40]]="ok",Table1[[#This Row],[Column7]],0)</f>
        <v>1246.07</v>
      </c>
      <c r="AT671" s="295">
        <f>+IF(Table1[[#This Row],[Column40]]="No",Table1[[#This Row],[Column7]],0)</f>
        <v>0</v>
      </c>
      <c r="AU671" s="4" t="str">
        <f>+IF(LEFT(Table1[[#This Row],[Column42]],2)="DN",IF(Table1[[#This Row],[Column40]]="ok","(CA)",_xlfn.CONCAT("(CA)",CHAR(10),"FAIL")),"")</f>
        <v/>
      </c>
      <c r="AV671" s="154" t="str">
        <f>+IF(Table1[[#This Row],[Column6]]=0,"",_xlfn.CONCAT("Sem ",WEEKNUM(Table1[[#This Row],[Column6]],2)))</f>
        <v>Sem 14</v>
      </c>
      <c r="AW671" s="211"/>
    </row>
    <row r="672" spans="2:49" ht="19.5" customHeight="1" x14ac:dyDescent="0.3">
      <c r="B672" s="356" t="s">
        <v>1063</v>
      </c>
      <c r="C672" s="331"/>
      <c r="D672" s="332" t="s">
        <v>132</v>
      </c>
      <c r="E672" s="332" t="s">
        <v>133</v>
      </c>
      <c r="F672" s="333"/>
      <c r="G672" s="334">
        <v>46111</v>
      </c>
      <c r="H672" s="335">
        <v>1213.1300000000001</v>
      </c>
      <c r="I672" s="336">
        <v>372.2</v>
      </c>
      <c r="J672" s="337">
        <v>2538.4490000000001</v>
      </c>
      <c r="K672" s="338" t="s">
        <v>253</v>
      </c>
      <c r="L672" s="339" t="s">
        <v>609</v>
      </c>
      <c r="M672" s="340">
        <v>30</v>
      </c>
      <c r="N672" s="341">
        <v>88653</v>
      </c>
      <c r="O672" s="332">
        <v>58</v>
      </c>
      <c r="P672" s="342">
        <v>13.600000000000001</v>
      </c>
      <c r="Q672" s="343">
        <v>11.237877923559614</v>
      </c>
      <c r="R672" s="344">
        <v>1.7165492957746478</v>
      </c>
      <c r="S672" s="344">
        <v>1.7529999999999999</v>
      </c>
      <c r="T672" s="344">
        <v>1.95</v>
      </c>
      <c r="U672" s="344" t="s">
        <v>136</v>
      </c>
      <c r="V672" s="332" t="s">
        <v>137</v>
      </c>
      <c r="W672" s="345">
        <v>8</v>
      </c>
      <c r="X672" s="346">
        <v>4</v>
      </c>
      <c r="Y672" s="208">
        <v>2.8069999999999999</v>
      </c>
      <c r="Z672" s="332"/>
      <c r="AA672" s="342"/>
      <c r="AB672" s="342"/>
      <c r="AC672" s="342"/>
      <c r="AD672" s="347"/>
      <c r="AE672" s="358">
        <v>1.7330000000000001</v>
      </c>
      <c r="AF672" s="349">
        <v>0</v>
      </c>
      <c r="AG672" s="350"/>
      <c r="AH672" s="351" t="s">
        <v>139</v>
      </c>
      <c r="AI672" s="352" t="s">
        <v>139</v>
      </c>
      <c r="AJ672" s="206" t="s">
        <v>139</v>
      </c>
      <c r="AK672" s="353" t="s">
        <v>1039</v>
      </c>
      <c r="AL672" s="206" t="s">
        <v>139</v>
      </c>
      <c r="AM672" s="349">
        <v>99.050738359760388</v>
      </c>
      <c r="AN672" s="354" t="s">
        <v>139</v>
      </c>
      <c r="AO672" s="355" t="s">
        <v>140</v>
      </c>
      <c r="AP672" s="206" t="s">
        <v>139</v>
      </c>
      <c r="AQ672" s="246">
        <v>0</v>
      </c>
      <c r="AR672" s="211"/>
      <c r="AS672" s="297">
        <f>+IF(Table1[[#This Row],[Column40]]="ok",Table1[[#This Row],[Column7]],0)</f>
        <v>1213.1300000000001</v>
      </c>
      <c r="AT672" s="295">
        <f>+IF(Table1[[#This Row],[Column40]]="No",Table1[[#This Row],[Column7]],0)</f>
        <v>0</v>
      </c>
      <c r="AU672" s="4" t="str">
        <f>+IF(LEFT(Table1[[#This Row],[Column42]],2)="DN",IF(Table1[[#This Row],[Column40]]="ok","(CA)",_xlfn.CONCAT("(CA)",CHAR(10),"FAIL")),"")</f>
        <v/>
      </c>
      <c r="AV672" s="154" t="str">
        <f>+IF(Table1[[#This Row],[Column6]]=0,"",_xlfn.CONCAT("Sem ",WEEKNUM(Table1[[#This Row],[Column6]],2)))</f>
        <v>Sem 14</v>
      </c>
      <c r="AW672" s="211"/>
    </row>
    <row r="673" spans="2:49" ht="19.5" customHeight="1" x14ac:dyDescent="0.3">
      <c r="B673" s="356" t="s">
        <v>1064</v>
      </c>
      <c r="C673" s="331"/>
      <c r="D673" s="332" t="s">
        <v>132</v>
      </c>
      <c r="E673" s="332" t="s">
        <v>133</v>
      </c>
      <c r="F673" s="333"/>
      <c r="G673" s="334">
        <v>46111</v>
      </c>
      <c r="H673" s="335">
        <v>1128.4100000000001</v>
      </c>
      <c r="I673" s="336">
        <v>415.38</v>
      </c>
      <c r="J673" s="337">
        <v>2525.0610000000001</v>
      </c>
      <c r="K673" s="338" t="s">
        <v>253</v>
      </c>
      <c r="L673" s="339" t="s">
        <v>209</v>
      </c>
      <c r="M673" s="340">
        <v>30</v>
      </c>
      <c r="N673" s="341">
        <v>88653</v>
      </c>
      <c r="O673" s="332">
        <v>58</v>
      </c>
      <c r="P673" s="342">
        <v>10.299999999999999</v>
      </c>
      <c r="Q673" s="343">
        <v>11.262026032824002</v>
      </c>
      <c r="R673" s="344">
        <v>1.7824116047144152</v>
      </c>
      <c r="S673" s="344">
        <v>1.7669999999999999</v>
      </c>
      <c r="T673" s="344">
        <v>1.966</v>
      </c>
      <c r="U673" s="344" t="s">
        <v>136</v>
      </c>
      <c r="V673" s="332" t="s">
        <v>137</v>
      </c>
      <c r="W673" s="345">
        <v>8</v>
      </c>
      <c r="X673" s="346">
        <v>4</v>
      </c>
      <c r="Y673" s="208">
        <v>2.8069999999999999</v>
      </c>
      <c r="Z673" s="332"/>
      <c r="AA673" s="342"/>
      <c r="AB673" s="342"/>
      <c r="AC673" s="342"/>
      <c r="AD673" s="347"/>
      <c r="AE673" s="358">
        <v>1.7330000000000001</v>
      </c>
      <c r="AF673" s="349">
        <v>0</v>
      </c>
      <c r="AG673" s="350"/>
      <c r="AH673" s="351" t="s">
        <v>139</v>
      </c>
      <c r="AI673" s="352" t="s">
        <v>139</v>
      </c>
      <c r="AJ673" s="206" t="s">
        <v>139</v>
      </c>
      <c r="AK673" s="353" t="s">
        <v>1039</v>
      </c>
      <c r="AL673" s="206" t="s">
        <v>139</v>
      </c>
      <c r="AM673" s="349">
        <v>102.85121781387276</v>
      </c>
      <c r="AN673" s="354" t="s">
        <v>139</v>
      </c>
      <c r="AO673" s="355" t="s">
        <v>140</v>
      </c>
      <c r="AP673" s="206" t="s">
        <v>139</v>
      </c>
      <c r="AQ673" s="246">
        <v>0</v>
      </c>
      <c r="AR673" s="211"/>
      <c r="AS673" s="297">
        <f>+IF(Table1[[#This Row],[Column40]]="ok",Table1[[#This Row],[Column7]],0)</f>
        <v>1128.4100000000001</v>
      </c>
      <c r="AT673" s="295">
        <f>+IF(Table1[[#This Row],[Column40]]="No",Table1[[#This Row],[Column7]],0)</f>
        <v>0</v>
      </c>
      <c r="AU673" s="4" t="str">
        <f>+IF(LEFT(Table1[[#This Row],[Column42]],2)="DN",IF(Table1[[#This Row],[Column40]]="ok","(CA)",_xlfn.CONCAT("(CA)",CHAR(10),"FAIL")),"")</f>
        <v/>
      </c>
      <c r="AV673" s="154" t="str">
        <f>+IF(Table1[[#This Row],[Column6]]=0,"",_xlfn.CONCAT("Sem ",WEEKNUM(Table1[[#This Row],[Column6]],2)))</f>
        <v>Sem 14</v>
      </c>
      <c r="AW673" s="211"/>
    </row>
    <row r="674" spans="2:49" ht="19.5" customHeight="1" x14ac:dyDescent="0.3">
      <c r="B674" s="356" t="s">
        <v>1065</v>
      </c>
      <c r="C674" s="331"/>
      <c r="D674" s="332" t="s">
        <v>132</v>
      </c>
      <c r="E674" s="332" t="s">
        <v>176</v>
      </c>
      <c r="F674" s="333"/>
      <c r="G674" s="334">
        <v>46111</v>
      </c>
      <c r="H674" s="335">
        <v>1092.31</v>
      </c>
      <c r="I674" s="336">
        <v>258.13</v>
      </c>
      <c r="J674" s="337">
        <v>2569.31</v>
      </c>
      <c r="K674" s="338" t="s">
        <v>236</v>
      </c>
      <c r="L674" s="339" t="s">
        <v>249</v>
      </c>
      <c r="M674" s="340">
        <v>30</v>
      </c>
      <c r="N674" s="341">
        <v>88653</v>
      </c>
      <c r="O674" s="332">
        <v>58</v>
      </c>
      <c r="P674" s="342">
        <v>6</v>
      </c>
      <c r="Q674" s="343">
        <v>7.9347214406302768</v>
      </c>
      <c r="R674" s="344">
        <v>1.8094339622641509</v>
      </c>
      <c r="S674" s="344">
        <v>1.7769999999999999</v>
      </c>
      <c r="T674" s="344">
        <v>1.9179999999999999</v>
      </c>
      <c r="U674" s="344" t="s">
        <v>136</v>
      </c>
      <c r="V674" s="332" t="s">
        <v>137</v>
      </c>
      <c r="W674" s="345">
        <v>8</v>
      </c>
      <c r="X674" s="346">
        <v>4</v>
      </c>
      <c r="Y674" s="208">
        <v>2.8069999999999999</v>
      </c>
      <c r="Z674" s="332"/>
      <c r="AA674" s="342"/>
      <c r="AB674" s="342"/>
      <c r="AC674" s="342"/>
      <c r="AD674" s="347"/>
      <c r="AE674" s="358">
        <v>1.7330000000000001</v>
      </c>
      <c r="AF674" s="349">
        <v>0</v>
      </c>
      <c r="AG674" s="350"/>
      <c r="AH674" s="351" t="s">
        <v>139</v>
      </c>
      <c r="AI674" s="352" t="s">
        <v>139</v>
      </c>
      <c r="AJ674" s="206" t="s">
        <v>139</v>
      </c>
      <c r="AK674" s="353" t="s">
        <v>1039</v>
      </c>
      <c r="AL674" s="206" t="s">
        <v>139</v>
      </c>
      <c r="AM674" s="349">
        <v>104.41049984213218</v>
      </c>
      <c r="AN674" s="354" t="s">
        <v>139</v>
      </c>
      <c r="AO674" s="355" t="s">
        <v>140</v>
      </c>
      <c r="AP674" s="206" t="s">
        <v>139</v>
      </c>
      <c r="AQ674" s="246">
        <v>0</v>
      </c>
      <c r="AR674" s="211"/>
      <c r="AS674" s="297">
        <f>+IF(Table1[[#This Row],[Column40]]="ok",Table1[[#This Row],[Column7]],0)</f>
        <v>1092.31</v>
      </c>
      <c r="AT674" s="295">
        <f>+IF(Table1[[#This Row],[Column40]]="No",Table1[[#This Row],[Column7]],0)</f>
        <v>0</v>
      </c>
      <c r="AU674" s="4" t="str">
        <f>+IF(LEFT(Table1[[#This Row],[Column42]],2)="DN",IF(Table1[[#This Row],[Column40]]="ok","(CA)",_xlfn.CONCAT("(CA)",CHAR(10),"FAIL")),"")</f>
        <v/>
      </c>
      <c r="AV674" s="154" t="str">
        <f>+IF(Table1[[#This Row],[Column6]]=0,"",_xlfn.CONCAT("Sem ",WEEKNUM(Table1[[#This Row],[Column6]],2)))</f>
        <v>Sem 14</v>
      </c>
      <c r="AW674" s="211"/>
    </row>
    <row r="675" spans="2:49" ht="19.5" customHeight="1" x14ac:dyDescent="0.3">
      <c r="B675" s="356" t="s">
        <v>1066</v>
      </c>
      <c r="C675" s="331"/>
      <c r="D675" s="332" t="s">
        <v>132</v>
      </c>
      <c r="E675" s="332" t="s">
        <v>176</v>
      </c>
      <c r="F675" s="333"/>
      <c r="G675" s="334">
        <v>46111</v>
      </c>
      <c r="H675" s="335">
        <v>1036.05</v>
      </c>
      <c r="I675" s="336">
        <v>243.7</v>
      </c>
      <c r="J675" s="337">
        <v>2573.19</v>
      </c>
      <c r="K675" s="338" t="s">
        <v>205</v>
      </c>
      <c r="L675" s="339" t="s">
        <v>245</v>
      </c>
      <c r="M675" s="340">
        <v>30</v>
      </c>
      <c r="N675" s="341">
        <v>88653</v>
      </c>
      <c r="O675" s="332">
        <v>58</v>
      </c>
      <c r="P675" s="342">
        <v>8.4</v>
      </c>
      <c r="Q675" s="343">
        <v>8.4623893805309649</v>
      </c>
      <c r="R675" s="344">
        <v>1.8090405904059039</v>
      </c>
      <c r="S675" s="344">
        <v>1.8080000000000001</v>
      </c>
      <c r="T675" s="344">
        <v>1.9610000000000001</v>
      </c>
      <c r="U675" s="344" t="s">
        <v>136</v>
      </c>
      <c r="V675" s="332" t="s">
        <v>137</v>
      </c>
      <c r="W675" s="345">
        <v>8</v>
      </c>
      <c r="X675" s="346">
        <v>4</v>
      </c>
      <c r="Y675" s="208">
        <v>2.8069999999999999</v>
      </c>
      <c r="Z675" s="332"/>
      <c r="AA675" s="342"/>
      <c r="AB675" s="342"/>
      <c r="AC675" s="342"/>
      <c r="AD675" s="347"/>
      <c r="AE675" s="358">
        <v>1.7330000000000001</v>
      </c>
      <c r="AF675" s="349">
        <v>0</v>
      </c>
      <c r="AG675" s="350"/>
      <c r="AH675" s="351" t="s">
        <v>139</v>
      </c>
      <c r="AI675" s="352" t="s">
        <v>139</v>
      </c>
      <c r="AJ675" s="206" t="s">
        <v>139</v>
      </c>
      <c r="AK675" s="353" t="s">
        <v>1039</v>
      </c>
      <c r="AL675" s="206" t="s">
        <v>139</v>
      </c>
      <c r="AM675" s="349">
        <v>104.38780094667651</v>
      </c>
      <c r="AN675" s="354" t="s">
        <v>139</v>
      </c>
      <c r="AO675" s="355" t="s">
        <v>140</v>
      </c>
      <c r="AP675" s="206" t="s">
        <v>139</v>
      </c>
      <c r="AQ675" s="246">
        <v>0</v>
      </c>
      <c r="AR675" s="211"/>
      <c r="AS675" s="297">
        <f>+IF(Table1[[#This Row],[Column40]]="ok",Table1[[#This Row],[Column7]],0)</f>
        <v>1036.05</v>
      </c>
      <c r="AT675" s="295">
        <f>+IF(Table1[[#This Row],[Column40]]="No",Table1[[#This Row],[Column7]],0)</f>
        <v>0</v>
      </c>
      <c r="AU675" s="4" t="str">
        <f>+IF(LEFT(Table1[[#This Row],[Column42]],2)="DN",IF(Table1[[#This Row],[Column40]]="ok","(CA)",_xlfn.CONCAT("(CA)",CHAR(10),"FAIL")),"")</f>
        <v/>
      </c>
      <c r="AV675" s="154" t="str">
        <f>+IF(Table1[[#This Row],[Column6]]=0,"",_xlfn.CONCAT("Sem ",WEEKNUM(Table1[[#This Row],[Column6]],2)))</f>
        <v>Sem 14</v>
      </c>
      <c r="AW675" s="211"/>
    </row>
    <row r="676" spans="2:49" ht="19.5" customHeight="1" x14ac:dyDescent="0.3">
      <c r="B676" s="356" t="s">
        <v>1067</v>
      </c>
      <c r="C676" s="331"/>
      <c r="D676" s="332" t="s">
        <v>132</v>
      </c>
      <c r="E676" s="332" t="s">
        <v>176</v>
      </c>
      <c r="F676" s="333"/>
      <c r="G676" s="334">
        <v>46111</v>
      </c>
      <c r="H676" s="335">
        <v>967.99</v>
      </c>
      <c r="I676" s="336">
        <v>228.45</v>
      </c>
      <c r="J676" s="337">
        <v>2577.9699999999998</v>
      </c>
      <c r="K676" s="338" t="s">
        <v>205</v>
      </c>
      <c r="L676" s="339" t="s">
        <v>280</v>
      </c>
      <c r="M676" s="340">
        <v>30</v>
      </c>
      <c r="N676" s="341">
        <v>88653</v>
      </c>
      <c r="O676" s="332">
        <v>58</v>
      </c>
      <c r="P676" s="342">
        <v>10.299999999999999</v>
      </c>
      <c r="Q676" s="343">
        <v>10.605187319884713</v>
      </c>
      <c r="R676" s="344">
        <v>1.7398005439709883</v>
      </c>
      <c r="S676" s="344">
        <v>1.7350000000000001</v>
      </c>
      <c r="T676" s="344">
        <v>1.919</v>
      </c>
      <c r="U676" s="344" t="s">
        <v>136</v>
      </c>
      <c r="V676" s="332" t="s">
        <v>137</v>
      </c>
      <c r="W676" s="345">
        <v>8</v>
      </c>
      <c r="X676" s="346">
        <v>4</v>
      </c>
      <c r="Y676" s="208">
        <v>2.8069999999999999</v>
      </c>
      <c r="Z676" s="332"/>
      <c r="AA676" s="342"/>
      <c r="AB676" s="342"/>
      <c r="AC676" s="342"/>
      <c r="AD676" s="347"/>
      <c r="AE676" s="358">
        <v>1.7367984507633096</v>
      </c>
      <c r="AF676" s="349">
        <v>16.200078985825929</v>
      </c>
      <c r="AG676" s="350"/>
      <c r="AH676" s="351">
        <v>1.73557278208441</v>
      </c>
      <c r="AI676" s="352">
        <v>2.0150000000000001</v>
      </c>
      <c r="AJ676" s="206">
        <v>16.100000000000001</v>
      </c>
      <c r="AK676" s="353" t="s">
        <v>170</v>
      </c>
      <c r="AL676" s="206">
        <v>0.10007898582592745</v>
      </c>
      <c r="AM676" s="349">
        <v>100.1728521352814</v>
      </c>
      <c r="AN676" s="354" t="s">
        <v>139</v>
      </c>
      <c r="AO676" s="355" t="s">
        <v>140</v>
      </c>
      <c r="AP676" s="206" t="s">
        <v>139</v>
      </c>
      <c r="AQ676" s="246" t="s">
        <v>1068</v>
      </c>
      <c r="AR676" s="211"/>
      <c r="AS676" s="297">
        <f>+IF(Table1[[#This Row],[Column40]]="ok",Table1[[#This Row],[Column7]],0)</f>
        <v>967.99</v>
      </c>
      <c r="AT676" s="295">
        <f>+IF(Table1[[#This Row],[Column40]]="No",Table1[[#This Row],[Column7]],0)</f>
        <v>0</v>
      </c>
      <c r="AU676" s="4" t="str">
        <f>+IF(LEFT(Table1[[#This Row],[Column42]],2)="DN",IF(Table1[[#This Row],[Column40]]="ok","(CA)",_xlfn.CONCAT("(CA)",CHAR(10),"FAIL")),"")</f>
        <v/>
      </c>
      <c r="AV676" s="154" t="str">
        <f>+IF(Table1[[#This Row],[Column6]]=0,"",_xlfn.CONCAT("Sem ",WEEKNUM(Table1[[#This Row],[Column6]],2)))</f>
        <v>Sem 14</v>
      </c>
      <c r="AW676" s="211"/>
    </row>
    <row r="677" spans="2:49" ht="19.5" customHeight="1" x14ac:dyDescent="0.3">
      <c r="B677" s="356" t="s">
        <v>1068</v>
      </c>
      <c r="C677" s="331"/>
      <c r="D677" s="332" t="s">
        <v>132</v>
      </c>
      <c r="E677" s="332" t="s">
        <v>176</v>
      </c>
      <c r="F677" s="333"/>
      <c r="G677" s="334">
        <v>46111</v>
      </c>
      <c r="H677" s="335">
        <v>967.99</v>
      </c>
      <c r="I677" s="336">
        <v>228.45</v>
      </c>
      <c r="J677" s="337">
        <v>2577.9699999999998</v>
      </c>
      <c r="K677" s="338" t="s">
        <v>205</v>
      </c>
      <c r="L677" s="339" t="s">
        <v>280</v>
      </c>
      <c r="M677" s="340">
        <v>15</v>
      </c>
      <c r="N677" s="341"/>
      <c r="O677" s="332"/>
      <c r="P677" s="342">
        <v>10.262697022767055</v>
      </c>
      <c r="Q677" s="343"/>
      <c r="R677" s="344">
        <v>1.7133727344768335</v>
      </c>
      <c r="S677" s="344"/>
      <c r="T677" s="344">
        <v>1.8892109870868898</v>
      </c>
      <c r="U677" s="344" t="s">
        <v>142</v>
      </c>
      <c r="V677" s="332" t="s">
        <v>137</v>
      </c>
      <c r="W677" s="345" t="s">
        <v>173</v>
      </c>
      <c r="X677" s="346" t="s">
        <v>680</v>
      </c>
      <c r="Y677" s="208"/>
      <c r="Z677" s="332" t="s">
        <v>143</v>
      </c>
      <c r="AA677" s="342">
        <v>99.264448336252187</v>
      </c>
      <c r="AB677" s="342">
        <v>81.996497373029769</v>
      </c>
      <c r="AC677" s="342">
        <v>40.630472854640999</v>
      </c>
      <c r="AD677" s="347">
        <v>13.800350262697052</v>
      </c>
      <c r="AE677" s="358">
        <v>1.7367984507633096</v>
      </c>
      <c r="AF677" s="349">
        <v>16.200078985825929</v>
      </c>
      <c r="AG677" s="350" t="s">
        <v>170</v>
      </c>
      <c r="AH677" s="351">
        <v>1.7357370961067979</v>
      </c>
      <c r="AI677" s="352">
        <v>2.0153305653145961</v>
      </c>
      <c r="AJ677" s="206">
        <v>16.108054027013502</v>
      </c>
      <c r="AK677" s="353" t="s">
        <v>170</v>
      </c>
      <c r="AL677" s="206">
        <v>9.2024958812427116E-2</v>
      </c>
      <c r="AM677" s="349">
        <v>98.651212737080655</v>
      </c>
      <c r="AN677" s="354" t="s">
        <v>139</v>
      </c>
      <c r="AO677" s="355" t="s">
        <v>144</v>
      </c>
      <c r="AP677" s="206">
        <v>0</v>
      </c>
      <c r="AQ677" s="246" t="s">
        <v>1067</v>
      </c>
      <c r="AR677" s="211"/>
      <c r="AS677" s="297">
        <f>+IF(Table1[[#This Row],[Column40]]="ok",Table1[[#This Row],[Column7]],0)</f>
        <v>967.99</v>
      </c>
      <c r="AT677" s="295">
        <f>+IF(Table1[[#This Row],[Column40]]="No",Table1[[#This Row],[Column7]],0)</f>
        <v>0</v>
      </c>
      <c r="AU677" s="4" t="str">
        <f>+IF(LEFT(Table1[[#This Row],[Column42]],2)="DN",IF(Table1[[#This Row],[Column40]]="ok","(CA)",_xlfn.CONCAT("(CA)",CHAR(10),"FAIL")),"")</f>
        <v>(CA)</v>
      </c>
      <c r="AV677" s="154" t="str">
        <f>+IF(Table1[[#This Row],[Column6]]=0,"",_xlfn.CONCAT("Sem ",WEEKNUM(Table1[[#This Row],[Column6]],2)))</f>
        <v>Sem 14</v>
      </c>
      <c r="AW677" s="211"/>
    </row>
    <row r="678" spans="2:49" ht="19.5" customHeight="1" x14ac:dyDescent="0.3">
      <c r="B678" s="356" t="s">
        <v>1069</v>
      </c>
      <c r="C678" s="331"/>
      <c r="D678" s="332" t="s">
        <v>132</v>
      </c>
      <c r="E678" s="332" t="s">
        <v>176</v>
      </c>
      <c r="F678" s="333"/>
      <c r="G678" s="334">
        <v>46111</v>
      </c>
      <c r="H678" s="335">
        <v>962.7</v>
      </c>
      <c r="I678" s="336">
        <v>304.29000000000002</v>
      </c>
      <c r="J678" s="337">
        <v>2558.1</v>
      </c>
      <c r="K678" s="338" t="s">
        <v>236</v>
      </c>
      <c r="L678" s="339" t="s">
        <v>280</v>
      </c>
      <c r="M678" s="340">
        <v>30</v>
      </c>
      <c r="N678" s="341">
        <v>88653</v>
      </c>
      <c r="O678" s="332">
        <v>58</v>
      </c>
      <c r="P678" s="342">
        <v>9.1999999999999993</v>
      </c>
      <c r="Q678" s="343">
        <v>9.375</v>
      </c>
      <c r="R678" s="344">
        <v>1.7628205128205128</v>
      </c>
      <c r="S678" s="344">
        <v>1.76</v>
      </c>
      <c r="T678" s="344">
        <v>1.925</v>
      </c>
      <c r="U678" s="344" t="s">
        <v>136</v>
      </c>
      <c r="V678" s="332" t="s">
        <v>137</v>
      </c>
      <c r="W678" s="345">
        <v>8</v>
      </c>
      <c r="X678" s="346">
        <v>4</v>
      </c>
      <c r="Y678" s="208">
        <v>2.8069999999999999</v>
      </c>
      <c r="Z678" s="332"/>
      <c r="AA678" s="342"/>
      <c r="AB678" s="342"/>
      <c r="AC678" s="342"/>
      <c r="AD678" s="347"/>
      <c r="AE678" s="358">
        <v>1.7330000000000001</v>
      </c>
      <c r="AF678" s="349">
        <v>0</v>
      </c>
      <c r="AG678" s="350"/>
      <c r="AH678" s="351" t="s">
        <v>139</v>
      </c>
      <c r="AI678" s="352" t="s">
        <v>139</v>
      </c>
      <c r="AJ678" s="206" t="s">
        <v>139</v>
      </c>
      <c r="AK678" s="353" t="s">
        <v>1039</v>
      </c>
      <c r="AL678" s="206" t="s">
        <v>139</v>
      </c>
      <c r="AM678" s="349">
        <v>101.72074511370528</v>
      </c>
      <c r="AN678" s="354" t="s">
        <v>139</v>
      </c>
      <c r="AO678" s="355" t="s">
        <v>140</v>
      </c>
      <c r="AP678" s="206" t="s">
        <v>139</v>
      </c>
      <c r="AQ678" s="246">
        <v>0</v>
      </c>
      <c r="AR678" s="211"/>
      <c r="AS678" s="297">
        <f>+IF(Table1[[#This Row],[Column40]]="ok",Table1[[#This Row],[Column7]],0)</f>
        <v>962.7</v>
      </c>
      <c r="AT678" s="295">
        <f>+IF(Table1[[#This Row],[Column40]]="No",Table1[[#This Row],[Column7]],0)</f>
        <v>0</v>
      </c>
      <c r="AU678" s="4" t="str">
        <f>+IF(LEFT(Table1[[#This Row],[Column42]],2)="DN",IF(Table1[[#This Row],[Column40]]="ok","(CA)",_xlfn.CONCAT("(CA)",CHAR(10),"FAIL")),"")</f>
        <v/>
      </c>
      <c r="AV678" s="154" t="str">
        <f>+IF(Table1[[#This Row],[Column6]]=0,"",_xlfn.CONCAT("Sem ",WEEKNUM(Table1[[#This Row],[Column6]],2)))</f>
        <v>Sem 14</v>
      </c>
      <c r="AW678" s="211"/>
    </row>
    <row r="679" spans="2:49" ht="19.5" customHeight="1" x14ac:dyDescent="0.3">
      <c r="B679" s="356" t="s">
        <v>1070</v>
      </c>
      <c r="C679" s="331"/>
      <c r="D679" s="332" t="s">
        <v>132</v>
      </c>
      <c r="E679" s="332" t="s">
        <v>176</v>
      </c>
      <c r="F679" s="333"/>
      <c r="G679" s="334">
        <v>46111</v>
      </c>
      <c r="H679" s="335">
        <v>1029.98</v>
      </c>
      <c r="I679" s="336">
        <v>329.22</v>
      </c>
      <c r="J679" s="337">
        <v>2552.41</v>
      </c>
      <c r="K679" s="338" t="s">
        <v>236</v>
      </c>
      <c r="L679" s="339" t="s">
        <v>245</v>
      </c>
      <c r="M679" s="340">
        <v>30</v>
      </c>
      <c r="N679" s="341">
        <v>88653</v>
      </c>
      <c r="O679" s="332">
        <v>58</v>
      </c>
      <c r="P679" s="342">
        <v>15.7</v>
      </c>
      <c r="Q679" s="343">
        <v>13.256325632563271</v>
      </c>
      <c r="R679" s="344">
        <v>1.7796024200518583</v>
      </c>
      <c r="S679" s="344">
        <v>1.8180000000000001</v>
      </c>
      <c r="T679" s="344">
        <v>2.0590000000000002</v>
      </c>
      <c r="U679" s="344" t="s">
        <v>136</v>
      </c>
      <c r="V679" s="332" t="s">
        <v>137</v>
      </c>
      <c r="W679" s="345">
        <v>8</v>
      </c>
      <c r="X679" s="346">
        <v>4</v>
      </c>
      <c r="Y679" s="208">
        <v>2.8069999999999999</v>
      </c>
      <c r="Z679" s="332"/>
      <c r="AA679" s="342"/>
      <c r="AB679" s="342"/>
      <c r="AC679" s="342"/>
      <c r="AD679" s="347"/>
      <c r="AE679" s="358">
        <v>1.7330000000000001</v>
      </c>
      <c r="AF679" s="349">
        <v>0</v>
      </c>
      <c r="AG679" s="350"/>
      <c r="AH679" s="351" t="s">
        <v>139</v>
      </c>
      <c r="AI679" s="352" t="s">
        <v>139</v>
      </c>
      <c r="AJ679" s="206" t="s">
        <v>139</v>
      </c>
      <c r="AK679" s="353" t="s">
        <v>1039</v>
      </c>
      <c r="AL679" s="206" t="s">
        <v>139</v>
      </c>
      <c r="AM679" s="349">
        <v>102.68911829497162</v>
      </c>
      <c r="AN679" s="354" t="s">
        <v>139</v>
      </c>
      <c r="AO679" s="355" t="s">
        <v>140</v>
      </c>
      <c r="AP679" s="206" t="s">
        <v>139</v>
      </c>
      <c r="AQ679" s="246">
        <v>0</v>
      </c>
      <c r="AR679" s="211"/>
      <c r="AS679" s="297">
        <f>+IF(Table1[[#This Row],[Column40]]="ok",Table1[[#This Row],[Column7]],0)</f>
        <v>1029.98</v>
      </c>
      <c r="AT679" s="295">
        <f>+IF(Table1[[#This Row],[Column40]]="No",Table1[[#This Row],[Column7]],0)</f>
        <v>0</v>
      </c>
      <c r="AU679" s="4" t="str">
        <f>+IF(LEFT(Table1[[#This Row],[Column42]],2)="DN",IF(Table1[[#This Row],[Column40]]="ok","(CA)",_xlfn.CONCAT("(CA)",CHAR(10),"FAIL")),"")</f>
        <v/>
      </c>
      <c r="AV679" s="154" t="str">
        <f>+IF(Table1[[#This Row],[Column6]]=0,"",_xlfn.CONCAT("Sem ",WEEKNUM(Table1[[#This Row],[Column6]],2)))</f>
        <v>Sem 14</v>
      </c>
      <c r="AW679" s="211"/>
    </row>
    <row r="680" spans="2:49" ht="19.5" customHeight="1" x14ac:dyDescent="0.3">
      <c r="B680" s="356" t="s">
        <v>1071</v>
      </c>
      <c r="C680" s="331"/>
      <c r="D680" s="332" t="s">
        <v>132</v>
      </c>
      <c r="E680" s="332" t="s">
        <v>176</v>
      </c>
      <c r="F680" s="333"/>
      <c r="G680" s="334">
        <v>46111</v>
      </c>
      <c r="H680" s="335">
        <v>1093.47</v>
      </c>
      <c r="I680" s="336">
        <v>350.26</v>
      </c>
      <c r="J680" s="337">
        <v>2545.7600000000002</v>
      </c>
      <c r="K680" s="338" t="s">
        <v>236</v>
      </c>
      <c r="L680" s="339" t="s">
        <v>249</v>
      </c>
      <c r="M680" s="340">
        <v>30</v>
      </c>
      <c r="N680" s="341">
        <v>88653</v>
      </c>
      <c r="O680" s="332">
        <v>58</v>
      </c>
      <c r="P680" s="342">
        <v>11.4</v>
      </c>
      <c r="Q680" s="343">
        <v>10.862068965517246</v>
      </c>
      <c r="R680" s="344">
        <v>1.7315978456014363</v>
      </c>
      <c r="S680" s="344">
        <v>1.74</v>
      </c>
      <c r="T680" s="344">
        <v>1.929</v>
      </c>
      <c r="U680" s="344" t="s">
        <v>136</v>
      </c>
      <c r="V680" s="332" t="s">
        <v>137</v>
      </c>
      <c r="W680" s="345">
        <v>8</v>
      </c>
      <c r="X680" s="346">
        <v>4</v>
      </c>
      <c r="Y680" s="208">
        <v>2.8069999999999999</v>
      </c>
      <c r="Z680" s="332"/>
      <c r="AA680" s="342"/>
      <c r="AB680" s="342"/>
      <c r="AC680" s="342"/>
      <c r="AD680" s="347"/>
      <c r="AE680" s="358">
        <v>1.7330000000000001</v>
      </c>
      <c r="AF680" s="349">
        <v>0</v>
      </c>
      <c r="AG680" s="350"/>
      <c r="AH680" s="351" t="s">
        <v>139</v>
      </c>
      <c r="AI680" s="352" t="s">
        <v>139</v>
      </c>
      <c r="AJ680" s="206" t="s">
        <v>139</v>
      </c>
      <c r="AK680" s="353" t="s">
        <v>170</v>
      </c>
      <c r="AL680" s="206" t="s">
        <v>139</v>
      </c>
      <c r="AM680" s="349">
        <v>99.919090917567004</v>
      </c>
      <c r="AN680" s="354" t="s">
        <v>139</v>
      </c>
      <c r="AO680" s="355" t="s">
        <v>140</v>
      </c>
      <c r="AP680" s="206" t="s">
        <v>139</v>
      </c>
      <c r="AQ680" s="246">
        <v>0</v>
      </c>
      <c r="AR680" s="211"/>
      <c r="AS680" s="297">
        <f>+IF(Table1[[#This Row],[Column40]]="ok",Table1[[#This Row],[Column7]],0)</f>
        <v>1093.47</v>
      </c>
      <c r="AT680" s="295">
        <f>+IF(Table1[[#This Row],[Column40]]="No",Table1[[#This Row],[Column7]],0)</f>
        <v>0</v>
      </c>
      <c r="AU680" s="4" t="str">
        <f>+IF(LEFT(Table1[[#This Row],[Column42]],2)="DN",IF(Table1[[#This Row],[Column40]]="ok","(CA)",_xlfn.CONCAT("(CA)",CHAR(10),"FAIL")),"")</f>
        <v/>
      </c>
      <c r="AV680" s="154" t="str">
        <f>+IF(Table1[[#This Row],[Column6]]=0,"",_xlfn.CONCAT("Sem ",WEEKNUM(Table1[[#This Row],[Column6]],2)))</f>
        <v>Sem 14</v>
      </c>
      <c r="AW680" s="211"/>
    </row>
    <row r="681" spans="2:49" ht="19.5" customHeight="1" x14ac:dyDescent="0.3">
      <c r="B681" s="356" t="s">
        <v>1072</v>
      </c>
      <c r="C681" s="331"/>
      <c r="D681" s="332" t="s">
        <v>132</v>
      </c>
      <c r="E681" s="332" t="s">
        <v>176</v>
      </c>
      <c r="F681" s="365"/>
      <c r="G681" s="334">
        <v>46111</v>
      </c>
      <c r="H681" s="335">
        <v>1063.83</v>
      </c>
      <c r="I681" s="336">
        <v>419.46</v>
      </c>
      <c r="J681" s="337">
        <v>2525.0100000000002</v>
      </c>
      <c r="K681" s="338" t="s">
        <v>236</v>
      </c>
      <c r="L681" s="339" t="s">
        <v>249</v>
      </c>
      <c r="M681" s="340">
        <v>30</v>
      </c>
      <c r="N681" s="341">
        <v>88653</v>
      </c>
      <c r="O681" s="332">
        <v>58</v>
      </c>
      <c r="P681" s="342">
        <v>10.8</v>
      </c>
      <c r="Q681" s="343">
        <v>10.611303344867352</v>
      </c>
      <c r="R681" s="344">
        <v>1.731046931407942</v>
      </c>
      <c r="S681" s="344">
        <v>1.734</v>
      </c>
      <c r="T681" s="344">
        <v>1.9179999999999999</v>
      </c>
      <c r="U681" s="344" t="s">
        <v>136</v>
      </c>
      <c r="V681" s="332" t="s">
        <v>137</v>
      </c>
      <c r="W681" s="345">
        <v>8</v>
      </c>
      <c r="X681" s="346">
        <v>4</v>
      </c>
      <c r="Y681" s="208">
        <v>2.8069999999999999</v>
      </c>
      <c r="Z681" s="332"/>
      <c r="AA681" s="342"/>
      <c r="AB681" s="342"/>
      <c r="AC681" s="342"/>
      <c r="AD681" s="347"/>
      <c r="AE681" s="358">
        <v>1.7330000000000001</v>
      </c>
      <c r="AF681" s="349">
        <v>0</v>
      </c>
      <c r="AG681" s="350"/>
      <c r="AH681" s="351" t="s">
        <v>139</v>
      </c>
      <c r="AI681" s="352" t="s">
        <v>139</v>
      </c>
      <c r="AJ681" s="206" t="s">
        <v>139</v>
      </c>
      <c r="AK681" s="353" t="s">
        <v>1039</v>
      </c>
      <c r="AL681" s="206" t="s">
        <v>139</v>
      </c>
      <c r="AM681" s="349">
        <v>99.887301293014531</v>
      </c>
      <c r="AN681" s="354" t="s">
        <v>139</v>
      </c>
      <c r="AO681" s="355" t="s">
        <v>140</v>
      </c>
      <c r="AP681" s="206" t="s">
        <v>139</v>
      </c>
      <c r="AQ681" s="246">
        <v>0</v>
      </c>
      <c r="AR681" s="211"/>
      <c r="AS681" s="297">
        <f>+IF(Table1[[#This Row],[Column40]]="ok",Table1[[#This Row],[Column7]],0)</f>
        <v>1063.83</v>
      </c>
      <c r="AT681" s="295">
        <f>+IF(Table1[[#This Row],[Column40]]="No",Table1[[#This Row],[Column7]],0)</f>
        <v>0</v>
      </c>
      <c r="AU681" s="4" t="str">
        <f>+IF(LEFT(Table1[[#This Row],[Column42]],2)="DN",IF(Table1[[#This Row],[Column40]]="ok","(CA)",_xlfn.CONCAT("(CA)",CHAR(10),"FAIL")),"")</f>
        <v/>
      </c>
      <c r="AV681" s="154" t="str">
        <f>+IF(Table1[[#This Row],[Column6]]=0,"",_xlfn.CONCAT("Sem ",WEEKNUM(Table1[[#This Row],[Column6]],2)))</f>
        <v>Sem 14</v>
      </c>
      <c r="AW681" s="211"/>
    </row>
    <row r="682" spans="2:49" ht="19.5" customHeight="1" x14ac:dyDescent="0.3">
      <c r="B682" s="356" t="s">
        <v>1073</v>
      </c>
      <c r="C682" s="331"/>
      <c r="D682" s="332" t="s">
        <v>132</v>
      </c>
      <c r="E682" s="332" t="s">
        <v>176</v>
      </c>
      <c r="F682" s="333"/>
      <c r="G682" s="334">
        <v>46111</v>
      </c>
      <c r="H682" s="335">
        <v>978.03</v>
      </c>
      <c r="I682" s="336">
        <v>389.05</v>
      </c>
      <c r="J682" s="337">
        <v>2533.65</v>
      </c>
      <c r="K682" s="338" t="s">
        <v>236</v>
      </c>
      <c r="L682" s="339" t="s">
        <v>280</v>
      </c>
      <c r="M682" s="340">
        <v>30</v>
      </c>
      <c r="N682" s="341">
        <v>88653</v>
      </c>
      <c r="O682" s="332">
        <v>58</v>
      </c>
      <c r="P682" s="342">
        <v>10.7</v>
      </c>
      <c r="Q682" s="343">
        <v>11.633237822349551</v>
      </c>
      <c r="R682" s="344">
        <v>1.7597109304426377</v>
      </c>
      <c r="S682" s="344">
        <v>1.7450000000000001</v>
      </c>
      <c r="T682" s="344">
        <v>1.948</v>
      </c>
      <c r="U682" s="344" t="s">
        <v>136</v>
      </c>
      <c r="V682" s="332" t="s">
        <v>137</v>
      </c>
      <c r="W682" s="345">
        <v>8</v>
      </c>
      <c r="X682" s="346">
        <v>4</v>
      </c>
      <c r="Y682" s="208">
        <v>2.8069999999999999</v>
      </c>
      <c r="Z682" s="332"/>
      <c r="AA682" s="342"/>
      <c r="AB682" s="342"/>
      <c r="AC682" s="342"/>
      <c r="AD682" s="347"/>
      <c r="AE682" s="358">
        <v>1.7330000000000001</v>
      </c>
      <c r="AF682" s="349">
        <v>0</v>
      </c>
      <c r="AG682" s="350"/>
      <c r="AH682" s="351" t="s">
        <v>139</v>
      </c>
      <c r="AI682" s="352" t="s">
        <v>139</v>
      </c>
      <c r="AJ682" s="206" t="s">
        <v>139</v>
      </c>
      <c r="AK682" s="353" t="s">
        <v>1039</v>
      </c>
      <c r="AL682" s="206" t="s">
        <v>139</v>
      </c>
      <c r="AM682" s="349">
        <v>101.54131162392601</v>
      </c>
      <c r="AN682" s="354" t="s">
        <v>139</v>
      </c>
      <c r="AO682" s="355" t="s">
        <v>140</v>
      </c>
      <c r="AP682" s="206" t="s">
        <v>139</v>
      </c>
      <c r="AQ682" s="246">
        <v>0</v>
      </c>
      <c r="AR682" s="211"/>
      <c r="AS682" s="297">
        <f>+IF(Table1[[#This Row],[Column40]]="ok",Table1[[#This Row],[Column7]],0)</f>
        <v>978.03</v>
      </c>
      <c r="AT682" s="295">
        <f>+IF(Table1[[#This Row],[Column40]]="No",Table1[[#This Row],[Column7]],0)</f>
        <v>0</v>
      </c>
      <c r="AU682" s="4" t="str">
        <f>+IF(LEFT(Table1[[#This Row],[Column42]],2)="DN",IF(Table1[[#This Row],[Column40]]="ok","(CA)",_xlfn.CONCAT("(CA)",CHAR(10),"FAIL")),"")</f>
        <v/>
      </c>
      <c r="AV682" s="154" t="str">
        <f>+IF(Table1[[#This Row],[Column6]]=0,"",_xlfn.CONCAT("Sem ",WEEKNUM(Table1[[#This Row],[Column6]],2)))</f>
        <v>Sem 14</v>
      </c>
      <c r="AW682" s="211"/>
    </row>
    <row r="683" spans="2:49" ht="19.5" customHeight="1" x14ac:dyDescent="0.3">
      <c r="B683" s="356" t="s">
        <v>1074</v>
      </c>
      <c r="C683" s="331"/>
      <c r="D683" s="332" t="s">
        <v>132</v>
      </c>
      <c r="E683" s="332" t="s">
        <v>176</v>
      </c>
      <c r="F683" s="333"/>
      <c r="G683" s="334">
        <v>46111</v>
      </c>
      <c r="H683" s="335">
        <v>912.86</v>
      </c>
      <c r="I683" s="336">
        <v>465.72</v>
      </c>
      <c r="J683" s="337">
        <v>2511.1</v>
      </c>
      <c r="K683" s="338" t="s">
        <v>290</v>
      </c>
      <c r="L683" s="339" t="s">
        <v>311</v>
      </c>
      <c r="M683" s="340">
        <v>30</v>
      </c>
      <c r="N683" s="341">
        <v>88653</v>
      </c>
      <c r="O683" s="332">
        <v>58</v>
      </c>
      <c r="P683" s="342">
        <v>10</v>
      </c>
      <c r="Q683" s="343">
        <v>11.428571428571432</v>
      </c>
      <c r="R683" s="344">
        <v>1.8081818181818181</v>
      </c>
      <c r="S683" s="344">
        <v>1.7849999999999999</v>
      </c>
      <c r="T683" s="344">
        <v>1.9890000000000001</v>
      </c>
      <c r="U683" s="344" t="s">
        <v>136</v>
      </c>
      <c r="V683" s="332" t="s">
        <v>137</v>
      </c>
      <c r="W683" s="345">
        <v>8</v>
      </c>
      <c r="X683" s="346">
        <v>4</v>
      </c>
      <c r="Y683" s="208">
        <v>2.8069999999999999</v>
      </c>
      <c r="Z683" s="332"/>
      <c r="AA683" s="342"/>
      <c r="AB683" s="342"/>
      <c r="AC683" s="342"/>
      <c r="AD683" s="347"/>
      <c r="AE683" s="358">
        <v>1.7330000000000001</v>
      </c>
      <c r="AF683" s="349">
        <v>0</v>
      </c>
      <c r="AG683" s="350"/>
      <c r="AH683" s="351" t="s">
        <v>139</v>
      </c>
      <c r="AI683" s="352" t="s">
        <v>139</v>
      </c>
      <c r="AJ683" s="206" t="s">
        <v>139</v>
      </c>
      <c r="AK683" s="353" t="s">
        <v>1039</v>
      </c>
      <c r="AL683" s="206" t="s">
        <v>139</v>
      </c>
      <c r="AM683" s="349">
        <v>104.33824686565598</v>
      </c>
      <c r="AN683" s="354" t="s">
        <v>139</v>
      </c>
      <c r="AO683" s="355" t="s">
        <v>140</v>
      </c>
      <c r="AP683" s="206" t="s">
        <v>139</v>
      </c>
      <c r="AQ683" s="246">
        <v>0</v>
      </c>
      <c r="AR683" s="211"/>
      <c r="AS683" s="297">
        <f>+IF(Table1[[#This Row],[Column40]]="ok",Table1[[#This Row],[Column7]],0)</f>
        <v>912.86</v>
      </c>
      <c r="AT683" s="295">
        <f>+IF(Table1[[#This Row],[Column40]]="No",Table1[[#This Row],[Column7]],0)</f>
        <v>0</v>
      </c>
      <c r="AU683" s="4" t="str">
        <f>+IF(LEFT(Table1[[#This Row],[Column42]],2)="DN",IF(Table1[[#This Row],[Column40]]="ok","(CA)",_xlfn.CONCAT("(CA)",CHAR(10),"FAIL")),"")</f>
        <v/>
      </c>
      <c r="AV683" s="154" t="str">
        <f>+IF(Table1[[#This Row],[Column6]]=0,"",_xlfn.CONCAT("Sem ",WEEKNUM(Table1[[#This Row],[Column6]],2)))</f>
        <v>Sem 14</v>
      </c>
      <c r="AW683" s="211"/>
    </row>
    <row r="684" spans="2:49" ht="19.5" customHeight="1" x14ac:dyDescent="0.3">
      <c r="B684" s="356" t="s">
        <v>1075</v>
      </c>
      <c r="C684" s="331"/>
      <c r="D684" s="332" t="s">
        <v>132</v>
      </c>
      <c r="E684" s="332" t="s">
        <v>176</v>
      </c>
      <c r="F684" s="333"/>
      <c r="G684" s="334">
        <v>46111</v>
      </c>
      <c r="H684" s="335">
        <v>852.76</v>
      </c>
      <c r="I684" s="336">
        <v>436.2</v>
      </c>
      <c r="J684" s="337">
        <v>2522.69</v>
      </c>
      <c r="K684" s="338" t="s">
        <v>290</v>
      </c>
      <c r="L684" s="339" t="s">
        <v>313</v>
      </c>
      <c r="M684" s="340">
        <v>30</v>
      </c>
      <c r="N684" s="341">
        <v>88653</v>
      </c>
      <c r="O684" s="332">
        <v>58</v>
      </c>
      <c r="P684" s="342">
        <v>17</v>
      </c>
      <c r="Q684" s="343">
        <v>16.436081903707823</v>
      </c>
      <c r="R684" s="344">
        <v>1.7982905982905986</v>
      </c>
      <c r="S684" s="344">
        <v>1.8069999999999999</v>
      </c>
      <c r="T684" s="344">
        <v>2.1040000000000001</v>
      </c>
      <c r="U684" s="344" t="s">
        <v>136</v>
      </c>
      <c r="V684" s="332" t="s">
        <v>137</v>
      </c>
      <c r="W684" s="345">
        <v>8</v>
      </c>
      <c r="X684" s="346">
        <v>4</v>
      </c>
      <c r="Y684" s="208">
        <v>2.8069999999999999</v>
      </c>
      <c r="Z684" s="332"/>
      <c r="AA684" s="342"/>
      <c r="AB684" s="342"/>
      <c r="AC684" s="342"/>
      <c r="AD684" s="347"/>
      <c r="AE684" s="358">
        <v>1.7330000000000001</v>
      </c>
      <c r="AF684" s="349">
        <v>0</v>
      </c>
      <c r="AG684" s="350"/>
      <c r="AH684" s="351" t="s">
        <v>139</v>
      </c>
      <c r="AI684" s="352" t="s">
        <v>139</v>
      </c>
      <c r="AJ684" s="206" t="s">
        <v>139</v>
      </c>
      <c r="AK684" s="353" t="s">
        <v>1039</v>
      </c>
      <c r="AL684" s="206" t="s">
        <v>139</v>
      </c>
      <c r="AM684" s="349">
        <v>103.76748980326593</v>
      </c>
      <c r="AN684" s="354" t="s">
        <v>139</v>
      </c>
      <c r="AO684" s="355" t="s">
        <v>140</v>
      </c>
      <c r="AP684" s="206" t="s">
        <v>139</v>
      </c>
      <c r="AQ684" s="246">
        <v>0</v>
      </c>
      <c r="AR684" s="211"/>
      <c r="AS684" s="297">
        <f>+IF(Table1[[#This Row],[Column40]]="ok",Table1[[#This Row],[Column7]],0)</f>
        <v>852.76</v>
      </c>
      <c r="AT684" s="295">
        <f>+IF(Table1[[#This Row],[Column40]]="No",Table1[[#This Row],[Column7]],0)</f>
        <v>0</v>
      </c>
      <c r="AU684" s="4" t="str">
        <f>+IF(LEFT(Table1[[#This Row],[Column42]],2)="DN",IF(Table1[[#This Row],[Column40]]="ok","(CA)",_xlfn.CONCAT("(CA)",CHAR(10),"FAIL")),"")</f>
        <v/>
      </c>
      <c r="AV684" s="154" t="str">
        <f>+IF(Table1[[#This Row],[Column6]]=0,"",_xlfn.CONCAT("Sem ",WEEKNUM(Table1[[#This Row],[Column6]],2)))</f>
        <v>Sem 14</v>
      </c>
      <c r="AW684" s="211"/>
    </row>
    <row r="685" spans="2:49" ht="19.5" customHeight="1" x14ac:dyDescent="0.3">
      <c r="B685" s="356" t="s">
        <v>1076</v>
      </c>
      <c r="C685" s="331"/>
      <c r="D685" s="332" t="s">
        <v>132</v>
      </c>
      <c r="E685" s="332" t="s">
        <v>176</v>
      </c>
      <c r="F685" s="333"/>
      <c r="G685" s="334">
        <v>46111</v>
      </c>
      <c r="H685" s="335">
        <v>771.12</v>
      </c>
      <c r="I685" s="336">
        <v>407.24</v>
      </c>
      <c r="J685" s="337">
        <v>2537.79</v>
      </c>
      <c r="K685" s="338" t="s">
        <v>306</v>
      </c>
      <c r="L685" s="339" t="s">
        <v>354</v>
      </c>
      <c r="M685" s="340">
        <v>30</v>
      </c>
      <c r="N685" s="341">
        <v>88653</v>
      </c>
      <c r="O685" s="332">
        <v>58</v>
      </c>
      <c r="P685" s="342">
        <v>12.7</v>
      </c>
      <c r="Q685" s="343">
        <v>12.451361867704303</v>
      </c>
      <c r="R685" s="344">
        <v>1.7950310559006213</v>
      </c>
      <c r="S685" s="344">
        <v>1.7989999999999999</v>
      </c>
      <c r="T685" s="344">
        <v>2.0230000000000001</v>
      </c>
      <c r="U685" s="344" t="s">
        <v>136</v>
      </c>
      <c r="V685" s="332" t="s">
        <v>137</v>
      </c>
      <c r="W685" s="345">
        <v>8</v>
      </c>
      <c r="X685" s="346">
        <v>4</v>
      </c>
      <c r="Y685" s="208">
        <v>2.8069999999999999</v>
      </c>
      <c r="Z685" s="332"/>
      <c r="AA685" s="342"/>
      <c r="AB685" s="342"/>
      <c r="AC685" s="342"/>
      <c r="AD685" s="347"/>
      <c r="AE685" s="358">
        <v>1.7330000000000001</v>
      </c>
      <c r="AF685" s="349" t="s">
        <v>139</v>
      </c>
      <c r="AG685" s="350"/>
      <c r="AH685" s="351" t="s">
        <v>139</v>
      </c>
      <c r="AI685" s="352" t="s">
        <v>139</v>
      </c>
      <c r="AJ685" s="206" t="s">
        <v>139</v>
      </c>
      <c r="AK685" s="353" t="s">
        <v>1039</v>
      </c>
      <c r="AL685" s="206" t="s">
        <v>139</v>
      </c>
      <c r="AM685" s="349">
        <v>103.57940311024936</v>
      </c>
      <c r="AN685" s="354" t="s">
        <v>139</v>
      </c>
      <c r="AO685" s="355" t="s">
        <v>140</v>
      </c>
      <c r="AP685" s="206" t="s">
        <v>139</v>
      </c>
      <c r="AQ685" s="246">
        <v>0</v>
      </c>
      <c r="AR685" s="211"/>
      <c r="AS685" s="297">
        <f>+IF(Table1[[#This Row],[Column40]]="ok",Table1[[#This Row],[Column7]],0)</f>
        <v>771.12</v>
      </c>
      <c r="AT685" s="295">
        <f>+IF(Table1[[#This Row],[Column40]]="No",Table1[[#This Row],[Column7]],0)</f>
        <v>0</v>
      </c>
      <c r="AU685" s="4" t="str">
        <f>+IF(LEFT(Table1[[#This Row],[Column42]],2)="DN",IF(Table1[[#This Row],[Column40]]="ok","(CA)",_xlfn.CONCAT("(CA)",CHAR(10),"FAIL")),"")</f>
        <v/>
      </c>
      <c r="AV685" s="154" t="str">
        <f>+IF(Table1[[#This Row],[Column6]]=0,"",_xlfn.CONCAT("Sem ",WEEKNUM(Table1[[#This Row],[Column6]],2)))</f>
        <v>Sem 14</v>
      </c>
      <c r="AW685" s="211"/>
    </row>
    <row r="686" spans="2:49" ht="19.5" customHeight="1" x14ac:dyDescent="0.3">
      <c r="B686" s="356" t="s">
        <v>1077</v>
      </c>
      <c r="C686" s="331"/>
      <c r="D686" s="332" t="s">
        <v>132</v>
      </c>
      <c r="E686" s="332" t="s">
        <v>176</v>
      </c>
      <c r="F686" s="333"/>
      <c r="G686" s="366">
        <v>46111</v>
      </c>
      <c r="H686" s="335">
        <v>773.39</v>
      </c>
      <c r="I686" s="336">
        <v>473.51</v>
      </c>
      <c r="J686" s="337">
        <v>2518.7600000000002</v>
      </c>
      <c r="K686" s="338" t="s">
        <v>306</v>
      </c>
      <c r="L686" s="339" t="s">
        <v>354</v>
      </c>
      <c r="M686" s="340">
        <v>30</v>
      </c>
      <c r="N686" s="341">
        <v>88653</v>
      </c>
      <c r="O686" s="332">
        <v>58</v>
      </c>
      <c r="P686" s="342">
        <v>14.2</v>
      </c>
      <c r="Q686" s="343">
        <v>13.546936481169203</v>
      </c>
      <c r="R686" s="344">
        <v>1.7688266199649738</v>
      </c>
      <c r="S686" s="344">
        <v>1.7789999999999999</v>
      </c>
      <c r="T686" s="344">
        <v>2.02</v>
      </c>
      <c r="U686" s="344" t="s">
        <v>136</v>
      </c>
      <c r="V686" s="332" t="s">
        <v>137</v>
      </c>
      <c r="W686" s="345">
        <v>8</v>
      </c>
      <c r="X686" s="346">
        <v>4</v>
      </c>
      <c r="Y686" s="208">
        <v>2.8069999999999999</v>
      </c>
      <c r="Z686" s="332"/>
      <c r="AA686" s="342"/>
      <c r="AB686" s="342"/>
      <c r="AC686" s="342"/>
      <c r="AD686" s="347"/>
      <c r="AE686" s="358">
        <v>1.7330000000000001</v>
      </c>
      <c r="AF686" s="349">
        <v>0</v>
      </c>
      <c r="AG686" s="350"/>
      <c r="AH686" s="351" t="s">
        <v>139</v>
      </c>
      <c r="AI686" s="352" t="s">
        <v>139</v>
      </c>
      <c r="AJ686" s="206" t="s">
        <v>139</v>
      </c>
      <c r="AK686" s="353" t="s">
        <v>1039</v>
      </c>
      <c r="AL686" s="206" t="s">
        <v>139</v>
      </c>
      <c r="AM686" s="349">
        <v>102.06731794373766</v>
      </c>
      <c r="AN686" s="354" t="s">
        <v>139</v>
      </c>
      <c r="AO686" s="355" t="s">
        <v>140</v>
      </c>
      <c r="AP686" s="206" t="s">
        <v>139</v>
      </c>
      <c r="AQ686" s="246">
        <v>0</v>
      </c>
      <c r="AR686" s="211"/>
      <c r="AS686" s="297">
        <f>+IF(Table1[[#This Row],[Column40]]="ok",Table1[[#This Row],[Column7]],0)</f>
        <v>773.39</v>
      </c>
      <c r="AT686" s="295">
        <f>+IF(Table1[[#This Row],[Column40]]="No",Table1[[#This Row],[Column7]],0)</f>
        <v>0</v>
      </c>
      <c r="AU686" s="4" t="str">
        <f>+IF(LEFT(Table1[[#This Row],[Column42]],2)="DN",IF(Table1[[#This Row],[Column40]]="ok","(CA)",_xlfn.CONCAT("(CA)",CHAR(10),"FAIL")),"")</f>
        <v/>
      </c>
      <c r="AV686" s="154" t="str">
        <f>+IF(Table1[[#This Row],[Column6]]=0,"",_xlfn.CONCAT("Sem ",WEEKNUM(Table1[[#This Row],[Column6]],2)))</f>
        <v>Sem 14</v>
      </c>
      <c r="AW686" s="211"/>
    </row>
    <row r="687" spans="2:49" ht="19.5" customHeight="1" x14ac:dyDescent="0.3">
      <c r="B687" s="356" t="s">
        <v>1078</v>
      </c>
      <c r="C687" s="331"/>
      <c r="D687" s="332" t="s">
        <v>132</v>
      </c>
      <c r="E687" s="332" t="s">
        <v>176</v>
      </c>
      <c r="F687" s="333"/>
      <c r="G687" s="334">
        <v>46111</v>
      </c>
      <c r="H687" s="335">
        <v>312.95999999999998</v>
      </c>
      <c r="I687" s="336">
        <v>63.42</v>
      </c>
      <c r="J687" s="337">
        <v>2636.2</v>
      </c>
      <c r="K687" s="338" t="s">
        <v>335</v>
      </c>
      <c r="L687" s="339" t="s">
        <v>168</v>
      </c>
      <c r="M687" s="340">
        <v>30</v>
      </c>
      <c r="N687" s="341">
        <v>88653</v>
      </c>
      <c r="O687" s="332">
        <v>58</v>
      </c>
      <c r="P687" s="342">
        <v>8.3000000000000007</v>
      </c>
      <c r="Q687" s="343">
        <v>9.1218130311614853</v>
      </c>
      <c r="R687" s="344">
        <v>1.7783933518005539</v>
      </c>
      <c r="S687" s="344">
        <v>1.7649999999999999</v>
      </c>
      <c r="T687" s="344">
        <v>1.9259999999999999</v>
      </c>
      <c r="U687" s="344" t="s">
        <v>136</v>
      </c>
      <c r="V687" s="332" t="s">
        <v>169</v>
      </c>
      <c r="W687" s="345">
        <v>4</v>
      </c>
      <c r="X687" s="346">
        <v>2</v>
      </c>
      <c r="Y687" s="208">
        <v>2.8069999999999999</v>
      </c>
      <c r="Z687" s="332"/>
      <c r="AA687" s="342"/>
      <c r="AB687" s="342"/>
      <c r="AC687" s="342"/>
      <c r="AD687" s="347"/>
      <c r="AE687" s="358">
        <v>1.7119405028812373</v>
      </c>
      <c r="AF687" s="349">
        <v>16.128209267292796</v>
      </c>
      <c r="AG687" s="350"/>
      <c r="AH687" s="351">
        <v>1.710344827586207</v>
      </c>
      <c r="AI687" s="352">
        <v>1.984</v>
      </c>
      <c r="AJ687" s="206">
        <v>16</v>
      </c>
      <c r="AK687" s="353" t="s">
        <v>1079</v>
      </c>
      <c r="AL687" s="206">
        <v>0.12820926729279591</v>
      </c>
      <c r="AM687" s="349">
        <v>103.88172654408694</v>
      </c>
      <c r="AN687" s="354" t="s">
        <v>139</v>
      </c>
      <c r="AO687" s="355" t="s">
        <v>140</v>
      </c>
      <c r="AP687" s="206" t="s">
        <v>139</v>
      </c>
      <c r="AQ687" s="246" t="s">
        <v>1080</v>
      </c>
      <c r="AR687" s="211"/>
      <c r="AS687" s="297">
        <f>+IF(Table1[[#This Row],[Column40]]="ok",Table1[[#This Row],[Column7]],0)</f>
        <v>312.95999999999998</v>
      </c>
      <c r="AT687" s="295">
        <f>+IF(Table1[[#This Row],[Column40]]="No",Table1[[#This Row],[Column7]],0)</f>
        <v>0</v>
      </c>
      <c r="AU687" s="4" t="str">
        <f>+IF(LEFT(Table1[[#This Row],[Column42]],2)="DN",IF(Table1[[#This Row],[Column40]]="ok","(CA)",_xlfn.CONCAT("(CA)",CHAR(10),"FAIL")),"")</f>
        <v/>
      </c>
      <c r="AV687" s="154" t="str">
        <f>+IF(Table1[[#This Row],[Column6]]=0,"",_xlfn.CONCAT("Sem ",WEEKNUM(Table1[[#This Row],[Column6]],2)))</f>
        <v>Sem 14</v>
      </c>
      <c r="AW687" s="211"/>
    </row>
    <row r="688" spans="2:49" ht="19.5" customHeight="1" x14ac:dyDescent="0.3">
      <c r="B688" s="356" t="s">
        <v>1080</v>
      </c>
      <c r="C688" s="331"/>
      <c r="D688" s="332" t="s">
        <v>132</v>
      </c>
      <c r="E688" s="332" t="s">
        <v>176</v>
      </c>
      <c r="F688" s="333"/>
      <c r="G688" s="334">
        <v>46111</v>
      </c>
      <c r="H688" s="335">
        <v>312.95999999999998</v>
      </c>
      <c r="I688" s="336">
        <v>63.42</v>
      </c>
      <c r="J688" s="337">
        <v>2636.2</v>
      </c>
      <c r="K688" s="338" t="s">
        <v>335</v>
      </c>
      <c r="L688" s="339" t="s">
        <v>168</v>
      </c>
      <c r="M688" s="340">
        <v>15</v>
      </c>
      <c r="N688" s="341"/>
      <c r="O688" s="332"/>
      <c r="P688" s="342">
        <v>8.2977898410235973</v>
      </c>
      <c r="Q688" s="343"/>
      <c r="R688" s="344">
        <v>1.6885770518877186</v>
      </c>
      <c r="S688" s="344"/>
      <c r="T688" s="344">
        <v>1.8286916269571136</v>
      </c>
      <c r="U688" s="344" t="s">
        <v>142</v>
      </c>
      <c r="V688" s="332" t="s">
        <v>169</v>
      </c>
      <c r="W688" s="345" t="s">
        <v>173</v>
      </c>
      <c r="X688" s="346" t="s">
        <v>195</v>
      </c>
      <c r="Y688" s="208"/>
      <c r="Z688" s="332" t="s">
        <v>143</v>
      </c>
      <c r="AA688" s="342">
        <v>99.534703373400546</v>
      </c>
      <c r="AB688" s="342">
        <v>86.73904614191548</v>
      </c>
      <c r="AC688" s="342">
        <v>41.721597518418008</v>
      </c>
      <c r="AD688" s="347">
        <v>13.416052733617704</v>
      </c>
      <c r="AE688" s="358">
        <v>1.7119405028812373</v>
      </c>
      <c r="AF688" s="349">
        <v>16.128209267292796</v>
      </c>
      <c r="AG688" s="350" t="s">
        <v>1079</v>
      </c>
      <c r="AH688" s="351">
        <v>1.7107165710456507</v>
      </c>
      <c r="AI688" s="352">
        <v>1.9844565101671459</v>
      </c>
      <c r="AJ688" s="206">
        <v>16.001478196600129</v>
      </c>
      <c r="AK688" s="353" t="s">
        <v>1079</v>
      </c>
      <c r="AL688" s="206">
        <v>0.1267310706926672</v>
      </c>
      <c r="AM688" s="349">
        <v>98.635265013346114</v>
      </c>
      <c r="AN688" s="354" t="s">
        <v>139</v>
      </c>
      <c r="AO688" s="355" t="s">
        <v>144</v>
      </c>
      <c r="AP688" s="206">
        <v>0</v>
      </c>
      <c r="AQ688" s="246" t="s">
        <v>1078</v>
      </c>
      <c r="AR688" s="211"/>
      <c r="AS688" s="297">
        <f>+IF(Table1[[#This Row],[Column40]]="ok",Table1[[#This Row],[Column7]],0)</f>
        <v>312.95999999999998</v>
      </c>
      <c r="AT688" s="295">
        <f>+IF(Table1[[#This Row],[Column40]]="No",Table1[[#This Row],[Column7]],0)</f>
        <v>0</v>
      </c>
      <c r="AU688" s="4" t="str">
        <f>+IF(LEFT(Table1[[#This Row],[Column42]],2)="DN",IF(Table1[[#This Row],[Column40]]="ok","(CA)",_xlfn.CONCAT("(CA)",CHAR(10),"FAIL")),"")</f>
        <v>(CA)</v>
      </c>
      <c r="AV688" s="154" t="str">
        <f>+IF(Table1[[#This Row],[Column6]]=0,"",_xlfn.CONCAT("Sem ",WEEKNUM(Table1[[#This Row],[Column6]],2)))</f>
        <v>Sem 14</v>
      </c>
      <c r="AW688" s="211"/>
    </row>
    <row r="689" spans="2:49" ht="19.5" customHeight="1" x14ac:dyDescent="0.3">
      <c r="B689" s="356" t="s">
        <v>1081</v>
      </c>
      <c r="C689" s="331"/>
      <c r="D689" s="332" t="s">
        <v>132</v>
      </c>
      <c r="E689" s="332" t="s">
        <v>176</v>
      </c>
      <c r="F689" s="333"/>
      <c r="G689" s="334">
        <v>46111</v>
      </c>
      <c r="H689" s="335">
        <v>485.18</v>
      </c>
      <c r="I689" s="336">
        <v>64.19</v>
      </c>
      <c r="J689" s="337">
        <v>2636.2</v>
      </c>
      <c r="K689" s="338" t="s">
        <v>349</v>
      </c>
      <c r="L689" s="339" t="s">
        <v>168</v>
      </c>
      <c r="M689" s="340">
        <v>30</v>
      </c>
      <c r="N689" s="341">
        <v>88653</v>
      </c>
      <c r="O689" s="332">
        <v>58</v>
      </c>
      <c r="P689" s="342">
        <v>12.7</v>
      </c>
      <c r="Q689" s="343">
        <v>9.9589923842999362</v>
      </c>
      <c r="R689" s="344">
        <v>1.6654835847382432</v>
      </c>
      <c r="S689" s="344">
        <v>1.7070000000000001</v>
      </c>
      <c r="T689" s="344">
        <v>1.877</v>
      </c>
      <c r="U689" s="344" t="s">
        <v>136</v>
      </c>
      <c r="V689" s="332" t="s">
        <v>169</v>
      </c>
      <c r="W689" s="345">
        <v>4</v>
      </c>
      <c r="X689" s="346">
        <v>2</v>
      </c>
      <c r="Y689" s="208">
        <v>2.8069999999999999</v>
      </c>
      <c r="Z689" s="332"/>
      <c r="AA689" s="342"/>
      <c r="AB689" s="342"/>
      <c r="AC689" s="342"/>
      <c r="AD689" s="347"/>
      <c r="AE689" s="358">
        <v>1.6950000000000001</v>
      </c>
      <c r="AF689" s="349">
        <v>0</v>
      </c>
      <c r="AG689" s="350"/>
      <c r="AH689" s="351" t="s">
        <v>139</v>
      </c>
      <c r="AI689" s="352" t="s">
        <v>139</v>
      </c>
      <c r="AJ689" s="206" t="s">
        <v>139</v>
      </c>
      <c r="AK689" s="353" t="s">
        <v>1039</v>
      </c>
      <c r="AL689" s="206" t="s">
        <v>139</v>
      </c>
      <c r="AM689" s="349">
        <v>98.258618568627909</v>
      </c>
      <c r="AN689" s="354" t="s">
        <v>139</v>
      </c>
      <c r="AO689" s="355" t="s">
        <v>140</v>
      </c>
      <c r="AP689" s="206" t="s">
        <v>139</v>
      </c>
      <c r="AQ689" s="246">
        <v>0</v>
      </c>
      <c r="AR689" s="211"/>
      <c r="AS689" s="297">
        <f>+IF(Table1[[#This Row],[Column40]]="ok",Table1[[#This Row],[Column7]],0)</f>
        <v>485.18</v>
      </c>
      <c r="AT689" s="295">
        <f>+IF(Table1[[#This Row],[Column40]]="No",Table1[[#This Row],[Column7]],0)</f>
        <v>0</v>
      </c>
      <c r="AU689" s="4" t="str">
        <f>+IF(LEFT(Table1[[#This Row],[Column42]],2)="DN",IF(Table1[[#This Row],[Column40]]="ok","(CA)",_xlfn.CONCAT("(CA)",CHAR(10),"FAIL")),"")</f>
        <v/>
      </c>
      <c r="AV689" s="154" t="str">
        <f>+IF(Table1[[#This Row],[Column6]]=0,"",_xlfn.CONCAT("Sem ",WEEKNUM(Table1[[#This Row],[Column6]],2)))</f>
        <v>Sem 14</v>
      </c>
      <c r="AW689" s="211"/>
    </row>
    <row r="690" spans="2:49" ht="19.5" customHeight="1" x14ac:dyDescent="0.3">
      <c r="B690" s="356" t="s">
        <v>1094</v>
      </c>
      <c r="C690" s="331"/>
      <c r="D690" s="332" t="s">
        <v>132</v>
      </c>
      <c r="E690" s="332" t="s">
        <v>133</v>
      </c>
      <c r="F690" s="333"/>
      <c r="G690" s="334">
        <v>46112</v>
      </c>
      <c r="H690" s="335">
        <v>720.36</v>
      </c>
      <c r="I690" s="336">
        <v>480.01</v>
      </c>
      <c r="J690" s="337">
        <v>2521.6999999999998</v>
      </c>
      <c r="K690" s="338" t="s">
        <v>306</v>
      </c>
      <c r="L690" s="339" t="s">
        <v>504</v>
      </c>
      <c r="M690" s="340" t="s">
        <v>293</v>
      </c>
      <c r="N690" s="341" t="s">
        <v>293</v>
      </c>
      <c r="O690" s="332" t="s">
        <v>293</v>
      </c>
      <c r="P690" s="342" t="s">
        <v>293</v>
      </c>
      <c r="Q690" s="343" t="s">
        <v>293</v>
      </c>
      <c r="R690" s="344" t="s">
        <v>293</v>
      </c>
      <c r="S690" s="344" t="s">
        <v>293</v>
      </c>
      <c r="T690" s="344" t="s">
        <v>293</v>
      </c>
      <c r="U690" s="344" t="s">
        <v>294</v>
      </c>
      <c r="V690" s="332" t="s">
        <v>293</v>
      </c>
      <c r="W690" s="345" t="s">
        <v>293</v>
      </c>
      <c r="X690" s="346" t="s">
        <v>293</v>
      </c>
      <c r="Y690" s="208">
        <v>2.7517483219760845</v>
      </c>
      <c r="Z690" s="332" t="s">
        <v>143</v>
      </c>
      <c r="AA690" s="342">
        <v>99.222255459168409</v>
      </c>
      <c r="AB690" s="342">
        <v>81.005085252766975</v>
      </c>
      <c r="AC690" s="342">
        <v>36.793299431648208</v>
      </c>
      <c r="AD690" s="347">
        <v>12.084953634460049</v>
      </c>
      <c r="AE690" s="358">
        <v>1.7150600151228579</v>
      </c>
      <c r="AF690" s="349">
        <v>16.095460800430729</v>
      </c>
      <c r="AG690" s="350" t="s">
        <v>1094</v>
      </c>
      <c r="AH690" s="351" t="s">
        <v>293</v>
      </c>
      <c r="AI690" s="352" t="s">
        <v>293</v>
      </c>
      <c r="AJ690" s="206" t="s">
        <v>293</v>
      </c>
      <c r="AK690" s="353" t="s">
        <v>293</v>
      </c>
      <c r="AL690" s="206" t="s">
        <v>293</v>
      </c>
      <c r="AM690" s="349" t="s">
        <v>293</v>
      </c>
      <c r="AN690" s="354" t="s">
        <v>293</v>
      </c>
      <c r="AO690" s="355" t="s">
        <v>293</v>
      </c>
      <c r="AP690" s="206" t="s">
        <v>293</v>
      </c>
      <c r="AQ690" s="246" t="s">
        <v>295</v>
      </c>
      <c r="AR690" s="211"/>
      <c r="AS690" s="297">
        <f>+IF(Table1[[#This Row],[Column40]]="ok",Table1[[#This Row],[Column7]],0)</f>
        <v>0</v>
      </c>
      <c r="AT690" s="295">
        <f>+IF(Table1[[#This Row],[Column40]]="No",Table1[[#This Row],[Column7]],0)</f>
        <v>0</v>
      </c>
      <c r="AU690" s="4" t="str">
        <f>+IF(LEFT(Table1[[#This Row],[Column42]],2)="DN",IF(Table1[[#This Row],[Column40]]="ok","(CA)",_xlfn.CONCAT("(CA)",CHAR(10),"FAIL")),"")</f>
        <v/>
      </c>
      <c r="AV690" s="154" t="str">
        <f>+IF(Table1[[#This Row],[Column6]]=0,"",_xlfn.CONCAT("Sem ",WEEKNUM(Table1[[#This Row],[Column6]],2)))</f>
        <v>Sem 14</v>
      </c>
      <c r="AW690" s="211"/>
    </row>
    <row r="691" spans="2:49" ht="19.5" customHeight="1" x14ac:dyDescent="0.3">
      <c r="B691" s="356" t="s">
        <v>1082</v>
      </c>
      <c r="C691" s="331"/>
      <c r="D691" s="332" t="s">
        <v>132</v>
      </c>
      <c r="E691" s="332" t="s">
        <v>133</v>
      </c>
      <c r="F691" s="333"/>
      <c r="G691" s="334">
        <v>46112</v>
      </c>
      <c r="H691" s="335">
        <v>78.28</v>
      </c>
      <c r="I691" s="336">
        <v>14.63</v>
      </c>
      <c r="J691" s="337">
        <v>2636.1350000000002</v>
      </c>
      <c r="K691" s="338" t="s">
        <v>356</v>
      </c>
      <c r="L691" s="339" t="s">
        <v>168</v>
      </c>
      <c r="M691" s="340">
        <v>30</v>
      </c>
      <c r="N691" s="341">
        <v>88653</v>
      </c>
      <c r="O691" s="332">
        <v>58</v>
      </c>
      <c r="P691" s="342">
        <v>11.200000000000001</v>
      </c>
      <c r="Q691" s="343">
        <v>11.04009296920394</v>
      </c>
      <c r="R691" s="344">
        <v>1.718525179856115</v>
      </c>
      <c r="S691" s="344">
        <v>1.7210000000000001</v>
      </c>
      <c r="T691" s="344">
        <v>1.911</v>
      </c>
      <c r="U691" s="344" t="s">
        <v>136</v>
      </c>
      <c r="V691" s="332" t="s">
        <v>169</v>
      </c>
      <c r="W691" s="345">
        <v>4</v>
      </c>
      <c r="X691" s="346">
        <v>2</v>
      </c>
      <c r="Y691" s="208">
        <v>2.8069999999999999</v>
      </c>
      <c r="Z691" s="332"/>
      <c r="AA691" s="342"/>
      <c r="AB691" s="342"/>
      <c r="AC691" s="342"/>
      <c r="AD691" s="347"/>
      <c r="AE691" s="358">
        <v>1.6950000000000001</v>
      </c>
      <c r="AF691" s="349" t="s">
        <v>139</v>
      </c>
      <c r="AG691" s="350"/>
      <c r="AH691" s="351" t="s">
        <v>139</v>
      </c>
      <c r="AI691" s="352" t="s">
        <v>139</v>
      </c>
      <c r="AJ691" s="206" t="s">
        <v>139</v>
      </c>
      <c r="AK691" s="353" t="s">
        <v>1026</v>
      </c>
      <c r="AL691" s="206" t="s">
        <v>139</v>
      </c>
      <c r="AM691" s="349">
        <v>101.3879162157</v>
      </c>
      <c r="AN691" s="354" t="s">
        <v>139</v>
      </c>
      <c r="AO691" s="355" t="s">
        <v>140</v>
      </c>
      <c r="AP691" s="206" t="s">
        <v>139</v>
      </c>
      <c r="AQ691" s="246">
        <v>0</v>
      </c>
      <c r="AR691" s="211"/>
      <c r="AS691" s="297">
        <f>+IF(Table1[[#This Row],[Column40]]="ok",Table1[[#This Row],[Column7]],0)</f>
        <v>78.28</v>
      </c>
      <c r="AT691" s="295">
        <f>+IF(Table1[[#This Row],[Column40]]="No",Table1[[#This Row],[Column7]],0)</f>
        <v>0</v>
      </c>
      <c r="AU691" s="4" t="str">
        <f>+IF(LEFT(Table1[[#This Row],[Column42]],2)="DN",IF(Table1[[#This Row],[Column40]]="ok","(CA)",_xlfn.CONCAT("(CA)",CHAR(10),"FAIL")),"")</f>
        <v/>
      </c>
      <c r="AV691" s="154" t="str">
        <f>+IF(Table1[[#This Row],[Column6]]=0,"",_xlfn.CONCAT("Sem ",WEEKNUM(Table1[[#This Row],[Column6]],2)))</f>
        <v>Sem 14</v>
      </c>
      <c r="AW691" s="211"/>
    </row>
    <row r="692" spans="2:49" ht="19.5" customHeight="1" x14ac:dyDescent="0.3">
      <c r="B692" s="356" t="s">
        <v>1083</v>
      </c>
      <c r="C692" s="331"/>
      <c r="D692" s="332" t="s">
        <v>132</v>
      </c>
      <c r="E692" s="332" t="s">
        <v>133</v>
      </c>
      <c r="F692" s="333"/>
      <c r="G692" s="334">
        <v>46112</v>
      </c>
      <c r="H692" s="335">
        <v>168.89</v>
      </c>
      <c r="I692" s="336">
        <v>73.45</v>
      </c>
      <c r="J692" s="337">
        <v>2636.2559999999999</v>
      </c>
      <c r="K692" s="338" t="s">
        <v>356</v>
      </c>
      <c r="L692" s="339" t="s">
        <v>198</v>
      </c>
      <c r="M692" s="340">
        <v>30</v>
      </c>
      <c r="N692" s="341">
        <v>88653</v>
      </c>
      <c r="O692" s="332">
        <v>58</v>
      </c>
      <c r="P692" s="342">
        <v>9.4</v>
      </c>
      <c r="Q692" s="343">
        <v>11.950790861159932</v>
      </c>
      <c r="R692" s="344">
        <v>1.7468007312614258</v>
      </c>
      <c r="S692" s="344">
        <v>1.7070000000000001</v>
      </c>
      <c r="T692" s="344">
        <v>1.911</v>
      </c>
      <c r="U692" s="344" t="s">
        <v>136</v>
      </c>
      <c r="V692" s="332" t="s">
        <v>194</v>
      </c>
      <c r="W692" s="345" t="s">
        <v>195</v>
      </c>
      <c r="X692" s="346">
        <v>3</v>
      </c>
      <c r="Y692" s="208">
        <v>2.8069999999999999</v>
      </c>
      <c r="Z692" s="332"/>
      <c r="AA692" s="342"/>
      <c r="AB692" s="342"/>
      <c r="AC692" s="342"/>
      <c r="AD692" s="347"/>
      <c r="AE692" s="358">
        <v>1.6950000000000001</v>
      </c>
      <c r="AF692" s="349">
        <v>0</v>
      </c>
      <c r="AG692" s="350"/>
      <c r="AH692" s="351" t="s">
        <v>139</v>
      </c>
      <c r="AI692" s="352" t="s">
        <v>139</v>
      </c>
      <c r="AJ692" s="206" t="s">
        <v>139</v>
      </c>
      <c r="AK692" s="353" t="s">
        <v>1026</v>
      </c>
      <c r="AL692" s="206" t="s">
        <v>139</v>
      </c>
      <c r="AM692" s="349">
        <v>103.05609033990713</v>
      </c>
      <c r="AN692" s="354" t="s">
        <v>139</v>
      </c>
      <c r="AO692" s="355" t="s">
        <v>140</v>
      </c>
      <c r="AP692" s="206" t="s">
        <v>139</v>
      </c>
      <c r="AQ692" s="246">
        <v>0</v>
      </c>
      <c r="AR692" s="211"/>
      <c r="AS692" s="297">
        <f>+IF(Table1[[#This Row],[Column40]]="ok",Table1[[#This Row],[Column7]],0)</f>
        <v>168.89</v>
      </c>
      <c r="AT692" s="295">
        <f>+IF(Table1[[#This Row],[Column40]]="No",Table1[[#This Row],[Column7]],0)</f>
        <v>0</v>
      </c>
      <c r="AU692" s="4" t="str">
        <f>+IF(LEFT(Table1[[#This Row],[Column42]],2)="DN",IF(Table1[[#This Row],[Column40]]="ok","(CA)",_xlfn.CONCAT("(CA)",CHAR(10),"FAIL")),"")</f>
        <v/>
      </c>
      <c r="AV692" s="154" t="str">
        <f>+IF(Table1[[#This Row],[Column6]]=0,"",_xlfn.CONCAT("Sem ",WEEKNUM(Table1[[#This Row],[Column6]],2)))</f>
        <v>Sem 14</v>
      </c>
      <c r="AW692" s="211"/>
    </row>
    <row r="693" spans="2:49" ht="19.5" customHeight="1" x14ac:dyDescent="0.3">
      <c r="B693" s="356" t="s">
        <v>1084</v>
      </c>
      <c r="C693" s="331"/>
      <c r="D693" s="332" t="s">
        <v>132</v>
      </c>
      <c r="E693" s="332" t="s">
        <v>133</v>
      </c>
      <c r="F693" s="333"/>
      <c r="G693" s="334">
        <v>46112</v>
      </c>
      <c r="H693" s="335">
        <v>330.17</v>
      </c>
      <c r="I693" s="336">
        <v>87.28</v>
      </c>
      <c r="J693" s="337">
        <v>2635.7550000000001</v>
      </c>
      <c r="K693" s="338" t="s">
        <v>335</v>
      </c>
      <c r="L693" s="339" t="s">
        <v>1085</v>
      </c>
      <c r="M693" s="340">
        <v>30</v>
      </c>
      <c r="N693" s="341">
        <v>88653</v>
      </c>
      <c r="O693" s="332">
        <v>58</v>
      </c>
      <c r="P693" s="342">
        <v>15.299999999999999</v>
      </c>
      <c r="Q693" s="343">
        <v>15.666266506602655</v>
      </c>
      <c r="R693" s="344">
        <v>1.6712922810060711</v>
      </c>
      <c r="S693" s="344">
        <v>1.6659999999999999</v>
      </c>
      <c r="T693" s="344">
        <v>1.927</v>
      </c>
      <c r="U693" s="344" t="s">
        <v>136</v>
      </c>
      <c r="V693" s="332" t="s">
        <v>191</v>
      </c>
      <c r="W693" s="345">
        <v>6</v>
      </c>
      <c r="X693" s="346">
        <v>3</v>
      </c>
      <c r="Y693" s="208">
        <v>2.8069999999999999</v>
      </c>
      <c r="Z693" s="332"/>
      <c r="AA693" s="342"/>
      <c r="AB693" s="342"/>
      <c r="AC693" s="342"/>
      <c r="AD693" s="347"/>
      <c r="AE693" s="358">
        <v>1.6952499821356803</v>
      </c>
      <c r="AF693" s="349">
        <v>16.506205719610296</v>
      </c>
      <c r="AG693" s="350"/>
      <c r="AH693" s="351">
        <v>1.6924398625429553</v>
      </c>
      <c r="AI693" s="352">
        <v>1.97</v>
      </c>
      <c r="AJ693" s="206">
        <v>16.400000000000002</v>
      </c>
      <c r="AK693" s="353" t="s">
        <v>1026</v>
      </c>
      <c r="AL693" s="206">
        <v>0.10620571961029412</v>
      </c>
      <c r="AM693" s="349">
        <v>98.586774730448468</v>
      </c>
      <c r="AN693" s="354" t="s">
        <v>139</v>
      </c>
      <c r="AO693" s="355" t="s">
        <v>140</v>
      </c>
      <c r="AP693" s="206" t="s">
        <v>139</v>
      </c>
      <c r="AQ693" s="246">
        <v>0</v>
      </c>
      <c r="AR693" s="211"/>
      <c r="AS693" s="297">
        <f>+IF(Table1[[#This Row],[Column40]]="ok",Table1[[#This Row],[Column7]],0)</f>
        <v>330.17</v>
      </c>
      <c r="AT693" s="295">
        <f>+IF(Table1[[#This Row],[Column40]]="No",Table1[[#This Row],[Column7]],0)</f>
        <v>0</v>
      </c>
      <c r="AU693" s="4" t="str">
        <f>+IF(LEFT(Table1[[#This Row],[Column42]],2)="DN",IF(Table1[[#This Row],[Column40]]="ok","(CA)",_xlfn.CONCAT("(CA)",CHAR(10),"FAIL")),"")</f>
        <v/>
      </c>
      <c r="AV693" s="154" t="str">
        <f>+IF(Table1[[#This Row],[Column6]]=0,"",_xlfn.CONCAT("Sem ",WEEKNUM(Table1[[#This Row],[Column6]],2)))</f>
        <v>Sem 14</v>
      </c>
      <c r="AW693" s="211"/>
    </row>
    <row r="694" spans="2:49" ht="19.5" customHeight="1" x14ac:dyDescent="0.3">
      <c r="B694" s="356" t="s">
        <v>1086</v>
      </c>
      <c r="C694" s="331"/>
      <c r="D694" s="332" t="s">
        <v>132</v>
      </c>
      <c r="E694" s="332" t="s">
        <v>133</v>
      </c>
      <c r="F694" s="333"/>
      <c r="G694" s="334">
        <v>46112</v>
      </c>
      <c r="H694" s="335">
        <v>524.20000000000005</v>
      </c>
      <c r="I694" s="336">
        <v>67.510000000000005</v>
      </c>
      <c r="J694" s="337">
        <v>2636.1669999999999</v>
      </c>
      <c r="K694" s="338" t="s">
        <v>349</v>
      </c>
      <c r="L694" s="339" t="s">
        <v>381</v>
      </c>
      <c r="M694" s="340">
        <v>30</v>
      </c>
      <c r="N694" s="341">
        <v>88653</v>
      </c>
      <c r="O694" s="332">
        <v>58</v>
      </c>
      <c r="P694" s="342">
        <v>7.3999999999999995</v>
      </c>
      <c r="Q694" s="343">
        <v>8.1739130434782545</v>
      </c>
      <c r="R694" s="344">
        <v>1.7374301675977653</v>
      </c>
      <c r="S694" s="344">
        <v>1.7250000000000001</v>
      </c>
      <c r="T694" s="344">
        <v>1.8660000000000001</v>
      </c>
      <c r="U694" s="344" t="s">
        <v>136</v>
      </c>
      <c r="V694" s="332" t="s">
        <v>169</v>
      </c>
      <c r="W694" s="345">
        <v>4</v>
      </c>
      <c r="X694" s="346">
        <v>2</v>
      </c>
      <c r="Y694" s="208">
        <v>2.8069999999999999</v>
      </c>
      <c r="Z694" s="332"/>
      <c r="AA694" s="342"/>
      <c r="AB694" s="342"/>
      <c r="AC694" s="342"/>
      <c r="AD694" s="347"/>
      <c r="AE694" s="358">
        <v>1.6950000000000001</v>
      </c>
      <c r="AF694" s="349">
        <v>0</v>
      </c>
      <c r="AG694" s="350"/>
      <c r="AH694" s="351" t="s">
        <v>139</v>
      </c>
      <c r="AI694" s="352" t="s">
        <v>139</v>
      </c>
      <c r="AJ694" s="206" t="s">
        <v>139</v>
      </c>
      <c r="AK694" s="353" t="s">
        <v>1026</v>
      </c>
      <c r="AL694" s="206" t="s">
        <v>139</v>
      </c>
      <c r="AM694" s="349">
        <v>102.50325472553187</v>
      </c>
      <c r="AN694" s="354" t="s">
        <v>139</v>
      </c>
      <c r="AO694" s="355" t="s">
        <v>140</v>
      </c>
      <c r="AP694" s="206" t="s">
        <v>139</v>
      </c>
      <c r="AQ694" s="246">
        <v>0</v>
      </c>
      <c r="AR694" s="211"/>
      <c r="AS694" s="297">
        <f>+IF(Table1[[#This Row],[Column40]]="ok",Table1[[#This Row],[Column7]],0)</f>
        <v>524.20000000000005</v>
      </c>
      <c r="AT694" s="295">
        <f>+IF(Table1[[#This Row],[Column40]]="No",Table1[[#This Row],[Column7]],0)</f>
        <v>0</v>
      </c>
      <c r="AU694" s="4" t="str">
        <f>+IF(LEFT(Table1[[#This Row],[Column42]],2)="DN",IF(Table1[[#This Row],[Column40]]="ok","(CA)",_xlfn.CONCAT("(CA)",CHAR(10),"FAIL")),"")</f>
        <v/>
      </c>
      <c r="AV694" s="154" t="str">
        <f>+IF(Table1[[#This Row],[Column6]]=0,"",_xlfn.CONCAT("Sem ",WEEKNUM(Table1[[#This Row],[Column6]],2)))</f>
        <v>Sem 14</v>
      </c>
      <c r="AW694" s="211"/>
    </row>
    <row r="695" spans="2:49" ht="19.5" customHeight="1" x14ac:dyDescent="0.3">
      <c r="B695" s="356" t="s">
        <v>1087</v>
      </c>
      <c r="C695" s="331"/>
      <c r="D695" s="332" t="s">
        <v>132</v>
      </c>
      <c r="E695" s="332" t="s">
        <v>133</v>
      </c>
      <c r="F695" s="333"/>
      <c r="G695" s="334">
        <v>46112</v>
      </c>
      <c r="H695" s="335">
        <v>805.96</v>
      </c>
      <c r="I695" s="336">
        <v>542.46</v>
      </c>
      <c r="J695" s="337">
        <v>2497.6640000000002</v>
      </c>
      <c r="K695" s="338" t="s">
        <v>240</v>
      </c>
      <c r="L695" s="339" t="s">
        <v>304</v>
      </c>
      <c r="M695" s="340">
        <v>30</v>
      </c>
      <c r="N695" s="341">
        <v>88653</v>
      </c>
      <c r="O695" s="332">
        <v>58</v>
      </c>
      <c r="P695" s="342">
        <v>13.100000000000001</v>
      </c>
      <c r="Q695" s="343">
        <v>12.333333333333329</v>
      </c>
      <c r="R695" s="344">
        <v>1.7877984084880634</v>
      </c>
      <c r="S695" s="344">
        <v>1.8</v>
      </c>
      <c r="T695" s="344">
        <v>2.0219999999999998</v>
      </c>
      <c r="U695" s="344" t="s">
        <v>136</v>
      </c>
      <c r="V695" s="332" t="s">
        <v>137</v>
      </c>
      <c r="W695" s="345">
        <v>8</v>
      </c>
      <c r="X695" s="346">
        <v>4</v>
      </c>
      <c r="Y695" s="208">
        <v>2.8069999999999999</v>
      </c>
      <c r="Z695" s="332"/>
      <c r="AA695" s="342"/>
      <c r="AB695" s="342"/>
      <c r="AC695" s="342"/>
      <c r="AD695" s="347"/>
      <c r="AE695" s="358">
        <v>1.7330000000000001</v>
      </c>
      <c r="AF695" s="349">
        <v>0</v>
      </c>
      <c r="AG695" s="350"/>
      <c r="AH695" s="351" t="s">
        <v>139</v>
      </c>
      <c r="AI695" s="352" t="s">
        <v>139</v>
      </c>
      <c r="AJ695" s="206" t="s">
        <v>139</v>
      </c>
      <c r="AK695" s="353" t="s">
        <v>1039</v>
      </c>
      <c r="AL695" s="206" t="s">
        <v>139</v>
      </c>
      <c r="AM695" s="349">
        <v>103.16205473099038</v>
      </c>
      <c r="AN695" s="354" t="s">
        <v>139</v>
      </c>
      <c r="AO695" s="355" t="s">
        <v>140</v>
      </c>
      <c r="AP695" s="206" t="s">
        <v>139</v>
      </c>
      <c r="AQ695" s="246">
        <v>0</v>
      </c>
      <c r="AR695" s="211"/>
      <c r="AS695" s="297">
        <f>+IF(Table1[[#This Row],[Column40]]="ok",Table1[[#This Row],[Column7]],0)</f>
        <v>805.96</v>
      </c>
      <c r="AT695" s="295">
        <f>+IF(Table1[[#This Row],[Column40]]="No",Table1[[#This Row],[Column7]],0)</f>
        <v>0</v>
      </c>
      <c r="AU695" s="4" t="str">
        <f>+IF(LEFT(Table1[[#This Row],[Column42]],2)="DN",IF(Table1[[#This Row],[Column40]]="ok","(CA)",_xlfn.CONCAT("(CA)",CHAR(10),"FAIL")),"")</f>
        <v/>
      </c>
      <c r="AV695" s="154" t="str">
        <f>+IF(Table1[[#This Row],[Column6]]=0,"",_xlfn.CONCAT("Sem ",WEEKNUM(Table1[[#This Row],[Column6]],2)))</f>
        <v>Sem 14</v>
      </c>
      <c r="AW695" s="211"/>
    </row>
    <row r="696" spans="2:49" ht="19.5" customHeight="1" x14ac:dyDescent="0.3">
      <c r="B696" s="356" t="s">
        <v>1088</v>
      </c>
      <c r="C696" s="331"/>
      <c r="D696" s="332" t="s">
        <v>132</v>
      </c>
      <c r="E696" s="332" t="s">
        <v>133</v>
      </c>
      <c r="F696" s="333"/>
      <c r="G696" s="334">
        <v>46112</v>
      </c>
      <c r="H696" s="335">
        <v>862.46</v>
      </c>
      <c r="I696" s="336">
        <v>534.09</v>
      </c>
      <c r="J696" s="337">
        <v>2494.9589999999998</v>
      </c>
      <c r="K696" s="338" t="s">
        <v>240</v>
      </c>
      <c r="L696" s="339" t="s">
        <v>302</v>
      </c>
      <c r="M696" s="340">
        <v>30</v>
      </c>
      <c r="N696" s="341">
        <v>88653</v>
      </c>
      <c r="O696" s="332">
        <v>58</v>
      </c>
      <c r="P696" s="342">
        <v>10.100000000000001</v>
      </c>
      <c r="Q696" s="343">
        <v>11.305822498586782</v>
      </c>
      <c r="R696" s="344">
        <v>1.7883742052679383</v>
      </c>
      <c r="S696" s="344">
        <v>1.7689999999999999</v>
      </c>
      <c r="T696" s="344">
        <v>1.9690000000000001</v>
      </c>
      <c r="U696" s="344" t="s">
        <v>136</v>
      </c>
      <c r="V696" s="332" t="s">
        <v>137</v>
      </c>
      <c r="W696" s="345">
        <v>8</v>
      </c>
      <c r="X696" s="346">
        <v>4</v>
      </c>
      <c r="Y696" s="208">
        <v>2.8069999999999999</v>
      </c>
      <c r="Z696" s="332"/>
      <c r="AA696" s="342"/>
      <c r="AB696" s="342"/>
      <c r="AC696" s="342"/>
      <c r="AD696" s="347"/>
      <c r="AE696" s="358">
        <v>1.7330000000000001</v>
      </c>
      <c r="AF696" s="349">
        <v>0</v>
      </c>
      <c r="AG696" s="350"/>
      <c r="AH696" s="351" t="s">
        <v>139</v>
      </c>
      <c r="AI696" s="352" t="s">
        <v>139</v>
      </c>
      <c r="AJ696" s="206" t="s">
        <v>139</v>
      </c>
      <c r="AK696" s="353" t="s">
        <v>1039</v>
      </c>
      <c r="AL696" s="206" t="s">
        <v>139</v>
      </c>
      <c r="AM696" s="349">
        <v>103.19528016548981</v>
      </c>
      <c r="AN696" s="354" t="s">
        <v>139</v>
      </c>
      <c r="AO696" s="355" t="s">
        <v>140</v>
      </c>
      <c r="AP696" s="206" t="s">
        <v>139</v>
      </c>
      <c r="AQ696" s="246">
        <v>0</v>
      </c>
      <c r="AR696" s="211"/>
      <c r="AS696" s="297">
        <f>+IF(Table1[[#This Row],[Column40]]="ok",Table1[[#This Row],[Column7]],0)</f>
        <v>862.46</v>
      </c>
      <c r="AT696" s="295">
        <f>+IF(Table1[[#This Row],[Column40]]="No",Table1[[#This Row],[Column7]],0)</f>
        <v>0</v>
      </c>
      <c r="AU696" s="4" t="str">
        <f>+IF(LEFT(Table1[[#This Row],[Column42]],2)="DN",IF(Table1[[#This Row],[Column40]]="ok","(CA)",_xlfn.CONCAT("(CA)",CHAR(10),"FAIL")),"")</f>
        <v/>
      </c>
      <c r="AV696" s="154" t="str">
        <f>+IF(Table1[[#This Row],[Column6]]=0,"",_xlfn.CONCAT("Sem ",WEEKNUM(Table1[[#This Row],[Column6]],2)))</f>
        <v>Sem 14</v>
      </c>
      <c r="AW696" s="211"/>
    </row>
    <row r="697" spans="2:49" ht="19.5" customHeight="1" x14ac:dyDescent="0.3">
      <c r="B697" s="356" t="s">
        <v>1089</v>
      </c>
      <c r="C697" s="331"/>
      <c r="D697" s="332" t="s">
        <v>132</v>
      </c>
      <c r="E697" s="332" t="s">
        <v>133</v>
      </c>
      <c r="F697" s="333"/>
      <c r="G697" s="334">
        <v>46112</v>
      </c>
      <c r="H697" s="335">
        <v>914.09</v>
      </c>
      <c r="I697" s="336">
        <v>581.4</v>
      </c>
      <c r="J697" s="337">
        <v>2478.248</v>
      </c>
      <c r="K697" s="338" t="s">
        <v>240</v>
      </c>
      <c r="L697" s="339" t="s">
        <v>311</v>
      </c>
      <c r="M697" s="340">
        <v>30</v>
      </c>
      <c r="N697" s="341">
        <v>88653</v>
      </c>
      <c r="O697" s="332">
        <v>58</v>
      </c>
      <c r="P697" s="342">
        <v>9.9</v>
      </c>
      <c r="Q697" s="343">
        <v>9.8378982671883719</v>
      </c>
      <c r="R697" s="344">
        <v>1.7879890809827117</v>
      </c>
      <c r="S697" s="344">
        <v>1.7889999999999999</v>
      </c>
      <c r="T697" s="344">
        <v>1.9650000000000001</v>
      </c>
      <c r="U697" s="344" t="s">
        <v>136</v>
      </c>
      <c r="V697" s="332" t="s">
        <v>137</v>
      </c>
      <c r="W697" s="345">
        <v>8</v>
      </c>
      <c r="X697" s="346">
        <v>4</v>
      </c>
      <c r="Y697" s="208">
        <v>2.8069999999999999</v>
      </c>
      <c r="Z697" s="332"/>
      <c r="AA697" s="342"/>
      <c r="AB697" s="342"/>
      <c r="AC697" s="342"/>
      <c r="AD697" s="347"/>
      <c r="AE697" s="358">
        <v>1.7330000000000001</v>
      </c>
      <c r="AF697" s="349">
        <v>0</v>
      </c>
      <c r="AG697" s="350"/>
      <c r="AH697" s="351" t="s">
        <v>139</v>
      </c>
      <c r="AI697" s="352" t="s">
        <v>139</v>
      </c>
      <c r="AJ697" s="206" t="s">
        <v>139</v>
      </c>
      <c r="AK697" s="353" t="s">
        <v>1039</v>
      </c>
      <c r="AL697" s="206" t="s">
        <v>139</v>
      </c>
      <c r="AM697" s="349">
        <v>103.17305718307625</v>
      </c>
      <c r="AN697" s="354" t="s">
        <v>139</v>
      </c>
      <c r="AO697" s="355" t="s">
        <v>140</v>
      </c>
      <c r="AP697" s="206" t="s">
        <v>139</v>
      </c>
      <c r="AQ697" s="246">
        <v>0</v>
      </c>
      <c r="AR697" s="211"/>
      <c r="AS697" s="297">
        <f>+IF(Table1[[#This Row],[Column40]]="ok",Table1[[#This Row],[Column7]],0)</f>
        <v>914.09</v>
      </c>
      <c r="AT697" s="295">
        <f>+IF(Table1[[#This Row],[Column40]]="No",Table1[[#This Row],[Column7]],0)</f>
        <v>0</v>
      </c>
      <c r="AU697" s="4" t="str">
        <f>+IF(LEFT(Table1[[#This Row],[Column42]],2)="DN",IF(Table1[[#This Row],[Column40]]="ok","(CA)",_xlfn.CONCAT("(CA)",CHAR(10),"FAIL")),"")</f>
        <v/>
      </c>
      <c r="AV697" s="154" t="str">
        <f>+IF(Table1[[#This Row],[Column6]]=0,"",_xlfn.CONCAT("Sem ",WEEKNUM(Table1[[#This Row],[Column6]],2)))</f>
        <v>Sem 14</v>
      </c>
      <c r="AW697" s="211"/>
    </row>
    <row r="698" spans="2:49" ht="19.5" customHeight="1" x14ac:dyDescent="0.3">
      <c r="B698" s="356" t="s">
        <v>1090</v>
      </c>
      <c r="C698" s="331"/>
      <c r="D698" s="332" t="s">
        <v>132</v>
      </c>
      <c r="E698" s="332" t="s">
        <v>133</v>
      </c>
      <c r="F698" s="333"/>
      <c r="G698" s="334">
        <v>46112</v>
      </c>
      <c r="H698" s="335">
        <v>881.58</v>
      </c>
      <c r="I698" s="336">
        <v>609.22</v>
      </c>
      <c r="J698" s="337">
        <v>2471.913</v>
      </c>
      <c r="K698" s="338" t="s">
        <v>240</v>
      </c>
      <c r="L698" s="339" t="s">
        <v>302</v>
      </c>
      <c r="M698" s="340">
        <v>30</v>
      </c>
      <c r="N698" s="341">
        <v>88653</v>
      </c>
      <c r="O698" s="332">
        <v>58</v>
      </c>
      <c r="P698" s="342">
        <v>11.4</v>
      </c>
      <c r="Q698" s="343">
        <v>10.993892282065531</v>
      </c>
      <c r="R698" s="344">
        <v>1.7944344703770196</v>
      </c>
      <c r="S698" s="344">
        <v>1.8009999999999999</v>
      </c>
      <c r="T698" s="344">
        <v>1.9990000000000001</v>
      </c>
      <c r="U698" s="344" t="s">
        <v>136</v>
      </c>
      <c r="V698" s="332" t="s">
        <v>137</v>
      </c>
      <c r="W698" s="345">
        <v>8</v>
      </c>
      <c r="X698" s="346">
        <v>4</v>
      </c>
      <c r="Y698" s="208">
        <v>2.8069999999999999</v>
      </c>
      <c r="Z698" s="332"/>
      <c r="AA698" s="342"/>
      <c r="AB698" s="342"/>
      <c r="AC698" s="342"/>
      <c r="AD698" s="347"/>
      <c r="AE698" s="358">
        <v>1.7330000000000001</v>
      </c>
      <c r="AF698" s="349">
        <v>0</v>
      </c>
      <c r="AG698" s="350"/>
      <c r="AH698" s="351" t="s">
        <v>139</v>
      </c>
      <c r="AI698" s="352" t="s">
        <v>139</v>
      </c>
      <c r="AJ698" s="206" t="s">
        <v>139</v>
      </c>
      <c r="AK698" s="353" t="s">
        <v>1039</v>
      </c>
      <c r="AL698" s="206" t="s">
        <v>139</v>
      </c>
      <c r="AM698" s="349">
        <v>103.5449780944616</v>
      </c>
      <c r="AN698" s="354" t="s">
        <v>139</v>
      </c>
      <c r="AO698" s="355" t="s">
        <v>140</v>
      </c>
      <c r="AP698" s="206" t="s">
        <v>139</v>
      </c>
      <c r="AQ698" s="246">
        <v>0</v>
      </c>
      <c r="AR698" s="211"/>
      <c r="AS698" s="297">
        <f>+IF(Table1[[#This Row],[Column40]]="ok",Table1[[#This Row],[Column7]],0)</f>
        <v>881.58</v>
      </c>
      <c r="AT698" s="295">
        <f>+IF(Table1[[#This Row],[Column40]]="No",Table1[[#This Row],[Column7]],0)</f>
        <v>0</v>
      </c>
      <c r="AU698" s="4" t="str">
        <f>+IF(LEFT(Table1[[#This Row],[Column42]],2)="DN",IF(Table1[[#This Row],[Column40]]="ok","(CA)",_xlfn.CONCAT("(CA)",CHAR(10),"FAIL")),"")</f>
        <v/>
      </c>
      <c r="AV698" s="154" t="str">
        <f>+IF(Table1[[#This Row],[Column6]]=0,"",_xlfn.CONCAT("Sem ",WEEKNUM(Table1[[#This Row],[Column6]],2)))</f>
        <v>Sem 14</v>
      </c>
      <c r="AW698" s="211"/>
    </row>
    <row r="699" spans="2:49" ht="19.5" customHeight="1" x14ac:dyDescent="0.3">
      <c r="B699" s="356" t="s">
        <v>1091</v>
      </c>
      <c r="C699" s="331"/>
      <c r="D699" s="332" t="s">
        <v>132</v>
      </c>
      <c r="E699" s="332" t="s">
        <v>133</v>
      </c>
      <c r="F699" s="333"/>
      <c r="G699" s="334">
        <v>46112</v>
      </c>
      <c r="H699" s="335">
        <v>652.54999999999995</v>
      </c>
      <c r="I699" s="336">
        <v>401.2</v>
      </c>
      <c r="J699" s="337">
        <v>2548.422</v>
      </c>
      <c r="K699" s="338" t="s">
        <v>306</v>
      </c>
      <c r="L699" s="339" t="s">
        <v>322</v>
      </c>
      <c r="M699" s="340">
        <v>30</v>
      </c>
      <c r="N699" s="341">
        <v>88653</v>
      </c>
      <c r="O699" s="332">
        <v>58</v>
      </c>
      <c r="P699" s="342">
        <v>12.4</v>
      </c>
      <c r="Q699" s="343">
        <v>10.955710955710952</v>
      </c>
      <c r="R699" s="344">
        <v>1.6939501779359427</v>
      </c>
      <c r="S699" s="344">
        <v>1.716</v>
      </c>
      <c r="T699" s="344">
        <v>1.9039999999999999</v>
      </c>
      <c r="U699" s="344" t="s">
        <v>136</v>
      </c>
      <c r="V699" s="332" t="s">
        <v>137</v>
      </c>
      <c r="W699" s="345">
        <v>8</v>
      </c>
      <c r="X699" s="346">
        <v>4</v>
      </c>
      <c r="Y699" s="208">
        <v>2.8069999999999999</v>
      </c>
      <c r="Z699" s="332"/>
      <c r="AA699" s="342"/>
      <c r="AB699" s="342"/>
      <c r="AC699" s="342"/>
      <c r="AD699" s="347"/>
      <c r="AE699" s="358">
        <v>1.7165583216922649</v>
      </c>
      <c r="AF699" s="349">
        <v>16.174007676247836</v>
      </c>
      <c r="AG699" s="350"/>
      <c r="AH699" s="351">
        <v>1.7137931034482761</v>
      </c>
      <c r="AI699" s="352">
        <v>1.988</v>
      </c>
      <c r="AJ699" s="206">
        <v>16</v>
      </c>
      <c r="AK699" s="353" t="s">
        <v>540</v>
      </c>
      <c r="AL699" s="206">
        <v>0.17400767624783597</v>
      </c>
      <c r="AM699" s="349">
        <v>98.682937627541023</v>
      </c>
      <c r="AN699" s="354" t="s">
        <v>139</v>
      </c>
      <c r="AO699" s="355" t="s">
        <v>140</v>
      </c>
      <c r="AP699" s="206" t="s">
        <v>139</v>
      </c>
      <c r="AQ699" s="246" t="s">
        <v>1092</v>
      </c>
      <c r="AR699" s="211"/>
      <c r="AS699" s="297">
        <f>+IF(Table1[[#This Row],[Column40]]="ok",Table1[[#This Row],[Column7]],0)</f>
        <v>652.54999999999995</v>
      </c>
      <c r="AT699" s="295">
        <f>+IF(Table1[[#This Row],[Column40]]="No",Table1[[#This Row],[Column7]],0)</f>
        <v>0</v>
      </c>
      <c r="AU699" s="4" t="str">
        <f>+IF(LEFT(Table1[[#This Row],[Column42]],2)="DN",IF(Table1[[#This Row],[Column40]]="ok","(CA)",_xlfn.CONCAT("(CA)",CHAR(10),"FAIL")),"")</f>
        <v/>
      </c>
      <c r="AV699" s="154" t="str">
        <f>+IF(Table1[[#This Row],[Column6]]=0,"",_xlfn.CONCAT("Sem ",WEEKNUM(Table1[[#This Row],[Column6]],2)))</f>
        <v>Sem 14</v>
      </c>
      <c r="AW699" s="211"/>
    </row>
    <row r="700" spans="2:49" ht="19.5" customHeight="1" x14ac:dyDescent="0.3">
      <c r="B700" s="356" t="s">
        <v>1092</v>
      </c>
      <c r="C700" s="331"/>
      <c r="D700" s="332" t="s">
        <v>132</v>
      </c>
      <c r="E700" s="332" t="s">
        <v>133</v>
      </c>
      <c r="F700" s="333"/>
      <c r="G700" s="334">
        <v>46112</v>
      </c>
      <c r="H700" s="335">
        <v>652.54999999999995</v>
      </c>
      <c r="I700" s="336">
        <v>401.2</v>
      </c>
      <c r="J700" s="337">
        <v>2548.422</v>
      </c>
      <c r="K700" s="338" t="s">
        <v>306</v>
      </c>
      <c r="L700" s="339" t="s">
        <v>322</v>
      </c>
      <c r="M700" s="340">
        <v>15</v>
      </c>
      <c r="N700" s="341"/>
      <c r="O700" s="332"/>
      <c r="P700" s="342">
        <v>12.434587590331416</v>
      </c>
      <c r="Q700" s="343"/>
      <c r="R700" s="344">
        <v>1.7082865108148764</v>
      </c>
      <c r="S700" s="344"/>
      <c r="T700" s="344">
        <v>1.9207048932959687</v>
      </c>
      <c r="U700" s="344" t="s">
        <v>142</v>
      </c>
      <c r="V700" s="332" t="s">
        <v>137</v>
      </c>
      <c r="W700" s="345" t="s">
        <v>173</v>
      </c>
      <c r="X700" s="346" t="s">
        <v>680</v>
      </c>
      <c r="Y700" s="208"/>
      <c r="Z700" s="332" t="s">
        <v>143</v>
      </c>
      <c r="AA700" s="342">
        <v>98.704211313231994</v>
      </c>
      <c r="AB700" s="342">
        <v>71.467729877896829</v>
      </c>
      <c r="AC700" s="342">
        <v>27.53550959382008</v>
      </c>
      <c r="AD700" s="347">
        <v>11.76177423374034</v>
      </c>
      <c r="AE700" s="358">
        <v>1.7170000000000001</v>
      </c>
      <c r="AF700" s="349">
        <v>16.2</v>
      </c>
      <c r="AG700" s="350" t="s">
        <v>540</v>
      </c>
      <c r="AH700" s="351">
        <v>1.7214531588696227</v>
      </c>
      <c r="AI700" s="352">
        <v>1.9982966038539338</v>
      </c>
      <c r="AJ700" s="206">
        <v>16.081962123564132</v>
      </c>
      <c r="AK700" s="353" t="s">
        <v>540</v>
      </c>
      <c r="AL700" s="206">
        <v>0.11803787643586716</v>
      </c>
      <c r="AM700" s="349">
        <v>99.492516646178004</v>
      </c>
      <c r="AN700" s="354" t="s">
        <v>139</v>
      </c>
      <c r="AO700" s="355" t="s">
        <v>144</v>
      </c>
      <c r="AP700" s="206">
        <v>0</v>
      </c>
      <c r="AQ700" s="246" t="s">
        <v>1060</v>
      </c>
      <c r="AR700" s="211"/>
      <c r="AS700" s="297">
        <f>+IF(Table1[[#This Row],[Column40]]="ok",Table1[[#This Row],[Column7]],0)</f>
        <v>652.54999999999995</v>
      </c>
      <c r="AT700" s="295">
        <f>+IF(Table1[[#This Row],[Column40]]="No",Table1[[#This Row],[Column7]],0)</f>
        <v>0</v>
      </c>
      <c r="AU700" s="4" t="str">
        <f>+IF(LEFT(Table1[[#This Row],[Column42]],2)="DN",IF(Table1[[#This Row],[Column40]]="ok","(CA)",_xlfn.CONCAT("(CA)",CHAR(10),"FAIL")),"")</f>
        <v>(CA)</v>
      </c>
      <c r="AV700" s="154" t="str">
        <f>+IF(Table1[[#This Row],[Column6]]=0,"",_xlfn.CONCAT("Sem ",WEEKNUM(Table1[[#This Row],[Column6]],2)))</f>
        <v>Sem 14</v>
      </c>
      <c r="AW700" s="211"/>
    </row>
    <row r="701" spans="2:49" ht="19.5" customHeight="1" x14ac:dyDescent="0.3">
      <c r="B701" s="356" t="s">
        <v>1093</v>
      </c>
      <c r="C701" s="331"/>
      <c r="D701" s="332" t="s">
        <v>132</v>
      </c>
      <c r="E701" s="332" t="s">
        <v>133</v>
      </c>
      <c r="F701" s="333"/>
      <c r="G701" s="334">
        <v>46112</v>
      </c>
      <c r="H701" s="335">
        <v>727.34</v>
      </c>
      <c r="I701" s="336">
        <v>423.07</v>
      </c>
      <c r="J701" s="337">
        <v>2537.42</v>
      </c>
      <c r="K701" s="338" t="s">
        <v>306</v>
      </c>
      <c r="L701" s="339" t="s">
        <v>307</v>
      </c>
      <c r="M701" s="340">
        <v>30</v>
      </c>
      <c r="N701" s="341">
        <v>88653</v>
      </c>
      <c r="O701" s="332">
        <v>58</v>
      </c>
      <c r="P701" s="342">
        <v>12.4</v>
      </c>
      <c r="Q701" s="343">
        <v>10.942956926658898</v>
      </c>
      <c r="R701" s="344">
        <v>1.6957295373665477</v>
      </c>
      <c r="S701" s="344">
        <v>1.718</v>
      </c>
      <c r="T701" s="344">
        <v>1.9059999999999999</v>
      </c>
      <c r="U701" s="344" t="s">
        <v>136</v>
      </c>
      <c r="V701" s="332" t="s">
        <v>137</v>
      </c>
      <c r="W701" s="345">
        <v>8</v>
      </c>
      <c r="X701" s="346">
        <v>4</v>
      </c>
      <c r="Y701" s="208">
        <v>2.8069999999999999</v>
      </c>
      <c r="Z701" s="332"/>
      <c r="AA701" s="342"/>
      <c r="AB701" s="342"/>
      <c r="AC701" s="342"/>
      <c r="AD701" s="347"/>
      <c r="AE701" s="358">
        <v>1.7150000000000001</v>
      </c>
      <c r="AF701" s="349">
        <v>0</v>
      </c>
      <c r="AG701" s="350"/>
      <c r="AH701" s="351" t="s">
        <v>139</v>
      </c>
      <c r="AI701" s="352" t="s">
        <v>139</v>
      </c>
      <c r="AJ701" s="206" t="s">
        <v>139</v>
      </c>
      <c r="AK701" s="353" t="s">
        <v>1094</v>
      </c>
      <c r="AL701" s="206" t="s">
        <v>139</v>
      </c>
      <c r="AM701" s="349">
        <v>98.876357863938637</v>
      </c>
      <c r="AN701" s="354" t="s">
        <v>139</v>
      </c>
      <c r="AO701" s="355" t="s">
        <v>140</v>
      </c>
      <c r="AP701" s="206" t="s">
        <v>139</v>
      </c>
      <c r="AQ701" s="246">
        <v>0</v>
      </c>
      <c r="AR701" s="211"/>
      <c r="AS701" s="297">
        <f>+IF(Table1[[#This Row],[Column40]]="ok",Table1[[#This Row],[Column7]],0)</f>
        <v>727.34</v>
      </c>
      <c r="AT701" s="295">
        <f>+IF(Table1[[#This Row],[Column40]]="No",Table1[[#This Row],[Column7]],0)</f>
        <v>0</v>
      </c>
      <c r="AU701" s="4" t="str">
        <f>+IF(LEFT(Table1[[#This Row],[Column42]],2)="DN",IF(Table1[[#This Row],[Column40]]="ok","(CA)",_xlfn.CONCAT("(CA)",CHAR(10),"FAIL")),"")</f>
        <v/>
      </c>
      <c r="AV701" s="154" t="str">
        <f>+IF(Table1[[#This Row],[Column6]]=0,"",_xlfn.CONCAT("Sem ",WEEKNUM(Table1[[#This Row],[Column6]],2)))</f>
        <v>Sem 14</v>
      </c>
      <c r="AW701" s="211"/>
    </row>
    <row r="702" spans="2:49" ht="19.5" customHeight="1" x14ac:dyDescent="0.3">
      <c r="B702" s="356" t="s">
        <v>1095</v>
      </c>
      <c r="C702" s="331"/>
      <c r="D702" s="332" t="s">
        <v>132</v>
      </c>
      <c r="E702" s="332" t="s">
        <v>133</v>
      </c>
      <c r="F702" s="333"/>
      <c r="G702" s="334">
        <v>46112</v>
      </c>
      <c r="H702" s="335">
        <v>611.45000000000005</v>
      </c>
      <c r="I702" s="336">
        <v>442.4</v>
      </c>
      <c r="J702" s="337">
        <v>2537.2249999999999</v>
      </c>
      <c r="K702" s="338" t="s">
        <v>306</v>
      </c>
      <c r="L702" s="339" t="s">
        <v>324</v>
      </c>
      <c r="M702" s="340">
        <v>30</v>
      </c>
      <c r="N702" s="341">
        <v>88653</v>
      </c>
      <c r="O702" s="332">
        <v>58</v>
      </c>
      <c r="P702" s="342">
        <v>11.4</v>
      </c>
      <c r="Q702" s="343">
        <v>10.532276330690827</v>
      </c>
      <c r="R702" s="344">
        <v>1.7522441651705563</v>
      </c>
      <c r="S702" s="344">
        <v>1.766</v>
      </c>
      <c r="T702" s="344">
        <v>1.952</v>
      </c>
      <c r="U702" s="344" t="s">
        <v>136</v>
      </c>
      <c r="V702" s="332" t="s">
        <v>137</v>
      </c>
      <c r="W702" s="345">
        <v>8</v>
      </c>
      <c r="X702" s="346">
        <v>4</v>
      </c>
      <c r="Y702" s="208">
        <v>2.8069999999999999</v>
      </c>
      <c r="Z702" s="332"/>
      <c r="AA702" s="342"/>
      <c r="AB702" s="342"/>
      <c r="AC702" s="342"/>
      <c r="AD702" s="347"/>
      <c r="AE702" s="358">
        <v>1.7150000000000001</v>
      </c>
      <c r="AF702" s="349" t="s">
        <v>139</v>
      </c>
      <c r="AG702" s="350"/>
      <c r="AH702" s="351" t="s">
        <v>139</v>
      </c>
      <c r="AI702" s="352" t="s">
        <v>139</v>
      </c>
      <c r="AJ702" s="206" t="s">
        <v>139</v>
      </c>
      <c r="AK702" s="353" t="s">
        <v>1094</v>
      </c>
      <c r="AL702" s="206" t="s">
        <v>139</v>
      </c>
      <c r="AM702" s="349">
        <v>102.1716714385164</v>
      </c>
      <c r="AN702" s="354" t="s">
        <v>139</v>
      </c>
      <c r="AO702" s="355" t="s">
        <v>140</v>
      </c>
      <c r="AP702" s="206" t="s">
        <v>139</v>
      </c>
      <c r="AQ702" s="246">
        <v>0</v>
      </c>
      <c r="AR702" s="211"/>
      <c r="AS702" s="297">
        <f>+IF(Table1[[#This Row],[Column40]]="ok",Table1[[#This Row],[Column7]],0)</f>
        <v>611.45000000000005</v>
      </c>
      <c r="AT702" s="295">
        <f>+IF(Table1[[#This Row],[Column40]]="No",Table1[[#This Row],[Column7]],0)</f>
        <v>0</v>
      </c>
      <c r="AU702" s="4" t="str">
        <f>+IF(LEFT(Table1[[#This Row],[Column42]],2)="DN",IF(Table1[[#This Row],[Column40]]="ok","(CA)",_xlfn.CONCAT("(CA)",CHAR(10),"FAIL")),"")</f>
        <v/>
      </c>
      <c r="AV702" s="154" t="str">
        <f>+IF(Table1[[#This Row],[Column6]]=0,"",_xlfn.CONCAT("Sem ",WEEKNUM(Table1[[#This Row],[Column6]],2)))</f>
        <v>Sem 14</v>
      </c>
      <c r="AW702" s="211"/>
    </row>
    <row r="703" spans="2:49" ht="19.5" customHeight="1" x14ac:dyDescent="0.3">
      <c r="B703" s="356" t="s">
        <v>1096</v>
      </c>
      <c r="C703" s="331"/>
      <c r="D703" s="332" t="s">
        <v>132</v>
      </c>
      <c r="E703" s="332" t="s">
        <v>133</v>
      </c>
      <c r="F703" s="333"/>
      <c r="G703" s="334">
        <v>46112</v>
      </c>
      <c r="H703" s="335">
        <v>613.02</v>
      </c>
      <c r="I703" s="336">
        <v>506.38</v>
      </c>
      <c r="J703" s="337">
        <v>2520.7840000000001</v>
      </c>
      <c r="K703" s="338" t="s">
        <v>326</v>
      </c>
      <c r="L703" s="339" t="s">
        <v>324</v>
      </c>
      <c r="M703" s="340">
        <v>30</v>
      </c>
      <c r="N703" s="341">
        <v>88653</v>
      </c>
      <c r="O703" s="332">
        <v>58</v>
      </c>
      <c r="P703" s="342">
        <v>12</v>
      </c>
      <c r="Q703" s="343">
        <v>11.69724770642202</v>
      </c>
      <c r="R703" s="344">
        <v>1.7392857142857141</v>
      </c>
      <c r="S703" s="344">
        <v>1.744</v>
      </c>
      <c r="T703" s="344">
        <v>1.948</v>
      </c>
      <c r="U703" s="344" t="s">
        <v>136</v>
      </c>
      <c r="V703" s="332" t="s">
        <v>137</v>
      </c>
      <c r="W703" s="345">
        <v>8</v>
      </c>
      <c r="X703" s="346">
        <v>4</v>
      </c>
      <c r="Y703" s="208">
        <v>2.8069999999999999</v>
      </c>
      <c r="Z703" s="332"/>
      <c r="AA703" s="342"/>
      <c r="AB703" s="342"/>
      <c r="AC703" s="342"/>
      <c r="AD703" s="347"/>
      <c r="AE703" s="358">
        <v>1.7150000000000001</v>
      </c>
      <c r="AF703" s="349">
        <v>0</v>
      </c>
      <c r="AG703" s="350"/>
      <c r="AH703" s="351" t="s">
        <v>139</v>
      </c>
      <c r="AI703" s="352" t="s">
        <v>139</v>
      </c>
      <c r="AJ703" s="206" t="s">
        <v>139</v>
      </c>
      <c r="AK703" s="353" t="s">
        <v>1094</v>
      </c>
      <c r="AL703" s="206" t="s">
        <v>139</v>
      </c>
      <c r="AM703" s="349">
        <v>101.4160766347355</v>
      </c>
      <c r="AN703" s="354" t="s">
        <v>139</v>
      </c>
      <c r="AO703" s="355" t="s">
        <v>140</v>
      </c>
      <c r="AP703" s="206" t="s">
        <v>139</v>
      </c>
      <c r="AQ703" s="246">
        <v>0</v>
      </c>
      <c r="AR703" s="211"/>
      <c r="AS703" s="297">
        <f>+IF(Table1[[#This Row],[Column40]]="ok",Table1[[#This Row],[Column7]],0)</f>
        <v>613.02</v>
      </c>
      <c r="AT703" s="295">
        <f>+IF(Table1[[#This Row],[Column40]]="No",Table1[[#This Row],[Column7]],0)</f>
        <v>0</v>
      </c>
      <c r="AU703" s="4" t="str">
        <f>+IF(LEFT(Table1[[#This Row],[Column42]],2)="DN",IF(Table1[[#This Row],[Column40]]="ok","(CA)",_xlfn.CONCAT("(CA)",CHAR(10),"FAIL")),"")</f>
        <v/>
      </c>
      <c r="AV703" s="154" t="str">
        <f>+IF(Table1[[#This Row],[Column6]]=0,"",_xlfn.CONCAT("Sem ",WEEKNUM(Table1[[#This Row],[Column6]],2)))</f>
        <v>Sem 14</v>
      </c>
      <c r="AW703" s="211"/>
    </row>
    <row r="704" spans="2:49" ht="19.5" customHeight="1" x14ac:dyDescent="0.3">
      <c r="B704" s="356" t="s">
        <v>1097</v>
      </c>
      <c r="C704" s="331"/>
      <c r="D704" s="332" t="s">
        <v>132</v>
      </c>
      <c r="E704" s="332" t="s">
        <v>133</v>
      </c>
      <c r="F704" s="333"/>
      <c r="G704" s="334">
        <v>46112</v>
      </c>
      <c r="H704" s="335">
        <v>675.4</v>
      </c>
      <c r="I704" s="336">
        <v>498.55</v>
      </c>
      <c r="J704" s="337">
        <v>2520.337</v>
      </c>
      <c r="K704" s="338" t="s">
        <v>306</v>
      </c>
      <c r="L704" s="339" t="s">
        <v>347</v>
      </c>
      <c r="M704" s="340">
        <v>30</v>
      </c>
      <c r="N704" s="341">
        <v>88653</v>
      </c>
      <c r="O704" s="332">
        <v>58</v>
      </c>
      <c r="P704" s="342">
        <v>13.100000000000001</v>
      </c>
      <c r="Q704" s="343">
        <v>10.431856421761076</v>
      </c>
      <c r="R704" s="344">
        <v>1.7409372236958445</v>
      </c>
      <c r="S704" s="344">
        <v>1.7829999999999999</v>
      </c>
      <c r="T704" s="344">
        <v>1.9690000000000001</v>
      </c>
      <c r="U704" s="344" t="s">
        <v>136</v>
      </c>
      <c r="V704" s="332" t="s">
        <v>137</v>
      </c>
      <c r="W704" s="345">
        <v>8</v>
      </c>
      <c r="X704" s="346">
        <v>4</v>
      </c>
      <c r="Y704" s="208">
        <v>2.8069999999999999</v>
      </c>
      <c r="Z704" s="332"/>
      <c r="AA704" s="342"/>
      <c r="AB704" s="342"/>
      <c r="AC704" s="342"/>
      <c r="AD704" s="347"/>
      <c r="AE704" s="358">
        <v>1.7150000000000001</v>
      </c>
      <c r="AF704" s="349" t="s">
        <v>139</v>
      </c>
      <c r="AG704" s="350"/>
      <c r="AH704" s="351" t="s">
        <v>139</v>
      </c>
      <c r="AI704" s="352" t="s">
        <v>139</v>
      </c>
      <c r="AJ704" s="206" t="s">
        <v>139</v>
      </c>
      <c r="AK704" s="353" t="s">
        <v>1094</v>
      </c>
      <c r="AL704" s="206" t="s">
        <v>139</v>
      </c>
      <c r="AM704" s="349">
        <v>101.51237455952446</v>
      </c>
      <c r="AN704" s="354" t="s">
        <v>139</v>
      </c>
      <c r="AO704" s="355" t="s">
        <v>140</v>
      </c>
      <c r="AP704" s="206" t="s">
        <v>139</v>
      </c>
      <c r="AQ704" s="246">
        <v>0</v>
      </c>
      <c r="AR704" s="211"/>
      <c r="AS704" s="297">
        <f>+IF(Table1[[#This Row],[Column40]]="ok",Table1[[#This Row],[Column7]],0)</f>
        <v>675.4</v>
      </c>
      <c r="AT704" s="295">
        <f>+IF(Table1[[#This Row],[Column40]]="No",Table1[[#This Row],[Column7]],0)</f>
        <v>0</v>
      </c>
      <c r="AU704" s="4" t="str">
        <f>+IF(LEFT(Table1[[#This Row],[Column42]],2)="DN",IF(Table1[[#This Row],[Column40]]="ok","(CA)",_xlfn.CONCAT("(CA)",CHAR(10),"FAIL")),"")</f>
        <v/>
      </c>
      <c r="AV704" s="154" t="str">
        <f>+IF(Table1[[#This Row],[Column6]]=0,"",_xlfn.CONCAT("Sem ",WEEKNUM(Table1[[#This Row],[Column6]],2)))</f>
        <v>Sem 14</v>
      </c>
      <c r="AW704" s="211"/>
    </row>
    <row r="705" spans="2:49" ht="19.5" customHeight="1" x14ac:dyDescent="0.3">
      <c r="B705" s="356" t="s">
        <v>1098</v>
      </c>
      <c r="C705" s="331"/>
      <c r="D705" s="332" t="s">
        <v>132</v>
      </c>
      <c r="E705" s="332" t="s">
        <v>133</v>
      </c>
      <c r="F705" s="333"/>
      <c r="G705" s="334">
        <v>46112</v>
      </c>
      <c r="H705" s="335">
        <v>747.24</v>
      </c>
      <c r="I705" s="336">
        <v>505.29</v>
      </c>
      <c r="J705" s="337">
        <v>2513.11</v>
      </c>
      <c r="K705" s="338" t="s">
        <v>326</v>
      </c>
      <c r="L705" s="339" t="s">
        <v>307</v>
      </c>
      <c r="M705" s="340">
        <v>30</v>
      </c>
      <c r="N705" s="341">
        <v>88653</v>
      </c>
      <c r="O705" s="332">
        <v>58</v>
      </c>
      <c r="P705" s="342">
        <v>13.100000000000001</v>
      </c>
      <c r="Q705" s="343">
        <v>12.274774774774766</v>
      </c>
      <c r="R705" s="344">
        <v>1.7630415561450044</v>
      </c>
      <c r="S705" s="344">
        <v>1.776</v>
      </c>
      <c r="T705" s="344">
        <v>1.994</v>
      </c>
      <c r="U705" s="344" t="s">
        <v>136</v>
      </c>
      <c r="V705" s="332" t="s">
        <v>137</v>
      </c>
      <c r="W705" s="345">
        <v>8</v>
      </c>
      <c r="X705" s="346">
        <v>4</v>
      </c>
      <c r="Y705" s="208">
        <v>2.8069999999999999</v>
      </c>
      <c r="Z705" s="332"/>
      <c r="AA705" s="342"/>
      <c r="AB705" s="342"/>
      <c r="AC705" s="342"/>
      <c r="AD705" s="347"/>
      <c r="AE705" s="358">
        <v>1.7150000000000001</v>
      </c>
      <c r="AF705" s="349">
        <v>0</v>
      </c>
      <c r="AG705" s="350"/>
      <c r="AH705" s="351" t="s">
        <v>139</v>
      </c>
      <c r="AI705" s="352" t="s">
        <v>139</v>
      </c>
      <c r="AJ705" s="206" t="s">
        <v>139</v>
      </c>
      <c r="AK705" s="353" t="s">
        <v>1094</v>
      </c>
      <c r="AL705" s="206" t="s">
        <v>139</v>
      </c>
      <c r="AM705" s="349">
        <v>102.80125691807605</v>
      </c>
      <c r="AN705" s="354" t="s">
        <v>139</v>
      </c>
      <c r="AO705" s="355" t="s">
        <v>140</v>
      </c>
      <c r="AP705" s="206" t="s">
        <v>139</v>
      </c>
      <c r="AQ705" s="246">
        <v>0</v>
      </c>
      <c r="AR705" s="211"/>
      <c r="AS705" s="297">
        <f>+IF(Table1[[#This Row],[Column40]]="ok",Table1[[#This Row],[Column7]],0)</f>
        <v>747.24</v>
      </c>
      <c r="AT705" s="295">
        <f>+IF(Table1[[#This Row],[Column40]]="No",Table1[[#This Row],[Column7]],0)</f>
        <v>0</v>
      </c>
      <c r="AU705" s="4" t="str">
        <f>+IF(LEFT(Table1[[#This Row],[Column42]],2)="DN",IF(Table1[[#This Row],[Column40]]="ok","(CA)",_xlfn.CONCAT("(CA)",CHAR(10),"FAIL")),"")</f>
        <v/>
      </c>
      <c r="AV705" s="154" t="str">
        <f>+IF(Table1[[#This Row],[Column6]]=0,"",_xlfn.CONCAT("Sem ",WEEKNUM(Table1[[#This Row],[Column6]],2)))</f>
        <v>Sem 14</v>
      </c>
      <c r="AW705" s="211"/>
    </row>
    <row r="706" spans="2:49" ht="19.5" customHeight="1" x14ac:dyDescent="0.3">
      <c r="B706" s="356" t="s">
        <v>1099</v>
      </c>
      <c r="C706" s="331"/>
      <c r="D706" s="332" t="s">
        <v>132</v>
      </c>
      <c r="E706" s="332" t="s">
        <v>133</v>
      </c>
      <c r="F706" s="333"/>
      <c r="G706" s="334">
        <v>46112</v>
      </c>
      <c r="H706" s="335">
        <v>744.66</v>
      </c>
      <c r="I706" s="336">
        <v>615.05999999999995</v>
      </c>
      <c r="J706" s="337">
        <v>2484.7069999999999</v>
      </c>
      <c r="K706" s="338" t="s">
        <v>326</v>
      </c>
      <c r="L706" s="339" t="s">
        <v>307</v>
      </c>
      <c r="M706" s="340">
        <v>30</v>
      </c>
      <c r="N706" s="341">
        <v>88653</v>
      </c>
      <c r="O706" s="332">
        <v>58</v>
      </c>
      <c r="P706" s="342">
        <v>12.2</v>
      </c>
      <c r="Q706" s="343">
        <v>11.616161616161612</v>
      </c>
      <c r="R706" s="344">
        <v>1.7727272727272729</v>
      </c>
      <c r="S706" s="344">
        <v>1.782</v>
      </c>
      <c r="T706" s="344">
        <v>1.9890000000000001</v>
      </c>
      <c r="U706" s="344" t="s">
        <v>136</v>
      </c>
      <c r="V706" s="332" t="s">
        <v>137</v>
      </c>
      <c r="W706" s="345">
        <v>8</v>
      </c>
      <c r="X706" s="346">
        <v>4</v>
      </c>
      <c r="Y706" s="208">
        <v>2.8069999999999999</v>
      </c>
      <c r="Z706" s="332"/>
      <c r="AA706" s="342"/>
      <c r="AB706" s="342"/>
      <c r="AC706" s="342"/>
      <c r="AD706" s="347"/>
      <c r="AE706" s="358">
        <v>1.7150000000000001</v>
      </c>
      <c r="AF706" s="349">
        <v>0</v>
      </c>
      <c r="AG706" s="350"/>
      <c r="AH706" s="351" t="s">
        <v>139</v>
      </c>
      <c r="AI706" s="352" t="s">
        <v>139</v>
      </c>
      <c r="AJ706" s="206" t="s">
        <v>139</v>
      </c>
      <c r="AK706" s="353" t="s">
        <v>1094</v>
      </c>
      <c r="AL706" s="206" t="s">
        <v>139</v>
      </c>
      <c r="AM706" s="349">
        <v>103.36602173336868</v>
      </c>
      <c r="AN706" s="354" t="s">
        <v>139</v>
      </c>
      <c r="AO706" s="355" t="s">
        <v>140</v>
      </c>
      <c r="AP706" s="206" t="s">
        <v>139</v>
      </c>
      <c r="AQ706" s="246">
        <v>0</v>
      </c>
      <c r="AR706" s="211"/>
      <c r="AS706" s="297">
        <f>+IF(Table1[[#This Row],[Column40]]="ok",Table1[[#This Row],[Column7]],0)</f>
        <v>744.66</v>
      </c>
      <c r="AT706" s="295">
        <f>+IF(Table1[[#This Row],[Column40]]="No",Table1[[#This Row],[Column7]],0)</f>
        <v>0</v>
      </c>
      <c r="AU706" s="4" t="str">
        <f>+IF(LEFT(Table1[[#This Row],[Column42]],2)="DN",IF(Table1[[#This Row],[Column40]]="ok","(CA)",_xlfn.CONCAT("(CA)",CHAR(10),"FAIL")),"")</f>
        <v/>
      </c>
      <c r="AV706" s="154" t="str">
        <f>+IF(Table1[[#This Row],[Column6]]=0,"",_xlfn.CONCAT("Sem ",WEEKNUM(Table1[[#This Row],[Column6]],2)))</f>
        <v>Sem 14</v>
      </c>
      <c r="AW706" s="211"/>
    </row>
    <row r="707" spans="2:49" ht="19.5" customHeight="1" x14ac:dyDescent="0.3">
      <c r="B707" s="356" t="s">
        <v>1100</v>
      </c>
      <c r="C707" s="331"/>
      <c r="D707" s="332" t="s">
        <v>132</v>
      </c>
      <c r="E707" s="332" t="s">
        <v>133</v>
      </c>
      <c r="F707" s="333"/>
      <c r="G707" s="334">
        <v>46112</v>
      </c>
      <c r="H707" s="335">
        <v>697.92</v>
      </c>
      <c r="I707" s="336">
        <v>565.61</v>
      </c>
      <c r="J707" s="337">
        <v>2501.1419999999998</v>
      </c>
      <c r="K707" s="338" t="s">
        <v>326</v>
      </c>
      <c r="L707" s="339" t="s">
        <v>347</v>
      </c>
      <c r="M707" s="340">
        <v>30</v>
      </c>
      <c r="N707" s="341">
        <v>88653</v>
      </c>
      <c r="O707" s="332">
        <v>58</v>
      </c>
      <c r="P707" s="342">
        <v>11.700000000000001</v>
      </c>
      <c r="Q707" s="343">
        <v>11.324041811846698</v>
      </c>
      <c r="R707" s="344">
        <v>1.7162041181736796</v>
      </c>
      <c r="S707" s="344">
        <v>1.722</v>
      </c>
      <c r="T707" s="344">
        <v>1.917</v>
      </c>
      <c r="U707" s="344" t="s">
        <v>136</v>
      </c>
      <c r="V707" s="332" t="s">
        <v>137</v>
      </c>
      <c r="W707" s="345">
        <v>8</v>
      </c>
      <c r="X707" s="346">
        <v>4</v>
      </c>
      <c r="Y707" s="208">
        <v>2.8069999999999999</v>
      </c>
      <c r="Z707" s="332"/>
      <c r="AA707" s="342"/>
      <c r="AB707" s="342"/>
      <c r="AC707" s="342"/>
      <c r="AD707" s="347"/>
      <c r="AE707" s="358">
        <v>1.7150000000000001</v>
      </c>
      <c r="AF707" s="349">
        <v>0</v>
      </c>
      <c r="AG707" s="350"/>
      <c r="AH707" s="351" t="s">
        <v>139</v>
      </c>
      <c r="AI707" s="352" t="s">
        <v>139</v>
      </c>
      <c r="AJ707" s="206" t="s">
        <v>139</v>
      </c>
      <c r="AK707" s="353" t="s">
        <v>1094</v>
      </c>
      <c r="AL707" s="206" t="s">
        <v>139</v>
      </c>
      <c r="AM707" s="349">
        <v>100.07021097222622</v>
      </c>
      <c r="AN707" s="354" t="s">
        <v>139</v>
      </c>
      <c r="AO707" s="355" t="s">
        <v>140</v>
      </c>
      <c r="AP707" s="206" t="s">
        <v>139</v>
      </c>
      <c r="AQ707" s="246">
        <v>0</v>
      </c>
      <c r="AR707" s="211"/>
      <c r="AS707" s="297">
        <f>+IF(Table1[[#This Row],[Column40]]="ok",Table1[[#This Row],[Column7]],0)</f>
        <v>697.92</v>
      </c>
      <c r="AT707" s="295">
        <f>+IF(Table1[[#This Row],[Column40]]="No",Table1[[#This Row],[Column7]],0)</f>
        <v>0</v>
      </c>
      <c r="AU707" s="4" t="str">
        <f>+IF(LEFT(Table1[[#This Row],[Column42]],2)="DN",IF(Table1[[#This Row],[Column40]]="ok","(CA)",_xlfn.CONCAT("(CA)",CHAR(10),"FAIL")),"")</f>
        <v/>
      </c>
      <c r="AV707" s="154" t="str">
        <f>+IF(Table1[[#This Row],[Column6]]=0,"",_xlfn.CONCAT("Sem ",WEEKNUM(Table1[[#This Row],[Column6]],2)))</f>
        <v>Sem 14</v>
      </c>
      <c r="AW707" s="211"/>
    </row>
    <row r="708" spans="2:49" ht="19.5" customHeight="1" x14ac:dyDescent="0.3">
      <c r="B708" s="356" t="s">
        <v>1101</v>
      </c>
      <c r="C708" s="331"/>
      <c r="D708" s="332" t="s">
        <v>132</v>
      </c>
      <c r="E708" s="332" t="s">
        <v>176</v>
      </c>
      <c r="F708" s="333"/>
      <c r="G708" s="334">
        <v>46112</v>
      </c>
      <c r="H708" s="335">
        <v>565.79999999999995</v>
      </c>
      <c r="I708" s="336">
        <v>361.95</v>
      </c>
      <c r="J708" s="337">
        <v>2561.83</v>
      </c>
      <c r="K708" s="338" t="s">
        <v>331</v>
      </c>
      <c r="L708" s="339" t="s">
        <v>332</v>
      </c>
      <c r="M708" s="340">
        <v>30</v>
      </c>
      <c r="N708" s="341">
        <v>88653</v>
      </c>
      <c r="O708" s="332">
        <v>58</v>
      </c>
      <c r="P708" s="342">
        <v>7.3999999999999995</v>
      </c>
      <c r="Q708" s="343">
        <v>9.6645821489482753</v>
      </c>
      <c r="R708" s="344">
        <v>1.7960893854748603</v>
      </c>
      <c r="S708" s="344">
        <v>1.7589999999999999</v>
      </c>
      <c r="T708" s="344">
        <v>1.929</v>
      </c>
      <c r="U708" s="344" t="s">
        <v>136</v>
      </c>
      <c r="V708" s="332" t="s">
        <v>137</v>
      </c>
      <c r="W708" s="345">
        <v>8</v>
      </c>
      <c r="X708" s="346">
        <v>4</v>
      </c>
      <c r="Y708" s="208">
        <v>2.8069999999999999</v>
      </c>
      <c r="Z708" s="332"/>
      <c r="AA708" s="342"/>
      <c r="AB708" s="342"/>
      <c r="AC708" s="342"/>
      <c r="AD708" s="347"/>
      <c r="AE708" s="358">
        <v>1.7150000000000001</v>
      </c>
      <c r="AF708" s="349" t="s">
        <v>139</v>
      </c>
      <c r="AG708" s="350"/>
      <c r="AH708" s="351" t="s">
        <v>139</v>
      </c>
      <c r="AI708" s="352" t="s">
        <v>139</v>
      </c>
      <c r="AJ708" s="206" t="s">
        <v>139</v>
      </c>
      <c r="AK708" s="353" t="s">
        <v>1094</v>
      </c>
      <c r="AL708" s="206" t="s">
        <v>139</v>
      </c>
      <c r="AM708" s="349">
        <v>104.72824405101227</v>
      </c>
      <c r="AN708" s="354" t="s">
        <v>139</v>
      </c>
      <c r="AO708" s="355" t="s">
        <v>140</v>
      </c>
      <c r="AP708" s="206" t="s">
        <v>139</v>
      </c>
      <c r="AQ708" s="246">
        <v>0</v>
      </c>
      <c r="AR708" s="211"/>
      <c r="AS708" s="297">
        <f>+IF(Table1[[#This Row],[Column40]]="ok",Table1[[#This Row],[Column7]],0)</f>
        <v>565.79999999999995</v>
      </c>
      <c r="AT708" s="295">
        <f>+IF(Table1[[#This Row],[Column40]]="No",Table1[[#This Row],[Column7]],0)</f>
        <v>0</v>
      </c>
      <c r="AU708" s="4" t="str">
        <f>+IF(LEFT(Table1[[#This Row],[Column42]],2)="DN",IF(Table1[[#This Row],[Column40]]="ok","(CA)",_xlfn.CONCAT("(CA)",CHAR(10),"FAIL")),"")</f>
        <v/>
      </c>
      <c r="AV708" s="154" t="str">
        <f>+IF(Table1[[#This Row],[Column6]]=0,"",_xlfn.CONCAT("Sem ",WEEKNUM(Table1[[#This Row],[Column6]],2)))</f>
        <v>Sem 14</v>
      </c>
      <c r="AW708" s="211"/>
    </row>
    <row r="709" spans="2:49" ht="19.5" customHeight="1" x14ac:dyDescent="0.3">
      <c r="B709" s="356" t="s">
        <v>1102</v>
      </c>
      <c r="C709" s="331"/>
      <c r="D709" s="332" t="s">
        <v>132</v>
      </c>
      <c r="E709" s="332" t="s">
        <v>176</v>
      </c>
      <c r="F709" s="333"/>
      <c r="G709" s="334">
        <v>46112</v>
      </c>
      <c r="H709" s="335">
        <v>508.09</v>
      </c>
      <c r="I709" s="336">
        <v>334.38</v>
      </c>
      <c r="J709" s="337">
        <v>2570.11</v>
      </c>
      <c r="K709" s="338" t="s">
        <v>331</v>
      </c>
      <c r="L709" s="339" t="s">
        <v>342</v>
      </c>
      <c r="M709" s="340">
        <v>30</v>
      </c>
      <c r="N709" s="341">
        <v>88653</v>
      </c>
      <c r="O709" s="332">
        <v>58</v>
      </c>
      <c r="P709" s="342">
        <v>9.3000000000000007</v>
      </c>
      <c r="Q709" s="343">
        <v>9.096209912536434</v>
      </c>
      <c r="R709" s="344">
        <v>1.7118023787740164</v>
      </c>
      <c r="S709" s="344">
        <v>1.7150000000000001</v>
      </c>
      <c r="T709" s="344">
        <v>1.871</v>
      </c>
      <c r="U709" s="344" t="s">
        <v>136</v>
      </c>
      <c r="V709" s="332" t="s">
        <v>137</v>
      </c>
      <c r="W709" s="345">
        <v>8</v>
      </c>
      <c r="X709" s="346">
        <v>4</v>
      </c>
      <c r="Y709" s="208">
        <v>2.8069999999999999</v>
      </c>
      <c r="Z709" s="332"/>
      <c r="AA709" s="342"/>
      <c r="AB709" s="342"/>
      <c r="AC709" s="342"/>
      <c r="AD709" s="347"/>
      <c r="AE709" s="358">
        <v>1.7150000000000001</v>
      </c>
      <c r="AF709" s="349">
        <v>0</v>
      </c>
      <c r="AG709" s="350"/>
      <c r="AH709" s="351" t="s">
        <v>139</v>
      </c>
      <c r="AI709" s="352" t="s">
        <v>139</v>
      </c>
      <c r="AJ709" s="206" t="s">
        <v>139</v>
      </c>
      <c r="AK709" s="353" t="s">
        <v>1094</v>
      </c>
      <c r="AL709" s="206" t="s">
        <v>139</v>
      </c>
      <c r="AM709" s="349">
        <v>99.813549782741475</v>
      </c>
      <c r="AN709" s="354" t="s">
        <v>139</v>
      </c>
      <c r="AO709" s="355" t="s">
        <v>140</v>
      </c>
      <c r="AP709" s="206" t="s">
        <v>139</v>
      </c>
      <c r="AQ709" s="246">
        <v>0</v>
      </c>
      <c r="AR709" s="211"/>
      <c r="AS709" s="297">
        <f>+IF(Table1[[#This Row],[Column40]]="ok",Table1[[#This Row],[Column7]],0)</f>
        <v>508.09</v>
      </c>
      <c r="AT709" s="295">
        <f>+IF(Table1[[#This Row],[Column40]]="No",Table1[[#This Row],[Column7]],0)</f>
        <v>0</v>
      </c>
      <c r="AU709" s="4" t="str">
        <f>+IF(LEFT(Table1[[#This Row],[Column42]],2)="DN",IF(Table1[[#This Row],[Column40]]="ok","(CA)",_xlfn.CONCAT("(CA)",CHAR(10),"FAIL")),"")</f>
        <v/>
      </c>
      <c r="AV709" s="154" t="str">
        <f>+IF(Table1[[#This Row],[Column6]]=0,"",_xlfn.CONCAT("Sem ",WEEKNUM(Table1[[#This Row],[Column6]],2)))</f>
        <v>Sem 14</v>
      </c>
      <c r="AW709" s="211"/>
    </row>
    <row r="710" spans="2:49" ht="19.5" customHeight="1" x14ac:dyDescent="0.3">
      <c r="B710" s="356" t="s">
        <v>1103</v>
      </c>
      <c r="C710" s="331"/>
      <c r="D710" s="332" t="s">
        <v>132</v>
      </c>
      <c r="E710" s="332" t="s">
        <v>176</v>
      </c>
      <c r="F710" s="333"/>
      <c r="G710" s="334">
        <v>46112</v>
      </c>
      <c r="H710" s="335">
        <v>443.32</v>
      </c>
      <c r="I710" s="336">
        <v>314.64999999999998</v>
      </c>
      <c r="J710" s="337">
        <v>2573.81</v>
      </c>
      <c r="K710" s="338" t="s">
        <v>331</v>
      </c>
      <c r="L710" s="339" t="s">
        <v>546</v>
      </c>
      <c r="M710" s="340">
        <v>30</v>
      </c>
      <c r="N710" s="341">
        <v>88653</v>
      </c>
      <c r="O710" s="332">
        <v>58</v>
      </c>
      <c r="P710" s="342">
        <v>13.4</v>
      </c>
      <c r="Q710" s="343">
        <v>10.472972972972961</v>
      </c>
      <c r="R710" s="344">
        <v>1.7301587301587302</v>
      </c>
      <c r="S710" s="344">
        <v>1.776</v>
      </c>
      <c r="T710" s="344">
        <v>1.962</v>
      </c>
      <c r="U710" s="344" t="s">
        <v>136</v>
      </c>
      <c r="V710" s="332" t="s">
        <v>137</v>
      </c>
      <c r="W710" s="345">
        <v>8</v>
      </c>
      <c r="X710" s="346">
        <v>4</v>
      </c>
      <c r="Y710" s="208">
        <v>2.8069999999999999</v>
      </c>
      <c r="Z710" s="332"/>
      <c r="AA710" s="342"/>
      <c r="AB710" s="342"/>
      <c r="AC710" s="342"/>
      <c r="AD710" s="347"/>
      <c r="AE710" s="358">
        <v>1.7418123034423978</v>
      </c>
      <c r="AF710" s="349">
        <v>16.307953049274118</v>
      </c>
      <c r="AG710" s="350"/>
      <c r="AH710" s="351">
        <v>1.7338501291989663</v>
      </c>
      <c r="AI710" s="352">
        <v>2.0129999999999999</v>
      </c>
      <c r="AJ710" s="206">
        <v>16.100000000000001</v>
      </c>
      <c r="AK710" s="353" t="s">
        <v>513</v>
      </c>
      <c r="AL710" s="206">
        <v>0.20795304927411706</v>
      </c>
      <c r="AM710" s="349">
        <v>99.330951259177809</v>
      </c>
      <c r="AN710" s="354" t="s">
        <v>139</v>
      </c>
      <c r="AO710" s="355" t="s">
        <v>140</v>
      </c>
      <c r="AP710" s="206" t="s">
        <v>139</v>
      </c>
      <c r="AQ710" s="246" t="s">
        <v>1104</v>
      </c>
      <c r="AR710" s="211"/>
      <c r="AS710" s="297">
        <f>+IF(Table1[[#This Row],[Column40]]="ok",Table1[[#This Row],[Column7]],0)</f>
        <v>443.32</v>
      </c>
      <c r="AT710" s="295">
        <f>+IF(Table1[[#This Row],[Column40]]="No",Table1[[#This Row],[Column7]],0)</f>
        <v>0</v>
      </c>
      <c r="AU710" s="4" t="str">
        <f>+IF(LEFT(Table1[[#This Row],[Column42]],2)="DN",IF(Table1[[#This Row],[Column40]]="ok","(CA)",_xlfn.CONCAT("(CA)",CHAR(10),"FAIL")),"")</f>
        <v/>
      </c>
      <c r="AV710" s="154" t="str">
        <f>+IF(Table1[[#This Row],[Column6]]=0,"",_xlfn.CONCAT("Sem ",WEEKNUM(Table1[[#This Row],[Column6]],2)))</f>
        <v>Sem 14</v>
      </c>
      <c r="AW710" s="211"/>
    </row>
    <row r="711" spans="2:49" ht="19.5" customHeight="1" x14ac:dyDescent="0.3">
      <c r="B711" s="356" t="s">
        <v>1104</v>
      </c>
      <c r="C711" s="331"/>
      <c r="D711" s="332" t="s">
        <v>132</v>
      </c>
      <c r="E711" s="332" t="s">
        <v>176</v>
      </c>
      <c r="F711" s="333"/>
      <c r="G711" s="334">
        <v>46112</v>
      </c>
      <c r="H711" s="335">
        <v>443.32</v>
      </c>
      <c r="I711" s="336">
        <v>314.64999999999998</v>
      </c>
      <c r="J711" s="337">
        <v>2573.81</v>
      </c>
      <c r="K711" s="338" t="s">
        <v>331</v>
      </c>
      <c r="L711" s="339" t="s">
        <v>546</v>
      </c>
      <c r="M711" s="340">
        <v>15</v>
      </c>
      <c r="N711" s="341"/>
      <c r="O711" s="332"/>
      <c r="P711" s="342">
        <v>13.441215323645963</v>
      </c>
      <c r="Q711" s="343"/>
      <c r="R711" s="344">
        <v>1.7769668394790974</v>
      </c>
      <c r="S711" s="344"/>
      <c r="T711" s="344">
        <v>2.0158127786032694</v>
      </c>
      <c r="U711" s="344" t="s">
        <v>142</v>
      </c>
      <c r="V711" s="332" t="s">
        <v>137</v>
      </c>
      <c r="W711" s="345" t="s">
        <v>173</v>
      </c>
      <c r="X711" s="346" t="s">
        <v>680</v>
      </c>
      <c r="Y711" s="208"/>
      <c r="Z711" s="332" t="s">
        <v>143</v>
      </c>
      <c r="AA711" s="342">
        <v>99.433460440510586</v>
      </c>
      <c r="AB711" s="342">
        <v>86.269747146491738</v>
      </c>
      <c r="AC711" s="342">
        <v>46.578652125791862</v>
      </c>
      <c r="AD711" s="347">
        <v>14.919088507265513</v>
      </c>
      <c r="AE711" s="358">
        <v>1.7418123034423978</v>
      </c>
      <c r="AF711" s="349">
        <v>16.307953049274118</v>
      </c>
      <c r="AG711" s="350" t="s">
        <v>513</v>
      </c>
      <c r="AH711" s="351">
        <v>1.7344135838762018</v>
      </c>
      <c r="AI711" s="352">
        <v>2.0132013201320134</v>
      </c>
      <c r="AJ711" s="206">
        <v>16.07389026743871</v>
      </c>
      <c r="AK711" s="353" t="s">
        <v>513</v>
      </c>
      <c r="AL711" s="206">
        <v>0.23406278183540863</v>
      </c>
      <c r="AM711" s="349">
        <v>102.01827349406263</v>
      </c>
      <c r="AN711" s="354" t="s">
        <v>139</v>
      </c>
      <c r="AO711" s="355" t="s">
        <v>144</v>
      </c>
      <c r="AP711" s="206">
        <v>0</v>
      </c>
      <c r="AQ711" s="246" t="s">
        <v>1103</v>
      </c>
      <c r="AR711" s="211"/>
      <c r="AS711" s="297">
        <f>+IF(Table1[[#This Row],[Column40]]="ok",Table1[[#This Row],[Column7]],0)</f>
        <v>443.32</v>
      </c>
      <c r="AT711" s="295">
        <f>+IF(Table1[[#This Row],[Column40]]="No",Table1[[#This Row],[Column7]],0)</f>
        <v>0</v>
      </c>
      <c r="AU711" s="4" t="str">
        <f>+IF(LEFT(Table1[[#This Row],[Column42]],2)="DN",IF(Table1[[#This Row],[Column40]]="ok","(CA)",_xlfn.CONCAT("(CA)",CHAR(10),"FAIL")),"")</f>
        <v>(CA)</v>
      </c>
      <c r="AV711" s="154" t="str">
        <f>+IF(Table1[[#This Row],[Column6]]=0,"",_xlfn.CONCAT("Sem ",WEEKNUM(Table1[[#This Row],[Column6]],2)))</f>
        <v>Sem 14</v>
      </c>
      <c r="AW711" s="211"/>
    </row>
    <row r="712" spans="2:49" ht="19.5" customHeight="1" x14ac:dyDescent="0.3">
      <c r="B712" s="356" t="s">
        <v>1105</v>
      </c>
      <c r="C712" s="331"/>
      <c r="D712" s="332" t="s">
        <v>132</v>
      </c>
      <c r="E712" s="332" t="s">
        <v>176</v>
      </c>
      <c r="F712" s="333"/>
      <c r="G712" s="334">
        <v>46112</v>
      </c>
      <c r="H712" s="335">
        <v>423.37</v>
      </c>
      <c r="I712" s="336">
        <v>386.04</v>
      </c>
      <c r="J712" s="337">
        <v>2552.1</v>
      </c>
      <c r="K712" s="338" t="s">
        <v>344</v>
      </c>
      <c r="L712" s="339" t="s">
        <v>336</v>
      </c>
      <c r="M712" s="340">
        <v>30</v>
      </c>
      <c r="N712" s="341">
        <v>88653</v>
      </c>
      <c r="O712" s="332">
        <v>58</v>
      </c>
      <c r="P712" s="342">
        <v>9.3000000000000007</v>
      </c>
      <c r="Q712" s="343">
        <v>9.5428571428571409</v>
      </c>
      <c r="R712" s="344">
        <v>1.7538883806038428</v>
      </c>
      <c r="S712" s="344">
        <v>1.75</v>
      </c>
      <c r="T712" s="344">
        <v>1.917</v>
      </c>
      <c r="U712" s="344" t="s">
        <v>136</v>
      </c>
      <c r="V712" s="332" t="s">
        <v>137</v>
      </c>
      <c r="W712" s="345">
        <v>8</v>
      </c>
      <c r="X712" s="346">
        <v>4</v>
      </c>
      <c r="Y712" s="208">
        <v>2.8069999999999999</v>
      </c>
      <c r="Z712" s="332"/>
      <c r="AA712" s="342"/>
      <c r="AB712" s="342"/>
      <c r="AC712" s="342"/>
      <c r="AD712" s="347"/>
      <c r="AE712" s="358">
        <v>1.7150000000000001</v>
      </c>
      <c r="AF712" s="349">
        <v>0</v>
      </c>
      <c r="AG712" s="350"/>
      <c r="AH712" s="351" t="s">
        <v>139</v>
      </c>
      <c r="AI712" s="352" t="s">
        <v>139</v>
      </c>
      <c r="AJ712" s="206" t="s">
        <v>139</v>
      </c>
      <c r="AK712" s="353" t="s">
        <v>1094</v>
      </c>
      <c r="AL712" s="206" t="s">
        <v>139</v>
      </c>
      <c r="AM712" s="349">
        <v>102.2675440585331</v>
      </c>
      <c r="AN712" s="354" t="s">
        <v>139</v>
      </c>
      <c r="AO712" s="355" t="s">
        <v>140</v>
      </c>
      <c r="AP712" s="206" t="s">
        <v>139</v>
      </c>
      <c r="AQ712" s="246">
        <v>0</v>
      </c>
      <c r="AR712" s="211"/>
      <c r="AS712" s="297">
        <f>+IF(Table1[[#This Row],[Column40]]="ok",Table1[[#This Row],[Column7]],0)</f>
        <v>423.37</v>
      </c>
      <c r="AT712" s="295">
        <f>+IF(Table1[[#This Row],[Column40]]="No",Table1[[#This Row],[Column7]],0)</f>
        <v>0</v>
      </c>
      <c r="AU712" s="4" t="str">
        <f>+IF(LEFT(Table1[[#This Row],[Column42]],2)="DN",IF(Table1[[#This Row],[Column40]]="ok","(CA)",_xlfn.CONCAT("(CA)",CHAR(10),"FAIL")),"")</f>
        <v/>
      </c>
      <c r="AV712" s="154" t="str">
        <f>+IF(Table1[[#This Row],[Column6]]=0,"",_xlfn.CONCAT("Sem ",WEEKNUM(Table1[[#This Row],[Column6]],2)))</f>
        <v>Sem 14</v>
      </c>
      <c r="AW712" s="211"/>
    </row>
    <row r="713" spans="2:49" ht="19.5" customHeight="1" x14ac:dyDescent="0.3">
      <c r="B713" s="356" t="s">
        <v>1106</v>
      </c>
      <c r="C713" s="331"/>
      <c r="D713" s="332" t="s">
        <v>132</v>
      </c>
      <c r="E713" s="332" t="s">
        <v>176</v>
      </c>
      <c r="F713" s="333"/>
      <c r="G713" s="334">
        <v>46112</v>
      </c>
      <c r="H713" s="335">
        <v>506.93</v>
      </c>
      <c r="I713" s="336">
        <v>419.08</v>
      </c>
      <c r="J713" s="337">
        <v>2545.7399999999998</v>
      </c>
      <c r="K713" s="338" t="s">
        <v>331</v>
      </c>
      <c r="L713" s="339" t="s">
        <v>342</v>
      </c>
      <c r="M713" s="340">
        <v>30</v>
      </c>
      <c r="N713" s="341">
        <v>88653</v>
      </c>
      <c r="O713" s="332">
        <v>58</v>
      </c>
      <c r="P713" s="342">
        <v>11.600000000000001</v>
      </c>
      <c r="Q713" s="343">
        <v>10.20408163265305</v>
      </c>
      <c r="R713" s="344">
        <v>1.693548387096774</v>
      </c>
      <c r="S713" s="344">
        <v>1.7150000000000001</v>
      </c>
      <c r="T713" s="344">
        <v>1.89</v>
      </c>
      <c r="U713" s="344" t="s">
        <v>136</v>
      </c>
      <c r="V713" s="332" t="s">
        <v>137</v>
      </c>
      <c r="W713" s="345">
        <v>8</v>
      </c>
      <c r="X713" s="346">
        <v>4</v>
      </c>
      <c r="Y713" s="208">
        <v>2.8069999999999999</v>
      </c>
      <c r="Z713" s="332"/>
      <c r="AA713" s="342"/>
      <c r="AB713" s="342"/>
      <c r="AC713" s="342"/>
      <c r="AD713" s="347"/>
      <c r="AE713" s="358">
        <v>1.7150000000000001</v>
      </c>
      <c r="AF713" s="349">
        <v>0</v>
      </c>
      <c r="AG713" s="350"/>
      <c r="AH713" s="351" t="s">
        <v>139</v>
      </c>
      <c r="AI713" s="352" t="s">
        <v>139</v>
      </c>
      <c r="AJ713" s="206" t="s">
        <v>139</v>
      </c>
      <c r="AK713" s="353" t="s">
        <v>1094</v>
      </c>
      <c r="AL713" s="206" t="s">
        <v>139</v>
      </c>
      <c r="AM713" s="349">
        <v>98.749177090190898</v>
      </c>
      <c r="AN713" s="354" t="s">
        <v>139</v>
      </c>
      <c r="AO713" s="355" t="s">
        <v>140</v>
      </c>
      <c r="AP713" s="206" t="s">
        <v>139</v>
      </c>
      <c r="AQ713" s="246">
        <v>0</v>
      </c>
      <c r="AR713" s="211"/>
      <c r="AS713" s="297">
        <f>+IF(Table1[[#This Row],[Column40]]="ok",Table1[[#This Row],[Column7]],0)</f>
        <v>506.93</v>
      </c>
      <c r="AT713" s="295">
        <f>+IF(Table1[[#This Row],[Column40]]="No",Table1[[#This Row],[Column7]],0)</f>
        <v>0</v>
      </c>
      <c r="AU713" s="4" t="str">
        <f>+IF(LEFT(Table1[[#This Row],[Column42]],2)="DN",IF(Table1[[#This Row],[Column40]]="ok","(CA)",_xlfn.CONCAT("(CA)",CHAR(10),"FAIL")),"")</f>
        <v/>
      </c>
      <c r="AV713" s="154" t="str">
        <f>+IF(Table1[[#This Row],[Column6]]=0,"",_xlfn.CONCAT("Sem ",WEEKNUM(Table1[[#This Row],[Column6]],2)))</f>
        <v>Sem 14</v>
      </c>
      <c r="AW713" s="211"/>
    </row>
    <row r="714" spans="2:49" ht="19.5" customHeight="1" x14ac:dyDescent="0.3">
      <c r="B714" s="356" t="s">
        <v>1107</v>
      </c>
      <c r="C714" s="331"/>
      <c r="D714" s="332" t="s">
        <v>132</v>
      </c>
      <c r="E714" s="332" t="s">
        <v>176</v>
      </c>
      <c r="F714" s="333"/>
      <c r="G714" s="334">
        <v>46112</v>
      </c>
      <c r="H714" s="335">
        <v>565.79</v>
      </c>
      <c r="I714" s="336">
        <v>462.93</v>
      </c>
      <c r="J714" s="337">
        <v>2531.9499999999998</v>
      </c>
      <c r="K714" s="338" t="s">
        <v>331</v>
      </c>
      <c r="L714" s="339" t="s">
        <v>332</v>
      </c>
      <c r="M714" s="340">
        <v>30</v>
      </c>
      <c r="N714" s="341">
        <v>88653</v>
      </c>
      <c r="O714" s="332">
        <v>58</v>
      </c>
      <c r="P714" s="342">
        <v>10.199999999999999</v>
      </c>
      <c r="Q714" s="343">
        <v>10.547785547785548</v>
      </c>
      <c r="R714" s="344">
        <v>1.7214156079854808</v>
      </c>
      <c r="S714" s="344">
        <v>1.716</v>
      </c>
      <c r="T714" s="344">
        <v>1.897</v>
      </c>
      <c r="U714" s="344" t="s">
        <v>136</v>
      </c>
      <c r="V714" s="332" t="s">
        <v>137</v>
      </c>
      <c r="W714" s="345">
        <v>8</v>
      </c>
      <c r="X714" s="346">
        <v>4</v>
      </c>
      <c r="Y714" s="208">
        <v>2.8069999999999999</v>
      </c>
      <c r="Z714" s="332"/>
      <c r="AA714" s="342"/>
      <c r="AB714" s="342"/>
      <c r="AC714" s="342"/>
      <c r="AD714" s="347"/>
      <c r="AE714" s="358">
        <v>1.7150000000000001</v>
      </c>
      <c r="AF714" s="349">
        <v>0</v>
      </c>
      <c r="AG714" s="350"/>
      <c r="AH714" s="351" t="s">
        <v>139</v>
      </c>
      <c r="AI714" s="352" t="s">
        <v>139</v>
      </c>
      <c r="AJ714" s="206" t="s">
        <v>139</v>
      </c>
      <c r="AK714" s="353" t="s">
        <v>1094</v>
      </c>
      <c r="AL714" s="206" t="s">
        <v>139</v>
      </c>
      <c r="AM714" s="349">
        <v>100.37408792918254</v>
      </c>
      <c r="AN714" s="354" t="s">
        <v>139</v>
      </c>
      <c r="AO714" s="355" t="s">
        <v>140</v>
      </c>
      <c r="AP714" s="206" t="s">
        <v>139</v>
      </c>
      <c r="AQ714" s="246">
        <v>0</v>
      </c>
      <c r="AR714" s="211"/>
      <c r="AS714" s="297">
        <f>+IF(Table1[[#This Row],[Column40]]="ok",Table1[[#This Row],[Column7]],0)</f>
        <v>565.79</v>
      </c>
      <c r="AT714" s="295">
        <f>+IF(Table1[[#This Row],[Column40]]="No",Table1[[#This Row],[Column7]],0)</f>
        <v>0</v>
      </c>
      <c r="AU714" s="4" t="str">
        <f>+IF(LEFT(Table1[[#This Row],[Column42]],2)="DN",IF(Table1[[#This Row],[Column40]]="ok","(CA)",_xlfn.CONCAT("(CA)",CHAR(10),"FAIL")),"")</f>
        <v/>
      </c>
      <c r="AV714" s="154" t="str">
        <f>+IF(Table1[[#This Row],[Column6]]=0,"",_xlfn.CONCAT("Sem ",WEEKNUM(Table1[[#This Row],[Column6]],2)))</f>
        <v>Sem 14</v>
      </c>
      <c r="AW714" s="211"/>
    </row>
    <row r="715" spans="2:49" ht="19.5" customHeight="1" x14ac:dyDescent="0.3">
      <c r="B715" s="356" t="s">
        <v>1108</v>
      </c>
      <c r="C715" s="331"/>
      <c r="D715" s="332" t="s">
        <v>132</v>
      </c>
      <c r="E715" s="332" t="s">
        <v>176</v>
      </c>
      <c r="F715" s="333"/>
      <c r="G715" s="334">
        <v>46112</v>
      </c>
      <c r="H715" s="335">
        <v>456.3</v>
      </c>
      <c r="I715" s="336">
        <v>436.38</v>
      </c>
      <c r="J715" s="337">
        <v>2538.36</v>
      </c>
      <c r="K715" s="338" t="s">
        <v>331</v>
      </c>
      <c r="L715" s="339" t="s">
        <v>546</v>
      </c>
      <c r="M715" s="340">
        <v>30</v>
      </c>
      <c r="N715" s="341">
        <v>88653</v>
      </c>
      <c r="O715" s="332">
        <v>58</v>
      </c>
      <c r="P715" s="342">
        <v>11.200000000000001</v>
      </c>
      <c r="Q715" s="343">
        <v>9.6923969820081233</v>
      </c>
      <c r="R715" s="344">
        <v>1.699640287769784</v>
      </c>
      <c r="S715" s="344">
        <v>1.7230000000000001</v>
      </c>
      <c r="T715" s="344">
        <v>1.89</v>
      </c>
      <c r="U715" s="344" t="s">
        <v>136</v>
      </c>
      <c r="V715" s="332" t="s">
        <v>137</v>
      </c>
      <c r="W715" s="345">
        <v>8</v>
      </c>
      <c r="X715" s="346">
        <v>4</v>
      </c>
      <c r="Y715" s="208">
        <v>2.8069999999999999</v>
      </c>
      <c r="Z715" s="332"/>
      <c r="AA715" s="342"/>
      <c r="AB715" s="342"/>
      <c r="AC715" s="342"/>
      <c r="AD715" s="347"/>
      <c r="AE715" s="358">
        <v>1.7150000000000001</v>
      </c>
      <c r="AF715" s="349">
        <v>0</v>
      </c>
      <c r="AG715" s="350"/>
      <c r="AH715" s="351" t="s">
        <v>139</v>
      </c>
      <c r="AI715" s="352" t="s">
        <v>139</v>
      </c>
      <c r="AJ715" s="206" t="s">
        <v>139</v>
      </c>
      <c r="AK715" s="353" t="s">
        <v>1094</v>
      </c>
      <c r="AL715" s="206" t="s">
        <v>139</v>
      </c>
      <c r="AM715" s="349">
        <v>99.104389957421802</v>
      </c>
      <c r="AN715" s="354" t="s">
        <v>139</v>
      </c>
      <c r="AO715" s="355" t="s">
        <v>140</v>
      </c>
      <c r="AP715" s="206" t="s">
        <v>139</v>
      </c>
      <c r="AQ715" s="246">
        <v>0</v>
      </c>
      <c r="AR715" s="211"/>
      <c r="AS715" s="297">
        <f>+IF(Table1[[#This Row],[Column40]]="ok",Table1[[#This Row],[Column7]],0)</f>
        <v>456.3</v>
      </c>
      <c r="AT715" s="295">
        <f>+IF(Table1[[#This Row],[Column40]]="No",Table1[[#This Row],[Column7]],0)</f>
        <v>0</v>
      </c>
      <c r="AU715" s="4" t="str">
        <f>+IF(LEFT(Table1[[#This Row],[Column42]],2)="DN",IF(Table1[[#This Row],[Column40]]="ok","(CA)",_xlfn.CONCAT("(CA)",CHAR(10),"FAIL")),"")</f>
        <v/>
      </c>
      <c r="AV715" s="154" t="str">
        <f>+IF(Table1[[#This Row],[Column6]]=0,"",_xlfn.CONCAT("Sem ",WEEKNUM(Table1[[#This Row],[Column6]],2)))</f>
        <v>Sem 14</v>
      </c>
      <c r="AW715" s="211"/>
    </row>
    <row r="716" spans="2:49" ht="19.5" customHeight="1" x14ac:dyDescent="0.3">
      <c r="B716" s="356" t="s">
        <v>1109</v>
      </c>
      <c r="C716" s="331"/>
      <c r="D716" s="332" t="s">
        <v>132</v>
      </c>
      <c r="E716" s="332" t="s">
        <v>176</v>
      </c>
      <c r="F716" s="333"/>
      <c r="G716" s="334">
        <v>46112</v>
      </c>
      <c r="H716" s="335">
        <v>231.19</v>
      </c>
      <c r="I716" s="336">
        <v>41.59</v>
      </c>
      <c r="J716" s="337">
        <v>2636.21</v>
      </c>
      <c r="K716" s="338" t="s">
        <v>356</v>
      </c>
      <c r="L716" s="339" t="s">
        <v>1110</v>
      </c>
      <c r="M716" s="340">
        <v>30</v>
      </c>
      <c r="N716" s="341">
        <v>88653</v>
      </c>
      <c r="O716" s="332">
        <v>58</v>
      </c>
      <c r="P716" s="342">
        <v>12.3</v>
      </c>
      <c r="Q716" s="343">
        <v>11.318553092182038</v>
      </c>
      <c r="R716" s="344">
        <v>1.699020480854853</v>
      </c>
      <c r="S716" s="344">
        <v>1.714</v>
      </c>
      <c r="T716" s="344">
        <v>1.9079999999999999</v>
      </c>
      <c r="U716" s="344" t="s">
        <v>136</v>
      </c>
      <c r="V716" s="332" t="s">
        <v>191</v>
      </c>
      <c r="W716" s="345">
        <v>6</v>
      </c>
      <c r="X716" s="346">
        <v>3</v>
      </c>
      <c r="Y716" s="208">
        <v>2.8069999999999999</v>
      </c>
      <c r="Z716" s="332"/>
      <c r="AA716" s="342"/>
      <c r="AB716" s="342"/>
      <c r="AC716" s="342"/>
      <c r="AD716" s="347"/>
      <c r="AE716" s="358">
        <v>1.6950000000000001</v>
      </c>
      <c r="AF716" s="349">
        <v>0</v>
      </c>
      <c r="AG716" s="350"/>
      <c r="AH716" s="351" t="s">
        <v>139</v>
      </c>
      <c r="AI716" s="352" t="s">
        <v>139</v>
      </c>
      <c r="AJ716" s="206" t="s">
        <v>139</v>
      </c>
      <c r="AK716" s="353" t="s">
        <v>1026</v>
      </c>
      <c r="AL716" s="206" t="s">
        <v>139</v>
      </c>
      <c r="AM716" s="349">
        <v>100.2371965106108</v>
      </c>
      <c r="AN716" s="354" t="s">
        <v>139</v>
      </c>
      <c r="AO716" s="355" t="s">
        <v>140</v>
      </c>
      <c r="AP716" s="206" t="s">
        <v>139</v>
      </c>
      <c r="AQ716" s="246">
        <v>0</v>
      </c>
      <c r="AR716" s="211"/>
      <c r="AS716" s="297">
        <f>+IF(Table1[[#This Row],[Column40]]="ok",Table1[[#This Row],[Column7]],0)</f>
        <v>231.19</v>
      </c>
      <c r="AT716" s="295">
        <f>+IF(Table1[[#This Row],[Column40]]="No",Table1[[#This Row],[Column7]],0)</f>
        <v>0</v>
      </c>
      <c r="AU716" s="4" t="str">
        <f>+IF(LEFT(Table1[[#This Row],[Column42]],2)="DN",IF(Table1[[#This Row],[Column40]]="ok","(CA)",_xlfn.CONCAT("(CA)",CHAR(10),"FAIL")),"")</f>
        <v/>
      </c>
      <c r="AV716" s="154" t="str">
        <f>+IF(Table1[[#This Row],[Column6]]=0,"",_xlfn.CONCAT("Sem ",WEEKNUM(Table1[[#This Row],[Column6]],2)))</f>
        <v>Sem 14</v>
      </c>
      <c r="AW716" s="211"/>
    </row>
    <row r="717" spans="2:49" ht="19.5" customHeight="1" x14ac:dyDescent="0.3">
      <c r="B717" s="356" t="s">
        <v>1111</v>
      </c>
      <c r="C717" s="331"/>
      <c r="D717" s="332" t="s">
        <v>132</v>
      </c>
      <c r="E717" s="332" t="s">
        <v>176</v>
      </c>
      <c r="F717" s="333"/>
      <c r="G717" s="334">
        <v>46112</v>
      </c>
      <c r="H717" s="335">
        <v>367.5</v>
      </c>
      <c r="I717" s="336">
        <v>39.729999999999997</v>
      </c>
      <c r="J717" s="337">
        <v>2636.2</v>
      </c>
      <c r="K717" s="338" t="s">
        <v>335</v>
      </c>
      <c r="L717" s="339" t="s">
        <v>1112</v>
      </c>
      <c r="M717" s="340">
        <v>30</v>
      </c>
      <c r="N717" s="341">
        <v>88653</v>
      </c>
      <c r="O717" s="332">
        <v>58</v>
      </c>
      <c r="P717" s="342">
        <v>8.2000000000000011</v>
      </c>
      <c r="Q717" s="343">
        <v>9.3805309734513287</v>
      </c>
      <c r="R717" s="344">
        <v>1.7134935304990757</v>
      </c>
      <c r="S717" s="344">
        <v>1.6950000000000001</v>
      </c>
      <c r="T717" s="344">
        <v>1.8540000000000001</v>
      </c>
      <c r="U717" s="344" t="s">
        <v>136</v>
      </c>
      <c r="V717" s="332" t="s">
        <v>137</v>
      </c>
      <c r="W717" s="345">
        <v>8</v>
      </c>
      <c r="X717" s="346">
        <v>4</v>
      </c>
      <c r="Y717" s="208">
        <v>2.8069999999999999</v>
      </c>
      <c r="Z717" s="332"/>
      <c r="AA717" s="342"/>
      <c r="AB717" s="342"/>
      <c r="AC717" s="342"/>
      <c r="AD717" s="347"/>
      <c r="AE717" s="358">
        <v>1.6950000000000001</v>
      </c>
      <c r="AF717" s="349">
        <v>0</v>
      </c>
      <c r="AG717" s="350"/>
      <c r="AH717" s="351" t="s">
        <v>139</v>
      </c>
      <c r="AI717" s="352" t="s">
        <v>139</v>
      </c>
      <c r="AJ717" s="206" t="s">
        <v>139</v>
      </c>
      <c r="AK717" s="353" t="s">
        <v>1026</v>
      </c>
      <c r="AL717" s="206" t="s">
        <v>139</v>
      </c>
      <c r="AM717" s="349">
        <v>101.09106374625816</v>
      </c>
      <c r="AN717" s="354" t="s">
        <v>139</v>
      </c>
      <c r="AO717" s="355" t="s">
        <v>140</v>
      </c>
      <c r="AP717" s="206" t="s">
        <v>139</v>
      </c>
      <c r="AQ717" s="246">
        <v>0</v>
      </c>
      <c r="AR717" s="211"/>
      <c r="AS717" s="297">
        <f>+IF(Table1[[#This Row],[Column40]]="ok",Table1[[#This Row],[Column7]],0)</f>
        <v>367.5</v>
      </c>
      <c r="AT717" s="295">
        <f>+IF(Table1[[#This Row],[Column40]]="No",Table1[[#This Row],[Column7]],0)</f>
        <v>0</v>
      </c>
      <c r="AU717" s="4" t="str">
        <f>+IF(LEFT(Table1[[#This Row],[Column42]],2)="DN",IF(Table1[[#This Row],[Column40]]="ok","(CA)",_xlfn.CONCAT("(CA)",CHAR(10),"FAIL")),"")</f>
        <v/>
      </c>
      <c r="AV717" s="154" t="str">
        <f>+IF(Table1[[#This Row],[Column6]]=0,"",_xlfn.CONCAT("Sem ",WEEKNUM(Table1[[#This Row],[Column6]],2)))</f>
        <v>Sem 14</v>
      </c>
      <c r="AW717" s="211"/>
    </row>
    <row r="718" spans="2:49" ht="19.5" customHeight="1" x14ac:dyDescent="0.3">
      <c r="B718" s="356" t="s">
        <v>1113</v>
      </c>
      <c r="C718" s="331"/>
      <c r="D718" s="332" t="s">
        <v>132</v>
      </c>
      <c r="E718" s="332" t="s">
        <v>176</v>
      </c>
      <c r="F718" s="333"/>
      <c r="G718" s="334">
        <v>46112</v>
      </c>
      <c r="H718" s="335">
        <v>502.23</v>
      </c>
      <c r="I718" s="336">
        <v>43.85</v>
      </c>
      <c r="J718" s="337">
        <v>2636.2</v>
      </c>
      <c r="K718" s="338" t="s">
        <v>349</v>
      </c>
      <c r="L718" s="339" t="s">
        <v>1114</v>
      </c>
      <c r="M718" s="340">
        <v>30</v>
      </c>
      <c r="N718" s="341">
        <v>88653</v>
      </c>
      <c r="O718" s="332">
        <v>58</v>
      </c>
      <c r="P718" s="342">
        <v>10.5</v>
      </c>
      <c r="Q718" s="343">
        <v>10.26548672566372</v>
      </c>
      <c r="R718" s="344">
        <v>1.6914027149321267</v>
      </c>
      <c r="S718" s="344">
        <v>1.6950000000000001</v>
      </c>
      <c r="T718" s="344">
        <v>1.869</v>
      </c>
      <c r="U718" s="344" t="s">
        <v>136</v>
      </c>
      <c r="V718" s="332" t="s">
        <v>191</v>
      </c>
      <c r="W718" s="345">
        <v>6</v>
      </c>
      <c r="X718" s="346">
        <v>3</v>
      </c>
      <c r="Y718" s="208">
        <v>2.8069999999999999</v>
      </c>
      <c r="Z718" s="332"/>
      <c r="AA718" s="342"/>
      <c r="AB718" s="342"/>
      <c r="AC718" s="342"/>
      <c r="AD718" s="347"/>
      <c r="AE718" s="358">
        <v>1.6950000000000001</v>
      </c>
      <c r="AF718" s="349">
        <v>0</v>
      </c>
      <c r="AG718" s="350"/>
      <c r="AH718" s="351" t="s">
        <v>139</v>
      </c>
      <c r="AI718" s="352" t="s">
        <v>139</v>
      </c>
      <c r="AJ718" s="206" t="s">
        <v>139</v>
      </c>
      <c r="AK718" s="353" t="s">
        <v>1026</v>
      </c>
      <c r="AL718" s="206" t="s">
        <v>139</v>
      </c>
      <c r="AM718" s="349">
        <v>99.787770792455845</v>
      </c>
      <c r="AN718" s="354" t="s">
        <v>139</v>
      </c>
      <c r="AO718" s="355" t="s">
        <v>140</v>
      </c>
      <c r="AP718" s="206" t="s">
        <v>139</v>
      </c>
      <c r="AQ718" s="246">
        <v>0</v>
      </c>
      <c r="AR718" s="211"/>
      <c r="AS718" s="297">
        <f>+IF(Table1[[#This Row],[Column40]]="ok",Table1[[#This Row],[Column7]],0)</f>
        <v>502.23</v>
      </c>
      <c r="AT718" s="295">
        <f>+IF(Table1[[#This Row],[Column40]]="No",Table1[[#This Row],[Column7]],0)</f>
        <v>0</v>
      </c>
      <c r="AU718" s="4" t="str">
        <f>+IF(LEFT(Table1[[#This Row],[Column42]],2)="DN",IF(Table1[[#This Row],[Column40]]="ok","(CA)",_xlfn.CONCAT("(CA)",CHAR(10),"FAIL")),"")</f>
        <v/>
      </c>
      <c r="AV718" s="154" t="str">
        <f>+IF(Table1[[#This Row],[Column6]]=0,"",_xlfn.CONCAT("Sem ",WEEKNUM(Table1[[#This Row],[Column6]],2)))</f>
        <v>Sem 14</v>
      </c>
      <c r="AW718" s="211"/>
    </row>
    <row r="719" spans="2:49" ht="19.5" customHeight="1" x14ac:dyDescent="0.3">
      <c r="B719" s="356"/>
      <c r="C719" s="331"/>
      <c r="D719" s="332"/>
      <c r="E719" s="332"/>
      <c r="F719" s="333"/>
      <c r="G719" s="334"/>
      <c r="H719" s="335"/>
      <c r="I719" s="336"/>
      <c r="J719" s="337"/>
      <c r="K719" s="338"/>
      <c r="L719" s="339"/>
      <c r="M719" s="340"/>
      <c r="N719" s="341"/>
      <c r="O719" s="332"/>
      <c r="P719" s="342"/>
      <c r="Q719" s="343"/>
      <c r="R719" s="344"/>
      <c r="S719" s="344"/>
      <c r="T719" s="344"/>
      <c r="U719" s="344"/>
      <c r="V719" s="332"/>
      <c r="W719" s="345"/>
      <c r="X719" s="346"/>
      <c r="Y719" s="208"/>
      <c r="Z719" s="332"/>
      <c r="AA719" s="342"/>
      <c r="AB719" s="342"/>
      <c r="AC719" s="342"/>
      <c r="AD719" s="347"/>
      <c r="AE719" s="358"/>
      <c r="AF719" s="349"/>
      <c r="AG719" s="350"/>
      <c r="AH719" s="351"/>
      <c r="AI719" s="352"/>
      <c r="AJ719" s="206"/>
      <c r="AK719" s="353"/>
      <c r="AL719" s="206"/>
      <c r="AM719" s="349"/>
      <c r="AN719" s="354"/>
      <c r="AO719" s="355"/>
      <c r="AP719" s="206"/>
      <c r="AQ719" s="246"/>
      <c r="AR719" s="211"/>
      <c r="AS719" s="297">
        <f>+IF(Table1[[#This Row],[Column40]]="ok",Table1[[#This Row],[Column7]],0)</f>
        <v>0</v>
      </c>
      <c r="AT719" s="295">
        <f>+IF(Table1[[#This Row],[Column40]]="No",Table1[[#This Row],[Column7]],0)</f>
        <v>0</v>
      </c>
      <c r="AU719" s="4" t="str">
        <f>+IF(LEFT(Table1[[#This Row],[Column42]],2)="DN",IF(Table1[[#This Row],[Column40]]="ok","(CA)",_xlfn.CONCAT("(CA)",CHAR(10),"FAIL")),"")</f>
        <v/>
      </c>
      <c r="AV719" s="154" t="str">
        <f>+IF(Table1[[#This Row],[Column6]]=0,"",_xlfn.CONCAT("Sem ",WEEKNUM(Table1[[#This Row],[Column6]],2)))</f>
        <v/>
      </c>
      <c r="AW719" s="211"/>
    </row>
    <row r="720" spans="2:49" ht="19.5" customHeight="1" x14ac:dyDescent="0.3">
      <c r="B720" s="356"/>
      <c r="C720" s="331"/>
      <c r="D720" s="332"/>
      <c r="E720" s="332"/>
      <c r="F720" s="333"/>
      <c r="G720" s="334"/>
      <c r="H720" s="335"/>
      <c r="I720" s="336"/>
      <c r="J720" s="337"/>
      <c r="K720" s="338"/>
      <c r="L720" s="339"/>
      <c r="M720" s="340"/>
      <c r="N720" s="341"/>
      <c r="O720" s="332"/>
      <c r="P720" s="342"/>
      <c r="Q720" s="343"/>
      <c r="R720" s="344"/>
      <c r="S720" s="344"/>
      <c r="T720" s="344"/>
      <c r="U720" s="344"/>
      <c r="V720" s="332"/>
      <c r="W720" s="345"/>
      <c r="X720" s="346"/>
      <c r="Y720" s="208"/>
      <c r="Z720" s="332"/>
      <c r="AA720" s="342"/>
      <c r="AB720" s="342"/>
      <c r="AC720" s="342"/>
      <c r="AD720" s="347"/>
      <c r="AE720" s="358"/>
      <c r="AF720" s="349"/>
      <c r="AG720" s="350"/>
      <c r="AH720" s="351"/>
      <c r="AI720" s="352"/>
      <c r="AJ720" s="206"/>
      <c r="AK720" s="353"/>
      <c r="AL720" s="206"/>
      <c r="AM720" s="349"/>
      <c r="AN720" s="354"/>
      <c r="AO720" s="355"/>
      <c r="AP720" s="206"/>
      <c r="AQ720" s="246"/>
      <c r="AR720" s="211"/>
      <c r="AS720" s="297">
        <f>+IF(Table1[[#This Row],[Column40]]="ok",Table1[[#This Row],[Column7]],0)</f>
        <v>0</v>
      </c>
      <c r="AT720" s="295">
        <f>+IF(Table1[[#This Row],[Column40]]="No",Table1[[#This Row],[Column7]],0)</f>
        <v>0</v>
      </c>
      <c r="AU720" s="4" t="str">
        <f>+IF(LEFT(Table1[[#This Row],[Column42]],2)="DN",IF(Table1[[#This Row],[Column40]]="ok","(CA)",_xlfn.CONCAT("(CA)",CHAR(10),"FAIL")),"")</f>
        <v/>
      </c>
      <c r="AV720" s="154" t="str">
        <f>+IF(Table1[[#This Row],[Column6]]=0,"",_xlfn.CONCAT("Sem ",WEEKNUM(Table1[[#This Row],[Column6]],2)))</f>
        <v/>
      </c>
      <c r="AW720" s="211"/>
    </row>
    <row r="721" spans="2:49" ht="19.5" customHeight="1" x14ac:dyDescent="0.3">
      <c r="B721" s="356"/>
      <c r="C721" s="331"/>
      <c r="D721" s="332"/>
      <c r="E721" s="332"/>
      <c r="F721" s="333"/>
      <c r="G721" s="334"/>
      <c r="H721" s="335"/>
      <c r="I721" s="336"/>
      <c r="J721" s="337"/>
      <c r="K721" s="338"/>
      <c r="L721" s="339"/>
      <c r="M721" s="340"/>
      <c r="N721" s="341"/>
      <c r="O721" s="332"/>
      <c r="P721" s="342"/>
      <c r="Q721" s="343"/>
      <c r="R721" s="344"/>
      <c r="S721" s="344"/>
      <c r="T721" s="344"/>
      <c r="U721" s="344"/>
      <c r="V721" s="332"/>
      <c r="W721" s="345"/>
      <c r="X721" s="346"/>
      <c r="Y721" s="208"/>
      <c r="Z721" s="332"/>
      <c r="AA721" s="342"/>
      <c r="AB721" s="342"/>
      <c r="AC721" s="342"/>
      <c r="AD721" s="347"/>
      <c r="AE721" s="358"/>
      <c r="AF721" s="349"/>
      <c r="AG721" s="350"/>
      <c r="AH721" s="351"/>
      <c r="AI721" s="352"/>
      <c r="AJ721" s="206"/>
      <c r="AK721" s="353"/>
      <c r="AL721" s="206"/>
      <c r="AM721" s="349"/>
      <c r="AN721" s="354"/>
      <c r="AO721" s="355"/>
      <c r="AP721" s="206"/>
      <c r="AQ721" s="246"/>
      <c r="AR721" s="211"/>
      <c r="AS721" s="297">
        <f>+IF(Table1[[#This Row],[Column40]]="ok",Table1[[#This Row],[Column7]],0)</f>
        <v>0</v>
      </c>
      <c r="AT721" s="295">
        <f>+IF(Table1[[#This Row],[Column40]]="No",Table1[[#This Row],[Column7]],0)</f>
        <v>0</v>
      </c>
      <c r="AU721" s="4" t="str">
        <f>+IF(LEFT(Table1[[#This Row],[Column42]],2)="DN",IF(Table1[[#This Row],[Column40]]="ok","(CA)",_xlfn.CONCAT("(CA)",CHAR(10),"FAIL")),"")</f>
        <v/>
      </c>
      <c r="AV721" s="154" t="str">
        <f>+IF(Table1[[#This Row],[Column6]]=0,"",_xlfn.CONCAT("Sem ",WEEKNUM(Table1[[#This Row],[Column6]],2)))</f>
        <v/>
      </c>
      <c r="AW721" s="211"/>
    </row>
    <row r="722" spans="2:49" ht="19.5" customHeight="1" x14ac:dyDescent="0.3">
      <c r="B722" s="356"/>
      <c r="C722" s="331"/>
      <c r="D722" s="332"/>
      <c r="E722" s="332"/>
      <c r="F722" s="333"/>
      <c r="G722" s="334"/>
      <c r="H722" s="335"/>
      <c r="I722" s="336"/>
      <c r="J722" s="337"/>
      <c r="K722" s="338"/>
      <c r="L722" s="339"/>
      <c r="M722" s="340"/>
      <c r="N722" s="341"/>
      <c r="O722" s="332"/>
      <c r="P722" s="342"/>
      <c r="Q722" s="343"/>
      <c r="R722" s="344"/>
      <c r="S722" s="344"/>
      <c r="T722" s="344"/>
      <c r="U722" s="344"/>
      <c r="V722" s="332"/>
      <c r="W722" s="345"/>
      <c r="X722" s="346"/>
      <c r="Y722" s="208"/>
      <c r="Z722" s="332"/>
      <c r="AA722" s="342"/>
      <c r="AB722" s="342"/>
      <c r="AC722" s="342"/>
      <c r="AD722" s="347"/>
      <c r="AE722" s="358"/>
      <c r="AF722" s="349"/>
      <c r="AG722" s="350"/>
      <c r="AH722" s="351"/>
      <c r="AI722" s="352"/>
      <c r="AJ722" s="206"/>
      <c r="AK722" s="353"/>
      <c r="AL722" s="206"/>
      <c r="AM722" s="349"/>
      <c r="AN722" s="354"/>
      <c r="AO722" s="355"/>
      <c r="AP722" s="206"/>
      <c r="AQ722" s="246"/>
      <c r="AR722" s="211"/>
      <c r="AS722" s="297">
        <f>+IF(Table1[[#This Row],[Column40]]="ok",Table1[[#This Row],[Column7]],0)</f>
        <v>0</v>
      </c>
      <c r="AT722" s="295">
        <f>+IF(Table1[[#This Row],[Column40]]="No",Table1[[#This Row],[Column7]],0)</f>
        <v>0</v>
      </c>
      <c r="AU722" s="4" t="str">
        <f>+IF(LEFT(Table1[[#This Row],[Column42]],2)="DN",IF(Table1[[#This Row],[Column40]]="ok","(CA)",_xlfn.CONCAT("(CA)",CHAR(10),"FAIL")),"")</f>
        <v/>
      </c>
      <c r="AV722" s="154" t="str">
        <f>+IF(Table1[[#This Row],[Column6]]=0,"",_xlfn.CONCAT("Sem ",WEEKNUM(Table1[[#This Row],[Column6]],2)))</f>
        <v/>
      </c>
      <c r="AW722" s="211"/>
    </row>
    <row r="723" spans="2:49" ht="19.5" customHeight="1" x14ac:dyDescent="0.3">
      <c r="B723" s="356"/>
      <c r="C723" s="331"/>
      <c r="D723" s="332"/>
      <c r="E723" s="332"/>
      <c r="F723" s="333"/>
      <c r="G723" s="334"/>
      <c r="H723" s="335"/>
      <c r="I723" s="336"/>
      <c r="J723" s="337"/>
      <c r="K723" s="338"/>
      <c r="L723" s="339"/>
      <c r="M723" s="340"/>
      <c r="N723" s="341"/>
      <c r="O723" s="332"/>
      <c r="P723" s="342"/>
      <c r="Q723" s="343"/>
      <c r="R723" s="344"/>
      <c r="S723" s="344"/>
      <c r="T723" s="344"/>
      <c r="U723" s="344"/>
      <c r="V723" s="332"/>
      <c r="W723" s="345"/>
      <c r="X723" s="346"/>
      <c r="Y723" s="208"/>
      <c r="Z723" s="332"/>
      <c r="AA723" s="342"/>
      <c r="AB723" s="342"/>
      <c r="AC723" s="342"/>
      <c r="AD723" s="347"/>
      <c r="AE723" s="358"/>
      <c r="AF723" s="349"/>
      <c r="AG723" s="350"/>
      <c r="AH723" s="351"/>
      <c r="AI723" s="352"/>
      <c r="AJ723" s="206"/>
      <c r="AK723" s="353"/>
      <c r="AL723" s="206"/>
      <c r="AM723" s="349"/>
      <c r="AN723" s="354"/>
      <c r="AO723" s="355"/>
      <c r="AP723" s="206"/>
      <c r="AQ723" s="246"/>
      <c r="AR723" s="211"/>
      <c r="AS723" s="297">
        <f>+IF(Table1[[#This Row],[Column40]]="ok",Table1[[#This Row],[Column7]],0)</f>
        <v>0</v>
      </c>
      <c r="AT723" s="295">
        <f>+IF(Table1[[#This Row],[Column40]]="No",Table1[[#This Row],[Column7]],0)</f>
        <v>0</v>
      </c>
      <c r="AU723" s="4" t="str">
        <f>+IF(LEFT(Table1[[#This Row],[Column42]],2)="DN",IF(Table1[[#This Row],[Column40]]="ok","(CA)",_xlfn.CONCAT("(CA)",CHAR(10),"FAIL")),"")</f>
        <v/>
      </c>
      <c r="AV723" s="154" t="str">
        <f>+IF(Table1[[#This Row],[Column6]]=0,"",_xlfn.CONCAT("Sem ",WEEKNUM(Table1[[#This Row],[Column6]],2)))</f>
        <v/>
      </c>
      <c r="AW723" s="211"/>
    </row>
    <row r="724" spans="2:49" ht="19.5" customHeight="1" x14ac:dyDescent="0.3">
      <c r="B724" s="356"/>
      <c r="C724" s="331"/>
      <c r="D724" s="332"/>
      <c r="E724" s="332"/>
      <c r="F724" s="333"/>
      <c r="G724" s="334"/>
      <c r="H724" s="335"/>
      <c r="I724" s="336"/>
      <c r="J724" s="337"/>
      <c r="K724" s="338"/>
      <c r="L724" s="339"/>
      <c r="M724" s="340"/>
      <c r="N724" s="341"/>
      <c r="O724" s="332"/>
      <c r="P724" s="342"/>
      <c r="Q724" s="343"/>
      <c r="R724" s="344"/>
      <c r="S724" s="344"/>
      <c r="T724" s="344"/>
      <c r="U724" s="344"/>
      <c r="V724" s="332"/>
      <c r="W724" s="345"/>
      <c r="X724" s="346"/>
      <c r="Y724" s="208"/>
      <c r="Z724" s="332"/>
      <c r="AA724" s="342"/>
      <c r="AB724" s="342"/>
      <c r="AC724" s="342"/>
      <c r="AD724" s="347"/>
      <c r="AE724" s="358"/>
      <c r="AF724" s="349"/>
      <c r="AG724" s="350"/>
      <c r="AH724" s="351"/>
      <c r="AI724" s="352"/>
      <c r="AJ724" s="206"/>
      <c r="AK724" s="353"/>
      <c r="AL724" s="206"/>
      <c r="AM724" s="349"/>
      <c r="AN724" s="354"/>
      <c r="AO724" s="355"/>
      <c r="AP724" s="206"/>
      <c r="AQ724" s="246"/>
      <c r="AR724" s="211"/>
      <c r="AS724" s="297">
        <f>+IF(Table1[[#This Row],[Column40]]="ok",Table1[[#This Row],[Column7]],0)</f>
        <v>0</v>
      </c>
      <c r="AT724" s="295">
        <f>+IF(Table1[[#This Row],[Column40]]="No",Table1[[#This Row],[Column7]],0)</f>
        <v>0</v>
      </c>
      <c r="AU724" s="4" t="str">
        <f>+IF(LEFT(Table1[[#This Row],[Column42]],2)="DN",IF(Table1[[#This Row],[Column40]]="ok","(CA)",_xlfn.CONCAT("(CA)",CHAR(10),"FAIL")),"")</f>
        <v/>
      </c>
      <c r="AV724" s="154" t="str">
        <f>+IF(Table1[[#This Row],[Column6]]=0,"",_xlfn.CONCAT("Sem ",WEEKNUM(Table1[[#This Row],[Column6]],2)))</f>
        <v/>
      </c>
      <c r="AW724" s="211"/>
    </row>
    <row r="725" spans="2:49" ht="19.5" customHeight="1" x14ac:dyDescent="0.3">
      <c r="B725" s="356"/>
      <c r="C725" s="331"/>
      <c r="D725" s="332"/>
      <c r="E725" s="332"/>
      <c r="F725" s="333"/>
      <c r="G725" s="334"/>
      <c r="H725" s="335"/>
      <c r="I725" s="336"/>
      <c r="J725" s="337"/>
      <c r="K725" s="338"/>
      <c r="L725" s="339"/>
      <c r="M725" s="340"/>
      <c r="N725" s="341"/>
      <c r="O725" s="332"/>
      <c r="P725" s="342"/>
      <c r="Q725" s="343"/>
      <c r="R725" s="344"/>
      <c r="S725" s="344"/>
      <c r="T725" s="344"/>
      <c r="U725" s="344"/>
      <c r="V725" s="332"/>
      <c r="W725" s="345"/>
      <c r="X725" s="346"/>
      <c r="Y725" s="208"/>
      <c r="Z725" s="332"/>
      <c r="AA725" s="342"/>
      <c r="AB725" s="342"/>
      <c r="AC725" s="342"/>
      <c r="AD725" s="347"/>
      <c r="AE725" s="358"/>
      <c r="AF725" s="349"/>
      <c r="AG725" s="350"/>
      <c r="AH725" s="351"/>
      <c r="AI725" s="352"/>
      <c r="AJ725" s="206"/>
      <c r="AK725" s="353"/>
      <c r="AL725" s="206"/>
      <c r="AM725" s="349"/>
      <c r="AN725" s="354"/>
      <c r="AO725" s="355"/>
      <c r="AP725" s="206"/>
      <c r="AQ725" s="246"/>
      <c r="AR725" s="211"/>
      <c r="AS725" s="297">
        <f>+IF(Table1[[#This Row],[Column40]]="ok",Table1[[#This Row],[Column7]],0)</f>
        <v>0</v>
      </c>
      <c r="AT725" s="295">
        <f>+IF(Table1[[#This Row],[Column40]]="No",Table1[[#This Row],[Column7]],0)</f>
        <v>0</v>
      </c>
      <c r="AU725" s="4" t="str">
        <f>+IF(LEFT(Table1[[#This Row],[Column42]],2)="DN",IF(Table1[[#This Row],[Column40]]="ok","(CA)",_xlfn.CONCAT("(CA)",CHAR(10),"FAIL")),"")</f>
        <v/>
      </c>
      <c r="AV725" s="154" t="str">
        <f>+IF(Table1[[#This Row],[Column6]]=0,"",_xlfn.CONCAT("Sem ",WEEKNUM(Table1[[#This Row],[Column6]],2)))</f>
        <v/>
      </c>
      <c r="AW725" s="211"/>
    </row>
    <row r="726" spans="2:49" ht="19.5" customHeight="1" x14ac:dyDescent="0.3">
      <c r="B726" s="356"/>
      <c r="C726" s="331"/>
      <c r="D726" s="332"/>
      <c r="E726" s="332"/>
      <c r="F726" s="333"/>
      <c r="G726" s="334"/>
      <c r="H726" s="335"/>
      <c r="I726" s="336"/>
      <c r="J726" s="337"/>
      <c r="K726" s="338"/>
      <c r="L726" s="339"/>
      <c r="M726" s="340"/>
      <c r="N726" s="341"/>
      <c r="O726" s="332"/>
      <c r="P726" s="342"/>
      <c r="Q726" s="343"/>
      <c r="R726" s="344"/>
      <c r="S726" s="344"/>
      <c r="T726" s="344"/>
      <c r="U726" s="344"/>
      <c r="V726" s="332"/>
      <c r="W726" s="345"/>
      <c r="X726" s="346"/>
      <c r="Y726" s="208"/>
      <c r="Z726" s="332"/>
      <c r="AA726" s="342"/>
      <c r="AB726" s="342"/>
      <c r="AC726" s="342"/>
      <c r="AD726" s="347"/>
      <c r="AE726" s="358"/>
      <c r="AF726" s="349"/>
      <c r="AG726" s="350"/>
      <c r="AH726" s="351"/>
      <c r="AI726" s="352"/>
      <c r="AJ726" s="206"/>
      <c r="AK726" s="353"/>
      <c r="AL726" s="206"/>
      <c r="AM726" s="349"/>
      <c r="AN726" s="354"/>
      <c r="AO726" s="355"/>
      <c r="AP726" s="206"/>
      <c r="AQ726" s="246"/>
      <c r="AR726" s="211"/>
      <c r="AS726" s="297">
        <f>+IF(Table1[[#This Row],[Column40]]="ok",Table1[[#This Row],[Column7]],0)</f>
        <v>0</v>
      </c>
      <c r="AT726" s="295">
        <f>+IF(Table1[[#This Row],[Column40]]="No",Table1[[#This Row],[Column7]],0)</f>
        <v>0</v>
      </c>
      <c r="AU726" s="4" t="str">
        <f>+IF(LEFT(Table1[[#This Row],[Column42]],2)="DN",IF(Table1[[#This Row],[Column40]]="ok","(CA)",_xlfn.CONCAT("(CA)",CHAR(10),"FAIL")),"")</f>
        <v/>
      </c>
      <c r="AV726" s="154" t="str">
        <f>+IF(Table1[[#This Row],[Column6]]=0,"",_xlfn.CONCAT("Sem ",WEEKNUM(Table1[[#This Row],[Column6]],2)))</f>
        <v/>
      </c>
      <c r="AW726" s="211"/>
    </row>
    <row r="727" spans="2:49" ht="19.5" customHeight="1" x14ac:dyDescent="0.3">
      <c r="B727" s="356"/>
      <c r="C727" s="331"/>
      <c r="D727" s="332"/>
      <c r="E727" s="332"/>
      <c r="F727" s="333"/>
      <c r="G727" s="334"/>
      <c r="H727" s="335"/>
      <c r="I727" s="336"/>
      <c r="J727" s="337"/>
      <c r="K727" s="338"/>
      <c r="L727" s="339"/>
      <c r="M727" s="340"/>
      <c r="N727" s="341"/>
      <c r="O727" s="332"/>
      <c r="P727" s="342"/>
      <c r="Q727" s="343"/>
      <c r="R727" s="344"/>
      <c r="S727" s="344"/>
      <c r="T727" s="344"/>
      <c r="U727" s="344"/>
      <c r="V727" s="332"/>
      <c r="W727" s="345"/>
      <c r="X727" s="346"/>
      <c r="Y727" s="208"/>
      <c r="Z727" s="332"/>
      <c r="AA727" s="342"/>
      <c r="AB727" s="342"/>
      <c r="AC727" s="342"/>
      <c r="AD727" s="347"/>
      <c r="AE727" s="358"/>
      <c r="AF727" s="349"/>
      <c r="AG727" s="350"/>
      <c r="AH727" s="351"/>
      <c r="AI727" s="352"/>
      <c r="AJ727" s="206"/>
      <c r="AK727" s="353"/>
      <c r="AL727" s="206"/>
      <c r="AM727" s="349"/>
      <c r="AN727" s="354"/>
      <c r="AO727" s="355"/>
      <c r="AP727" s="206"/>
      <c r="AQ727" s="246"/>
      <c r="AR727" s="211"/>
      <c r="AS727" s="297">
        <f>+IF(Table1[[#This Row],[Column40]]="ok",Table1[[#This Row],[Column7]],0)</f>
        <v>0</v>
      </c>
      <c r="AT727" s="295">
        <f>+IF(Table1[[#This Row],[Column40]]="No",Table1[[#This Row],[Column7]],0)</f>
        <v>0</v>
      </c>
      <c r="AU727" s="4" t="str">
        <f>+IF(LEFT(Table1[[#This Row],[Column42]],2)="DN",IF(Table1[[#This Row],[Column40]]="ok","(CA)",_xlfn.CONCAT("(CA)",CHAR(10),"FAIL")),"")</f>
        <v/>
      </c>
      <c r="AV727" s="154" t="str">
        <f>+IF(Table1[[#This Row],[Column6]]=0,"",_xlfn.CONCAT("Sem ",WEEKNUM(Table1[[#This Row],[Column6]],2)))</f>
        <v/>
      </c>
      <c r="AW727" s="211"/>
    </row>
    <row r="728" spans="2:49" ht="19.5" customHeight="1" x14ac:dyDescent="0.3">
      <c r="B728" s="356"/>
      <c r="C728" s="331"/>
      <c r="D728" s="332"/>
      <c r="E728" s="332"/>
      <c r="F728" s="333"/>
      <c r="G728" s="334"/>
      <c r="H728" s="335"/>
      <c r="I728" s="336"/>
      <c r="J728" s="337"/>
      <c r="K728" s="338"/>
      <c r="L728" s="339"/>
      <c r="M728" s="340"/>
      <c r="N728" s="341"/>
      <c r="O728" s="332"/>
      <c r="P728" s="342"/>
      <c r="Q728" s="343"/>
      <c r="R728" s="344"/>
      <c r="S728" s="344"/>
      <c r="T728" s="344"/>
      <c r="U728" s="344"/>
      <c r="V728" s="332"/>
      <c r="W728" s="345"/>
      <c r="X728" s="346"/>
      <c r="Y728" s="208"/>
      <c r="Z728" s="332"/>
      <c r="AA728" s="342"/>
      <c r="AB728" s="342"/>
      <c r="AC728" s="342"/>
      <c r="AD728" s="347"/>
      <c r="AE728" s="358"/>
      <c r="AF728" s="349"/>
      <c r="AG728" s="350"/>
      <c r="AH728" s="351"/>
      <c r="AI728" s="352"/>
      <c r="AJ728" s="206"/>
      <c r="AK728" s="353"/>
      <c r="AL728" s="206"/>
      <c r="AM728" s="349"/>
      <c r="AN728" s="354"/>
      <c r="AO728" s="355"/>
      <c r="AP728" s="206"/>
      <c r="AQ728" s="246"/>
      <c r="AR728" s="211"/>
      <c r="AS728" s="297">
        <f>+IF(Table1[[#This Row],[Column40]]="ok",Table1[[#This Row],[Column7]],0)</f>
        <v>0</v>
      </c>
      <c r="AT728" s="295">
        <f>+IF(Table1[[#This Row],[Column40]]="No",Table1[[#This Row],[Column7]],0)</f>
        <v>0</v>
      </c>
      <c r="AU728" s="4" t="str">
        <f>+IF(LEFT(Table1[[#This Row],[Column42]],2)="DN",IF(Table1[[#This Row],[Column40]]="ok","(CA)",_xlfn.CONCAT("(CA)",CHAR(10),"FAIL")),"")</f>
        <v/>
      </c>
      <c r="AV728" s="154" t="str">
        <f>+IF(Table1[[#This Row],[Column6]]=0,"",_xlfn.CONCAT("Sem ",WEEKNUM(Table1[[#This Row],[Column6]],2)))</f>
        <v/>
      </c>
      <c r="AW728" s="211"/>
    </row>
    <row r="729" spans="2:49" ht="19.5" customHeight="1" x14ac:dyDescent="0.3">
      <c r="B729" s="356"/>
      <c r="C729" s="331"/>
      <c r="D729" s="332"/>
      <c r="E729" s="332"/>
      <c r="F729" s="333"/>
      <c r="G729" s="334"/>
      <c r="H729" s="335"/>
      <c r="I729" s="336"/>
      <c r="J729" s="337"/>
      <c r="K729" s="338"/>
      <c r="L729" s="339"/>
      <c r="M729" s="340"/>
      <c r="N729" s="341"/>
      <c r="O729" s="332"/>
      <c r="P729" s="342"/>
      <c r="Q729" s="343"/>
      <c r="R729" s="344"/>
      <c r="S729" s="344"/>
      <c r="T729" s="344"/>
      <c r="U729" s="344"/>
      <c r="V729" s="332"/>
      <c r="W729" s="345"/>
      <c r="X729" s="346"/>
      <c r="Y729" s="208"/>
      <c r="Z729" s="332"/>
      <c r="AA729" s="342"/>
      <c r="AB729" s="342"/>
      <c r="AC729" s="342"/>
      <c r="AD729" s="347"/>
      <c r="AE729" s="358"/>
      <c r="AF729" s="349"/>
      <c r="AG729" s="350"/>
      <c r="AH729" s="351"/>
      <c r="AI729" s="352"/>
      <c r="AJ729" s="206"/>
      <c r="AK729" s="353"/>
      <c r="AL729" s="206"/>
      <c r="AM729" s="349"/>
      <c r="AN729" s="354"/>
      <c r="AO729" s="355"/>
      <c r="AP729" s="206"/>
      <c r="AQ729" s="246"/>
      <c r="AR729" s="211"/>
      <c r="AS729" s="297">
        <f>+IF(Table1[[#This Row],[Column40]]="ok",Table1[[#This Row],[Column7]],0)</f>
        <v>0</v>
      </c>
      <c r="AT729" s="295">
        <f>+IF(Table1[[#This Row],[Column40]]="No",Table1[[#This Row],[Column7]],0)</f>
        <v>0</v>
      </c>
      <c r="AU729" s="4" t="str">
        <f>+IF(LEFT(Table1[[#This Row],[Column42]],2)="DN",IF(Table1[[#This Row],[Column40]]="ok","(CA)",_xlfn.CONCAT("(CA)",CHAR(10),"FAIL")),"")</f>
        <v/>
      </c>
      <c r="AV729" s="154" t="str">
        <f>+IF(Table1[[#This Row],[Column6]]=0,"",_xlfn.CONCAT("Sem ",WEEKNUM(Table1[[#This Row],[Column6]],2)))</f>
        <v/>
      </c>
      <c r="AW729" s="211"/>
    </row>
    <row r="730" spans="2:49" ht="19.5" customHeight="1" x14ac:dyDescent="0.3">
      <c r="B730" s="356"/>
      <c r="C730" s="331"/>
      <c r="D730" s="332"/>
      <c r="E730" s="332"/>
      <c r="F730" s="333"/>
      <c r="G730" s="334"/>
      <c r="H730" s="335"/>
      <c r="I730" s="336"/>
      <c r="J730" s="337"/>
      <c r="K730" s="338"/>
      <c r="L730" s="339"/>
      <c r="M730" s="340"/>
      <c r="N730" s="341"/>
      <c r="O730" s="332"/>
      <c r="P730" s="342"/>
      <c r="Q730" s="343"/>
      <c r="R730" s="344"/>
      <c r="S730" s="344"/>
      <c r="T730" s="344"/>
      <c r="U730" s="344"/>
      <c r="V730" s="332"/>
      <c r="W730" s="345"/>
      <c r="X730" s="346"/>
      <c r="Y730" s="208"/>
      <c r="Z730" s="332"/>
      <c r="AA730" s="342"/>
      <c r="AB730" s="342"/>
      <c r="AC730" s="342"/>
      <c r="AD730" s="347"/>
      <c r="AE730" s="358"/>
      <c r="AF730" s="349"/>
      <c r="AG730" s="350"/>
      <c r="AH730" s="351"/>
      <c r="AI730" s="352"/>
      <c r="AJ730" s="206"/>
      <c r="AK730" s="353"/>
      <c r="AL730" s="206"/>
      <c r="AM730" s="349"/>
      <c r="AN730" s="354"/>
      <c r="AO730" s="355"/>
      <c r="AP730" s="206"/>
      <c r="AQ730" s="246"/>
      <c r="AR730" s="211"/>
      <c r="AS730" s="297">
        <f>+IF(Table1[[#This Row],[Column40]]="ok",Table1[[#This Row],[Column7]],0)</f>
        <v>0</v>
      </c>
      <c r="AT730" s="295">
        <f>+IF(Table1[[#This Row],[Column40]]="No",Table1[[#This Row],[Column7]],0)</f>
        <v>0</v>
      </c>
      <c r="AU730" s="4" t="str">
        <f>+IF(LEFT(Table1[[#This Row],[Column42]],2)="DN",IF(Table1[[#This Row],[Column40]]="ok","(CA)",_xlfn.CONCAT("(CA)",CHAR(10),"FAIL")),"")</f>
        <v/>
      </c>
      <c r="AV730" s="154" t="str">
        <f>+IF(Table1[[#This Row],[Column6]]=0,"",_xlfn.CONCAT("Sem ",WEEKNUM(Table1[[#This Row],[Column6]],2)))</f>
        <v/>
      </c>
      <c r="AW730" s="211"/>
    </row>
    <row r="731" spans="2:49" ht="19.5" customHeight="1" x14ac:dyDescent="0.3">
      <c r="B731" s="356"/>
      <c r="C731" s="331"/>
      <c r="D731" s="332"/>
      <c r="E731" s="332"/>
      <c r="F731" s="333"/>
      <c r="G731" s="334"/>
      <c r="H731" s="335"/>
      <c r="I731" s="336"/>
      <c r="J731" s="337"/>
      <c r="K731" s="338"/>
      <c r="L731" s="339"/>
      <c r="M731" s="340"/>
      <c r="N731" s="341"/>
      <c r="O731" s="332"/>
      <c r="P731" s="342"/>
      <c r="Q731" s="343"/>
      <c r="R731" s="344"/>
      <c r="S731" s="344"/>
      <c r="T731" s="344"/>
      <c r="U731" s="344"/>
      <c r="V731" s="332"/>
      <c r="W731" s="345"/>
      <c r="X731" s="346"/>
      <c r="Y731" s="208"/>
      <c r="Z731" s="332"/>
      <c r="AA731" s="342"/>
      <c r="AB731" s="342"/>
      <c r="AC731" s="342"/>
      <c r="AD731" s="347"/>
      <c r="AE731" s="358"/>
      <c r="AF731" s="349"/>
      <c r="AG731" s="350"/>
      <c r="AH731" s="351"/>
      <c r="AI731" s="352"/>
      <c r="AJ731" s="206"/>
      <c r="AK731" s="353"/>
      <c r="AL731" s="206"/>
      <c r="AM731" s="349"/>
      <c r="AN731" s="354"/>
      <c r="AO731" s="355"/>
      <c r="AP731" s="206"/>
      <c r="AQ731" s="246"/>
      <c r="AR731" s="211"/>
      <c r="AS731" s="297">
        <f>+IF(Table1[[#This Row],[Column40]]="ok",Table1[[#This Row],[Column7]],0)</f>
        <v>0</v>
      </c>
      <c r="AT731" s="295">
        <f>+IF(Table1[[#This Row],[Column40]]="No",Table1[[#This Row],[Column7]],0)</f>
        <v>0</v>
      </c>
      <c r="AU731" s="4" t="str">
        <f>+IF(LEFT(Table1[[#This Row],[Column42]],2)="DN",IF(Table1[[#This Row],[Column40]]="ok","(CA)",_xlfn.CONCAT("(CA)",CHAR(10),"FAIL")),"")</f>
        <v/>
      </c>
      <c r="AV731" s="154" t="str">
        <f>+IF(Table1[[#This Row],[Column6]]=0,"",_xlfn.CONCAT("Sem ",WEEKNUM(Table1[[#This Row],[Column6]],2)))</f>
        <v/>
      </c>
      <c r="AW731" s="211"/>
    </row>
    <row r="732" spans="2:49" ht="19.5" customHeight="1" x14ac:dyDescent="0.3">
      <c r="B732" s="356"/>
      <c r="C732" s="331"/>
      <c r="D732" s="332"/>
      <c r="E732" s="332"/>
      <c r="F732" s="333"/>
      <c r="G732" s="334"/>
      <c r="H732" s="335"/>
      <c r="I732" s="336"/>
      <c r="J732" s="337"/>
      <c r="K732" s="338"/>
      <c r="L732" s="339"/>
      <c r="M732" s="340"/>
      <c r="N732" s="341"/>
      <c r="O732" s="332"/>
      <c r="P732" s="342"/>
      <c r="Q732" s="343"/>
      <c r="R732" s="344"/>
      <c r="S732" s="344"/>
      <c r="T732" s="344"/>
      <c r="U732" s="344"/>
      <c r="V732" s="332"/>
      <c r="W732" s="345"/>
      <c r="X732" s="346"/>
      <c r="Y732" s="208"/>
      <c r="Z732" s="332"/>
      <c r="AA732" s="342"/>
      <c r="AB732" s="342"/>
      <c r="AC732" s="342"/>
      <c r="AD732" s="347"/>
      <c r="AE732" s="358"/>
      <c r="AF732" s="349"/>
      <c r="AG732" s="350"/>
      <c r="AH732" s="351"/>
      <c r="AI732" s="352"/>
      <c r="AJ732" s="206"/>
      <c r="AK732" s="353"/>
      <c r="AL732" s="206"/>
      <c r="AM732" s="349"/>
      <c r="AN732" s="354"/>
      <c r="AO732" s="355"/>
      <c r="AP732" s="206"/>
      <c r="AQ732" s="246"/>
      <c r="AR732" s="211"/>
      <c r="AS732" s="297">
        <f>+IF(Table1[[#This Row],[Column40]]="ok",Table1[[#This Row],[Column7]],0)</f>
        <v>0</v>
      </c>
      <c r="AT732" s="295">
        <f>+IF(Table1[[#This Row],[Column40]]="No",Table1[[#This Row],[Column7]],0)</f>
        <v>0</v>
      </c>
      <c r="AU732" s="4" t="str">
        <f>+IF(LEFT(Table1[[#This Row],[Column42]],2)="DN",IF(Table1[[#This Row],[Column40]]="ok","(CA)",_xlfn.CONCAT("(CA)",CHAR(10),"FAIL")),"")</f>
        <v/>
      </c>
      <c r="AV732" s="154" t="str">
        <f>+IF(Table1[[#This Row],[Column6]]=0,"",_xlfn.CONCAT("Sem ",WEEKNUM(Table1[[#This Row],[Column6]],2)))</f>
        <v/>
      </c>
      <c r="AW732" s="211"/>
    </row>
    <row r="733" spans="2:49" ht="19.5" customHeight="1" x14ac:dyDescent="0.3">
      <c r="B733" s="356"/>
      <c r="C733" s="331"/>
      <c r="D733" s="332"/>
      <c r="E733" s="332"/>
      <c r="F733" s="333"/>
      <c r="G733" s="334"/>
      <c r="H733" s="335"/>
      <c r="I733" s="336"/>
      <c r="J733" s="337"/>
      <c r="K733" s="338"/>
      <c r="L733" s="339"/>
      <c r="M733" s="340"/>
      <c r="N733" s="341"/>
      <c r="O733" s="332"/>
      <c r="P733" s="342"/>
      <c r="Q733" s="343"/>
      <c r="R733" s="344"/>
      <c r="S733" s="344"/>
      <c r="T733" s="344"/>
      <c r="U733" s="344"/>
      <c r="V733" s="332"/>
      <c r="W733" s="345"/>
      <c r="X733" s="346"/>
      <c r="Y733" s="208"/>
      <c r="Z733" s="332"/>
      <c r="AA733" s="342"/>
      <c r="AB733" s="342"/>
      <c r="AC733" s="342"/>
      <c r="AD733" s="347"/>
      <c r="AE733" s="358"/>
      <c r="AF733" s="349"/>
      <c r="AG733" s="350"/>
      <c r="AH733" s="351"/>
      <c r="AI733" s="352"/>
      <c r="AJ733" s="206"/>
      <c r="AK733" s="353"/>
      <c r="AL733" s="206"/>
      <c r="AM733" s="349"/>
      <c r="AN733" s="354"/>
      <c r="AO733" s="355"/>
      <c r="AP733" s="206"/>
      <c r="AQ733" s="246"/>
      <c r="AR733" s="211"/>
      <c r="AS733" s="297">
        <f>+IF(Table1[[#This Row],[Column40]]="ok",Table1[[#This Row],[Column7]],0)</f>
        <v>0</v>
      </c>
      <c r="AT733" s="295">
        <f>+IF(Table1[[#This Row],[Column40]]="No",Table1[[#This Row],[Column7]],0)</f>
        <v>0</v>
      </c>
      <c r="AU733" s="4" t="str">
        <f>+IF(LEFT(Table1[[#This Row],[Column42]],2)="DN",IF(Table1[[#This Row],[Column40]]="ok","(CA)",_xlfn.CONCAT("(CA)",CHAR(10),"FAIL")),"")</f>
        <v/>
      </c>
      <c r="AV733" s="154" t="str">
        <f>+IF(Table1[[#This Row],[Column6]]=0,"",_xlfn.CONCAT("Sem ",WEEKNUM(Table1[[#This Row],[Column6]],2)))</f>
        <v/>
      </c>
      <c r="AW733" s="211"/>
    </row>
    <row r="734" spans="2:49" ht="19.5" customHeight="1" x14ac:dyDescent="0.3">
      <c r="B734" s="356"/>
      <c r="C734" s="331"/>
      <c r="D734" s="332"/>
      <c r="E734" s="332"/>
      <c r="F734" s="333"/>
      <c r="G734" s="334"/>
      <c r="H734" s="335"/>
      <c r="I734" s="336"/>
      <c r="J734" s="337"/>
      <c r="K734" s="338"/>
      <c r="L734" s="339"/>
      <c r="M734" s="340"/>
      <c r="N734" s="341"/>
      <c r="O734" s="332"/>
      <c r="P734" s="342"/>
      <c r="Q734" s="343"/>
      <c r="R734" s="344"/>
      <c r="S734" s="344"/>
      <c r="T734" s="344"/>
      <c r="U734" s="344"/>
      <c r="V734" s="332"/>
      <c r="W734" s="345"/>
      <c r="X734" s="346"/>
      <c r="Y734" s="208"/>
      <c r="Z734" s="332"/>
      <c r="AA734" s="342"/>
      <c r="AB734" s="342"/>
      <c r="AC734" s="342"/>
      <c r="AD734" s="347"/>
      <c r="AE734" s="358"/>
      <c r="AF734" s="349"/>
      <c r="AG734" s="350"/>
      <c r="AH734" s="351"/>
      <c r="AI734" s="352"/>
      <c r="AJ734" s="206"/>
      <c r="AK734" s="353"/>
      <c r="AL734" s="206"/>
      <c r="AM734" s="349"/>
      <c r="AN734" s="354"/>
      <c r="AO734" s="355"/>
      <c r="AP734" s="206"/>
      <c r="AQ734" s="246"/>
      <c r="AR734" s="211"/>
      <c r="AS734" s="297">
        <f>+IF(Table1[[#This Row],[Column40]]="ok",Table1[[#This Row],[Column7]],0)</f>
        <v>0</v>
      </c>
      <c r="AT734" s="295">
        <f>+IF(Table1[[#This Row],[Column40]]="No",Table1[[#This Row],[Column7]],0)</f>
        <v>0</v>
      </c>
      <c r="AU734" s="4" t="str">
        <f>+IF(LEFT(Table1[[#This Row],[Column42]],2)="DN",IF(Table1[[#This Row],[Column40]]="ok","(CA)",_xlfn.CONCAT("(CA)",CHAR(10),"FAIL")),"")</f>
        <v/>
      </c>
      <c r="AV734" s="154" t="str">
        <f>+IF(Table1[[#This Row],[Column6]]=0,"",_xlfn.CONCAT("Sem ",WEEKNUM(Table1[[#This Row],[Column6]],2)))</f>
        <v/>
      </c>
      <c r="AW734" s="211"/>
    </row>
    <row r="735" spans="2:49" ht="19.5" customHeight="1" x14ac:dyDescent="0.3">
      <c r="B735" s="356"/>
      <c r="C735" s="331"/>
      <c r="D735" s="332"/>
      <c r="E735" s="332"/>
      <c r="F735" s="333"/>
      <c r="G735" s="334"/>
      <c r="H735" s="335"/>
      <c r="I735" s="336"/>
      <c r="J735" s="337"/>
      <c r="K735" s="338"/>
      <c r="L735" s="339"/>
      <c r="M735" s="340"/>
      <c r="N735" s="341"/>
      <c r="O735" s="332"/>
      <c r="P735" s="342"/>
      <c r="Q735" s="343"/>
      <c r="R735" s="344"/>
      <c r="S735" s="344"/>
      <c r="T735" s="344"/>
      <c r="U735" s="344"/>
      <c r="V735" s="332"/>
      <c r="W735" s="345"/>
      <c r="X735" s="346"/>
      <c r="Y735" s="208"/>
      <c r="Z735" s="332"/>
      <c r="AA735" s="342"/>
      <c r="AB735" s="342"/>
      <c r="AC735" s="342"/>
      <c r="AD735" s="347"/>
      <c r="AE735" s="358"/>
      <c r="AF735" s="349"/>
      <c r="AG735" s="350"/>
      <c r="AH735" s="351"/>
      <c r="AI735" s="352"/>
      <c r="AJ735" s="206"/>
      <c r="AK735" s="353"/>
      <c r="AL735" s="206"/>
      <c r="AM735" s="349"/>
      <c r="AN735" s="354"/>
      <c r="AO735" s="355"/>
      <c r="AP735" s="206"/>
      <c r="AQ735" s="246"/>
      <c r="AR735" s="211"/>
      <c r="AS735" s="297">
        <f>+IF(Table1[[#This Row],[Column40]]="ok",Table1[[#This Row],[Column7]],0)</f>
        <v>0</v>
      </c>
      <c r="AT735" s="295">
        <f>+IF(Table1[[#This Row],[Column40]]="No",Table1[[#This Row],[Column7]],0)</f>
        <v>0</v>
      </c>
      <c r="AU735" s="4" t="str">
        <f>+IF(LEFT(Table1[[#This Row],[Column42]],2)="DN",IF(Table1[[#This Row],[Column40]]="ok","(CA)",_xlfn.CONCAT("(CA)",CHAR(10),"FAIL")),"")</f>
        <v/>
      </c>
      <c r="AV735" s="154" t="str">
        <f>+IF(Table1[[#This Row],[Column6]]=0,"",_xlfn.CONCAT("Sem ",WEEKNUM(Table1[[#This Row],[Column6]],2)))</f>
        <v/>
      </c>
      <c r="AW735" s="211"/>
    </row>
    <row r="736" spans="2:49" ht="19.5" customHeight="1" x14ac:dyDescent="0.3">
      <c r="B736" s="356"/>
      <c r="C736" s="331"/>
      <c r="D736" s="332"/>
      <c r="E736" s="332"/>
      <c r="F736" s="333"/>
      <c r="G736" s="334"/>
      <c r="H736" s="335"/>
      <c r="I736" s="336"/>
      <c r="J736" s="337"/>
      <c r="K736" s="338"/>
      <c r="L736" s="339"/>
      <c r="M736" s="340"/>
      <c r="N736" s="341"/>
      <c r="O736" s="332"/>
      <c r="P736" s="342"/>
      <c r="Q736" s="343"/>
      <c r="R736" s="344"/>
      <c r="S736" s="344"/>
      <c r="T736" s="344"/>
      <c r="U736" s="344"/>
      <c r="V736" s="332"/>
      <c r="W736" s="345"/>
      <c r="X736" s="346"/>
      <c r="Y736" s="208"/>
      <c r="Z736" s="332"/>
      <c r="AA736" s="342"/>
      <c r="AB736" s="342"/>
      <c r="AC736" s="342"/>
      <c r="AD736" s="347"/>
      <c r="AE736" s="358"/>
      <c r="AF736" s="349"/>
      <c r="AG736" s="350"/>
      <c r="AH736" s="351"/>
      <c r="AI736" s="352"/>
      <c r="AJ736" s="206"/>
      <c r="AK736" s="353"/>
      <c r="AL736" s="206"/>
      <c r="AM736" s="349"/>
      <c r="AN736" s="354"/>
      <c r="AO736" s="355"/>
      <c r="AP736" s="206"/>
      <c r="AQ736" s="246"/>
      <c r="AR736" s="211"/>
      <c r="AS736" s="297">
        <f>+IF(Table1[[#This Row],[Column40]]="ok",Table1[[#This Row],[Column7]],0)</f>
        <v>0</v>
      </c>
      <c r="AT736" s="295">
        <f>+IF(Table1[[#This Row],[Column40]]="No",Table1[[#This Row],[Column7]],0)</f>
        <v>0</v>
      </c>
      <c r="AU736" s="4" t="str">
        <f>+IF(LEFT(Table1[[#This Row],[Column42]],2)="DN",IF(Table1[[#This Row],[Column40]]="ok","(CA)",_xlfn.CONCAT("(CA)",CHAR(10),"FAIL")),"")</f>
        <v/>
      </c>
      <c r="AV736" s="154" t="str">
        <f>+IF(Table1[[#This Row],[Column6]]=0,"",_xlfn.CONCAT("Sem ",WEEKNUM(Table1[[#This Row],[Column6]],2)))</f>
        <v/>
      </c>
      <c r="AW736" s="211"/>
    </row>
    <row r="737" spans="2:49" ht="19.5" customHeight="1" x14ac:dyDescent="0.3">
      <c r="B737" s="356"/>
      <c r="C737" s="331"/>
      <c r="D737" s="332"/>
      <c r="E737" s="332"/>
      <c r="F737" s="333"/>
      <c r="G737" s="334"/>
      <c r="H737" s="335"/>
      <c r="I737" s="336"/>
      <c r="J737" s="337"/>
      <c r="K737" s="338"/>
      <c r="L737" s="339"/>
      <c r="M737" s="340"/>
      <c r="N737" s="341"/>
      <c r="O737" s="332"/>
      <c r="P737" s="342"/>
      <c r="Q737" s="343"/>
      <c r="R737" s="344"/>
      <c r="S737" s="344"/>
      <c r="T737" s="344"/>
      <c r="U737" s="344"/>
      <c r="V737" s="332"/>
      <c r="W737" s="345"/>
      <c r="X737" s="346"/>
      <c r="Y737" s="208"/>
      <c r="Z737" s="332"/>
      <c r="AA737" s="342"/>
      <c r="AB737" s="342"/>
      <c r="AC737" s="342"/>
      <c r="AD737" s="347"/>
      <c r="AE737" s="358"/>
      <c r="AF737" s="349"/>
      <c r="AG737" s="350"/>
      <c r="AH737" s="351"/>
      <c r="AI737" s="352"/>
      <c r="AJ737" s="206"/>
      <c r="AK737" s="353"/>
      <c r="AL737" s="206"/>
      <c r="AM737" s="349"/>
      <c r="AN737" s="354"/>
      <c r="AO737" s="355"/>
      <c r="AP737" s="206"/>
      <c r="AQ737" s="246"/>
      <c r="AR737" s="211"/>
      <c r="AS737" s="297">
        <f>+IF(Table1[[#This Row],[Column40]]="ok",Table1[[#This Row],[Column7]],0)</f>
        <v>0</v>
      </c>
      <c r="AT737" s="295">
        <f>+IF(Table1[[#This Row],[Column40]]="No",Table1[[#This Row],[Column7]],0)</f>
        <v>0</v>
      </c>
      <c r="AU737" s="4" t="str">
        <f>+IF(LEFT(Table1[[#This Row],[Column42]],2)="DN",IF(Table1[[#This Row],[Column40]]="ok","(CA)",_xlfn.CONCAT("(CA)",CHAR(10),"FAIL")),"")</f>
        <v/>
      </c>
      <c r="AV737" s="154" t="str">
        <f>+IF(Table1[[#This Row],[Column6]]=0,"",_xlfn.CONCAT("Sem ",WEEKNUM(Table1[[#This Row],[Column6]],2)))</f>
        <v/>
      </c>
      <c r="AW737" s="211"/>
    </row>
    <row r="738" spans="2:49" ht="19.5" customHeight="1" x14ac:dyDescent="0.3">
      <c r="B738" s="356"/>
      <c r="C738" s="331"/>
      <c r="D738" s="332"/>
      <c r="E738" s="332"/>
      <c r="F738" s="333"/>
      <c r="G738" s="334"/>
      <c r="H738" s="335"/>
      <c r="I738" s="336"/>
      <c r="J738" s="337"/>
      <c r="K738" s="338"/>
      <c r="L738" s="339"/>
      <c r="M738" s="340"/>
      <c r="N738" s="341"/>
      <c r="O738" s="332"/>
      <c r="P738" s="342"/>
      <c r="Q738" s="343"/>
      <c r="R738" s="344"/>
      <c r="S738" s="344"/>
      <c r="T738" s="344"/>
      <c r="U738" s="344"/>
      <c r="V738" s="332"/>
      <c r="W738" s="345"/>
      <c r="X738" s="346"/>
      <c r="Y738" s="208"/>
      <c r="Z738" s="332"/>
      <c r="AA738" s="342"/>
      <c r="AB738" s="342"/>
      <c r="AC738" s="342"/>
      <c r="AD738" s="347"/>
      <c r="AE738" s="358"/>
      <c r="AF738" s="349"/>
      <c r="AG738" s="350"/>
      <c r="AH738" s="351"/>
      <c r="AI738" s="352"/>
      <c r="AJ738" s="206"/>
      <c r="AK738" s="353"/>
      <c r="AL738" s="206"/>
      <c r="AM738" s="349"/>
      <c r="AN738" s="354"/>
      <c r="AO738" s="355"/>
      <c r="AP738" s="206"/>
      <c r="AQ738" s="246"/>
      <c r="AR738" s="211"/>
      <c r="AS738" s="297">
        <f>+IF(Table1[[#This Row],[Column40]]="ok",Table1[[#This Row],[Column7]],0)</f>
        <v>0</v>
      </c>
      <c r="AT738" s="295">
        <f>+IF(Table1[[#This Row],[Column40]]="No",Table1[[#This Row],[Column7]],0)</f>
        <v>0</v>
      </c>
      <c r="AU738" s="4" t="str">
        <f>+IF(LEFT(Table1[[#This Row],[Column42]],2)="DN",IF(Table1[[#This Row],[Column40]]="ok","(CA)",_xlfn.CONCAT("(CA)",CHAR(10),"FAIL")),"")</f>
        <v/>
      </c>
      <c r="AV738" s="154" t="str">
        <f>+IF(Table1[[#This Row],[Column6]]=0,"",_xlfn.CONCAT("Sem ",WEEKNUM(Table1[[#This Row],[Column6]],2)))</f>
        <v/>
      </c>
      <c r="AW738" s="211"/>
    </row>
    <row r="739" spans="2:49" ht="19.5" customHeight="1" x14ac:dyDescent="0.3">
      <c r="B739" s="356"/>
      <c r="C739" s="331"/>
      <c r="D739" s="332"/>
      <c r="E739" s="332"/>
      <c r="F739" s="333"/>
      <c r="G739" s="334"/>
      <c r="H739" s="335"/>
      <c r="I739" s="336"/>
      <c r="J739" s="337"/>
      <c r="K739" s="338"/>
      <c r="L739" s="339"/>
      <c r="M739" s="340"/>
      <c r="N739" s="341"/>
      <c r="O739" s="332"/>
      <c r="P739" s="342"/>
      <c r="Q739" s="343"/>
      <c r="R739" s="344"/>
      <c r="S739" s="344"/>
      <c r="T739" s="344"/>
      <c r="U739" s="344"/>
      <c r="V739" s="332"/>
      <c r="W739" s="345"/>
      <c r="X739" s="346"/>
      <c r="Y739" s="208"/>
      <c r="Z739" s="332"/>
      <c r="AA739" s="342"/>
      <c r="AB739" s="342"/>
      <c r="AC739" s="342"/>
      <c r="AD739" s="347"/>
      <c r="AE739" s="358"/>
      <c r="AF739" s="349"/>
      <c r="AG739" s="350"/>
      <c r="AH739" s="351"/>
      <c r="AI739" s="352"/>
      <c r="AJ739" s="206"/>
      <c r="AK739" s="353"/>
      <c r="AL739" s="206"/>
      <c r="AM739" s="349"/>
      <c r="AN739" s="354"/>
      <c r="AO739" s="355"/>
      <c r="AP739" s="206"/>
      <c r="AQ739" s="246"/>
      <c r="AR739" s="211"/>
      <c r="AS739" s="297">
        <f>+IF(Table1[[#This Row],[Column40]]="ok",Table1[[#This Row],[Column7]],0)</f>
        <v>0</v>
      </c>
      <c r="AT739" s="295">
        <f>+IF(Table1[[#This Row],[Column40]]="No",Table1[[#This Row],[Column7]],0)</f>
        <v>0</v>
      </c>
      <c r="AU739" s="4" t="str">
        <f>+IF(LEFT(Table1[[#This Row],[Column42]],2)="DN",IF(Table1[[#This Row],[Column40]]="ok","(CA)",_xlfn.CONCAT("(CA)",CHAR(10),"FAIL")),"")</f>
        <v/>
      </c>
      <c r="AV739" s="154" t="str">
        <f>+IF(Table1[[#This Row],[Column6]]=0,"",_xlfn.CONCAT("Sem ",WEEKNUM(Table1[[#This Row],[Column6]],2)))</f>
        <v/>
      </c>
      <c r="AW739" s="211"/>
    </row>
    <row r="740" spans="2:49" ht="19.5" customHeight="1" x14ac:dyDescent="0.3">
      <c r="B740" s="356"/>
      <c r="C740" s="331"/>
      <c r="D740" s="332"/>
      <c r="E740" s="332"/>
      <c r="F740" s="333"/>
      <c r="G740" s="334"/>
      <c r="H740" s="335"/>
      <c r="I740" s="336"/>
      <c r="J740" s="337"/>
      <c r="K740" s="338"/>
      <c r="L740" s="339"/>
      <c r="M740" s="340"/>
      <c r="N740" s="341"/>
      <c r="O740" s="332"/>
      <c r="P740" s="342"/>
      <c r="Q740" s="343"/>
      <c r="R740" s="344"/>
      <c r="S740" s="344"/>
      <c r="T740" s="344"/>
      <c r="U740" s="344"/>
      <c r="V740" s="332"/>
      <c r="W740" s="345"/>
      <c r="X740" s="346"/>
      <c r="Y740" s="208"/>
      <c r="Z740" s="332"/>
      <c r="AA740" s="342"/>
      <c r="AB740" s="342"/>
      <c r="AC740" s="342"/>
      <c r="AD740" s="347"/>
      <c r="AE740" s="358"/>
      <c r="AF740" s="349"/>
      <c r="AG740" s="350"/>
      <c r="AH740" s="351"/>
      <c r="AI740" s="352"/>
      <c r="AJ740" s="206"/>
      <c r="AK740" s="353"/>
      <c r="AL740" s="206"/>
      <c r="AM740" s="349"/>
      <c r="AN740" s="354"/>
      <c r="AO740" s="355"/>
      <c r="AP740" s="206"/>
      <c r="AQ740" s="246"/>
      <c r="AR740" s="211"/>
      <c r="AS740" s="297">
        <f>+IF(Table1[[#This Row],[Column40]]="ok",Table1[[#This Row],[Column7]],0)</f>
        <v>0</v>
      </c>
      <c r="AT740" s="295">
        <f>+IF(Table1[[#This Row],[Column40]]="No",Table1[[#This Row],[Column7]],0)</f>
        <v>0</v>
      </c>
      <c r="AU740" s="4" t="str">
        <f>+IF(LEFT(Table1[[#This Row],[Column42]],2)="DN",IF(Table1[[#This Row],[Column40]]="ok","(CA)",_xlfn.CONCAT("(CA)",CHAR(10),"FAIL")),"")</f>
        <v/>
      </c>
      <c r="AV740" s="154" t="str">
        <f>+IF(Table1[[#This Row],[Column6]]=0,"",_xlfn.CONCAT("Sem ",WEEKNUM(Table1[[#This Row],[Column6]],2)))</f>
        <v/>
      </c>
      <c r="AW740" s="211"/>
    </row>
    <row r="741" spans="2:49" ht="19.5" customHeight="1" x14ac:dyDescent="0.3">
      <c r="B741" s="356"/>
      <c r="C741" s="331"/>
      <c r="D741" s="332"/>
      <c r="E741" s="332"/>
      <c r="F741" s="333"/>
      <c r="G741" s="334"/>
      <c r="H741" s="335"/>
      <c r="I741" s="336"/>
      <c r="J741" s="337"/>
      <c r="K741" s="338"/>
      <c r="L741" s="339"/>
      <c r="M741" s="340"/>
      <c r="N741" s="341"/>
      <c r="O741" s="332"/>
      <c r="P741" s="342"/>
      <c r="Q741" s="343"/>
      <c r="R741" s="344"/>
      <c r="S741" s="344"/>
      <c r="T741" s="344"/>
      <c r="U741" s="344"/>
      <c r="V741" s="332"/>
      <c r="W741" s="345"/>
      <c r="X741" s="346"/>
      <c r="Y741" s="208"/>
      <c r="Z741" s="332"/>
      <c r="AA741" s="342"/>
      <c r="AB741" s="342"/>
      <c r="AC741" s="342"/>
      <c r="AD741" s="347"/>
      <c r="AE741" s="358"/>
      <c r="AF741" s="349"/>
      <c r="AG741" s="350"/>
      <c r="AH741" s="351"/>
      <c r="AI741" s="352"/>
      <c r="AJ741" s="206"/>
      <c r="AK741" s="353"/>
      <c r="AL741" s="206"/>
      <c r="AM741" s="349"/>
      <c r="AN741" s="354"/>
      <c r="AO741" s="355"/>
      <c r="AP741" s="206"/>
      <c r="AQ741" s="246"/>
      <c r="AR741" s="211"/>
      <c r="AS741" s="297">
        <f>+IF(Table1[[#This Row],[Column40]]="ok",Table1[[#This Row],[Column7]],0)</f>
        <v>0</v>
      </c>
      <c r="AT741" s="295">
        <f>+IF(Table1[[#This Row],[Column40]]="No",Table1[[#This Row],[Column7]],0)</f>
        <v>0</v>
      </c>
      <c r="AU741" s="4" t="str">
        <f>+IF(LEFT(Table1[[#This Row],[Column42]],2)="DN",IF(Table1[[#This Row],[Column40]]="ok","(CA)",_xlfn.CONCAT("(CA)",CHAR(10),"FAIL")),"")</f>
        <v/>
      </c>
      <c r="AV741" s="154" t="str">
        <f>+IF(Table1[[#This Row],[Column6]]=0,"",_xlfn.CONCAT("Sem ",WEEKNUM(Table1[[#This Row],[Column6]],2)))</f>
        <v/>
      </c>
      <c r="AW741" s="211"/>
    </row>
    <row r="742" spans="2:49" ht="19.5" customHeight="1" x14ac:dyDescent="0.3">
      <c r="B742" s="356"/>
      <c r="C742" s="331"/>
      <c r="D742" s="332"/>
      <c r="E742" s="332"/>
      <c r="F742" s="333"/>
      <c r="G742" s="334"/>
      <c r="H742" s="335"/>
      <c r="I742" s="336"/>
      <c r="J742" s="337"/>
      <c r="K742" s="338"/>
      <c r="L742" s="339"/>
      <c r="M742" s="340"/>
      <c r="N742" s="341"/>
      <c r="O742" s="332"/>
      <c r="P742" s="342"/>
      <c r="Q742" s="343"/>
      <c r="R742" s="344"/>
      <c r="S742" s="344"/>
      <c r="T742" s="344"/>
      <c r="U742" s="344"/>
      <c r="V742" s="332"/>
      <c r="W742" s="345"/>
      <c r="X742" s="346"/>
      <c r="Y742" s="208"/>
      <c r="Z742" s="332"/>
      <c r="AA742" s="342"/>
      <c r="AB742" s="342"/>
      <c r="AC742" s="342"/>
      <c r="AD742" s="347"/>
      <c r="AE742" s="358"/>
      <c r="AF742" s="349"/>
      <c r="AG742" s="350"/>
      <c r="AH742" s="351"/>
      <c r="AI742" s="352"/>
      <c r="AJ742" s="206"/>
      <c r="AK742" s="353"/>
      <c r="AL742" s="206"/>
      <c r="AM742" s="349"/>
      <c r="AN742" s="354"/>
      <c r="AO742" s="355"/>
      <c r="AP742" s="206"/>
      <c r="AQ742" s="246"/>
      <c r="AR742" s="211"/>
      <c r="AS742" s="297">
        <f>+IF(Table1[[#This Row],[Column40]]="ok",Table1[[#This Row],[Column7]],0)</f>
        <v>0</v>
      </c>
      <c r="AT742" s="295">
        <f>+IF(Table1[[#This Row],[Column40]]="No",Table1[[#This Row],[Column7]],0)</f>
        <v>0</v>
      </c>
      <c r="AU742" s="4" t="str">
        <f>+IF(LEFT(Table1[[#This Row],[Column42]],2)="DN",IF(Table1[[#This Row],[Column40]]="ok","(CA)",_xlfn.CONCAT("(CA)",CHAR(10),"FAIL")),"")</f>
        <v/>
      </c>
      <c r="AV742" s="154" t="str">
        <f>+IF(Table1[[#This Row],[Column6]]=0,"",_xlfn.CONCAT("Sem ",WEEKNUM(Table1[[#This Row],[Column6]],2)))</f>
        <v/>
      </c>
      <c r="AW742" s="211"/>
    </row>
    <row r="743" spans="2:49" ht="19.5" customHeight="1" x14ac:dyDescent="0.3">
      <c r="B743" s="356"/>
      <c r="C743" s="331"/>
      <c r="D743" s="332"/>
      <c r="E743" s="332"/>
      <c r="F743" s="333"/>
      <c r="G743" s="334"/>
      <c r="H743" s="335"/>
      <c r="I743" s="336"/>
      <c r="J743" s="337"/>
      <c r="K743" s="338"/>
      <c r="L743" s="339"/>
      <c r="M743" s="340"/>
      <c r="N743" s="341"/>
      <c r="O743" s="332"/>
      <c r="P743" s="342"/>
      <c r="Q743" s="343"/>
      <c r="R743" s="344"/>
      <c r="S743" s="344"/>
      <c r="T743" s="344"/>
      <c r="U743" s="344"/>
      <c r="V743" s="332"/>
      <c r="W743" s="345"/>
      <c r="X743" s="346"/>
      <c r="Y743" s="208"/>
      <c r="Z743" s="332"/>
      <c r="AA743" s="342"/>
      <c r="AB743" s="342"/>
      <c r="AC743" s="342"/>
      <c r="AD743" s="347"/>
      <c r="AE743" s="358"/>
      <c r="AF743" s="349"/>
      <c r="AG743" s="350"/>
      <c r="AH743" s="351"/>
      <c r="AI743" s="352"/>
      <c r="AJ743" s="206"/>
      <c r="AK743" s="353"/>
      <c r="AL743" s="206"/>
      <c r="AM743" s="349"/>
      <c r="AN743" s="354"/>
      <c r="AO743" s="355"/>
      <c r="AP743" s="206"/>
      <c r="AQ743" s="246"/>
      <c r="AR743" s="211"/>
      <c r="AS743" s="297">
        <f>+IF(Table1[[#This Row],[Column40]]="ok",Table1[[#This Row],[Column7]],0)</f>
        <v>0</v>
      </c>
      <c r="AT743" s="295">
        <f>+IF(Table1[[#This Row],[Column40]]="No",Table1[[#This Row],[Column7]],0)</f>
        <v>0</v>
      </c>
      <c r="AU743" s="4" t="str">
        <f>+IF(LEFT(Table1[[#This Row],[Column42]],2)="DN",IF(Table1[[#This Row],[Column40]]="ok","(CA)",_xlfn.CONCAT("(CA)",CHAR(10),"FAIL")),"")</f>
        <v/>
      </c>
      <c r="AV743" s="154" t="str">
        <f>+IF(Table1[[#This Row],[Column6]]=0,"",_xlfn.CONCAT("Sem ",WEEKNUM(Table1[[#This Row],[Column6]],2)))</f>
        <v/>
      </c>
      <c r="AW743" s="211"/>
    </row>
    <row r="744" spans="2:49" ht="19.5" customHeight="1" x14ac:dyDescent="0.3">
      <c r="B744" s="356"/>
      <c r="C744" s="331"/>
      <c r="D744" s="332"/>
      <c r="E744" s="332"/>
      <c r="F744" s="333"/>
      <c r="G744" s="334"/>
      <c r="H744" s="335"/>
      <c r="I744" s="336"/>
      <c r="J744" s="337"/>
      <c r="K744" s="338"/>
      <c r="L744" s="339"/>
      <c r="M744" s="340"/>
      <c r="N744" s="341"/>
      <c r="O744" s="332"/>
      <c r="P744" s="342"/>
      <c r="Q744" s="343"/>
      <c r="R744" s="344"/>
      <c r="S744" s="344"/>
      <c r="T744" s="344"/>
      <c r="U744" s="344"/>
      <c r="V744" s="332"/>
      <c r="W744" s="345"/>
      <c r="X744" s="346"/>
      <c r="Y744" s="208"/>
      <c r="Z744" s="332"/>
      <c r="AA744" s="342"/>
      <c r="AB744" s="342"/>
      <c r="AC744" s="342"/>
      <c r="AD744" s="347"/>
      <c r="AE744" s="358"/>
      <c r="AF744" s="349"/>
      <c r="AG744" s="350"/>
      <c r="AH744" s="351"/>
      <c r="AI744" s="352"/>
      <c r="AJ744" s="206"/>
      <c r="AK744" s="353"/>
      <c r="AL744" s="206"/>
      <c r="AM744" s="349"/>
      <c r="AN744" s="354"/>
      <c r="AO744" s="355"/>
      <c r="AP744" s="206"/>
      <c r="AQ744" s="246"/>
      <c r="AR744" s="211"/>
      <c r="AS744" s="297">
        <f>+IF(Table1[[#This Row],[Column40]]="ok",Table1[[#This Row],[Column7]],0)</f>
        <v>0</v>
      </c>
      <c r="AT744" s="295">
        <f>+IF(Table1[[#This Row],[Column40]]="No",Table1[[#This Row],[Column7]],0)</f>
        <v>0</v>
      </c>
      <c r="AU744" s="4" t="str">
        <f>+IF(LEFT(Table1[[#This Row],[Column42]],2)="DN",IF(Table1[[#This Row],[Column40]]="ok","(CA)",_xlfn.CONCAT("(CA)",CHAR(10),"FAIL")),"")</f>
        <v/>
      </c>
      <c r="AV744" s="154" t="str">
        <f>+IF(Table1[[#This Row],[Column6]]=0,"",_xlfn.CONCAT("Sem ",WEEKNUM(Table1[[#This Row],[Column6]],2)))</f>
        <v/>
      </c>
      <c r="AW744" s="211"/>
    </row>
    <row r="745" spans="2:49" ht="19.5" customHeight="1" x14ac:dyDescent="0.3">
      <c r="B745" s="356"/>
      <c r="C745" s="331"/>
      <c r="D745" s="332"/>
      <c r="E745" s="332"/>
      <c r="F745" s="333"/>
      <c r="G745" s="334"/>
      <c r="H745" s="335"/>
      <c r="I745" s="336"/>
      <c r="J745" s="337"/>
      <c r="K745" s="338"/>
      <c r="L745" s="339"/>
      <c r="M745" s="340"/>
      <c r="N745" s="341"/>
      <c r="O745" s="332"/>
      <c r="P745" s="342"/>
      <c r="Q745" s="343"/>
      <c r="R745" s="344"/>
      <c r="S745" s="344"/>
      <c r="T745" s="344"/>
      <c r="U745" s="344"/>
      <c r="V745" s="332"/>
      <c r="W745" s="345"/>
      <c r="X745" s="346"/>
      <c r="Y745" s="208"/>
      <c r="Z745" s="332"/>
      <c r="AA745" s="342"/>
      <c r="AB745" s="342"/>
      <c r="AC745" s="342"/>
      <c r="AD745" s="347"/>
      <c r="AE745" s="358"/>
      <c r="AF745" s="349"/>
      <c r="AG745" s="350"/>
      <c r="AH745" s="351"/>
      <c r="AI745" s="352"/>
      <c r="AJ745" s="206"/>
      <c r="AK745" s="353"/>
      <c r="AL745" s="206"/>
      <c r="AM745" s="349"/>
      <c r="AN745" s="354"/>
      <c r="AO745" s="355"/>
      <c r="AP745" s="206"/>
      <c r="AQ745" s="246"/>
      <c r="AR745" s="211"/>
      <c r="AS745" s="297">
        <f>+IF(Table1[[#This Row],[Column40]]="ok",Table1[[#This Row],[Column7]],0)</f>
        <v>0</v>
      </c>
      <c r="AT745" s="295">
        <f>+IF(Table1[[#This Row],[Column40]]="No",Table1[[#This Row],[Column7]],0)</f>
        <v>0</v>
      </c>
      <c r="AU745" s="4" t="str">
        <f>+IF(LEFT(Table1[[#This Row],[Column42]],2)="DN",IF(Table1[[#This Row],[Column40]]="ok","(CA)",_xlfn.CONCAT("(CA)",CHAR(10),"FAIL")),"")</f>
        <v/>
      </c>
      <c r="AV745" s="154" t="str">
        <f>+IF(Table1[[#This Row],[Column6]]=0,"",_xlfn.CONCAT("Sem ",WEEKNUM(Table1[[#This Row],[Column6]],2)))</f>
        <v/>
      </c>
      <c r="AW745" s="211"/>
    </row>
    <row r="746" spans="2:49" ht="19.5" customHeight="1" x14ac:dyDescent="0.3">
      <c r="B746" s="356"/>
      <c r="C746" s="331"/>
      <c r="D746" s="332"/>
      <c r="E746" s="332"/>
      <c r="F746" s="333"/>
      <c r="G746" s="334"/>
      <c r="H746" s="335"/>
      <c r="I746" s="336"/>
      <c r="J746" s="337"/>
      <c r="K746" s="338"/>
      <c r="L746" s="339"/>
      <c r="M746" s="340"/>
      <c r="N746" s="341"/>
      <c r="O746" s="332"/>
      <c r="P746" s="342"/>
      <c r="Q746" s="343"/>
      <c r="R746" s="344"/>
      <c r="S746" s="344"/>
      <c r="T746" s="344"/>
      <c r="U746" s="344"/>
      <c r="V746" s="332"/>
      <c r="W746" s="345"/>
      <c r="X746" s="346"/>
      <c r="Y746" s="208"/>
      <c r="Z746" s="332"/>
      <c r="AA746" s="342"/>
      <c r="AB746" s="342"/>
      <c r="AC746" s="342"/>
      <c r="AD746" s="347"/>
      <c r="AE746" s="358"/>
      <c r="AF746" s="349"/>
      <c r="AG746" s="350"/>
      <c r="AH746" s="351"/>
      <c r="AI746" s="352"/>
      <c r="AJ746" s="206"/>
      <c r="AK746" s="353"/>
      <c r="AL746" s="206"/>
      <c r="AM746" s="349"/>
      <c r="AN746" s="354"/>
      <c r="AO746" s="355"/>
      <c r="AP746" s="206"/>
      <c r="AQ746" s="246"/>
      <c r="AR746" s="211"/>
      <c r="AS746" s="297">
        <f>+IF(Table1[[#This Row],[Column40]]="ok",Table1[[#This Row],[Column7]],0)</f>
        <v>0</v>
      </c>
      <c r="AT746" s="295">
        <f>+IF(Table1[[#This Row],[Column40]]="No",Table1[[#This Row],[Column7]],0)</f>
        <v>0</v>
      </c>
      <c r="AU746" s="4" t="str">
        <f>+IF(LEFT(Table1[[#This Row],[Column42]],2)="DN",IF(Table1[[#This Row],[Column40]]="ok","(CA)",_xlfn.CONCAT("(CA)",CHAR(10),"FAIL")),"")</f>
        <v/>
      </c>
      <c r="AV746" s="154" t="str">
        <f>+IF(Table1[[#This Row],[Column6]]=0,"",_xlfn.CONCAT("Sem ",WEEKNUM(Table1[[#This Row],[Column6]],2)))</f>
        <v/>
      </c>
      <c r="AW746" s="211"/>
    </row>
    <row r="747" spans="2:49" ht="19.5" customHeight="1" x14ac:dyDescent="0.3">
      <c r="B747" s="356"/>
      <c r="C747" s="331"/>
      <c r="D747" s="332"/>
      <c r="E747" s="332"/>
      <c r="F747" s="333"/>
      <c r="G747" s="334"/>
      <c r="H747" s="335"/>
      <c r="I747" s="336"/>
      <c r="J747" s="337"/>
      <c r="K747" s="338"/>
      <c r="L747" s="339"/>
      <c r="M747" s="340"/>
      <c r="N747" s="341"/>
      <c r="O747" s="332"/>
      <c r="P747" s="342"/>
      <c r="Q747" s="343"/>
      <c r="R747" s="344"/>
      <c r="S747" s="344"/>
      <c r="T747" s="344"/>
      <c r="U747" s="344"/>
      <c r="V747" s="332"/>
      <c r="W747" s="345"/>
      <c r="X747" s="346"/>
      <c r="Y747" s="208"/>
      <c r="Z747" s="332"/>
      <c r="AA747" s="342"/>
      <c r="AB747" s="342"/>
      <c r="AC747" s="342"/>
      <c r="AD747" s="347"/>
      <c r="AE747" s="358"/>
      <c r="AF747" s="349"/>
      <c r="AG747" s="350"/>
      <c r="AH747" s="351"/>
      <c r="AI747" s="352"/>
      <c r="AJ747" s="206"/>
      <c r="AK747" s="353"/>
      <c r="AL747" s="206"/>
      <c r="AM747" s="349"/>
      <c r="AN747" s="354"/>
      <c r="AO747" s="355"/>
      <c r="AP747" s="206"/>
      <c r="AQ747" s="246"/>
      <c r="AR747" s="211"/>
      <c r="AS747" s="297">
        <f>+IF(Table1[[#This Row],[Column40]]="ok",Table1[[#This Row],[Column7]],0)</f>
        <v>0</v>
      </c>
      <c r="AT747" s="295">
        <f>+IF(Table1[[#This Row],[Column40]]="No",Table1[[#This Row],[Column7]],0)</f>
        <v>0</v>
      </c>
      <c r="AU747" s="4" t="str">
        <f>+IF(LEFT(Table1[[#This Row],[Column42]],2)="DN",IF(Table1[[#This Row],[Column40]]="ok","(CA)",_xlfn.CONCAT("(CA)",CHAR(10),"FAIL")),"")</f>
        <v/>
      </c>
      <c r="AV747" s="154" t="str">
        <f>+IF(Table1[[#This Row],[Column6]]=0,"",_xlfn.CONCAT("Sem ",WEEKNUM(Table1[[#This Row],[Column6]],2)))</f>
        <v/>
      </c>
      <c r="AW747" s="211"/>
    </row>
    <row r="748" spans="2:49" ht="19.5" customHeight="1" x14ac:dyDescent="0.3">
      <c r="B748" s="356"/>
      <c r="C748" s="331"/>
      <c r="D748" s="332"/>
      <c r="E748" s="332"/>
      <c r="F748" s="333"/>
      <c r="G748" s="334"/>
      <c r="H748" s="335"/>
      <c r="I748" s="336"/>
      <c r="J748" s="337"/>
      <c r="K748" s="338"/>
      <c r="L748" s="339"/>
      <c r="M748" s="340"/>
      <c r="N748" s="341"/>
      <c r="O748" s="332"/>
      <c r="P748" s="342"/>
      <c r="Q748" s="343"/>
      <c r="R748" s="344"/>
      <c r="S748" s="344"/>
      <c r="T748" s="344"/>
      <c r="U748" s="344"/>
      <c r="V748" s="332"/>
      <c r="W748" s="345"/>
      <c r="X748" s="346"/>
      <c r="Y748" s="208"/>
      <c r="Z748" s="332"/>
      <c r="AA748" s="342"/>
      <c r="AB748" s="342"/>
      <c r="AC748" s="342"/>
      <c r="AD748" s="347"/>
      <c r="AE748" s="358"/>
      <c r="AF748" s="349"/>
      <c r="AG748" s="350"/>
      <c r="AH748" s="351"/>
      <c r="AI748" s="352"/>
      <c r="AJ748" s="206"/>
      <c r="AK748" s="353"/>
      <c r="AL748" s="206"/>
      <c r="AM748" s="349"/>
      <c r="AN748" s="354"/>
      <c r="AO748" s="355"/>
      <c r="AP748" s="206"/>
      <c r="AQ748" s="246"/>
      <c r="AR748" s="211"/>
      <c r="AS748" s="297">
        <f>+IF(Table1[[#This Row],[Column40]]="ok",Table1[[#This Row],[Column7]],0)</f>
        <v>0</v>
      </c>
      <c r="AT748" s="295">
        <f>+IF(Table1[[#This Row],[Column40]]="No",Table1[[#This Row],[Column7]],0)</f>
        <v>0</v>
      </c>
      <c r="AU748" s="4" t="str">
        <f>+IF(LEFT(Table1[[#This Row],[Column42]],2)="DN",IF(Table1[[#This Row],[Column40]]="ok","(CA)",_xlfn.CONCAT("(CA)",CHAR(10),"FAIL")),"")</f>
        <v/>
      </c>
      <c r="AV748" s="154" t="str">
        <f>+IF(Table1[[#This Row],[Column6]]=0,"",_xlfn.CONCAT("Sem ",WEEKNUM(Table1[[#This Row],[Column6]],2)))</f>
        <v/>
      </c>
      <c r="AW748" s="211"/>
    </row>
    <row r="749" spans="2:49" ht="19.5" customHeight="1" x14ac:dyDescent="0.3">
      <c r="B749" s="356"/>
      <c r="C749" s="331"/>
      <c r="D749" s="332"/>
      <c r="E749" s="332"/>
      <c r="F749" s="333"/>
      <c r="G749" s="334"/>
      <c r="H749" s="335"/>
      <c r="I749" s="336"/>
      <c r="J749" s="337"/>
      <c r="K749" s="338"/>
      <c r="L749" s="339"/>
      <c r="M749" s="340"/>
      <c r="N749" s="341"/>
      <c r="O749" s="332"/>
      <c r="P749" s="342"/>
      <c r="Q749" s="343"/>
      <c r="R749" s="344"/>
      <c r="S749" s="344"/>
      <c r="T749" s="344"/>
      <c r="U749" s="344"/>
      <c r="V749" s="332"/>
      <c r="W749" s="345"/>
      <c r="X749" s="346"/>
      <c r="Y749" s="208"/>
      <c r="Z749" s="332"/>
      <c r="AA749" s="342"/>
      <c r="AB749" s="342"/>
      <c r="AC749" s="342"/>
      <c r="AD749" s="347"/>
      <c r="AE749" s="358"/>
      <c r="AF749" s="349"/>
      <c r="AG749" s="350"/>
      <c r="AH749" s="351"/>
      <c r="AI749" s="352"/>
      <c r="AJ749" s="206"/>
      <c r="AK749" s="353"/>
      <c r="AL749" s="206"/>
      <c r="AM749" s="349"/>
      <c r="AN749" s="354"/>
      <c r="AO749" s="355"/>
      <c r="AP749" s="206"/>
      <c r="AQ749" s="246"/>
      <c r="AR749" s="211"/>
      <c r="AS749" s="297">
        <f>+IF(Table1[[#This Row],[Column40]]="ok",Table1[[#This Row],[Column7]],0)</f>
        <v>0</v>
      </c>
      <c r="AT749" s="295">
        <f>+IF(Table1[[#This Row],[Column40]]="No",Table1[[#This Row],[Column7]],0)</f>
        <v>0</v>
      </c>
      <c r="AU749" s="4" t="str">
        <f>+IF(LEFT(Table1[[#This Row],[Column42]],2)="DN",IF(Table1[[#This Row],[Column40]]="ok","(CA)",_xlfn.CONCAT("(CA)",CHAR(10),"FAIL")),"")</f>
        <v/>
      </c>
      <c r="AV749" s="154" t="str">
        <f>+IF(Table1[[#This Row],[Column6]]=0,"",_xlfn.CONCAT("Sem ",WEEKNUM(Table1[[#This Row],[Column6]],2)))</f>
        <v/>
      </c>
      <c r="AW749" s="211"/>
    </row>
    <row r="750" spans="2:49" ht="19.5" customHeight="1" x14ac:dyDescent="0.3">
      <c r="B750" s="356"/>
      <c r="C750" s="331"/>
      <c r="D750" s="332"/>
      <c r="E750" s="332"/>
      <c r="F750" s="333"/>
      <c r="G750" s="334"/>
      <c r="H750" s="335"/>
      <c r="I750" s="336"/>
      <c r="J750" s="337"/>
      <c r="K750" s="338"/>
      <c r="L750" s="339"/>
      <c r="M750" s="340"/>
      <c r="N750" s="341"/>
      <c r="O750" s="332"/>
      <c r="P750" s="342"/>
      <c r="Q750" s="343"/>
      <c r="R750" s="344"/>
      <c r="S750" s="344"/>
      <c r="T750" s="344"/>
      <c r="U750" s="344"/>
      <c r="V750" s="332"/>
      <c r="W750" s="345"/>
      <c r="X750" s="346"/>
      <c r="Y750" s="208"/>
      <c r="Z750" s="332"/>
      <c r="AA750" s="342"/>
      <c r="AB750" s="342"/>
      <c r="AC750" s="342"/>
      <c r="AD750" s="347"/>
      <c r="AE750" s="358"/>
      <c r="AF750" s="349"/>
      <c r="AG750" s="350"/>
      <c r="AH750" s="351"/>
      <c r="AI750" s="352"/>
      <c r="AJ750" s="206"/>
      <c r="AK750" s="353"/>
      <c r="AL750" s="206"/>
      <c r="AM750" s="349"/>
      <c r="AN750" s="354"/>
      <c r="AO750" s="355"/>
      <c r="AP750" s="206"/>
      <c r="AQ750" s="246"/>
      <c r="AR750" s="211"/>
      <c r="AS750" s="297">
        <f>+IF(Table1[[#This Row],[Column40]]="ok",Table1[[#This Row],[Column7]],0)</f>
        <v>0</v>
      </c>
      <c r="AT750" s="295">
        <f>+IF(Table1[[#This Row],[Column40]]="No",Table1[[#This Row],[Column7]],0)</f>
        <v>0</v>
      </c>
      <c r="AU750" s="4" t="str">
        <f>+IF(LEFT(Table1[[#This Row],[Column42]],2)="DN",IF(Table1[[#This Row],[Column40]]="ok","(CA)",_xlfn.CONCAT("(CA)",CHAR(10),"FAIL")),"")</f>
        <v/>
      </c>
      <c r="AV750" s="154" t="str">
        <f>+IF(Table1[[#This Row],[Column6]]=0,"",_xlfn.CONCAT("Sem ",WEEKNUM(Table1[[#This Row],[Column6]],2)))</f>
        <v/>
      </c>
      <c r="AW750" s="211"/>
    </row>
    <row r="751" spans="2:49" ht="19.5" customHeight="1" x14ac:dyDescent="0.3">
      <c r="B751" s="356"/>
      <c r="C751" s="331"/>
      <c r="D751" s="332"/>
      <c r="E751" s="332"/>
      <c r="F751" s="333"/>
      <c r="G751" s="334"/>
      <c r="H751" s="335"/>
      <c r="I751" s="336"/>
      <c r="J751" s="337"/>
      <c r="K751" s="338"/>
      <c r="L751" s="339"/>
      <c r="M751" s="340"/>
      <c r="N751" s="341"/>
      <c r="O751" s="332"/>
      <c r="P751" s="342"/>
      <c r="Q751" s="343"/>
      <c r="R751" s="344"/>
      <c r="S751" s="344"/>
      <c r="T751" s="344"/>
      <c r="U751" s="344"/>
      <c r="V751" s="332"/>
      <c r="W751" s="345"/>
      <c r="X751" s="346"/>
      <c r="Y751" s="208"/>
      <c r="Z751" s="332"/>
      <c r="AA751" s="342"/>
      <c r="AB751" s="342"/>
      <c r="AC751" s="342"/>
      <c r="AD751" s="347"/>
      <c r="AE751" s="358"/>
      <c r="AF751" s="349"/>
      <c r="AG751" s="350"/>
      <c r="AH751" s="351"/>
      <c r="AI751" s="352"/>
      <c r="AJ751" s="206"/>
      <c r="AK751" s="353"/>
      <c r="AL751" s="206"/>
      <c r="AM751" s="349"/>
      <c r="AN751" s="354"/>
      <c r="AO751" s="355"/>
      <c r="AP751" s="206"/>
      <c r="AQ751" s="246"/>
      <c r="AR751" s="211"/>
      <c r="AS751" s="297">
        <f>+IF(Table1[[#This Row],[Column40]]="ok",Table1[[#This Row],[Column7]],0)</f>
        <v>0</v>
      </c>
      <c r="AT751" s="295">
        <f>+IF(Table1[[#This Row],[Column40]]="No",Table1[[#This Row],[Column7]],0)</f>
        <v>0</v>
      </c>
      <c r="AU751" s="4" t="str">
        <f>+IF(LEFT(Table1[[#This Row],[Column42]],2)="DN",IF(Table1[[#This Row],[Column40]]="ok","(CA)",_xlfn.CONCAT("(CA)",CHAR(10),"FAIL")),"")</f>
        <v/>
      </c>
      <c r="AV751" s="154" t="str">
        <f>+IF(Table1[[#This Row],[Column6]]=0,"",_xlfn.CONCAT("Sem ",WEEKNUM(Table1[[#This Row],[Column6]],2)))</f>
        <v/>
      </c>
      <c r="AW751" s="211"/>
    </row>
    <row r="752" spans="2:49" ht="19.5" customHeight="1" x14ac:dyDescent="0.3">
      <c r="B752" s="356"/>
      <c r="C752" s="331"/>
      <c r="D752" s="332"/>
      <c r="E752" s="332"/>
      <c r="F752" s="333"/>
      <c r="G752" s="334"/>
      <c r="H752" s="335"/>
      <c r="I752" s="336"/>
      <c r="J752" s="337"/>
      <c r="K752" s="338"/>
      <c r="L752" s="339"/>
      <c r="M752" s="340"/>
      <c r="N752" s="341"/>
      <c r="O752" s="332"/>
      <c r="P752" s="342"/>
      <c r="Q752" s="343"/>
      <c r="R752" s="344"/>
      <c r="S752" s="344"/>
      <c r="T752" s="344"/>
      <c r="U752" s="344"/>
      <c r="V752" s="332"/>
      <c r="W752" s="345"/>
      <c r="X752" s="346"/>
      <c r="Y752" s="208"/>
      <c r="Z752" s="332"/>
      <c r="AA752" s="342"/>
      <c r="AB752" s="342"/>
      <c r="AC752" s="342"/>
      <c r="AD752" s="347"/>
      <c r="AE752" s="358"/>
      <c r="AF752" s="349"/>
      <c r="AG752" s="350"/>
      <c r="AH752" s="351"/>
      <c r="AI752" s="352"/>
      <c r="AJ752" s="206"/>
      <c r="AK752" s="353"/>
      <c r="AL752" s="206"/>
      <c r="AM752" s="349"/>
      <c r="AN752" s="354"/>
      <c r="AO752" s="355"/>
      <c r="AP752" s="206"/>
      <c r="AQ752" s="246"/>
      <c r="AR752" s="211"/>
      <c r="AS752" s="297">
        <f>+IF(Table1[[#This Row],[Column40]]="ok",Table1[[#This Row],[Column7]],0)</f>
        <v>0</v>
      </c>
      <c r="AT752" s="295">
        <f>+IF(Table1[[#This Row],[Column40]]="No",Table1[[#This Row],[Column7]],0)</f>
        <v>0</v>
      </c>
      <c r="AU752" s="4" t="str">
        <f>+IF(LEFT(Table1[[#This Row],[Column42]],2)="DN",IF(Table1[[#This Row],[Column40]]="ok","(CA)",_xlfn.CONCAT("(CA)",CHAR(10),"FAIL")),"")</f>
        <v/>
      </c>
      <c r="AV752" s="154" t="str">
        <f>+IF(Table1[[#This Row],[Column6]]=0,"",_xlfn.CONCAT("Sem ",WEEKNUM(Table1[[#This Row],[Column6]],2)))</f>
        <v/>
      </c>
      <c r="AW752" s="211"/>
    </row>
    <row r="753" spans="2:49" ht="19.5" customHeight="1" x14ac:dyDescent="0.3">
      <c r="B753" s="356"/>
      <c r="C753" s="331"/>
      <c r="D753" s="332"/>
      <c r="E753" s="332"/>
      <c r="F753" s="333"/>
      <c r="G753" s="334"/>
      <c r="H753" s="335"/>
      <c r="I753" s="336"/>
      <c r="J753" s="337"/>
      <c r="K753" s="338"/>
      <c r="L753" s="339"/>
      <c r="M753" s="340"/>
      <c r="N753" s="341"/>
      <c r="O753" s="332"/>
      <c r="P753" s="342"/>
      <c r="Q753" s="343"/>
      <c r="R753" s="344"/>
      <c r="S753" s="344"/>
      <c r="T753" s="344"/>
      <c r="U753" s="344"/>
      <c r="V753" s="332"/>
      <c r="W753" s="345"/>
      <c r="X753" s="346"/>
      <c r="Y753" s="208"/>
      <c r="Z753" s="332"/>
      <c r="AA753" s="342"/>
      <c r="AB753" s="342"/>
      <c r="AC753" s="342"/>
      <c r="AD753" s="347"/>
      <c r="AE753" s="358"/>
      <c r="AF753" s="349"/>
      <c r="AG753" s="350"/>
      <c r="AH753" s="351"/>
      <c r="AI753" s="352"/>
      <c r="AJ753" s="206"/>
      <c r="AK753" s="353"/>
      <c r="AL753" s="206"/>
      <c r="AM753" s="349"/>
      <c r="AN753" s="354"/>
      <c r="AO753" s="355"/>
      <c r="AP753" s="206"/>
      <c r="AQ753" s="246"/>
      <c r="AR753" s="211"/>
      <c r="AS753" s="297">
        <f>+IF(Table1[[#This Row],[Column40]]="ok",Table1[[#This Row],[Column7]],0)</f>
        <v>0</v>
      </c>
      <c r="AT753" s="295">
        <f>+IF(Table1[[#This Row],[Column40]]="No",Table1[[#This Row],[Column7]],0)</f>
        <v>0</v>
      </c>
      <c r="AU753" s="4" t="str">
        <f>+IF(LEFT(Table1[[#This Row],[Column42]],2)="DN",IF(Table1[[#This Row],[Column40]]="ok","(CA)",_xlfn.CONCAT("(CA)",CHAR(10),"FAIL")),"")</f>
        <v/>
      </c>
      <c r="AV753" s="154" t="str">
        <f>+IF(Table1[[#This Row],[Column6]]=0,"",_xlfn.CONCAT("Sem ",WEEKNUM(Table1[[#This Row],[Column6]],2)))</f>
        <v/>
      </c>
      <c r="AW753" s="211"/>
    </row>
    <row r="754" spans="2:49" ht="19.5" customHeight="1" x14ac:dyDescent="0.3">
      <c r="B754" s="356"/>
      <c r="C754" s="331"/>
      <c r="D754" s="332"/>
      <c r="E754" s="332"/>
      <c r="F754" s="333"/>
      <c r="G754" s="334"/>
      <c r="H754" s="335"/>
      <c r="I754" s="336"/>
      <c r="J754" s="337"/>
      <c r="K754" s="338"/>
      <c r="L754" s="339"/>
      <c r="M754" s="340"/>
      <c r="N754" s="341"/>
      <c r="O754" s="332"/>
      <c r="P754" s="342"/>
      <c r="Q754" s="343"/>
      <c r="R754" s="344"/>
      <c r="S754" s="344"/>
      <c r="T754" s="344"/>
      <c r="U754" s="344"/>
      <c r="V754" s="332"/>
      <c r="W754" s="345"/>
      <c r="X754" s="346"/>
      <c r="Y754" s="208"/>
      <c r="Z754" s="332"/>
      <c r="AA754" s="342"/>
      <c r="AB754" s="342"/>
      <c r="AC754" s="342"/>
      <c r="AD754" s="347"/>
      <c r="AE754" s="358"/>
      <c r="AF754" s="349"/>
      <c r="AG754" s="350"/>
      <c r="AH754" s="351"/>
      <c r="AI754" s="352"/>
      <c r="AJ754" s="206"/>
      <c r="AK754" s="353"/>
      <c r="AL754" s="206"/>
      <c r="AM754" s="349"/>
      <c r="AN754" s="354"/>
      <c r="AO754" s="355"/>
      <c r="AP754" s="206"/>
      <c r="AQ754" s="246"/>
      <c r="AR754" s="211"/>
      <c r="AS754" s="297">
        <f>+IF(Table1[[#This Row],[Column40]]="ok",Table1[[#This Row],[Column7]],0)</f>
        <v>0</v>
      </c>
      <c r="AT754" s="295">
        <f>+IF(Table1[[#This Row],[Column40]]="No",Table1[[#This Row],[Column7]],0)</f>
        <v>0</v>
      </c>
      <c r="AU754" s="4" t="str">
        <f>+IF(LEFT(Table1[[#This Row],[Column42]],2)="DN",IF(Table1[[#This Row],[Column40]]="ok","(CA)",_xlfn.CONCAT("(CA)",CHAR(10),"FAIL")),"")</f>
        <v/>
      </c>
      <c r="AV754" s="154" t="str">
        <f>+IF(Table1[[#This Row],[Column6]]=0,"",_xlfn.CONCAT("Sem ",WEEKNUM(Table1[[#This Row],[Column6]],2)))</f>
        <v/>
      </c>
      <c r="AW754" s="211"/>
    </row>
    <row r="755" spans="2:49" ht="19.5" customHeight="1" x14ac:dyDescent="0.3">
      <c r="B755" s="356"/>
      <c r="C755" s="331"/>
      <c r="D755" s="332"/>
      <c r="E755" s="332"/>
      <c r="F755" s="333"/>
      <c r="G755" s="334"/>
      <c r="H755" s="335"/>
      <c r="I755" s="336"/>
      <c r="J755" s="337"/>
      <c r="K755" s="338"/>
      <c r="L755" s="339"/>
      <c r="M755" s="340"/>
      <c r="N755" s="341"/>
      <c r="O755" s="332"/>
      <c r="P755" s="342"/>
      <c r="Q755" s="343"/>
      <c r="R755" s="344"/>
      <c r="S755" s="344"/>
      <c r="T755" s="344"/>
      <c r="U755" s="344"/>
      <c r="V755" s="332"/>
      <c r="W755" s="345"/>
      <c r="X755" s="346"/>
      <c r="Y755" s="208"/>
      <c r="Z755" s="332"/>
      <c r="AA755" s="342"/>
      <c r="AB755" s="342"/>
      <c r="AC755" s="342"/>
      <c r="AD755" s="347"/>
      <c r="AE755" s="358"/>
      <c r="AF755" s="349"/>
      <c r="AG755" s="350"/>
      <c r="AH755" s="351"/>
      <c r="AI755" s="352"/>
      <c r="AJ755" s="206"/>
      <c r="AK755" s="353"/>
      <c r="AL755" s="206"/>
      <c r="AM755" s="349"/>
      <c r="AN755" s="354"/>
      <c r="AO755" s="355"/>
      <c r="AP755" s="206"/>
      <c r="AQ755" s="246"/>
      <c r="AR755" s="211"/>
      <c r="AS755" s="297">
        <f>+IF(Table1[[#This Row],[Column40]]="ok",Table1[[#This Row],[Column7]],0)</f>
        <v>0</v>
      </c>
      <c r="AT755" s="295">
        <f>+IF(Table1[[#This Row],[Column40]]="No",Table1[[#This Row],[Column7]],0)</f>
        <v>0</v>
      </c>
      <c r="AU755" s="4" t="str">
        <f>+IF(LEFT(Table1[[#This Row],[Column42]],2)="DN",IF(Table1[[#This Row],[Column40]]="ok","(CA)",_xlfn.CONCAT("(CA)",CHAR(10),"FAIL")),"")</f>
        <v/>
      </c>
      <c r="AV755" s="154" t="str">
        <f>+IF(Table1[[#This Row],[Column6]]=0,"",_xlfn.CONCAT("Sem ",WEEKNUM(Table1[[#This Row],[Column6]],2)))</f>
        <v/>
      </c>
      <c r="AW755" s="211"/>
    </row>
    <row r="756" spans="2:49" ht="19.5" customHeight="1" x14ac:dyDescent="0.3">
      <c r="B756" s="356"/>
      <c r="C756" s="331"/>
      <c r="D756" s="332"/>
      <c r="E756" s="332"/>
      <c r="F756" s="333"/>
      <c r="G756" s="334"/>
      <c r="H756" s="335"/>
      <c r="I756" s="336"/>
      <c r="J756" s="337"/>
      <c r="K756" s="338"/>
      <c r="L756" s="339"/>
      <c r="M756" s="340"/>
      <c r="N756" s="341"/>
      <c r="O756" s="332"/>
      <c r="P756" s="342"/>
      <c r="Q756" s="343"/>
      <c r="R756" s="344"/>
      <c r="S756" s="344"/>
      <c r="T756" s="344"/>
      <c r="U756" s="344"/>
      <c r="V756" s="332"/>
      <c r="W756" s="345"/>
      <c r="X756" s="346"/>
      <c r="Y756" s="208"/>
      <c r="Z756" s="332"/>
      <c r="AA756" s="342"/>
      <c r="AB756" s="342"/>
      <c r="AC756" s="342"/>
      <c r="AD756" s="347"/>
      <c r="AE756" s="358"/>
      <c r="AF756" s="349"/>
      <c r="AG756" s="350"/>
      <c r="AH756" s="351"/>
      <c r="AI756" s="352"/>
      <c r="AJ756" s="206"/>
      <c r="AK756" s="353"/>
      <c r="AL756" s="206"/>
      <c r="AM756" s="349"/>
      <c r="AN756" s="354"/>
      <c r="AO756" s="355"/>
      <c r="AP756" s="206"/>
      <c r="AQ756" s="246"/>
      <c r="AR756" s="211"/>
      <c r="AS756" s="297">
        <f>+IF(Table1[[#This Row],[Column40]]="ok",Table1[[#This Row],[Column7]],0)</f>
        <v>0</v>
      </c>
      <c r="AT756" s="295">
        <f>+IF(Table1[[#This Row],[Column40]]="No",Table1[[#This Row],[Column7]],0)</f>
        <v>0</v>
      </c>
      <c r="AU756" s="4" t="str">
        <f>+IF(LEFT(Table1[[#This Row],[Column42]],2)="DN",IF(Table1[[#This Row],[Column40]]="ok","(CA)",_xlfn.CONCAT("(CA)",CHAR(10),"FAIL")),"")</f>
        <v/>
      </c>
      <c r="AV756" s="154" t="str">
        <f>+IF(Table1[[#This Row],[Column6]]=0,"",_xlfn.CONCAT("Sem ",WEEKNUM(Table1[[#This Row],[Column6]],2)))</f>
        <v/>
      </c>
      <c r="AW756" s="211"/>
    </row>
    <row r="757" spans="2:49" ht="19.5" customHeight="1" x14ac:dyDescent="0.3">
      <c r="B757" s="356"/>
      <c r="C757" s="331"/>
      <c r="D757" s="332"/>
      <c r="E757" s="332"/>
      <c r="F757" s="333"/>
      <c r="G757" s="334"/>
      <c r="H757" s="335"/>
      <c r="I757" s="336"/>
      <c r="J757" s="337"/>
      <c r="K757" s="338"/>
      <c r="L757" s="339"/>
      <c r="M757" s="340"/>
      <c r="N757" s="341"/>
      <c r="O757" s="332"/>
      <c r="P757" s="342"/>
      <c r="Q757" s="343"/>
      <c r="R757" s="344"/>
      <c r="S757" s="344"/>
      <c r="T757" s="344"/>
      <c r="U757" s="344"/>
      <c r="V757" s="332"/>
      <c r="W757" s="345"/>
      <c r="X757" s="346"/>
      <c r="Y757" s="208"/>
      <c r="Z757" s="332"/>
      <c r="AA757" s="342"/>
      <c r="AB757" s="342"/>
      <c r="AC757" s="342"/>
      <c r="AD757" s="347"/>
      <c r="AE757" s="358"/>
      <c r="AF757" s="349"/>
      <c r="AG757" s="350"/>
      <c r="AH757" s="351"/>
      <c r="AI757" s="352"/>
      <c r="AJ757" s="206"/>
      <c r="AK757" s="353"/>
      <c r="AL757" s="206"/>
      <c r="AM757" s="349"/>
      <c r="AN757" s="354"/>
      <c r="AO757" s="355"/>
      <c r="AP757" s="206"/>
      <c r="AQ757" s="246"/>
      <c r="AR757" s="211"/>
      <c r="AS757" s="297">
        <f>+IF(Table1[[#This Row],[Column40]]="ok",Table1[[#This Row],[Column7]],0)</f>
        <v>0</v>
      </c>
      <c r="AT757" s="295">
        <f>+IF(Table1[[#This Row],[Column40]]="No",Table1[[#This Row],[Column7]],0)</f>
        <v>0</v>
      </c>
      <c r="AU757" s="4" t="str">
        <f>+IF(LEFT(Table1[[#This Row],[Column42]],2)="DN",IF(Table1[[#This Row],[Column40]]="ok","(CA)",_xlfn.CONCAT("(CA)",CHAR(10),"FAIL")),"")</f>
        <v/>
      </c>
      <c r="AV757" s="154" t="str">
        <f>+IF(Table1[[#This Row],[Column6]]=0,"",_xlfn.CONCAT("Sem ",WEEKNUM(Table1[[#This Row],[Column6]],2)))</f>
        <v/>
      </c>
      <c r="AW757" s="211"/>
    </row>
    <row r="758" spans="2:49" ht="19.5" customHeight="1" x14ac:dyDescent="0.3">
      <c r="B758" s="356"/>
      <c r="C758" s="331"/>
      <c r="D758" s="332"/>
      <c r="E758" s="332"/>
      <c r="F758" s="333"/>
      <c r="G758" s="334"/>
      <c r="H758" s="335"/>
      <c r="I758" s="336"/>
      <c r="J758" s="337"/>
      <c r="K758" s="338"/>
      <c r="L758" s="339"/>
      <c r="M758" s="340"/>
      <c r="N758" s="341"/>
      <c r="O758" s="332"/>
      <c r="P758" s="342"/>
      <c r="Q758" s="343"/>
      <c r="R758" s="344"/>
      <c r="S758" s="344"/>
      <c r="T758" s="344"/>
      <c r="U758" s="344"/>
      <c r="V758" s="332"/>
      <c r="W758" s="345"/>
      <c r="X758" s="346"/>
      <c r="Y758" s="208"/>
      <c r="Z758" s="332"/>
      <c r="AA758" s="342"/>
      <c r="AB758" s="342"/>
      <c r="AC758" s="342"/>
      <c r="AD758" s="347"/>
      <c r="AE758" s="358"/>
      <c r="AF758" s="349"/>
      <c r="AG758" s="350"/>
      <c r="AH758" s="351"/>
      <c r="AI758" s="352"/>
      <c r="AJ758" s="206"/>
      <c r="AK758" s="353"/>
      <c r="AL758" s="206"/>
      <c r="AM758" s="349"/>
      <c r="AN758" s="354"/>
      <c r="AO758" s="355"/>
      <c r="AP758" s="206"/>
      <c r="AQ758" s="246"/>
      <c r="AR758" s="211"/>
      <c r="AS758" s="297">
        <f>+IF(Table1[[#This Row],[Column40]]="ok",Table1[[#This Row],[Column7]],0)</f>
        <v>0</v>
      </c>
      <c r="AT758" s="295">
        <f>+IF(Table1[[#This Row],[Column40]]="No",Table1[[#This Row],[Column7]],0)</f>
        <v>0</v>
      </c>
      <c r="AU758" s="4" t="str">
        <f>+IF(LEFT(Table1[[#This Row],[Column42]],2)="DN",IF(Table1[[#This Row],[Column40]]="ok","(CA)",_xlfn.CONCAT("(CA)",CHAR(10),"FAIL")),"")</f>
        <v/>
      </c>
      <c r="AV758" s="154" t="str">
        <f>+IF(Table1[[#This Row],[Column6]]=0,"",_xlfn.CONCAT("Sem ",WEEKNUM(Table1[[#This Row],[Column6]],2)))</f>
        <v/>
      </c>
      <c r="AW758" s="211"/>
    </row>
    <row r="759" spans="2:49" ht="19.5" customHeight="1" x14ac:dyDescent="0.3">
      <c r="B759" s="356"/>
      <c r="C759" s="331"/>
      <c r="D759" s="332"/>
      <c r="E759" s="332"/>
      <c r="F759" s="333"/>
      <c r="G759" s="334"/>
      <c r="H759" s="335"/>
      <c r="I759" s="336"/>
      <c r="J759" s="337"/>
      <c r="K759" s="338"/>
      <c r="L759" s="339"/>
      <c r="M759" s="340"/>
      <c r="N759" s="341"/>
      <c r="O759" s="332"/>
      <c r="P759" s="342"/>
      <c r="Q759" s="343"/>
      <c r="R759" s="344"/>
      <c r="S759" s="344"/>
      <c r="T759" s="344"/>
      <c r="U759" s="344"/>
      <c r="V759" s="332"/>
      <c r="W759" s="345"/>
      <c r="X759" s="346"/>
      <c r="Y759" s="208"/>
      <c r="Z759" s="332"/>
      <c r="AA759" s="342"/>
      <c r="AB759" s="342"/>
      <c r="AC759" s="342"/>
      <c r="AD759" s="347"/>
      <c r="AE759" s="358"/>
      <c r="AF759" s="349"/>
      <c r="AG759" s="350"/>
      <c r="AH759" s="351"/>
      <c r="AI759" s="352"/>
      <c r="AJ759" s="206"/>
      <c r="AK759" s="353"/>
      <c r="AL759" s="206"/>
      <c r="AM759" s="349"/>
      <c r="AN759" s="354"/>
      <c r="AO759" s="355"/>
      <c r="AP759" s="206"/>
      <c r="AQ759" s="246"/>
      <c r="AR759" s="211"/>
      <c r="AS759" s="297">
        <f>+IF(Table1[[#This Row],[Column40]]="ok",Table1[[#This Row],[Column7]],0)</f>
        <v>0</v>
      </c>
      <c r="AT759" s="295">
        <f>+IF(Table1[[#This Row],[Column40]]="No",Table1[[#This Row],[Column7]],0)</f>
        <v>0</v>
      </c>
      <c r="AU759" s="4" t="str">
        <f>+IF(LEFT(Table1[[#This Row],[Column42]],2)="DN",IF(Table1[[#This Row],[Column40]]="ok","(CA)",_xlfn.CONCAT("(CA)",CHAR(10),"FAIL")),"")</f>
        <v/>
      </c>
      <c r="AV759" s="154" t="str">
        <f>+IF(Table1[[#This Row],[Column6]]=0,"",_xlfn.CONCAT("Sem ",WEEKNUM(Table1[[#This Row],[Column6]],2)))</f>
        <v/>
      </c>
      <c r="AW759" s="211"/>
    </row>
    <row r="760" spans="2:49" ht="19.5" customHeight="1" x14ac:dyDescent="0.3">
      <c r="B760" s="356"/>
      <c r="C760" s="331"/>
      <c r="D760" s="332"/>
      <c r="E760" s="332"/>
      <c r="F760" s="333"/>
      <c r="G760" s="334"/>
      <c r="H760" s="335"/>
      <c r="I760" s="336"/>
      <c r="J760" s="337"/>
      <c r="K760" s="338"/>
      <c r="L760" s="339"/>
      <c r="M760" s="340"/>
      <c r="N760" s="341"/>
      <c r="O760" s="332"/>
      <c r="P760" s="342"/>
      <c r="Q760" s="343"/>
      <c r="R760" s="344"/>
      <c r="S760" s="344"/>
      <c r="T760" s="344"/>
      <c r="U760" s="344"/>
      <c r="V760" s="332"/>
      <c r="W760" s="345"/>
      <c r="X760" s="346"/>
      <c r="Y760" s="208"/>
      <c r="Z760" s="332"/>
      <c r="AA760" s="342"/>
      <c r="AB760" s="342"/>
      <c r="AC760" s="342"/>
      <c r="AD760" s="347"/>
      <c r="AE760" s="358"/>
      <c r="AF760" s="349"/>
      <c r="AG760" s="350"/>
      <c r="AH760" s="351"/>
      <c r="AI760" s="352"/>
      <c r="AJ760" s="206"/>
      <c r="AK760" s="353"/>
      <c r="AL760" s="206"/>
      <c r="AM760" s="349"/>
      <c r="AN760" s="354"/>
      <c r="AO760" s="355"/>
      <c r="AP760" s="206"/>
      <c r="AQ760" s="246"/>
      <c r="AR760" s="211"/>
      <c r="AS760" s="297">
        <f>+IF(Table1[[#This Row],[Column40]]="ok",Table1[[#This Row],[Column7]],0)</f>
        <v>0</v>
      </c>
      <c r="AT760" s="295">
        <f>+IF(Table1[[#This Row],[Column40]]="No",Table1[[#This Row],[Column7]],0)</f>
        <v>0</v>
      </c>
      <c r="AU760" s="4" t="str">
        <f>+IF(LEFT(Table1[[#This Row],[Column42]],2)="DN",IF(Table1[[#This Row],[Column40]]="ok","(CA)",_xlfn.CONCAT("(CA)",CHAR(10),"FAIL")),"")</f>
        <v/>
      </c>
      <c r="AV760" s="154" t="str">
        <f>+IF(Table1[[#This Row],[Column6]]=0,"",_xlfn.CONCAT("Sem ",WEEKNUM(Table1[[#This Row],[Column6]],2)))</f>
        <v/>
      </c>
      <c r="AW760" s="211"/>
    </row>
    <row r="761" spans="2:49" ht="19.5" customHeight="1" x14ac:dyDescent="0.3">
      <c r="B761" s="356"/>
      <c r="C761" s="331"/>
      <c r="D761" s="332"/>
      <c r="E761" s="332"/>
      <c r="F761" s="333"/>
      <c r="G761" s="334"/>
      <c r="H761" s="335"/>
      <c r="I761" s="336"/>
      <c r="J761" s="337"/>
      <c r="K761" s="338"/>
      <c r="L761" s="339"/>
      <c r="M761" s="340"/>
      <c r="N761" s="341"/>
      <c r="O761" s="332"/>
      <c r="P761" s="342"/>
      <c r="Q761" s="343"/>
      <c r="R761" s="344"/>
      <c r="S761" s="344"/>
      <c r="T761" s="344"/>
      <c r="U761" s="344"/>
      <c r="V761" s="332"/>
      <c r="W761" s="345"/>
      <c r="X761" s="346"/>
      <c r="Y761" s="208"/>
      <c r="Z761" s="332"/>
      <c r="AA761" s="342"/>
      <c r="AB761" s="342"/>
      <c r="AC761" s="342"/>
      <c r="AD761" s="347"/>
      <c r="AE761" s="358"/>
      <c r="AF761" s="349"/>
      <c r="AG761" s="350"/>
      <c r="AH761" s="351"/>
      <c r="AI761" s="352"/>
      <c r="AJ761" s="206"/>
      <c r="AK761" s="353"/>
      <c r="AL761" s="206"/>
      <c r="AM761" s="349"/>
      <c r="AN761" s="354"/>
      <c r="AO761" s="355"/>
      <c r="AP761" s="206"/>
      <c r="AQ761" s="246"/>
      <c r="AR761" s="211"/>
      <c r="AS761" s="297">
        <f>+IF(Table1[[#This Row],[Column40]]="ok",Table1[[#This Row],[Column7]],0)</f>
        <v>0</v>
      </c>
      <c r="AT761" s="295">
        <f>+IF(Table1[[#This Row],[Column40]]="No",Table1[[#This Row],[Column7]],0)</f>
        <v>0</v>
      </c>
      <c r="AU761" s="4" t="str">
        <f>+IF(LEFT(Table1[[#This Row],[Column42]],2)="DN",IF(Table1[[#This Row],[Column40]]="ok","(CA)",_xlfn.CONCAT("(CA)",CHAR(10),"FAIL")),"")</f>
        <v/>
      </c>
      <c r="AV761" s="154" t="str">
        <f>+IF(Table1[[#This Row],[Column6]]=0,"",_xlfn.CONCAT("Sem ",WEEKNUM(Table1[[#This Row],[Column6]],2)))</f>
        <v/>
      </c>
      <c r="AW761" s="211"/>
    </row>
    <row r="762" spans="2:49" ht="19.5" customHeight="1" x14ac:dyDescent="0.3">
      <c r="B762" s="356"/>
      <c r="C762" s="331"/>
      <c r="D762" s="332"/>
      <c r="E762" s="332"/>
      <c r="F762" s="333"/>
      <c r="G762" s="334"/>
      <c r="H762" s="335"/>
      <c r="I762" s="336"/>
      <c r="J762" s="337"/>
      <c r="K762" s="338"/>
      <c r="L762" s="339"/>
      <c r="M762" s="340"/>
      <c r="N762" s="341"/>
      <c r="O762" s="332"/>
      <c r="P762" s="342"/>
      <c r="Q762" s="343"/>
      <c r="R762" s="344"/>
      <c r="S762" s="344"/>
      <c r="T762" s="344"/>
      <c r="U762" s="344"/>
      <c r="V762" s="332"/>
      <c r="W762" s="345"/>
      <c r="X762" s="346"/>
      <c r="Y762" s="208"/>
      <c r="Z762" s="332"/>
      <c r="AA762" s="342"/>
      <c r="AB762" s="342"/>
      <c r="AC762" s="342"/>
      <c r="AD762" s="347"/>
      <c r="AE762" s="358"/>
      <c r="AF762" s="349"/>
      <c r="AG762" s="350"/>
      <c r="AH762" s="351"/>
      <c r="AI762" s="352"/>
      <c r="AJ762" s="206"/>
      <c r="AK762" s="353"/>
      <c r="AL762" s="206"/>
      <c r="AM762" s="349"/>
      <c r="AN762" s="354"/>
      <c r="AO762" s="355"/>
      <c r="AP762" s="206"/>
      <c r="AQ762" s="246"/>
      <c r="AR762" s="211"/>
      <c r="AS762" s="297">
        <f>+IF(Table1[[#This Row],[Column40]]="ok",Table1[[#This Row],[Column7]],0)</f>
        <v>0</v>
      </c>
      <c r="AT762" s="295">
        <f>+IF(Table1[[#This Row],[Column40]]="No",Table1[[#This Row],[Column7]],0)</f>
        <v>0</v>
      </c>
      <c r="AU762" s="4" t="str">
        <f>+IF(LEFT(Table1[[#This Row],[Column42]],2)="DN",IF(Table1[[#This Row],[Column40]]="ok","(CA)",_xlfn.CONCAT("(CA)",CHAR(10),"FAIL")),"")</f>
        <v/>
      </c>
      <c r="AV762" s="154" t="str">
        <f>+IF(Table1[[#This Row],[Column6]]=0,"",_xlfn.CONCAT("Sem ",WEEKNUM(Table1[[#This Row],[Column6]],2)))</f>
        <v/>
      </c>
      <c r="AW762" s="211"/>
    </row>
    <row r="763" spans="2:49" ht="19.5" customHeight="1" x14ac:dyDescent="0.3">
      <c r="B763" s="356"/>
      <c r="C763" s="331"/>
      <c r="D763" s="332"/>
      <c r="E763" s="332"/>
      <c r="F763" s="333"/>
      <c r="G763" s="334"/>
      <c r="H763" s="335"/>
      <c r="I763" s="336"/>
      <c r="J763" s="337"/>
      <c r="K763" s="338"/>
      <c r="L763" s="339"/>
      <c r="M763" s="340"/>
      <c r="N763" s="341"/>
      <c r="O763" s="332"/>
      <c r="P763" s="342"/>
      <c r="Q763" s="343"/>
      <c r="R763" s="344"/>
      <c r="S763" s="344"/>
      <c r="T763" s="344"/>
      <c r="U763" s="344"/>
      <c r="V763" s="332"/>
      <c r="W763" s="345"/>
      <c r="X763" s="346"/>
      <c r="Y763" s="208"/>
      <c r="Z763" s="332"/>
      <c r="AA763" s="342"/>
      <c r="AB763" s="342"/>
      <c r="AC763" s="342"/>
      <c r="AD763" s="347"/>
      <c r="AE763" s="358"/>
      <c r="AF763" s="349"/>
      <c r="AG763" s="350"/>
      <c r="AH763" s="351"/>
      <c r="AI763" s="352"/>
      <c r="AJ763" s="206"/>
      <c r="AK763" s="353"/>
      <c r="AL763" s="206"/>
      <c r="AM763" s="349"/>
      <c r="AN763" s="354"/>
      <c r="AO763" s="355"/>
      <c r="AP763" s="206"/>
      <c r="AQ763" s="246"/>
      <c r="AR763" s="211"/>
      <c r="AS763" s="297">
        <f>+IF(Table1[[#This Row],[Column40]]="ok",Table1[[#This Row],[Column7]],0)</f>
        <v>0</v>
      </c>
      <c r="AT763" s="295">
        <f>+IF(Table1[[#This Row],[Column40]]="No",Table1[[#This Row],[Column7]],0)</f>
        <v>0</v>
      </c>
      <c r="AU763" s="4" t="str">
        <f>+IF(LEFT(Table1[[#This Row],[Column42]],2)="DN",IF(Table1[[#This Row],[Column40]]="ok","(CA)",_xlfn.CONCAT("(CA)",CHAR(10),"FAIL")),"")</f>
        <v/>
      </c>
      <c r="AV763" s="154" t="str">
        <f>+IF(Table1[[#This Row],[Column6]]=0,"",_xlfn.CONCAT("Sem ",WEEKNUM(Table1[[#This Row],[Column6]],2)))</f>
        <v/>
      </c>
      <c r="AW763" s="211"/>
    </row>
    <row r="764" spans="2:49" ht="19.5" customHeight="1" x14ac:dyDescent="0.3">
      <c r="B764" s="356"/>
      <c r="C764" s="331"/>
      <c r="D764" s="332"/>
      <c r="E764" s="332"/>
      <c r="F764" s="333"/>
      <c r="G764" s="334"/>
      <c r="H764" s="335"/>
      <c r="I764" s="336"/>
      <c r="J764" s="337"/>
      <c r="K764" s="338"/>
      <c r="L764" s="339"/>
      <c r="M764" s="340"/>
      <c r="N764" s="341"/>
      <c r="O764" s="332"/>
      <c r="P764" s="342"/>
      <c r="Q764" s="343"/>
      <c r="R764" s="344"/>
      <c r="S764" s="344"/>
      <c r="T764" s="344"/>
      <c r="U764" s="344"/>
      <c r="V764" s="332"/>
      <c r="W764" s="345"/>
      <c r="X764" s="346"/>
      <c r="Y764" s="208"/>
      <c r="Z764" s="332"/>
      <c r="AA764" s="342"/>
      <c r="AB764" s="342"/>
      <c r="AC764" s="342"/>
      <c r="AD764" s="347"/>
      <c r="AE764" s="358"/>
      <c r="AF764" s="349"/>
      <c r="AG764" s="350"/>
      <c r="AH764" s="351"/>
      <c r="AI764" s="352"/>
      <c r="AJ764" s="206"/>
      <c r="AK764" s="353"/>
      <c r="AL764" s="206"/>
      <c r="AM764" s="349"/>
      <c r="AN764" s="354"/>
      <c r="AO764" s="355"/>
      <c r="AP764" s="206"/>
      <c r="AQ764" s="246"/>
      <c r="AR764" s="211"/>
      <c r="AS764" s="297">
        <f>+IF(Table1[[#This Row],[Column40]]="ok",Table1[[#This Row],[Column7]],0)</f>
        <v>0</v>
      </c>
      <c r="AT764" s="295">
        <f>+IF(Table1[[#This Row],[Column40]]="No",Table1[[#This Row],[Column7]],0)</f>
        <v>0</v>
      </c>
      <c r="AU764" s="4" t="str">
        <f>+IF(LEFT(Table1[[#This Row],[Column42]],2)="DN",IF(Table1[[#This Row],[Column40]]="ok","(CA)",_xlfn.CONCAT("(CA)",CHAR(10),"FAIL")),"")</f>
        <v/>
      </c>
      <c r="AV764" s="154" t="str">
        <f>+IF(Table1[[#This Row],[Column6]]=0,"",_xlfn.CONCAT("Sem ",WEEKNUM(Table1[[#This Row],[Column6]],2)))</f>
        <v/>
      </c>
      <c r="AW764" s="211"/>
    </row>
    <row r="765" spans="2:49" ht="19.5" customHeight="1" x14ac:dyDescent="0.3">
      <c r="B765" s="356"/>
      <c r="C765" s="331"/>
      <c r="D765" s="332"/>
      <c r="E765" s="332"/>
      <c r="F765" s="333"/>
      <c r="G765" s="334"/>
      <c r="H765" s="335"/>
      <c r="I765" s="336"/>
      <c r="J765" s="337"/>
      <c r="K765" s="338"/>
      <c r="L765" s="339"/>
      <c r="M765" s="340"/>
      <c r="N765" s="341"/>
      <c r="O765" s="332"/>
      <c r="P765" s="342"/>
      <c r="Q765" s="343"/>
      <c r="R765" s="344"/>
      <c r="S765" s="344"/>
      <c r="T765" s="344"/>
      <c r="U765" s="344"/>
      <c r="V765" s="332"/>
      <c r="W765" s="345"/>
      <c r="X765" s="346"/>
      <c r="Y765" s="208"/>
      <c r="Z765" s="332"/>
      <c r="AA765" s="342"/>
      <c r="AB765" s="342"/>
      <c r="AC765" s="342"/>
      <c r="AD765" s="347"/>
      <c r="AE765" s="358"/>
      <c r="AF765" s="349"/>
      <c r="AG765" s="350"/>
      <c r="AH765" s="351"/>
      <c r="AI765" s="352"/>
      <c r="AJ765" s="206"/>
      <c r="AK765" s="353"/>
      <c r="AL765" s="206"/>
      <c r="AM765" s="349"/>
      <c r="AN765" s="354"/>
      <c r="AO765" s="355"/>
      <c r="AP765" s="206"/>
      <c r="AQ765" s="246"/>
      <c r="AR765" s="211"/>
      <c r="AS765" s="297">
        <f>+IF(Table1[[#This Row],[Column40]]="ok",Table1[[#This Row],[Column7]],0)</f>
        <v>0</v>
      </c>
      <c r="AT765" s="295">
        <f>+IF(Table1[[#This Row],[Column40]]="No",Table1[[#This Row],[Column7]],0)</f>
        <v>0</v>
      </c>
      <c r="AU765" s="4" t="str">
        <f>+IF(LEFT(Table1[[#This Row],[Column42]],2)="DN",IF(Table1[[#This Row],[Column40]]="ok","(CA)",_xlfn.CONCAT("(CA)",CHAR(10),"FAIL")),"")</f>
        <v/>
      </c>
      <c r="AV765" s="154" t="str">
        <f>+IF(Table1[[#This Row],[Column6]]=0,"",_xlfn.CONCAT("Sem ",WEEKNUM(Table1[[#This Row],[Column6]],2)))</f>
        <v/>
      </c>
      <c r="AW765" s="211"/>
    </row>
    <row r="766" spans="2:49" ht="19.5" customHeight="1" x14ac:dyDescent="0.3">
      <c r="B766" s="356"/>
      <c r="C766" s="331"/>
      <c r="D766" s="332"/>
      <c r="E766" s="332"/>
      <c r="F766" s="333"/>
      <c r="G766" s="334"/>
      <c r="H766" s="335"/>
      <c r="I766" s="336"/>
      <c r="J766" s="337"/>
      <c r="K766" s="338"/>
      <c r="L766" s="339"/>
      <c r="M766" s="340"/>
      <c r="N766" s="341"/>
      <c r="O766" s="332"/>
      <c r="P766" s="342"/>
      <c r="Q766" s="343"/>
      <c r="R766" s="344"/>
      <c r="S766" s="344"/>
      <c r="T766" s="344"/>
      <c r="U766" s="344"/>
      <c r="V766" s="332"/>
      <c r="W766" s="345"/>
      <c r="X766" s="346"/>
      <c r="Y766" s="208"/>
      <c r="Z766" s="332"/>
      <c r="AA766" s="342"/>
      <c r="AB766" s="342"/>
      <c r="AC766" s="342"/>
      <c r="AD766" s="347"/>
      <c r="AE766" s="358"/>
      <c r="AF766" s="349"/>
      <c r="AG766" s="350"/>
      <c r="AH766" s="351"/>
      <c r="AI766" s="352"/>
      <c r="AJ766" s="206"/>
      <c r="AK766" s="353"/>
      <c r="AL766" s="206"/>
      <c r="AM766" s="349"/>
      <c r="AN766" s="354"/>
      <c r="AO766" s="355"/>
      <c r="AP766" s="206"/>
      <c r="AQ766" s="246"/>
      <c r="AR766" s="211"/>
      <c r="AS766" s="297">
        <f>+IF(Table1[[#This Row],[Column40]]="ok",Table1[[#This Row],[Column7]],0)</f>
        <v>0</v>
      </c>
      <c r="AT766" s="295">
        <f>+IF(Table1[[#This Row],[Column40]]="No",Table1[[#This Row],[Column7]],0)</f>
        <v>0</v>
      </c>
      <c r="AU766" s="4" t="str">
        <f>+IF(LEFT(Table1[[#This Row],[Column42]],2)="DN",IF(Table1[[#This Row],[Column40]]="ok","(CA)",_xlfn.CONCAT("(CA)",CHAR(10),"FAIL")),"")</f>
        <v/>
      </c>
      <c r="AV766" s="154" t="str">
        <f>+IF(Table1[[#This Row],[Column6]]=0,"",_xlfn.CONCAT("Sem ",WEEKNUM(Table1[[#This Row],[Column6]],2)))</f>
        <v/>
      </c>
      <c r="AW766" s="211"/>
    </row>
    <row r="767" spans="2:49" ht="19.5" customHeight="1" x14ac:dyDescent="0.3">
      <c r="B767" s="356"/>
      <c r="C767" s="331"/>
      <c r="D767" s="332"/>
      <c r="E767" s="332"/>
      <c r="F767" s="333"/>
      <c r="G767" s="334"/>
      <c r="H767" s="335"/>
      <c r="I767" s="336"/>
      <c r="J767" s="337"/>
      <c r="K767" s="338"/>
      <c r="L767" s="339"/>
      <c r="M767" s="340"/>
      <c r="N767" s="341"/>
      <c r="O767" s="332"/>
      <c r="P767" s="342"/>
      <c r="Q767" s="343"/>
      <c r="R767" s="344"/>
      <c r="S767" s="344"/>
      <c r="T767" s="344"/>
      <c r="U767" s="344"/>
      <c r="V767" s="332"/>
      <c r="W767" s="345"/>
      <c r="X767" s="346"/>
      <c r="Y767" s="208"/>
      <c r="Z767" s="332"/>
      <c r="AA767" s="342"/>
      <c r="AB767" s="342"/>
      <c r="AC767" s="342"/>
      <c r="AD767" s="347"/>
      <c r="AE767" s="358"/>
      <c r="AF767" s="349"/>
      <c r="AG767" s="350"/>
      <c r="AH767" s="351"/>
      <c r="AI767" s="352"/>
      <c r="AJ767" s="206"/>
      <c r="AK767" s="353"/>
      <c r="AL767" s="206"/>
      <c r="AM767" s="349"/>
      <c r="AN767" s="354"/>
      <c r="AO767" s="355"/>
      <c r="AP767" s="206"/>
      <c r="AQ767" s="246"/>
      <c r="AR767" s="211"/>
      <c r="AS767" s="297">
        <f>+IF(Table1[[#This Row],[Column40]]="ok",Table1[[#This Row],[Column7]],0)</f>
        <v>0</v>
      </c>
      <c r="AT767" s="295">
        <f>+IF(Table1[[#This Row],[Column40]]="No",Table1[[#This Row],[Column7]],0)</f>
        <v>0</v>
      </c>
      <c r="AU767" s="4" t="str">
        <f>+IF(LEFT(Table1[[#This Row],[Column42]],2)="DN",IF(Table1[[#This Row],[Column40]]="ok","(CA)",_xlfn.CONCAT("(CA)",CHAR(10),"FAIL")),"")</f>
        <v/>
      </c>
      <c r="AV767" s="154" t="str">
        <f>+IF(Table1[[#This Row],[Column6]]=0,"",_xlfn.CONCAT("Sem ",WEEKNUM(Table1[[#This Row],[Column6]],2)))</f>
        <v/>
      </c>
      <c r="AW767" s="211"/>
    </row>
    <row r="768" spans="2:49" ht="19.5" customHeight="1" x14ac:dyDescent="0.3">
      <c r="B768" s="356"/>
      <c r="C768" s="331"/>
      <c r="D768" s="332"/>
      <c r="E768" s="332"/>
      <c r="F768" s="333"/>
      <c r="G768" s="334"/>
      <c r="H768" s="335"/>
      <c r="I768" s="336"/>
      <c r="J768" s="337"/>
      <c r="K768" s="338"/>
      <c r="L768" s="339"/>
      <c r="M768" s="340"/>
      <c r="N768" s="341"/>
      <c r="O768" s="332"/>
      <c r="P768" s="342"/>
      <c r="Q768" s="343"/>
      <c r="R768" s="344"/>
      <c r="S768" s="344"/>
      <c r="T768" s="344"/>
      <c r="U768" s="344"/>
      <c r="V768" s="332"/>
      <c r="W768" s="345"/>
      <c r="X768" s="346"/>
      <c r="Y768" s="208"/>
      <c r="Z768" s="332"/>
      <c r="AA768" s="342"/>
      <c r="AB768" s="342"/>
      <c r="AC768" s="342"/>
      <c r="AD768" s="347"/>
      <c r="AE768" s="358"/>
      <c r="AF768" s="349"/>
      <c r="AG768" s="350"/>
      <c r="AH768" s="351"/>
      <c r="AI768" s="352"/>
      <c r="AJ768" s="206"/>
      <c r="AK768" s="353"/>
      <c r="AL768" s="206"/>
      <c r="AM768" s="349"/>
      <c r="AN768" s="354"/>
      <c r="AO768" s="355"/>
      <c r="AP768" s="206"/>
      <c r="AQ768" s="246"/>
      <c r="AR768" s="211"/>
      <c r="AS768" s="297">
        <f>+IF(Table1[[#This Row],[Column40]]="ok",Table1[[#This Row],[Column7]],0)</f>
        <v>0</v>
      </c>
      <c r="AT768" s="295">
        <f>+IF(Table1[[#This Row],[Column40]]="No",Table1[[#This Row],[Column7]],0)</f>
        <v>0</v>
      </c>
      <c r="AU768" s="4" t="str">
        <f>+IF(LEFT(Table1[[#This Row],[Column42]],2)="DN",IF(Table1[[#This Row],[Column40]]="ok","(CA)",_xlfn.CONCAT("(CA)",CHAR(10),"FAIL")),"")</f>
        <v/>
      </c>
      <c r="AV768" s="154" t="str">
        <f>+IF(Table1[[#This Row],[Column6]]=0,"",_xlfn.CONCAT("Sem ",WEEKNUM(Table1[[#This Row],[Column6]],2)))</f>
        <v/>
      </c>
      <c r="AW768" s="211"/>
    </row>
    <row r="769" spans="2:49" ht="19.5" customHeight="1" x14ac:dyDescent="0.3">
      <c r="B769" s="356"/>
      <c r="C769" s="331"/>
      <c r="D769" s="332"/>
      <c r="E769" s="332"/>
      <c r="F769" s="333"/>
      <c r="G769" s="334"/>
      <c r="H769" s="335"/>
      <c r="I769" s="336"/>
      <c r="J769" s="337"/>
      <c r="K769" s="338"/>
      <c r="L769" s="339"/>
      <c r="M769" s="340"/>
      <c r="N769" s="341"/>
      <c r="O769" s="332"/>
      <c r="P769" s="342"/>
      <c r="Q769" s="343"/>
      <c r="R769" s="344"/>
      <c r="S769" s="344"/>
      <c r="T769" s="344"/>
      <c r="U769" s="344"/>
      <c r="V769" s="332"/>
      <c r="W769" s="345"/>
      <c r="X769" s="346"/>
      <c r="Y769" s="208"/>
      <c r="Z769" s="332"/>
      <c r="AA769" s="342"/>
      <c r="AB769" s="342"/>
      <c r="AC769" s="342"/>
      <c r="AD769" s="347"/>
      <c r="AE769" s="358"/>
      <c r="AF769" s="349"/>
      <c r="AG769" s="350"/>
      <c r="AH769" s="351"/>
      <c r="AI769" s="352"/>
      <c r="AJ769" s="206"/>
      <c r="AK769" s="353"/>
      <c r="AL769" s="206"/>
      <c r="AM769" s="349"/>
      <c r="AN769" s="354"/>
      <c r="AO769" s="355"/>
      <c r="AP769" s="206"/>
      <c r="AQ769" s="246"/>
      <c r="AR769" s="211"/>
      <c r="AS769" s="297">
        <f>+IF(Table1[[#This Row],[Column40]]="ok",Table1[[#This Row],[Column7]],0)</f>
        <v>0</v>
      </c>
      <c r="AT769" s="295">
        <f>+IF(Table1[[#This Row],[Column40]]="No",Table1[[#This Row],[Column7]],0)</f>
        <v>0</v>
      </c>
      <c r="AU769" s="4" t="str">
        <f>+IF(LEFT(Table1[[#This Row],[Column42]],2)="DN",IF(Table1[[#This Row],[Column40]]="ok","(CA)",_xlfn.CONCAT("(CA)",CHAR(10),"FAIL")),"")</f>
        <v/>
      </c>
      <c r="AV769" s="154" t="str">
        <f>+IF(Table1[[#This Row],[Column6]]=0,"",_xlfn.CONCAT("Sem ",WEEKNUM(Table1[[#This Row],[Column6]],2)))</f>
        <v/>
      </c>
      <c r="AW769" s="211"/>
    </row>
    <row r="770" spans="2:49" ht="19.5" customHeight="1" x14ac:dyDescent="0.3">
      <c r="B770" s="356"/>
      <c r="C770" s="331"/>
      <c r="D770" s="332"/>
      <c r="E770" s="332"/>
      <c r="F770" s="333"/>
      <c r="G770" s="334"/>
      <c r="H770" s="335"/>
      <c r="I770" s="336"/>
      <c r="J770" s="337"/>
      <c r="K770" s="338"/>
      <c r="L770" s="339"/>
      <c r="M770" s="340"/>
      <c r="N770" s="341"/>
      <c r="O770" s="332"/>
      <c r="P770" s="342"/>
      <c r="Q770" s="343"/>
      <c r="R770" s="344"/>
      <c r="S770" s="344"/>
      <c r="T770" s="344"/>
      <c r="U770" s="344"/>
      <c r="V770" s="332"/>
      <c r="W770" s="345"/>
      <c r="X770" s="346"/>
      <c r="Y770" s="208"/>
      <c r="Z770" s="332"/>
      <c r="AA770" s="342"/>
      <c r="AB770" s="342"/>
      <c r="AC770" s="342"/>
      <c r="AD770" s="347"/>
      <c r="AE770" s="358"/>
      <c r="AF770" s="349"/>
      <c r="AG770" s="350"/>
      <c r="AH770" s="351"/>
      <c r="AI770" s="352"/>
      <c r="AJ770" s="206"/>
      <c r="AK770" s="353"/>
      <c r="AL770" s="206"/>
      <c r="AM770" s="349"/>
      <c r="AN770" s="354"/>
      <c r="AO770" s="355"/>
      <c r="AP770" s="206"/>
      <c r="AQ770" s="246"/>
      <c r="AR770" s="211"/>
      <c r="AS770" s="297">
        <f>+IF(Table1[[#This Row],[Column40]]="ok",Table1[[#This Row],[Column7]],0)</f>
        <v>0</v>
      </c>
      <c r="AT770" s="295">
        <f>+IF(Table1[[#This Row],[Column40]]="No",Table1[[#This Row],[Column7]],0)</f>
        <v>0</v>
      </c>
      <c r="AU770" s="4" t="str">
        <f>+IF(LEFT(Table1[[#This Row],[Column42]],2)="DN",IF(Table1[[#This Row],[Column40]]="ok","(CA)",_xlfn.CONCAT("(CA)",CHAR(10),"FAIL")),"")</f>
        <v/>
      </c>
      <c r="AV770" s="154" t="str">
        <f>+IF(Table1[[#This Row],[Column6]]=0,"",_xlfn.CONCAT("Sem ",WEEKNUM(Table1[[#This Row],[Column6]],2)))</f>
        <v/>
      </c>
      <c r="AW770" s="211"/>
    </row>
    <row r="771" spans="2:49" ht="19.5" customHeight="1" x14ac:dyDescent="0.3">
      <c r="B771" s="356"/>
      <c r="C771" s="331"/>
      <c r="D771" s="332"/>
      <c r="E771" s="332"/>
      <c r="F771" s="333"/>
      <c r="G771" s="334"/>
      <c r="H771" s="335"/>
      <c r="I771" s="336"/>
      <c r="J771" s="337"/>
      <c r="K771" s="338"/>
      <c r="L771" s="339"/>
      <c r="M771" s="340"/>
      <c r="N771" s="341"/>
      <c r="O771" s="332"/>
      <c r="P771" s="342"/>
      <c r="Q771" s="343"/>
      <c r="R771" s="344"/>
      <c r="S771" s="344"/>
      <c r="T771" s="344"/>
      <c r="U771" s="344"/>
      <c r="V771" s="332"/>
      <c r="W771" s="345"/>
      <c r="X771" s="346"/>
      <c r="Y771" s="208"/>
      <c r="Z771" s="332"/>
      <c r="AA771" s="342"/>
      <c r="AB771" s="342"/>
      <c r="AC771" s="342"/>
      <c r="AD771" s="347"/>
      <c r="AE771" s="358"/>
      <c r="AF771" s="349"/>
      <c r="AG771" s="350"/>
      <c r="AH771" s="351"/>
      <c r="AI771" s="352"/>
      <c r="AJ771" s="206"/>
      <c r="AK771" s="353"/>
      <c r="AL771" s="206"/>
      <c r="AM771" s="349"/>
      <c r="AN771" s="354"/>
      <c r="AO771" s="355"/>
      <c r="AP771" s="206"/>
      <c r="AQ771" s="246"/>
      <c r="AR771" s="211"/>
      <c r="AS771" s="297">
        <f>+IF(Table1[[#This Row],[Column40]]="ok",Table1[[#This Row],[Column7]],0)</f>
        <v>0</v>
      </c>
      <c r="AT771" s="295">
        <f>+IF(Table1[[#This Row],[Column40]]="No",Table1[[#This Row],[Column7]],0)</f>
        <v>0</v>
      </c>
      <c r="AU771" s="4" t="str">
        <f>+IF(LEFT(Table1[[#This Row],[Column42]],2)="DN",IF(Table1[[#This Row],[Column40]]="ok","(CA)",_xlfn.CONCAT("(CA)",CHAR(10),"FAIL")),"")</f>
        <v/>
      </c>
      <c r="AV771" s="154" t="str">
        <f>+IF(Table1[[#This Row],[Column6]]=0,"",_xlfn.CONCAT("Sem ",WEEKNUM(Table1[[#This Row],[Column6]],2)))</f>
        <v/>
      </c>
      <c r="AW771" s="211"/>
    </row>
    <row r="772" spans="2:49" ht="19.5" customHeight="1" x14ac:dyDescent="0.3">
      <c r="B772" s="356"/>
      <c r="C772" s="331"/>
      <c r="D772" s="332"/>
      <c r="E772" s="332"/>
      <c r="F772" s="333"/>
      <c r="G772" s="334"/>
      <c r="H772" s="335"/>
      <c r="I772" s="336"/>
      <c r="J772" s="337"/>
      <c r="K772" s="338"/>
      <c r="L772" s="339"/>
      <c r="M772" s="340"/>
      <c r="N772" s="341"/>
      <c r="O772" s="332"/>
      <c r="P772" s="342"/>
      <c r="Q772" s="343"/>
      <c r="R772" s="344"/>
      <c r="S772" s="344"/>
      <c r="T772" s="344"/>
      <c r="U772" s="344"/>
      <c r="V772" s="332"/>
      <c r="W772" s="345"/>
      <c r="X772" s="346"/>
      <c r="Y772" s="208"/>
      <c r="Z772" s="332"/>
      <c r="AA772" s="342"/>
      <c r="AB772" s="342"/>
      <c r="AC772" s="342"/>
      <c r="AD772" s="347"/>
      <c r="AE772" s="358"/>
      <c r="AF772" s="349"/>
      <c r="AG772" s="350"/>
      <c r="AH772" s="351"/>
      <c r="AI772" s="352"/>
      <c r="AJ772" s="206"/>
      <c r="AK772" s="353"/>
      <c r="AL772" s="206"/>
      <c r="AM772" s="349"/>
      <c r="AN772" s="354"/>
      <c r="AO772" s="355"/>
      <c r="AP772" s="206"/>
      <c r="AQ772" s="246"/>
      <c r="AR772" s="211"/>
      <c r="AS772" s="297">
        <f>+IF(Table1[[#This Row],[Column40]]="ok",Table1[[#This Row],[Column7]],0)</f>
        <v>0</v>
      </c>
      <c r="AT772" s="295">
        <f>+IF(Table1[[#This Row],[Column40]]="No",Table1[[#This Row],[Column7]],0)</f>
        <v>0</v>
      </c>
      <c r="AU772" s="4" t="str">
        <f>+IF(LEFT(Table1[[#This Row],[Column42]],2)="DN",IF(Table1[[#This Row],[Column40]]="ok","(CA)",_xlfn.CONCAT("(CA)",CHAR(10),"FAIL")),"")</f>
        <v/>
      </c>
      <c r="AV772" s="154" t="str">
        <f>+IF(Table1[[#This Row],[Column6]]=0,"",_xlfn.CONCAT("Sem ",WEEKNUM(Table1[[#This Row],[Column6]],2)))</f>
        <v/>
      </c>
      <c r="AW772" s="211"/>
    </row>
    <row r="773" spans="2:49" ht="19.5" customHeight="1" x14ac:dyDescent="0.3">
      <c r="B773" s="356"/>
      <c r="C773" s="331"/>
      <c r="D773" s="332"/>
      <c r="E773" s="332"/>
      <c r="F773" s="333"/>
      <c r="G773" s="334"/>
      <c r="H773" s="335"/>
      <c r="I773" s="336"/>
      <c r="J773" s="337"/>
      <c r="K773" s="338"/>
      <c r="L773" s="339"/>
      <c r="M773" s="340"/>
      <c r="N773" s="341"/>
      <c r="O773" s="332"/>
      <c r="P773" s="342"/>
      <c r="Q773" s="343"/>
      <c r="R773" s="344"/>
      <c r="S773" s="344"/>
      <c r="T773" s="344"/>
      <c r="U773" s="344"/>
      <c r="V773" s="332"/>
      <c r="W773" s="345"/>
      <c r="X773" s="346"/>
      <c r="Y773" s="208"/>
      <c r="Z773" s="332"/>
      <c r="AA773" s="342"/>
      <c r="AB773" s="342"/>
      <c r="AC773" s="342"/>
      <c r="AD773" s="347"/>
      <c r="AE773" s="358"/>
      <c r="AF773" s="349"/>
      <c r="AG773" s="350"/>
      <c r="AH773" s="351"/>
      <c r="AI773" s="352"/>
      <c r="AJ773" s="206"/>
      <c r="AK773" s="353"/>
      <c r="AL773" s="206"/>
      <c r="AM773" s="349"/>
      <c r="AN773" s="354"/>
      <c r="AO773" s="355"/>
      <c r="AP773" s="206"/>
      <c r="AQ773" s="246"/>
      <c r="AR773" s="211"/>
      <c r="AS773" s="297">
        <f>+IF(Table1[[#This Row],[Column40]]="ok",Table1[[#This Row],[Column7]],0)</f>
        <v>0</v>
      </c>
      <c r="AT773" s="295">
        <f>+IF(Table1[[#This Row],[Column40]]="No",Table1[[#This Row],[Column7]],0)</f>
        <v>0</v>
      </c>
      <c r="AU773" s="4" t="str">
        <f>+IF(LEFT(Table1[[#This Row],[Column42]],2)="DN",IF(Table1[[#This Row],[Column40]]="ok","(CA)",_xlfn.CONCAT("(CA)",CHAR(10),"FAIL")),"")</f>
        <v/>
      </c>
      <c r="AV773" s="154" t="str">
        <f>+IF(Table1[[#This Row],[Column6]]=0,"",_xlfn.CONCAT("Sem ",WEEKNUM(Table1[[#This Row],[Column6]],2)))</f>
        <v/>
      </c>
      <c r="AW773" s="211"/>
    </row>
    <row r="774" spans="2:49" ht="19.5" customHeight="1" x14ac:dyDescent="0.3">
      <c r="B774" s="356"/>
      <c r="C774" s="331"/>
      <c r="D774" s="332"/>
      <c r="E774" s="332"/>
      <c r="F774" s="333"/>
      <c r="G774" s="334"/>
      <c r="H774" s="335"/>
      <c r="I774" s="336"/>
      <c r="J774" s="337"/>
      <c r="K774" s="338"/>
      <c r="L774" s="339"/>
      <c r="M774" s="340"/>
      <c r="N774" s="341"/>
      <c r="O774" s="332"/>
      <c r="P774" s="342"/>
      <c r="Q774" s="343"/>
      <c r="R774" s="344"/>
      <c r="S774" s="344"/>
      <c r="T774" s="344"/>
      <c r="U774" s="344"/>
      <c r="V774" s="332"/>
      <c r="W774" s="345"/>
      <c r="X774" s="346"/>
      <c r="Y774" s="208"/>
      <c r="Z774" s="332"/>
      <c r="AA774" s="342"/>
      <c r="AB774" s="342"/>
      <c r="AC774" s="342"/>
      <c r="AD774" s="347"/>
      <c r="AE774" s="358"/>
      <c r="AF774" s="349"/>
      <c r="AG774" s="350"/>
      <c r="AH774" s="351"/>
      <c r="AI774" s="352"/>
      <c r="AJ774" s="206"/>
      <c r="AK774" s="353"/>
      <c r="AL774" s="206"/>
      <c r="AM774" s="349"/>
      <c r="AN774" s="354"/>
      <c r="AO774" s="355"/>
      <c r="AP774" s="206"/>
      <c r="AQ774" s="246"/>
      <c r="AR774" s="211"/>
      <c r="AS774" s="297">
        <f>+IF(Table1[[#This Row],[Column40]]="ok",Table1[[#This Row],[Column7]],0)</f>
        <v>0</v>
      </c>
      <c r="AT774" s="295">
        <f>+IF(Table1[[#This Row],[Column40]]="No",Table1[[#This Row],[Column7]],0)</f>
        <v>0</v>
      </c>
      <c r="AU774" s="4" t="str">
        <f>+IF(LEFT(Table1[[#This Row],[Column42]],2)="DN",IF(Table1[[#This Row],[Column40]]="ok","(CA)",_xlfn.CONCAT("(CA)",CHAR(10),"FAIL")),"")</f>
        <v/>
      </c>
      <c r="AV774" s="154" t="str">
        <f>+IF(Table1[[#This Row],[Column6]]=0,"",_xlfn.CONCAT("Sem ",WEEKNUM(Table1[[#This Row],[Column6]],2)))</f>
        <v/>
      </c>
      <c r="AW774" s="211"/>
    </row>
    <row r="775" spans="2:49" ht="19.5" customHeight="1" x14ac:dyDescent="0.3">
      <c r="B775" s="356"/>
      <c r="C775" s="331"/>
      <c r="D775" s="332"/>
      <c r="E775" s="332"/>
      <c r="F775" s="333"/>
      <c r="G775" s="334"/>
      <c r="H775" s="335"/>
      <c r="I775" s="336"/>
      <c r="J775" s="337"/>
      <c r="K775" s="338"/>
      <c r="L775" s="339"/>
      <c r="M775" s="340"/>
      <c r="N775" s="341"/>
      <c r="O775" s="332"/>
      <c r="P775" s="342"/>
      <c r="Q775" s="343"/>
      <c r="R775" s="344"/>
      <c r="S775" s="344"/>
      <c r="T775" s="344"/>
      <c r="U775" s="344"/>
      <c r="V775" s="332"/>
      <c r="W775" s="345"/>
      <c r="X775" s="346"/>
      <c r="Y775" s="208"/>
      <c r="Z775" s="332"/>
      <c r="AA775" s="342"/>
      <c r="AB775" s="342"/>
      <c r="AC775" s="342"/>
      <c r="AD775" s="347"/>
      <c r="AE775" s="358"/>
      <c r="AF775" s="349"/>
      <c r="AG775" s="350"/>
      <c r="AH775" s="351"/>
      <c r="AI775" s="352"/>
      <c r="AJ775" s="206"/>
      <c r="AK775" s="353"/>
      <c r="AL775" s="206"/>
      <c r="AM775" s="349"/>
      <c r="AN775" s="354"/>
      <c r="AO775" s="355"/>
      <c r="AP775" s="206"/>
      <c r="AQ775" s="246"/>
      <c r="AR775" s="211"/>
      <c r="AS775" s="297">
        <f>+IF(Table1[[#This Row],[Column40]]="ok",Table1[[#This Row],[Column7]],0)</f>
        <v>0</v>
      </c>
      <c r="AT775" s="295">
        <f>+IF(Table1[[#This Row],[Column40]]="No",Table1[[#This Row],[Column7]],0)</f>
        <v>0</v>
      </c>
      <c r="AU775" s="4" t="str">
        <f>+IF(LEFT(Table1[[#This Row],[Column42]],2)="DN",IF(Table1[[#This Row],[Column40]]="ok","(CA)",_xlfn.CONCAT("(CA)",CHAR(10),"FAIL")),"")</f>
        <v/>
      </c>
      <c r="AV775" s="154" t="str">
        <f>+IF(Table1[[#This Row],[Column6]]=0,"",_xlfn.CONCAT("Sem ",WEEKNUM(Table1[[#This Row],[Column6]],2)))</f>
        <v/>
      </c>
      <c r="AW775" s="211"/>
    </row>
    <row r="776" spans="2:49" ht="19.5" customHeight="1" x14ac:dyDescent="0.3">
      <c r="B776" s="356"/>
      <c r="C776" s="331"/>
      <c r="D776" s="332"/>
      <c r="E776" s="332"/>
      <c r="F776" s="333"/>
      <c r="G776" s="334"/>
      <c r="H776" s="335"/>
      <c r="I776" s="336"/>
      <c r="J776" s="337"/>
      <c r="K776" s="338"/>
      <c r="L776" s="339"/>
      <c r="M776" s="340"/>
      <c r="N776" s="341"/>
      <c r="O776" s="332"/>
      <c r="P776" s="342"/>
      <c r="Q776" s="343"/>
      <c r="R776" s="344"/>
      <c r="S776" s="344"/>
      <c r="T776" s="344"/>
      <c r="U776" s="344"/>
      <c r="V776" s="332"/>
      <c r="W776" s="345"/>
      <c r="X776" s="346"/>
      <c r="Y776" s="208"/>
      <c r="Z776" s="332"/>
      <c r="AA776" s="342"/>
      <c r="AB776" s="342"/>
      <c r="AC776" s="342"/>
      <c r="AD776" s="347"/>
      <c r="AE776" s="358"/>
      <c r="AF776" s="349"/>
      <c r="AG776" s="350"/>
      <c r="AH776" s="351"/>
      <c r="AI776" s="352"/>
      <c r="AJ776" s="206"/>
      <c r="AK776" s="353"/>
      <c r="AL776" s="206"/>
      <c r="AM776" s="349"/>
      <c r="AN776" s="354"/>
      <c r="AO776" s="355"/>
      <c r="AP776" s="206"/>
      <c r="AQ776" s="246"/>
      <c r="AR776" s="211"/>
      <c r="AS776" s="297">
        <f>+IF(Table1[[#This Row],[Column40]]="ok",Table1[[#This Row],[Column7]],0)</f>
        <v>0</v>
      </c>
      <c r="AT776" s="295">
        <f>+IF(Table1[[#This Row],[Column40]]="No",Table1[[#This Row],[Column7]],0)</f>
        <v>0</v>
      </c>
      <c r="AU776" s="4" t="str">
        <f>+IF(LEFT(Table1[[#This Row],[Column42]],2)="DN",IF(Table1[[#This Row],[Column40]]="ok","(CA)",_xlfn.CONCAT("(CA)",CHAR(10),"FAIL")),"")</f>
        <v/>
      </c>
      <c r="AV776" s="154" t="str">
        <f>+IF(Table1[[#This Row],[Column6]]=0,"",_xlfn.CONCAT("Sem ",WEEKNUM(Table1[[#This Row],[Column6]],2)))</f>
        <v/>
      </c>
      <c r="AW776" s="211"/>
    </row>
    <row r="777" spans="2:49" ht="19.5" customHeight="1" x14ac:dyDescent="0.3">
      <c r="B777" s="356"/>
      <c r="C777" s="331"/>
      <c r="D777" s="332"/>
      <c r="E777" s="332"/>
      <c r="F777" s="333"/>
      <c r="G777" s="334"/>
      <c r="H777" s="335"/>
      <c r="I777" s="336"/>
      <c r="J777" s="337"/>
      <c r="K777" s="338"/>
      <c r="L777" s="339"/>
      <c r="M777" s="340"/>
      <c r="N777" s="341"/>
      <c r="O777" s="332"/>
      <c r="P777" s="342"/>
      <c r="Q777" s="343"/>
      <c r="R777" s="344"/>
      <c r="S777" s="344"/>
      <c r="T777" s="344"/>
      <c r="U777" s="344"/>
      <c r="V777" s="332"/>
      <c r="W777" s="345"/>
      <c r="X777" s="346"/>
      <c r="Y777" s="208"/>
      <c r="Z777" s="332"/>
      <c r="AA777" s="342"/>
      <c r="AB777" s="342"/>
      <c r="AC777" s="342"/>
      <c r="AD777" s="347"/>
      <c r="AE777" s="358"/>
      <c r="AF777" s="349"/>
      <c r="AG777" s="350"/>
      <c r="AH777" s="351"/>
      <c r="AI777" s="352"/>
      <c r="AJ777" s="206"/>
      <c r="AK777" s="353"/>
      <c r="AL777" s="206"/>
      <c r="AM777" s="349"/>
      <c r="AN777" s="354"/>
      <c r="AO777" s="355"/>
      <c r="AP777" s="206"/>
      <c r="AQ777" s="246"/>
      <c r="AR777" s="211"/>
      <c r="AS777" s="297">
        <f>+IF(Table1[[#This Row],[Column40]]="ok",Table1[[#This Row],[Column7]],0)</f>
        <v>0</v>
      </c>
      <c r="AT777" s="295">
        <f>+IF(Table1[[#This Row],[Column40]]="No",Table1[[#This Row],[Column7]],0)</f>
        <v>0</v>
      </c>
      <c r="AU777" s="4" t="str">
        <f>+IF(LEFT(Table1[[#This Row],[Column42]],2)="DN",IF(Table1[[#This Row],[Column40]]="ok","(CA)",_xlfn.CONCAT("(CA)",CHAR(10),"FAIL")),"")</f>
        <v/>
      </c>
      <c r="AV777" s="154" t="str">
        <f>+IF(Table1[[#This Row],[Column6]]=0,"",_xlfn.CONCAT("Sem ",WEEKNUM(Table1[[#This Row],[Column6]],2)))</f>
        <v/>
      </c>
      <c r="AW777" s="211"/>
    </row>
    <row r="778" spans="2:49" ht="19.5" customHeight="1" x14ac:dyDescent="0.3">
      <c r="B778" s="356"/>
      <c r="C778" s="331"/>
      <c r="D778" s="332"/>
      <c r="E778" s="332"/>
      <c r="F778" s="333"/>
      <c r="G778" s="334"/>
      <c r="H778" s="335"/>
      <c r="I778" s="336"/>
      <c r="J778" s="337"/>
      <c r="K778" s="338"/>
      <c r="L778" s="339"/>
      <c r="M778" s="340"/>
      <c r="N778" s="341"/>
      <c r="O778" s="332"/>
      <c r="P778" s="342"/>
      <c r="Q778" s="343"/>
      <c r="R778" s="344"/>
      <c r="S778" s="344"/>
      <c r="T778" s="344"/>
      <c r="U778" s="344"/>
      <c r="V778" s="332"/>
      <c r="W778" s="345"/>
      <c r="X778" s="346"/>
      <c r="Y778" s="208"/>
      <c r="Z778" s="332"/>
      <c r="AA778" s="342"/>
      <c r="AB778" s="342"/>
      <c r="AC778" s="342"/>
      <c r="AD778" s="347"/>
      <c r="AE778" s="358"/>
      <c r="AF778" s="349"/>
      <c r="AG778" s="350"/>
      <c r="AH778" s="351"/>
      <c r="AI778" s="352"/>
      <c r="AJ778" s="206"/>
      <c r="AK778" s="353"/>
      <c r="AL778" s="206"/>
      <c r="AM778" s="349"/>
      <c r="AN778" s="354"/>
      <c r="AO778" s="355"/>
      <c r="AP778" s="206"/>
      <c r="AQ778" s="246"/>
      <c r="AR778" s="211"/>
      <c r="AS778" s="297">
        <f>+IF(Table1[[#This Row],[Column40]]="ok",Table1[[#This Row],[Column7]],0)</f>
        <v>0</v>
      </c>
      <c r="AT778" s="295">
        <f>+IF(Table1[[#This Row],[Column40]]="No",Table1[[#This Row],[Column7]],0)</f>
        <v>0</v>
      </c>
      <c r="AU778" s="4" t="str">
        <f>+IF(LEFT(Table1[[#This Row],[Column42]],2)="DN",IF(Table1[[#This Row],[Column40]]="ok","(CA)",_xlfn.CONCAT("(CA)",CHAR(10),"FAIL")),"")</f>
        <v/>
      </c>
      <c r="AV778" s="154" t="str">
        <f>+IF(Table1[[#This Row],[Column6]]=0,"",_xlfn.CONCAT("Sem ",WEEKNUM(Table1[[#This Row],[Column6]],2)))</f>
        <v/>
      </c>
      <c r="AW778" s="211"/>
    </row>
    <row r="779" spans="2:49" ht="19.5" customHeight="1" x14ac:dyDescent="0.3">
      <c r="B779" s="356"/>
      <c r="C779" s="331"/>
      <c r="D779" s="332"/>
      <c r="E779" s="332"/>
      <c r="F779" s="333"/>
      <c r="G779" s="334"/>
      <c r="H779" s="335"/>
      <c r="I779" s="336"/>
      <c r="J779" s="337"/>
      <c r="K779" s="338"/>
      <c r="L779" s="339"/>
      <c r="M779" s="340"/>
      <c r="N779" s="341"/>
      <c r="O779" s="332"/>
      <c r="P779" s="342"/>
      <c r="Q779" s="343"/>
      <c r="R779" s="344"/>
      <c r="S779" s="344"/>
      <c r="T779" s="344"/>
      <c r="U779" s="344"/>
      <c r="V779" s="332"/>
      <c r="W779" s="345"/>
      <c r="X779" s="346"/>
      <c r="Y779" s="208"/>
      <c r="Z779" s="332"/>
      <c r="AA779" s="342"/>
      <c r="AB779" s="342"/>
      <c r="AC779" s="342"/>
      <c r="AD779" s="347"/>
      <c r="AE779" s="358"/>
      <c r="AF779" s="349"/>
      <c r="AG779" s="350"/>
      <c r="AH779" s="351"/>
      <c r="AI779" s="352"/>
      <c r="AJ779" s="206"/>
      <c r="AK779" s="353"/>
      <c r="AL779" s="206"/>
      <c r="AM779" s="349"/>
      <c r="AN779" s="354"/>
      <c r="AO779" s="355"/>
      <c r="AP779" s="206"/>
      <c r="AQ779" s="246"/>
      <c r="AR779" s="211"/>
      <c r="AS779" s="297">
        <f>+IF(Table1[[#This Row],[Column40]]="ok",Table1[[#This Row],[Column7]],0)</f>
        <v>0</v>
      </c>
      <c r="AT779" s="295">
        <f>+IF(Table1[[#This Row],[Column40]]="No",Table1[[#This Row],[Column7]],0)</f>
        <v>0</v>
      </c>
      <c r="AU779" s="4" t="str">
        <f>+IF(LEFT(Table1[[#This Row],[Column42]],2)="DN",IF(Table1[[#This Row],[Column40]]="ok","(CA)",_xlfn.CONCAT("(CA)",CHAR(10),"FAIL")),"")</f>
        <v/>
      </c>
      <c r="AV779" s="154" t="str">
        <f>+IF(Table1[[#This Row],[Column6]]=0,"",_xlfn.CONCAT("Sem ",WEEKNUM(Table1[[#This Row],[Column6]],2)))</f>
        <v/>
      </c>
      <c r="AW779" s="211"/>
    </row>
    <row r="780" spans="2:49" ht="19.5" customHeight="1" x14ac:dyDescent="0.3">
      <c r="B780" s="356"/>
      <c r="C780" s="331"/>
      <c r="D780" s="332"/>
      <c r="E780" s="332"/>
      <c r="F780" s="333"/>
      <c r="G780" s="334"/>
      <c r="H780" s="335"/>
      <c r="I780" s="336"/>
      <c r="J780" s="337"/>
      <c r="K780" s="338"/>
      <c r="L780" s="339"/>
      <c r="M780" s="340"/>
      <c r="N780" s="341"/>
      <c r="O780" s="332"/>
      <c r="P780" s="342"/>
      <c r="Q780" s="343"/>
      <c r="R780" s="344"/>
      <c r="S780" s="344"/>
      <c r="T780" s="344"/>
      <c r="U780" s="344"/>
      <c r="V780" s="332"/>
      <c r="W780" s="345"/>
      <c r="X780" s="346"/>
      <c r="Y780" s="208"/>
      <c r="Z780" s="332"/>
      <c r="AA780" s="342"/>
      <c r="AB780" s="342"/>
      <c r="AC780" s="342"/>
      <c r="AD780" s="347"/>
      <c r="AE780" s="358"/>
      <c r="AF780" s="349"/>
      <c r="AG780" s="350"/>
      <c r="AH780" s="351"/>
      <c r="AI780" s="352"/>
      <c r="AJ780" s="206"/>
      <c r="AK780" s="353"/>
      <c r="AL780" s="206"/>
      <c r="AM780" s="349"/>
      <c r="AN780" s="354"/>
      <c r="AO780" s="355"/>
      <c r="AP780" s="206"/>
      <c r="AQ780" s="246"/>
      <c r="AR780" s="211"/>
      <c r="AS780" s="297">
        <f>+IF(Table1[[#This Row],[Column40]]="ok",Table1[[#This Row],[Column7]],0)</f>
        <v>0</v>
      </c>
      <c r="AT780" s="295">
        <f>+IF(Table1[[#This Row],[Column40]]="No",Table1[[#This Row],[Column7]],0)</f>
        <v>0</v>
      </c>
      <c r="AU780" s="4" t="str">
        <f>+IF(LEFT(Table1[[#This Row],[Column42]],2)="DN",IF(Table1[[#This Row],[Column40]]="ok","(CA)",_xlfn.CONCAT("(CA)",CHAR(10),"FAIL")),"")</f>
        <v/>
      </c>
      <c r="AV780" s="154" t="str">
        <f>+IF(Table1[[#This Row],[Column6]]=0,"",_xlfn.CONCAT("Sem ",WEEKNUM(Table1[[#This Row],[Column6]],2)))</f>
        <v/>
      </c>
      <c r="AW780" s="211"/>
    </row>
    <row r="781" spans="2:49" ht="19.5" customHeight="1" x14ac:dyDescent="0.3">
      <c r="B781" s="356"/>
      <c r="C781" s="331"/>
      <c r="D781" s="332"/>
      <c r="E781" s="332"/>
      <c r="F781" s="333"/>
      <c r="G781" s="334"/>
      <c r="H781" s="335"/>
      <c r="I781" s="336"/>
      <c r="J781" s="337"/>
      <c r="K781" s="338"/>
      <c r="L781" s="339"/>
      <c r="M781" s="340"/>
      <c r="N781" s="341"/>
      <c r="O781" s="332"/>
      <c r="P781" s="342"/>
      <c r="Q781" s="343"/>
      <c r="R781" s="344"/>
      <c r="S781" s="344"/>
      <c r="T781" s="344"/>
      <c r="U781" s="344"/>
      <c r="V781" s="332"/>
      <c r="W781" s="345"/>
      <c r="X781" s="346"/>
      <c r="Y781" s="208"/>
      <c r="Z781" s="332"/>
      <c r="AA781" s="342"/>
      <c r="AB781" s="342"/>
      <c r="AC781" s="342"/>
      <c r="AD781" s="347"/>
      <c r="AE781" s="348"/>
      <c r="AF781" s="349"/>
      <c r="AG781" s="350"/>
      <c r="AH781" s="351"/>
      <c r="AI781" s="352"/>
      <c r="AJ781" s="206"/>
      <c r="AK781" s="353"/>
      <c r="AL781" s="206"/>
      <c r="AM781" s="349"/>
      <c r="AN781" s="354"/>
      <c r="AO781" s="355"/>
      <c r="AP781" s="206"/>
      <c r="AQ781" s="207"/>
      <c r="AR781" s="211"/>
      <c r="AS781" s="297">
        <f>+IF(Table1[[#This Row],[Column40]]="ok",Table1[[#This Row],[Column7]],0)</f>
        <v>0</v>
      </c>
      <c r="AT781" s="295">
        <f>+IF(Table1[[#This Row],[Column40]]="No",Table1[[#This Row],[Column7]],0)</f>
        <v>0</v>
      </c>
      <c r="AU781" s="4" t="str">
        <f>+IF(LEFT(Table1[[#This Row],[Column42]],2)="DN",IF(Table1[[#This Row],[Column40]]="ok","(CA)",_xlfn.CONCAT("(CA)",CHAR(10),"FAIL")),"")</f>
        <v/>
      </c>
      <c r="AV781" s="154" t="str">
        <f>+IF(Table1[[#This Row],[Column6]]=0,"",_xlfn.CONCAT("Sem ",WEEKNUM(Table1[[#This Row],[Column6]],2)))</f>
        <v/>
      </c>
      <c r="AW781" s="211"/>
    </row>
    <row r="782" spans="2:49" ht="19.5" customHeight="1" x14ac:dyDescent="0.3">
      <c r="B782" s="356"/>
      <c r="C782" s="331"/>
      <c r="D782" s="332"/>
      <c r="E782" s="332"/>
      <c r="F782" s="333"/>
      <c r="G782" s="334"/>
      <c r="H782" s="335"/>
      <c r="I782" s="336"/>
      <c r="J782" s="337"/>
      <c r="K782" s="338"/>
      <c r="L782" s="339"/>
      <c r="M782" s="340"/>
      <c r="N782" s="341"/>
      <c r="O782" s="332"/>
      <c r="P782" s="342"/>
      <c r="Q782" s="343"/>
      <c r="R782" s="344"/>
      <c r="S782" s="344"/>
      <c r="T782" s="344"/>
      <c r="U782" s="344"/>
      <c r="V782" s="332"/>
      <c r="W782" s="345"/>
      <c r="X782" s="346"/>
      <c r="Y782" s="208"/>
      <c r="Z782" s="332"/>
      <c r="AA782" s="342"/>
      <c r="AB782" s="342"/>
      <c r="AC782" s="342"/>
      <c r="AD782" s="347"/>
      <c r="AE782" s="358"/>
      <c r="AF782" s="349"/>
      <c r="AG782" s="350"/>
      <c r="AH782" s="351"/>
      <c r="AI782" s="351"/>
      <c r="AJ782" s="206"/>
      <c r="AK782" s="353"/>
      <c r="AL782" s="206"/>
      <c r="AM782" s="349"/>
      <c r="AN782" s="354"/>
      <c r="AO782" s="355"/>
      <c r="AP782" s="206"/>
      <c r="AQ782" s="207"/>
      <c r="AR782" s="211"/>
      <c r="AS782" s="297">
        <f>+IF(Table1[[#This Row],[Column40]]="ok",Table1[[#This Row],[Column7]],0)</f>
        <v>0</v>
      </c>
      <c r="AT782" s="295">
        <f>+IF(Table1[[#This Row],[Column40]]="No",Table1[[#This Row],[Column7]],0)</f>
        <v>0</v>
      </c>
      <c r="AU782" s="4" t="str">
        <f>+IF(LEFT(Table1[[#This Row],[Column42]],2)="DN",IF(Table1[[#This Row],[Column40]]="ok","(CA)",_xlfn.CONCAT("(CA)",CHAR(10),"FAIL")),"")</f>
        <v/>
      </c>
      <c r="AV782" s="154" t="str">
        <f>+IF(Table1[[#This Row],[Column6]]=0,"",_xlfn.CONCAT("Sem ",WEEKNUM(Table1[[#This Row],[Column6]],2)))</f>
        <v/>
      </c>
      <c r="AW782" s="211"/>
    </row>
    <row r="783" spans="2:49" ht="19.5" customHeight="1" x14ac:dyDescent="0.3">
      <c r="B783" s="356"/>
      <c r="C783" s="331"/>
      <c r="D783" s="332"/>
      <c r="E783" s="332"/>
      <c r="F783" s="333"/>
      <c r="G783" s="334"/>
      <c r="H783" s="335"/>
      <c r="I783" s="336"/>
      <c r="J783" s="337"/>
      <c r="K783" s="338"/>
      <c r="L783" s="339"/>
      <c r="M783" s="340"/>
      <c r="N783" s="341"/>
      <c r="O783" s="332"/>
      <c r="P783" s="342"/>
      <c r="Q783" s="343"/>
      <c r="R783" s="344"/>
      <c r="S783" s="344"/>
      <c r="T783" s="344"/>
      <c r="U783" s="344"/>
      <c r="V783" s="332"/>
      <c r="W783" s="345"/>
      <c r="X783" s="346"/>
      <c r="Y783" s="208"/>
      <c r="Z783" s="332"/>
      <c r="AA783" s="342"/>
      <c r="AB783" s="342"/>
      <c r="AC783" s="342"/>
      <c r="AD783" s="123"/>
      <c r="AE783" s="358"/>
      <c r="AF783" s="349"/>
      <c r="AG783" s="350"/>
      <c r="AH783" s="351"/>
      <c r="AI783" s="351"/>
      <c r="AJ783" s="206"/>
      <c r="AK783" s="353"/>
      <c r="AL783" s="206"/>
      <c r="AM783" s="349"/>
      <c r="AN783" s="354"/>
      <c r="AO783" s="355"/>
      <c r="AP783" s="206"/>
      <c r="AQ783" s="207"/>
      <c r="AR783" s="211"/>
      <c r="AS783" s="297">
        <f>+IF(Table1[[#This Row],[Column40]]="ok",Table1[[#This Row],[Column7]],0)</f>
        <v>0</v>
      </c>
      <c r="AT783" s="295">
        <f>+IF(Table1[[#This Row],[Column40]]="No",Table1[[#This Row],[Column7]],0)</f>
        <v>0</v>
      </c>
      <c r="AU783" s="4" t="str">
        <f>+IF(LEFT(Table1[[#This Row],[Column42]],2)="DN",IF(Table1[[#This Row],[Column40]]="ok","(CA)",_xlfn.CONCAT("(CA)",CHAR(10),"FAIL")),"")</f>
        <v/>
      </c>
      <c r="AV783" s="154" t="str">
        <f>+IF(Table1[[#This Row],[Column6]]=0,"",_xlfn.CONCAT("Sem ",WEEKNUM(Table1[[#This Row],[Column6]],2)))</f>
        <v/>
      </c>
      <c r="AW783" s="211"/>
    </row>
    <row r="784" spans="2:49" ht="19.5" customHeight="1" x14ac:dyDescent="0.3">
      <c r="B784" s="356"/>
      <c r="C784" s="331"/>
      <c r="D784" s="332"/>
      <c r="E784" s="332"/>
      <c r="F784" s="333"/>
      <c r="G784" s="334"/>
      <c r="H784" s="335"/>
      <c r="I784" s="336"/>
      <c r="J784" s="337"/>
      <c r="K784" s="338"/>
      <c r="L784" s="339"/>
      <c r="M784" s="340"/>
      <c r="N784" s="341"/>
      <c r="O784" s="332"/>
      <c r="P784" s="342"/>
      <c r="Q784" s="343"/>
      <c r="R784" s="344"/>
      <c r="S784" s="344"/>
      <c r="T784" s="344"/>
      <c r="U784" s="344"/>
      <c r="V784" s="332"/>
      <c r="W784" s="345"/>
      <c r="X784" s="346"/>
      <c r="Y784" s="208"/>
      <c r="Z784" s="332"/>
      <c r="AA784" s="342"/>
      <c r="AB784" s="342"/>
      <c r="AC784" s="342"/>
      <c r="AD784" s="347"/>
      <c r="AE784" s="358"/>
      <c r="AF784" s="349"/>
      <c r="AG784" s="350"/>
      <c r="AH784" s="351"/>
      <c r="AI784" s="352"/>
      <c r="AJ784" s="206"/>
      <c r="AK784" s="353"/>
      <c r="AL784" s="206"/>
      <c r="AM784" s="349"/>
      <c r="AN784" s="354"/>
      <c r="AO784" s="355"/>
      <c r="AP784" s="206"/>
      <c r="AQ784" s="246"/>
      <c r="AR784" s="211"/>
      <c r="AS784" s="297">
        <f>+IF(Table1[[#This Row],[Column40]]="ok",Table1[[#This Row],[Column7]],0)</f>
        <v>0</v>
      </c>
      <c r="AT784" s="295">
        <f>+IF(Table1[[#This Row],[Column40]]="No",Table1[[#This Row],[Column7]],0)</f>
        <v>0</v>
      </c>
      <c r="AU784" s="4" t="str">
        <f>+IF(LEFT(Table1[[#This Row],[Column42]],2)="DN",IF(Table1[[#This Row],[Column40]]="ok","(CA)",_xlfn.CONCAT("(CA)",CHAR(10),"FAIL")),"")</f>
        <v/>
      </c>
      <c r="AV784" s="154" t="str">
        <f>+IF(Table1[[#This Row],[Column6]]=0,"",_xlfn.CONCAT("Sem ",WEEKNUM(Table1[[#This Row],[Column6]],2)))</f>
        <v/>
      </c>
      <c r="AW784" s="211"/>
    </row>
    <row r="785" spans="2:49" ht="19.5" customHeight="1" x14ac:dyDescent="0.3">
      <c r="B785" s="356"/>
      <c r="C785" s="331"/>
      <c r="D785" s="332"/>
      <c r="E785" s="332"/>
      <c r="F785" s="333"/>
      <c r="G785" s="334"/>
      <c r="H785" s="335"/>
      <c r="I785" s="336"/>
      <c r="J785" s="337"/>
      <c r="K785" s="338"/>
      <c r="L785" s="339"/>
      <c r="M785" s="340"/>
      <c r="N785" s="341"/>
      <c r="O785" s="332"/>
      <c r="P785" s="342"/>
      <c r="Q785" s="343"/>
      <c r="R785" s="344"/>
      <c r="S785" s="344"/>
      <c r="T785" s="344"/>
      <c r="U785" s="344"/>
      <c r="V785" s="332"/>
      <c r="W785" s="345"/>
      <c r="X785" s="346"/>
      <c r="Y785" s="208"/>
      <c r="Z785" s="332"/>
      <c r="AA785" s="342"/>
      <c r="AB785" s="342"/>
      <c r="AC785" s="342"/>
      <c r="AD785" s="347"/>
      <c r="AE785" s="358"/>
      <c r="AF785" s="349"/>
      <c r="AG785" s="350"/>
      <c r="AH785" s="351"/>
      <c r="AI785" s="352"/>
      <c r="AJ785" s="206"/>
      <c r="AK785" s="353"/>
      <c r="AL785" s="206"/>
      <c r="AM785" s="349"/>
      <c r="AN785" s="354"/>
      <c r="AO785" s="355"/>
      <c r="AP785" s="206"/>
      <c r="AQ785" s="246"/>
      <c r="AR785" s="211"/>
      <c r="AS785" s="297">
        <f>+IF(Table1[[#This Row],[Column40]]="ok",Table1[[#This Row],[Column7]],0)</f>
        <v>0</v>
      </c>
      <c r="AT785" s="295">
        <f>+IF(Table1[[#This Row],[Column40]]="No",Table1[[#This Row],[Column7]],0)</f>
        <v>0</v>
      </c>
      <c r="AU785" s="4" t="str">
        <f>+IF(LEFT(Table1[[#This Row],[Column42]],2)="DN",IF(Table1[[#This Row],[Column40]]="ok","(CA)",_xlfn.CONCAT("(CA)",CHAR(10),"FAIL")),"")</f>
        <v/>
      </c>
      <c r="AV785" s="154" t="str">
        <f>+IF(Table1[[#This Row],[Column6]]=0,"",_xlfn.CONCAT("Sem ",WEEKNUM(Table1[[#This Row],[Column6]],2)))</f>
        <v/>
      </c>
      <c r="AW785" s="211"/>
    </row>
    <row r="786" spans="2:49" ht="19.5" customHeight="1" x14ac:dyDescent="0.3">
      <c r="B786" s="356"/>
      <c r="C786" s="331"/>
      <c r="D786" s="332"/>
      <c r="E786" s="332"/>
      <c r="F786" s="333"/>
      <c r="G786" s="334"/>
      <c r="H786" s="335"/>
      <c r="I786" s="336"/>
      <c r="J786" s="337"/>
      <c r="K786" s="338"/>
      <c r="L786" s="339"/>
      <c r="M786" s="340"/>
      <c r="N786" s="341"/>
      <c r="O786" s="332"/>
      <c r="P786" s="342"/>
      <c r="Q786" s="343"/>
      <c r="R786" s="344"/>
      <c r="S786" s="344"/>
      <c r="T786" s="344"/>
      <c r="U786" s="344"/>
      <c r="V786" s="332"/>
      <c r="W786" s="345"/>
      <c r="X786" s="346"/>
      <c r="Y786" s="208"/>
      <c r="Z786" s="332"/>
      <c r="AA786" s="342"/>
      <c r="AB786" s="342"/>
      <c r="AC786" s="342"/>
      <c r="AD786" s="347"/>
      <c r="AE786" s="358"/>
      <c r="AF786" s="349"/>
      <c r="AG786" s="350"/>
      <c r="AH786" s="351"/>
      <c r="AI786" s="352"/>
      <c r="AJ786" s="206"/>
      <c r="AK786" s="353"/>
      <c r="AL786" s="206"/>
      <c r="AM786" s="349"/>
      <c r="AN786" s="354"/>
      <c r="AO786" s="355"/>
      <c r="AP786" s="206"/>
      <c r="AQ786" s="246"/>
      <c r="AR786" s="211"/>
      <c r="AS786" s="297">
        <f>+IF(Table1[[#This Row],[Column40]]="ok",Table1[[#This Row],[Column7]],0)</f>
        <v>0</v>
      </c>
      <c r="AT786" s="295">
        <f>+IF(Table1[[#This Row],[Column40]]="No",Table1[[#This Row],[Column7]],0)</f>
        <v>0</v>
      </c>
      <c r="AU786" s="4" t="str">
        <f>+IF(LEFT(Table1[[#This Row],[Column42]],2)="DN",IF(Table1[[#This Row],[Column40]]="ok","(CA)",_xlfn.CONCAT("(CA)",CHAR(10),"FAIL")),"")</f>
        <v/>
      </c>
      <c r="AV786" s="154" t="str">
        <f>+IF(Table1[[#This Row],[Column6]]=0,"",_xlfn.CONCAT("Sem ",WEEKNUM(Table1[[#This Row],[Column6]],2)))</f>
        <v/>
      </c>
      <c r="AW786" s="211"/>
    </row>
    <row r="787" spans="2:49" ht="19.5" customHeight="1" x14ac:dyDescent="0.3">
      <c r="B787" s="356"/>
      <c r="C787" s="331"/>
      <c r="D787" s="332"/>
      <c r="E787" s="332"/>
      <c r="F787" s="333"/>
      <c r="G787" s="334"/>
      <c r="H787" s="335"/>
      <c r="I787" s="336"/>
      <c r="J787" s="337"/>
      <c r="K787" s="338"/>
      <c r="L787" s="339"/>
      <c r="M787" s="340"/>
      <c r="N787" s="341"/>
      <c r="O787" s="332"/>
      <c r="P787" s="342"/>
      <c r="Q787" s="343"/>
      <c r="R787" s="344"/>
      <c r="S787" s="344"/>
      <c r="T787" s="344"/>
      <c r="U787" s="344"/>
      <c r="V787" s="332"/>
      <c r="W787" s="345"/>
      <c r="X787" s="346"/>
      <c r="Y787" s="208"/>
      <c r="Z787" s="332"/>
      <c r="AA787" s="342"/>
      <c r="AB787" s="342"/>
      <c r="AC787" s="342"/>
      <c r="AD787" s="347"/>
      <c r="AE787" s="358"/>
      <c r="AF787" s="349"/>
      <c r="AG787" s="350"/>
      <c r="AH787" s="351"/>
      <c r="AI787" s="352"/>
      <c r="AJ787" s="206"/>
      <c r="AK787" s="353"/>
      <c r="AL787" s="206"/>
      <c r="AM787" s="349"/>
      <c r="AN787" s="354"/>
      <c r="AO787" s="355"/>
      <c r="AP787" s="206"/>
      <c r="AQ787" s="246"/>
      <c r="AR787" s="211"/>
      <c r="AS787" s="297">
        <f>+IF(Table1[[#This Row],[Column40]]="ok",Table1[[#This Row],[Column7]],0)</f>
        <v>0</v>
      </c>
      <c r="AT787" s="295">
        <f>+IF(Table1[[#This Row],[Column40]]="No",Table1[[#This Row],[Column7]],0)</f>
        <v>0</v>
      </c>
      <c r="AU787" s="4" t="str">
        <f>+IF(LEFT(Table1[[#This Row],[Column42]],2)="DN",IF(Table1[[#This Row],[Column40]]="ok","(CA)",_xlfn.CONCAT("(CA)",CHAR(10),"FAIL")),"")</f>
        <v/>
      </c>
      <c r="AV787" s="154" t="str">
        <f>+IF(Table1[[#This Row],[Column6]]=0,"",_xlfn.CONCAT("Sem ",WEEKNUM(Table1[[#This Row],[Column6]],2)))</f>
        <v/>
      </c>
      <c r="AW787" s="211"/>
    </row>
    <row r="788" spans="2:49" ht="19.5" customHeight="1" x14ac:dyDescent="0.3">
      <c r="B788" s="356"/>
      <c r="C788" s="331"/>
      <c r="D788" s="332"/>
      <c r="E788" s="332"/>
      <c r="F788" s="333"/>
      <c r="G788" s="334"/>
      <c r="H788" s="335"/>
      <c r="I788" s="336"/>
      <c r="J788" s="337"/>
      <c r="K788" s="338"/>
      <c r="L788" s="339"/>
      <c r="M788" s="340"/>
      <c r="N788" s="341"/>
      <c r="O788" s="332"/>
      <c r="P788" s="342"/>
      <c r="Q788" s="343"/>
      <c r="R788" s="344"/>
      <c r="S788" s="344"/>
      <c r="T788" s="344"/>
      <c r="U788" s="344"/>
      <c r="V788" s="332"/>
      <c r="W788" s="345"/>
      <c r="X788" s="346"/>
      <c r="Y788" s="208"/>
      <c r="Z788" s="332"/>
      <c r="AA788" s="342"/>
      <c r="AB788" s="342"/>
      <c r="AC788" s="342"/>
      <c r="AD788" s="347"/>
      <c r="AE788" s="358"/>
      <c r="AF788" s="349"/>
      <c r="AG788" s="350"/>
      <c r="AH788" s="351"/>
      <c r="AI788" s="352"/>
      <c r="AJ788" s="206"/>
      <c r="AK788" s="353"/>
      <c r="AL788" s="206"/>
      <c r="AM788" s="349"/>
      <c r="AN788" s="354"/>
      <c r="AO788" s="355"/>
      <c r="AP788" s="206"/>
      <c r="AQ788" s="246"/>
      <c r="AR788" s="211"/>
      <c r="AS788" s="297">
        <f>+IF(Table1[[#This Row],[Column40]]="ok",Table1[[#This Row],[Column7]],0)</f>
        <v>0</v>
      </c>
      <c r="AT788" s="295">
        <f>+IF(Table1[[#This Row],[Column40]]="No",Table1[[#This Row],[Column7]],0)</f>
        <v>0</v>
      </c>
      <c r="AU788" s="4" t="str">
        <f>+IF(LEFT(Table1[[#This Row],[Column42]],2)="DN",IF(Table1[[#This Row],[Column40]]="ok","(CA)",_xlfn.CONCAT("(CA)",CHAR(10),"FAIL")),"")</f>
        <v/>
      </c>
      <c r="AV788" s="154" t="str">
        <f>+IF(Table1[[#This Row],[Column6]]=0,"",_xlfn.CONCAT("Sem ",WEEKNUM(Table1[[#This Row],[Column6]],2)))</f>
        <v/>
      </c>
      <c r="AW788" s="211"/>
    </row>
    <row r="789" spans="2:49" ht="19.5" customHeight="1" x14ac:dyDescent="0.3">
      <c r="B789" s="356"/>
      <c r="C789" s="331"/>
      <c r="D789" s="332"/>
      <c r="E789" s="332"/>
      <c r="F789" s="333"/>
      <c r="G789" s="334"/>
      <c r="H789" s="335"/>
      <c r="I789" s="336"/>
      <c r="J789" s="337"/>
      <c r="K789" s="338"/>
      <c r="L789" s="339"/>
      <c r="M789" s="340"/>
      <c r="N789" s="341"/>
      <c r="O789" s="332"/>
      <c r="P789" s="342"/>
      <c r="Q789" s="343"/>
      <c r="R789" s="344"/>
      <c r="S789" s="344"/>
      <c r="T789" s="344"/>
      <c r="U789" s="344"/>
      <c r="V789" s="332"/>
      <c r="W789" s="345"/>
      <c r="X789" s="346"/>
      <c r="Y789" s="208"/>
      <c r="Z789" s="332"/>
      <c r="AA789" s="342"/>
      <c r="AB789" s="342"/>
      <c r="AC789" s="342"/>
      <c r="AD789" s="347"/>
      <c r="AE789" s="358"/>
      <c r="AF789" s="349"/>
      <c r="AG789" s="350"/>
      <c r="AH789" s="351"/>
      <c r="AI789" s="352"/>
      <c r="AJ789" s="206"/>
      <c r="AK789" s="353"/>
      <c r="AL789" s="206"/>
      <c r="AM789" s="349"/>
      <c r="AN789" s="354"/>
      <c r="AO789" s="355"/>
      <c r="AP789" s="206"/>
      <c r="AQ789" s="246"/>
      <c r="AR789" s="211"/>
      <c r="AS789" s="297">
        <f>+IF(Table1[[#This Row],[Column40]]="ok",Table1[[#This Row],[Column7]],0)</f>
        <v>0</v>
      </c>
      <c r="AT789" s="295">
        <f>+IF(Table1[[#This Row],[Column40]]="No",Table1[[#This Row],[Column7]],0)</f>
        <v>0</v>
      </c>
      <c r="AU789" s="4" t="str">
        <f>+IF(LEFT(Table1[[#This Row],[Column42]],2)="DN",IF(Table1[[#This Row],[Column40]]="ok","(CA)",_xlfn.CONCAT("(CA)",CHAR(10),"FAIL")),"")</f>
        <v/>
      </c>
      <c r="AV789" s="154" t="str">
        <f>+IF(Table1[[#This Row],[Column6]]=0,"",_xlfn.CONCAT("Sem ",WEEKNUM(Table1[[#This Row],[Column6]],2)))</f>
        <v/>
      </c>
      <c r="AW789" s="211"/>
    </row>
    <row r="790" spans="2:49" ht="19.5" customHeight="1" x14ac:dyDescent="0.3">
      <c r="B790" s="356"/>
      <c r="C790" s="331"/>
      <c r="D790" s="332"/>
      <c r="E790" s="332"/>
      <c r="F790" s="333"/>
      <c r="G790" s="334"/>
      <c r="H790" s="335"/>
      <c r="I790" s="336"/>
      <c r="J790" s="337"/>
      <c r="K790" s="338"/>
      <c r="L790" s="339"/>
      <c r="M790" s="340"/>
      <c r="N790" s="341"/>
      <c r="O790" s="332"/>
      <c r="P790" s="342"/>
      <c r="Q790" s="343"/>
      <c r="R790" s="344"/>
      <c r="S790" s="344"/>
      <c r="T790" s="344"/>
      <c r="U790" s="344"/>
      <c r="V790" s="332"/>
      <c r="W790" s="345"/>
      <c r="X790" s="346"/>
      <c r="Y790" s="208"/>
      <c r="Z790" s="332"/>
      <c r="AA790" s="342"/>
      <c r="AB790" s="342"/>
      <c r="AC790" s="342"/>
      <c r="AD790" s="347"/>
      <c r="AE790" s="358"/>
      <c r="AF790" s="349"/>
      <c r="AG790" s="350"/>
      <c r="AH790" s="351"/>
      <c r="AI790" s="351"/>
      <c r="AJ790" s="206"/>
      <c r="AK790" s="353"/>
      <c r="AL790" s="206"/>
      <c r="AM790" s="349"/>
      <c r="AN790" s="354"/>
      <c r="AO790" s="355"/>
      <c r="AP790" s="206"/>
      <c r="AQ790" s="246"/>
      <c r="AR790" s="211"/>
      <c r="AS790" s="297">
        <f>+IF(Table1[[#This Row],[Column40]]="ok",Table1[[#This Row],[Column7]],0)</f>
        <v>0</v>
      </c>
      <c r="AT790" s="295">
        <f>+IF(Table1[[#This Row],[Column40]]="No",Table1[[#This Row],[Column7]],0)</f>
        <v>0</v>
      </c>
      <c r="AU790" s="4" t="str">
        <f>+IF(LEFT(Table1[[#This Row],[Column42]],2)="DN",IF(Table1[[#This Row],[Column40]]="ok","(CA)",_xlfn.CONCAT("(CA)",CHAR(10),"FAIL")),"")</f>
        <v/>
      </c>
      <c r="AV790" s="154" t="str">
        <f>+IF(Table1[[#This Row],[Column6]]=0,"",_xlfn.CONCAT("Sem ",WEEKNUM(Table1[[#This Row],[Column6]],2)))</f>
        <v/>
      </c>
      <c r="AW790" s="211"/>
    </row>
    <row r="791" spans="2:49" ht="19.5" customHeight="1" x14ac:dyDescent="0.3">
      <c r="B791" s="356"/>
      <c r="C791" s="331"/>
      <c r="D791" s="332"/>
      <c r="E791" s="332"/>
      <c r="F791" s="333"/>
      <c r="G791" s="334"/>
      <c r="H791" s="335"/>
      <c r="I791" s="336"/>
      <c r="J791" s="337"/>
      <c r="K791" s="338"/>
      <c r="L791" s="339"/>
      <c r="M791" s="340"/>
      <c r="N791" s="341"/>
      <c r="O791" s="332"/>
      <c r="P791" s="342"/>
      <c r="Q791" s="343"/>
      <c r="R791" s="344"/>
      <c r="S791" s="344"/>
      <c r="T791" s="344"/>
      <c r="U791" s="344"/>
      <c r="V791" s="332"/>
      <c r="W791" s="345"/>
      <c r="X791" s="346"/>
      <c r="Y791" s="208"/>
      <c r="Z791" s="332"/>
      <c r="AA791" s="342"/>
      <c r="AB791" s="342"/>
      <c r="AC791" s="342"/>
      <c r="AD791" s="347"/>
      <c r="AE791" s="358"/>
      <c r="AF791" s="349"/>
      <c r="AG791" s="350"/>
      <c r="AH791" s="351"/>
      <c r="AI791" s="352"/>
      <c r="AJ791" s="206"/>
      <c r="AK791" s="353"/>
      <c r="AL791" s="206"/>
      <c r="AM791" s="349"/>
      <c r="AN791" s="354"/>
      <c r="AO791" s="355"/>
      <c r="AP791" s="206"/>
      <c r="AQ791" s="246"/>
      <c r="AR791" s="211"/>
      <c r="AS791" s="297">
        <f>+IF(Table1[[#This Row],[Column40]]="ok",Table1[[#This Row],[Column7]],0)</f>
        <v>0</v>
      </c>
      <c r="AT791" s="295">
        <f>+IF(Table1[[#This Row],[Column40]]="No",Table1[[#This Row],[Column7]],0)</f>
        <v>0</v>
      </c>
      <c r="AU791" s="4" t="str">
        <f>+IF(LEFT(Table1[[#This Row],[Column42]],2)="DN",IF(Table1[[#This Row],[Column40]]="ok","(CA)",_xlfn.CONCAT("(CA)",CHAR(10),"FAIL")),"")</f>
        <v/>
      </c>
      <c r="AV791" s="154" t="str">
        <f>+IF(Table1[[#This Row],[Column6]]=0,"",_xlfn.CONCAT("Sem ",WEEKNUM(Table1[[#This Row],[Column6]],2)))</f>
        <v/>
      </c>
      <c r="AW791" s="211"/>
    </row>
    <row r="792" spans="2:49" ht="19.5" customHeight="1" x14ac:dyDescent="0.3">
      <c r="B792" s="356"/>
      <c r="C792" s="331"/>
      <c r="D792" s="332"/>
      <c r="E792" s="332"/>
      <c r="F792" s="333"/>
      <c r="G792" s="334"/>
      <c r="H792" s="335"/>
      <c r="I792" s="336"/>
      <c r="J792" s="337"/>
      <c r="K792" s="338"/>
      <c r="L792" s="339"/>
      <c r="M792" s="340"/>
      <c r="N792" s="341"/>
      <c r="O792" s="332"/>
      <c r="P792" s="342"/>
      <c r="Q792" s="343"/>
      <c r="R792" s="344"/>
      <c r="S792" s="344"/>
      <c r="T792" s="344"/>
      <c r="U792" s="344"/>
      <c r="V792" s="332"/>
      <c r="W792" s="345"/>
      <c r="X792" s="346"/>
      <c r="Y792" s="208"/>
      <c r="Z792" s="332"/>
      <c r="AA792" s="342"/>
      <c r="AB792" s="342"/>
      <c r="AC792" s="342"/>
      <c r="AD792" s="347"/>
      <c r="AE792" s="358"/>
      <c r="AF792" s="349"/>
      <c r="AG792" s="350"/>
      <c r="AH792" s="351"/>
      <c r="AI792" s="352"/>
      <c r="AJ792" s="206"/>
      <c r="AK792" s="353"/>
      <c r="AL792" s="206"/>
      <c r="AM792" s="349"/>
      <c r="AN792" s="354"/>
      <c r="AO792" s="355"/>
      <c r="AP792" s="206"/>
      <c r="AQ792" s="246"/>
      <c r="AR792" s="211"/>
      <c r="AS792" s="297">
        <f>+IF(Table1[[#This Row],[Column40]]="ok",Table1[[#This Row],[Column7]],0)</f>
        <v>0</v>
      </c>
      <c r="AT792" s="295">
        <f>+IF(Table1[[#This Row],[Column40]]="No",Table1[[#This Row],[Column7]],0)</f>
        <v>0</v>
      </c>
      <c r="AU792" s="4" t="str">
        <f>+IF(LEFT(Table1[[#This Row],[Column42]],2)="DN",IF(Table1[[#This Row],[Column40]]="ok","(CA)",_xlfn.CONCAT("(CA)",CHAR(10),"FAIL")),"")</f>
        <v/>
      </c>
      <c r="AV792" s="154" t="str">
        <f>+IF(Table1[[#This Row],[Column6]]=0,"",_xlfn.CONCAT("Sem ",WEEKNUM(Table1[[#This Row],[Column6]],2)))</f>
        <v/>
      </c>
      <c r="AW792" s="211"/>
    </row>
    <row r="793" spans="2:49" ht="19.5" customHeight="1" x14ac:dyDescent="0.3">
      <c r="B793" s="356"/>
      <c r="C793" s="331"/>
      <c r="D793" s="332"/>
      <c r="E793" s="332"/>
      <c r="F793" s="333"/>
      <c r="G793" s="334"/>
      <c r="H793" s="335"/>
      <c r="I793" s="336"/>
      <c r="J793" s="337"/>
      <c r="K793" s="338"/>
      <c r="L793" s="339"/>
      <c r="M793" s="340"/>
      <c r="N793" s="341"/>
      <c r="O793" s="332"/>
      <c r="P793" s="342"/>
      <c r="Q793" s="343"/>
      <c r="R793" s="344"/>
      <c r="S793" s="344"/>
      <c r="T793" s="344"/>
      <c r="U793" s="344"/>
      <c r="V793" s="332"/>
      <c r="W793" s="345"/>
      <c r="X793" s="346"/>
      <c r="Y793" s="208"/>
      <c r="Z793" s="332"/>
      <c r="AA793" s="342"/>
      <c r="AB793" s="342"/>
      <c r="AC793" s="342"/>
      <c r="AD793" s="347"/>
      <c r="AE793" s="358"/>
      <c r="AF793" s="349"/>
      <c r="AG793" s="350"/>
      <c r="AH793" s="351"/>
      <c r="AI793" s="352"/>
      <c r="AJ793" s="206"/>
      <c r="AK793" s="353"/>
      <c r="AL793" s="206"/>
      <c r="AM793" s="349"/>
      <c r="AN793" s="354"/>
      <c r="AO793" s="355"/>
      <c r="AP793" s="206"/>
      <c r="AQ793" s="246"/>
      <c r="AR793" s="211"/>
      <c r="AS793" s="297">
        <f>+IF(Table1[[#This Row],[Column40]]="ok",Table1[[#This Row],[Column7]],0)</f>
        <v>0</v>
      </c>
      <c r="AT793" s="295">
        <f>+IF(Table1[[#This Row],[Column40]]="No",Table1[[#This Row],[Column7]],0)</f>
        <v>0</v>
      </c>
      <c r="AU793" s="4" t="str">
        <f>+IF(LEFT(Table1[[#This Row],[Column42]],2)="DN",IF(Table1[[#This Row],[Column40]]="ok","(CA)",_xlfn.CONCAT("(CA)",CHAR(10),"FAIL")),"")</f>
        <v/>
      </c>
      <c r="AV793" s="154" t="str">
        <f>+IF(Table1[[#This Row],[Column6]]=0,"",_xlfn.CONCAT("Sem ",WEEKNUM(Table1[[#This Row],[Column6]],2)))</f>
        <v/>
      </c>
      <c r="AW793" s="211"/>
    </row>
    <row r="794" spans="2:49" ht="19.5" customHeight="1" x14ac:dyDescent="0.3">
      <c r="B794" s="356"/>
      <c r="C794" s="331"/>
      <c r="D794" s="332"/>
      <c r="E794" s="332"/>
      <c r="F794" s="333"/>
      <c r="G794" s="334"/>
      <c r="H794" s="335"/>
      <c r="I794" s="336"/>
      <c r="J794" s="337"/>
      <c r="K794" s="338"/>
      <c r="L794" s="339"/>
      <c r="M794" s="340"/>
      <c r="N794" s="341"/>
      <c r="O794" s="332"/>
      <c r="P794" s="342"/>
      <c r="Q794" s="343"/>
      <c r="R794" s="344"/>
      <c r="S794" s="344"/>
      <c r="T794" s="344"/>
      <c r="U794" s="344"/>
      <c r="V794" s="332"/>
      <c r="W794" s="345"/>
      <c r="X794" s="346"/>
      <c r="Y794" s="208"/>
      <c r="Z794" s="332"/>
      <c r="AA794" s="342"/>
      <c r="AB794" s="342"/>
      <c r="AC794" s="342"/>
      <c r="AD794" s="347"/>
      <c r="AE794" s="358"/>
      <c r="AF794" s="349"/>
      <c r="AG794" s="350"/>
      <c r="AH794" s="351"/>
      <c r="AI794" s="352"/>
      <c r="AJ794" s="206"/>
      <c r="AK794" s="353"/>
      <c r="AL794" s="206"/>
      <c r="AM794" s="349"/>
      <c r="AN794" s="354"/>
      <c r="AO794" s="355"/>
      <c r="AP794" s="206"/>
      <c r="AQ794" s="246"/>
      <c r="AR794" s="211"/>
      <c r="AS794" s="297">
        <f>+IF(Table1[[#This Row],[Column40]]="ok",Table1[[#This Row],[Column7]],0)</f>
        <v>0</v>
      </c>
      <c r="AT794" s="295">
        <f>+IF(Table1[[#This Row],[Column40]]="No",Table1[[#This Row],[Column7]],0)</f>
        <v>0</v>
      </c>
      <c r="AU794" s="4" t="str">
        <f>+IF(LEFT(Table1[[#This Row],[Column42]],2)="DN",IF(Table1[[#This Row],[Column40]]="ok","(CA)",_xlfn.CONCAT("(CA)",CHAR(10),"FAIL")),"")</f>
        <v/>
      </c>
      <c r="AV794" s="154" t="str">
        <f>+IF(Table1[[#This Row],[Column6]]=0,"",_xlfn.CONCAT("Sem ",WEEKNUM(Table1[[#This Row],[Column6]],2)))</f>
        <v/>
      </c>
      <c r="AW794" s="211"/>
    </row>
    <row r="795" spans="2:49" ht="19.5" customHeight="1" x14ac:dyDescent="0.3">
      <c r="B795" s="356"/>
      <c r="C795" s="331"/>
      <c r="D795" s="332"/>
      <c r="E795" s="332"/>
      <c r="F795" s="333"/>
      <c r="G795" s="334"/>
      <c r="H795" s="335"/>
      <c r="I795" s="336"/>
      <c r="J795" s="337"/>
      <c r="K795" s="338"/>
      <c r="L795" s="339"/>
      <c r="M795" s="340"/>
      <c r="N795" s="341"/>
      <c r="O795" s="332"/>
      <c r="P795" s="342"/>
      <c r="Q795" s="343"/>
      <c r="R795" s="344"/>
      <c r="S795" s="344"/>
      <c r="T795" s="344"/>
      <c r="U795" s="344"/>
      <c r="V795" s="332"/>
      <c r="W795" s="345"/>
      <c r="X795" s="346"/>
      <c r="Y795" s="208"/>
      <c r="Z795" s="332"/>
      <c r="AA795" s="342"/>
      <c r="AB795" s="342"/>
      <c r="AC795" s="342"/>
      <c r="AD795" s="347"/>
      <c r="AE795" s="358"/>
      <c r="AF795" s="349"/>
      <c r="AG795" s="350"/>
      <c r="AH795" s="351"/>
      <c r="AI795" s="352"/>
      <c r="AJ795" s="206"/>
      <c r="AK795" s="353"/>
      <c r="AL795" s="206"/>
      <c r="AM795" s="349"/>
      <c r="AN795" s="354"/>
      <c r="AO795" s="355"/>
      <c r="AP795" s="206"/>
      <c r="AQ795" s="246"/>
      <c r="AR795" s="211"/>
      <c r="AS795" s="297">
        <f>+IF(Table1[[#This Row],[Column40]]="ok",Table1[[#This Row],[Column7]],0)</f>
        <v>0</v>
      </c>
      <c r="AT795" s="295">
        <f>+IF(Table1[[#This Row],[Column40]]="No",Table1[[#This Row],[Column7]],0)</f>
        <v>0</v>
      </c>
      <c r="AU795" s="4" t="str">
        <f>+IF(LEFT(Table1[[#This Row],[Column42]],2)="DN",IF(Table1[[#This Row],[Column40]]="ok","(CA)",_xlfn.CONCAT("(CA)",CHAR(10),"FAIL")),"")</f>
        <v/>
      </c>
      <c r="AV795" s="154" t="str">
        <f>+IF(Table1[[#This Row],[Column6]]=0,"",_xlfn.CONCAT("Sem ",WEEKNUM(Table1[[#This Row],[Column6]],2)))</f>
        <v/>
      </c>
      <c r="AW795" s="211"/>
    </row>
    <row r="796" spans="2:49" ht="19.5" customHeight="1" x14ac:dyDescent="0.3">
      <c r="B796" s="356"/>
      <c r="C796" s="331"/>
      <c r="D796" s="332"/>
      <c r="E796" s="332"/>
      <c r="F796" s="333"/>
      <c r="G796" s="334"/>
      <c r="H796" s="335"/>
      <c r="I796" s="336"/>
      <c r="J796" s="337"/>
      <c r="K796" s="338"/>
      <c r="L796" s="339"/>
      <c r="M796" s="340"/>
      <c r="N796" s="341"/>
      <c r="O796" s="332"/>
      <c r="P796" s="342"/>
      <c r="Q796" s="343"/>
      <c r="R796" s="344"/>
      <c r="S796" s="344"/>
      <c r="T796" s="344"/>
      <c r="U796" s="344"/>
      <c r="V796" s="332"/>
      <c r="W796" s="345"/>
      <c r="X796" s="346"/>
      <c r="Y796" s="208"/>
      <c r="Z796" s="332"/>
      <c r="AA796" s="342"/>
      <c r="AB796" s="342"/>
      <c r="AC796" s="342"/>
      <c r="AD796" s="347"/>
      <c r="AE796" s="358"/>
      <c r="AF796" s="349"/>
      <c r="AG796" s="350"/>
      <c r="AH796" s="351"/>
      <c r="AI796" s="352"/>
      <c r="AJ796" s="206"/>
      <c r="AK796" s="353"/>
      <c r="AL796" s="206"/>
      <c r="AM796" s="349"/>
      <c r="AN796" s="354"/>
      <c r="AO796" s="355"/>
      <c r="AP796" s="206"/>
      <c r="AQ796" s="246"/>
      <c r="AR796" s="211"/>
      <c r="AS796" s="297">
        <f>+IF(Table1[[#This Row],[Column40]]="ok",Table1[[#This Row],[Column7]],0)</f>
        <v>0</v>
      </c>
      <c r="AT796" s="295">
        <f>+IF(Table1[[#This Row],[Column40]]="No",Table1[[#This Row],[Column7]],0)</f>
        <v>0</v>
      </c>
      <c r="AU796" s="4" t="str">
        <f>+IF(LEFT(Table1[[#This Row],[Column42]],2)="DN",IF(Table1[[#This Row],[Column40]]="ok","(CA)",_xlfn.CONCAT("(CA)",CHAR(10),"FAIL")),"")</f>
        <v/>
      </c>
      <c r="AV796" s="154" t="str">
        <f>+IF(Table1[[#This Row],[Column6]]=0,"",_xlfn.CONCAT("Sem ",WEEKNUM(Table1[[#This Row],[Column6]],2)))</f>
        <v/>
      </c>
      <c r="AW796" s="211"/>
    </row>
    <row r="797" spans="2:49" ht="19.5" customHeight="1" x14ac:dyDescent="0.3">
      <c r="B797" s="356"/>
      <c r="C797" s="331"/>
      <c r="D797" s="332"/>
      <c r="E797" s="332"/>
      <c r="F797" s="333"/>
      <c r="G797" s="334"/>
      <c r="H797" s="335"/>
      <c r="I797" s="336"/>
      <c r="J797" s="337"/>
      <c r="K797" s="338"/>
      <c r="L797" s="339"/>
      <c r="M797" s="340"/>
      <c r="N797" s="341"/>
      <c r="O797" s="332"/>
      <c r="P797" s="342"/>
      <c r="Q797" s="343"/>
      <c r="R797" s="344"/>
      <c r="S797" s="344"/>
      <c r="T797" s="344"/>
      <c r="U797" s="344"/>
      <c r="V797" s="332"/>
      <c r="W797" s="345"/>
      <c r="X797" s="346"/>
      <c r="Y797" s="208"/>
      <c r="Z797" s="332"/>
      <c r="AA797" s="342"/>
      <c r="AB797" s="342"/>
      <c r="AC797" s="342"/>
      <c r="AD797" s="347"/>
      <c r="AE797" s="358"/>
      <c r="AF797" s="349"/>
      <c r="AG797" s="350"/>
      <c r="AH797" s="351"/>
      <c r="AI797" s="352"/>
      <c r="AJ797" s="206"/>
      <c r="AK797" s="353"/>
      <c r="AL797" s="206"/>
      <c r="AM797" s="349"/>
      <c r="AN797" s="354"/>
      <c r="AO797" s="355"/>
      <c r="AP797" s="206"/>
      <c r="AQ797" s="246"/>
      <c r="AR797" s="211"/>
      <c r="AS797" s="297">
        <f>+IF(Table1[[#This Row],[Column40]]="ok",Table1[[#This Row],[Column7]],0)</f>
        <v>0</v>
      </c>
      <c r="AT797" s="295">
        <f>+IF(Table1[[#This Row],[Column40]]="No",Table1[[#This Row],[Column7]],0)</f>
        <v>0</v>
      </c>
      <c r="AU797" s="4" t="str">
        <f>+IF(LEFT(Table1[[#This Row],[Column42]],2)="DN",IF(Table1[[#This Row],[Column40]]="ok","(CA)",_xlfn.CONCAT("(CA)",CHAR(10),"FAIL")),"")</f>
        <v/>
      </c>
      <c r="AV797" s="154" t="str">
        <f>+IF(Table1[[#This Row],[Column6]]=0,"",_xlfn.CONCAT("Sem ",WEEKNUM(Table1[[#This Row],[Column6]],2)))</f>
        <v/>
      </c>
      <c r="AW797" s="211"/>
    </row>
    <row r="798" spans="2:49" ht="19.5" customHeight="1" x14ac:dyDescent="0.3">
      <c r="B798" s="356"/>
      <c r="C798" s="331"/>
      <c r="D798" s="332"/>
      <c r="E798" s="332"/>
      <c r="F798" s="333"/>
      <c r="G798" s="334"/>
      <c r="H798" s="335"/>
      <c r="I798" s="336"/>
      <c r="J798" s="337"/>
      <c r="K798" s="338"/>
      <c r="L798" s="339"/>
      <c r="M798" s="340"/>
      <c r="N798" s="341"/>
      <c r="O798" s="332"/>
      <c r="P798" s="342"/>
      <c r="Q798" s="343"/>
      <c r="R798" s="344"/>
      <c r="S798" s="344"/>
      <c r="T798" s="344"/>
      <c r="U798" s="344"/>
      <c r="V798" s="332"/>
      <c r="W798" s="345"/>
      <c r="X798" s="346"/>
      <c r="Y798" s="208"/>
      <c r="Z798" s="332"/>
      <c r="AA798" s="342"/>
      <c r="AB798" s="342"/>
      <c r="AC798" s="342"/>
      <c r="AD798" s="347"/>
      <c r="AE798" s="358"/>
      <c r="AF798" s="349"/>
      <c r="AG798" s="350"/>
      <c r="AH798" s="351"/>
      <c r="AI798" s="352"/>
      <c r="AJ798" s="206"/>
      <c r="AK798" s="353"/>
      <c r="AL798" s="206"/>
      <c r="AM798" s="349"/>
      <c r="AN798" s="354"/>
      <c r="AO798" s="355"/>
      <c r="AP798" s="206"/>
      <c r="AQ798" s="246"/>
      <c r="AR798" s="211"/>
      <c r="AS798" s="297">
        <f>+IF(Table1[[#This Row],[Column40]]="ok",Table1[[#This Row],[Column7]],0)</f>
        <v>0</v>
      </c>
      <c r="AT798" s="295">
        <f>+IF(Table1[[#This Row],[Column40]]="No",Table1[[#This Row],[Column7]],0)</f>
        <v>0</v>
      </c>
      <c r="AU798" s="4" t="str">
        <f>+IF(LEFT(Table1[[#This Row],[Column42]],2)="DN",IF(Table1[[#This Row],[Column40]]="ok","(CA)",_xlfn.CONCAT("(CA)",CHAR(10),"FAIL")),"")</f>
        <v/>
      </c>
      <c r="AV798" s="154" t="str">
        <f>+IF(Table1[[#This Row],[Column6]]=0,"",_xlfn.CONCAT("Sem ",WEEKNUM(Table1[[#This Row],[Column6]],2)))</f>
        <v/>
      </c>
      <c r="AW798" s="211"/>
    </row>
    <row r="799" spans="2:49" ht="19.5" customHeight="1" x14ac:dyDescent="0.3">
      <c r="B799" s="356"/>
      <c r="C799" s="331"/>
      <c r="D799" s="332"/>
      <c r="E799" s="332"/>
      <c r="F799" s="333"/>
      <c r="G799" s="334"/>
      <c r="H799" s="335"/>
      <c r="I799" s="336"/>
      <c r="J799" s="337"/>
      <c r="K799" s="338"/>
      <c r="L799" s="339"/>
      <c r="M799" s="340"/>
      <c r="N799" s="341"/>
      <c r="O799" s="332"/>
      <c r="P799" s="342"/>
      <c r="Q799" s="343"/>
      <c r="R799" s="344"/>
      <c r="S799" s="344"/>
      <c r="T799" s="344"/>
      <c r="U799" s="344"/>
      <c r="V799" s="332"/>
      <c r="W799" s="345"/>
      <c r="X799" s="346"/>
      <c r="Y799" s="208"/>
      <c r="Z799" s="332"/>
      <c r="AA799" s="342"/>
      <c r="AB799" s="342"/>
      <c r="AC799" s="342"/>
      <c r="AD799" s="347"/>
      <c r="AE799" s="358"/>
      <c r="AF799" s="349"/>
      <c r="AG799" s="350"/>
      <c r="AH799" s="351"/>
      <c r="AI799" s="352"/>
      <c r="AJ799" s="206"/>
      <c r="AK799" s="353"/>
      <c r="AL799" s="206"/>
      <c r="AM799" s="349"/>
      <c r="AN799" s="354"/>
      <c r="AO799" s="355"/>
      <c r="AP799" s="206"/>
      <c r="AQ799" s="246"/>
      <c r="AR799" s="211"/>
      <c r="AS799" s="297">
        <f>+IF(Table1[[#This Row],[Column40]]="ok",Table1[[#This Row],[Column7]],0)</f>
        <v>0</v>
      </c>
      <c r="AT799" s="295">
        <f>+IF(Table1[[#This Row],[Column40]]="No",Table1[[#This Row],[Column7]],0)</f>
        <v>0</v>
      </c>
      <c r="AU799" s="4" t="str">
        <f>+IF(LEFT(Table1[[#This Row],[Column42]],2)="DN",IF(Table1[[#This Row],[Column40]]="ok","(CA)",_xlfn.CONCAT("(CA)",CHAR(10),"FAIL")),"")</f>
        <v/>
      </c>
      <c r="AV799" s="154" t="str">
        <f>+IF(Table1[[#This Row],[Column6]]=0,"",_xlfn.CONCAT("Sem ",WEEKNUM(Table1[[#This Row],[Column6]],2)))</f>
        <v/>
      </c>
      <c r="AW799" s="211"/>
    </row>
    <row r="800" spans="2:49" ht="19.5" customHeight="1" x14ac:dyDescent="0.3">
      <c r="B800" s="356"/>
      <c r="C800" s="331"/>
      <c r="D800" s="332"/>
      <c r="E800" s="332"/>
      <c r="F800" s="333"/>
      <c r="G800" s="334"/>
      <c r="H800" s="335"/>
      <c r="I800" s="336"/>
      <c r="J800" s="337"/>
      <c r="K800" s="338"/>
      <c r="L800" s="339"/>
      <c r="M800" s="340"/>
      <c r="N800" s="341"/>
      <c r="O800" s="332"/>
      <c r="P800" s="342"/>
      <c r="Q800" s="343"/>
      <c r="R800" s="344"/>
      <c r="S800" s="344"/>
      <c r="T800" s="344"/>
      <c r="U800" s="344"/>
      <c r="V800" s="332"/>
      <c r="W800" s="345"/>
      <c r="X800" s="346"/>
      <c r="Y800" s="208"/>
      <c r="Z800" s="332"/>
      <c r="AA800" s="342"/>
      <c r="AB800" s="342"/>
      <c r="AC800" s="342"/>
      <c r="AD800" s="347"/>
      <c r="AE800" s="358"/>
      <c r="AF800" s="349"/>
      <c r="AG800" s="350"/>
      <c r="AH800" s="351"/>
      <c r="AI800" s="352"/>
      <c r="AJ800" s="206"/>
      <c r="AK800" s="353"/>
      <c r="AL800" s="206"/>
      <c r="AM800" s="349"/>
      <c r="AN800" s="354"/>
      <c r="AO800" s="355"/>
      <c r="AP800" s="206"/>
      <c r="AQ800" s="246"/>
      <c r="AR800" s="211"/>
      <c r="AS800" s="297">
        <f>+IF(Table1[[#This Row],[Column40]]="ok",Table1[[#This Row],[Column7]],0)</f>
        <v>0</v>
      </c>
      <c r="AT800" s="295">
        <f>+IF(Table1[[#This Row],[Column40]]="No",Table1[[#This Row],[Column7]],0)</f>
        <v>0</v>
      </c>
      <c r="AU800" s="4" t="str">
        <f>+IF(LEFT(Table1[[#This Row],[Column42]],2)="DN",IF(Table1[[#This Row],[Column40]]="ok","(CA)",_xlfn.CONCAT("(CA)",CHAR(10),"FAIL")),"")</f>
        <v/>
      </c>
      <c r="AV800" s="154" t="str">
        <f>+IF(Table1[[#This Row],[Column6]]=0,"",_xlfn.CONCAT("Sem ",WEEKNUM(Table1[[#This Row],[Column6]],2)))</f>
        <v/>
      </c>
      <c r="AW800" s="211"/>
    </row>
    <row r="801" spans="2:49" ht="19.5" customHeight="1" x14ac:dyDescent="0.3">
      <c r="B801" s="356"/>
      <c r="C801" s="331"/>
      <c r="D801" s="332"/>
      <c r="E801" s="332"/>
      <c r="F801" s="333"/>
      <c r="G801" s="334"/>
      <c r="H801" s="335"/>
      <c r="I801" s="336"/>
      <c r="J801" s="337"/>
      <c r="K801" s="338"/>
      <c r="L801" s="339"/>
      <c r="M801" s="340"/>
      <c r="N801" s="341"/>
      <c r="O801" s="332"/>
      <c r="P801" s="342"/>
      <c r="Q801" s="343"/>
      <c r="R801" s="344"/>
      <c r="S801" s="344"/>
      <c r="T801" s="344"/>
      <c r="U801" s="344"/>
      <c r="V801" s="332"/>
      <c r="W801" s="345"/>
      <c r="X801" s="346"/>
      <c r="Y801" s="208"/>
      <c r="Z801" s="332"/>
      <c r="AA801" s="342"/>
      <c r="AB801" s="342"/>
      <c r="AC801" s="342"/>
      <c r="AD801" s="347"/>
      <c r="AE801" s="358"/>
      <c r="AF801" s="349"/>
      <c r="AG801" s="350"/>
      <c r="AH801" s="351"/>
      <c r="AI801" s="352"/>
      <c r="AJ801" s="206"/>
      <c r="AK801" s="353"/>
      <c r="AL801" s="206"/>
      <c r="AM801" s="349"/>
      <c r="AN801" s="354"/>
      <c r="AO801" s="355"/>
      <c r="AP801" s="206"/>
      <c r="AQ801" s="246"/>
      <c r="AR801" s="211"/>
      <c r="AS801" s="297">
        <f>+IF(Table1[[#This Row],[Column40]]="ok",Table1[[#This Row],[Column7]],0)</f>
        <v>0</v>
      </c>
      <c r="AT801" s="295">
        <f>+IF(Table1[[#This Row],[Column40]]="No",Table1[[#This Row],[Column7]],0)</f>
        <v>0</v>
      </c>
      <c r="AU801" s="4" t="str">
        <f>+IF(LEFT(Table1[[#This Row],[Column42]],2)="DN",IF(Table1[[#This Row],[Column40]]="ok","(CA)",_xlfn.CONCAT("(CA)",CHAR(10),"FAIL")),"")</f>
        <v/>
      </c>
      <c r="AV801" s="154" t="str">
        <f>+IF(Table1[[#This Row],[Column6]]=0,"",_xlfn.CONCAT("Sem ",WEEKNUM(Table1[[#This Row],[Column6]],2)))</f>
        <v/>
      </c>
      <c r="AW801" s="211"/>
    </row>
    <row r="802" spans="2:49" ht="19.5" customHeight="1" x14ac:dyDescent="0.3">
      <c r="B802" s="356"/>
      <c r="C802" s="331"/>
      <c r="D802" s="332"/>
      <c r="E802" s="332"/>
      <c r="F802" s="333"/>
      <c r="G802" s="334"/>
      <c r="H802" s="335"/>
      <c r="I802" s="336"/>
      <c r="J802" s="337"/>
      <c r="K802" s="338"/>
      <c r="L802" s="339"/>
      <c r="M802" s="340"/>
      <c r="N802" s="341"/>
      <c r="O802" s="332"/>
      <c r="P802" s="342"/>
      <c r="Q802" s="343"/>
      <c r="R802" s="344"/>
      <c r="S802" s="344"/>
      <c r="T802" s="344"/>
      <c r="U802" s="344"/>
      <c r="V802" s="332"/>
      <c r="W802" s="345"/>
      <c r="X802" s="346"/>
      <c r="Y802" s="208"/>
      <c r="Z802" s="332"/>
      <c r="AA802" s="342"/>
      <c r="AB802" s="342"/>
      <c r="AC802" s="342"/>
      <c r="AD802" s="347"/>
      <c r="AE802" s="348"/>
      <c r="AF802" s="349"/>
      <c r="AG802" s="350"/>
      <c r="AH802" s="351"/>
      <c r="AI802" s="352"/>
      <c r="AJ802" s="206"/>
      <c r="AK802" s="353"/>
      <c r="AL802" s="206"/>
      <c r="AM802" s="349"/>
      <c r="AN802" s="354"/>
      <c r="AO802" s="355"/>
      <c r="AP802" s="206"/>
      <c r="AQ802" s="207"/>
      <c r="AR802" s="211"/>
      <c r="AS802" s="297">
        <f>+IF(Table1[[#This Row],[Column40]]="ok",Table1[[#This Row],[Column7]],0)</f>
        <v>0</v>
      </c>
      <c r="AT802" s="295">
        <f>+IF(Table1[[#This Row],[Column40]]="No",Table1[[#This Row],[Column7]],0)</f>
        <v>0</v>
      </c>
      <c r="AU802" s="4" t="str">
        <f>+IF(LEFT(Table1[[#This Row],[Column42]],2)="DN",IF(Table1[[#This Row],[Column40]]="ok","(CA)",_xlfn.CONCAT("(CA)",CHAR(10),"FAIL")),"")</f>
        <v/>
      </c>
      <c r="AV802" s="154" t="str">
        <f>+IF(Table1[[#This Row],[Column6]]=0,"",_xlfn.CONCAT("Sem ",WEEKNUM(Table1[[#This Row],[Column6]],2)))</f>
        <v/>
      </c>
      <c r="AW802" s="211"/>
    </row>
    <row r="803" spans="2:49" ht="19.5" customHeight="1" x14ac:dyDescent="0.3">
      <c r="B803" s="356"/>
      <c r="C803" s="331"/>
      <c r="D803" s="332"/>
      <c r="E803" s="332"/>
      <c r="F803" s="333"/>
      <c r="G803" s="334"/>
      <c r="H803" s="335"/>
      <c r="I803" s="336"/>
      <c r="J803" s="337"/>
      <c r="K803" s="338"/>
      <c r="L803" s="339"/>
      <c r="M803" s="340"/>
      <c r="N803" s="341"/>
      <c r="O803" s="332"/>
      <c r="P803" s="342"/>
      <c r="Q803" s="343"/>
      <c r="R803" s="344"/>
      <c r="S803" s="344"/>
      <c r="T803" s="344"/>
      <c r="U803" s="344"/>
      <c r="V803" s="332"/>
      <c r="W803" s="345"/>
      <c r="X803" s="346"/>
      <c r="Y803" s="208"/>
      <c r="Z803" s="332"/>
      <c r="AA803" s="342"/>
      <c r="AB803" s="342"/>
      <c r="AC803" s="342"/>
      <c r="AD803" s="347"/>
      <c r="AE803" s="348"/>
      <c r="AF803" s="349"/>
      <c r="AG803" s="350"/>
      <c r="AH803" s="351"/>
      <c r="AI803" s="352"/>
      <c r="AJ803" s="206"/>
      <c r="AK803" s="353"/>
      <c r="AL803" s="206"/>
      <c r="AM803" s="349"/>
      <c r="AN803" s="354"/>
      <c r="AO803" s="355"/>
      <c r="AP803" s="206"/>
      <c r="AQ803" s="207"/>
      <c r="AR803" s="211"/>
      <c r="AS803" s="297">
        <f>+IF(Table1[[#This Row],[Column40]]="ok",Table1[[#This Row],[Column7]],0)</f>
        <v>0</v>
      </c>
      <c r="AT803" s="295">
        <f>+IF(Table1[[#This Row],[Column40]]="No",Table1[[#This Row],[Column7]],0)</f>
        <v>0</v>
      </c>
      <c r="AU803" s="4" t="str">
        <f>+IF(LEFT(Table1[[#This Row],[Column42]],2)="DN",IF(Table1[[#This Row],[Column40]]="ok","(CA)",_xlfn.CONCAT("(CA)",CHAR(10),"FAIL")),"")</f>
        <v/>
      </c>
      <c r="AV803" s="154" t="str">
        <f>+IF(Table1[[#This Row],[Column6]]=0,"",_xlfn.CONCAT("Sem ",WEEKNUM(Table1[[#This Row],[Column6]],2)))</f>
        <v/>
      </c>
      <c r="AW803" s="211"/>
    </row>
    <row r="804" spans="2:49" ht="19.5" customHeight="1" x14ac:dyDescent="0.3">
      <c r="B804" s="356"/>
      <c r="C804" s="331"/>
      <c r="D804" s="332"/>
      <c r="E804" s="332"/>
      <c r="F804" s="333"/>
      <c r="G804" s="334"/>
      <c r="H804" s="335"/>
      <c r="I804" s="336"/>
      <c r="J804" s="337"/>
      <c r="K804" s="338"/>
      <c r="L804" s="339"/>
      <c r="M804" s="340"/>
      <c r="N804" s="341"/>
      <c r="O804" s="332"/>
      <c r="P804" s="342"/>
      <c r="Q804" s="343"/>
      <c r="R804" s="344"/>
      <c r="S804" s="344"/>
      <c r="T804" s="344"/>
      <c r="U804" s="344"/>
      <c r="V804" s="332"/>
      <c r="W804" s="345"/>
      <c r="X804" s="346"/>
      <c r="Y804" s="208"/>
      <c r="Z804" s="332"/>
      <c r="AA804" s="342"/>
      <c r="AB804" s="342"/>
      <c r="AC804" s="342"/>
      <c r="AD804" s="347"/>
      <c r="AE804" s="348"/>
      <c r="AF804" s="349"/>
      <c r="AG804" s="350"/>
      <c r="AH804" s="351"/>
      <c r="AI804" s="352"/>
      <c r="AJ804" s="206"/>
      <c r="AK804" s="353"/>
      <c r="AL804" s="206"/>
      <c r="AM804" s="349"/>
      <c r="AN804" s="354"/>
      <c r="AO804" s="355"/>
      <c r="AP804" s="206"/>
      <c r="AQ804" s="207"/>
      <c r="AR804" s="211"/>
      <c r="AS804" s="297">
        <f>+IF(Table1[[#This Row],[Column40]]="ok",Table1[[#This Row],[Column7]],0)</f>
        <v>0</v>
      </c>
      <c r="AT804" s="295">
        <f>+IF(Table1[[#This Row],[Column40]]="No",Table1[[#This Row],[Column7]],0)</f>
        <v>0</v>
      </c>
      <c r="AU804" s="4" t="str">
        <f>+IF(LEFT(Table1[[#This Row],[Column42]],2)="DN",IF(Table1[[#This Row],[Column40]]="ok","(CA)",_xlfn.CONCAT("(CA)",CHAR(10),"FAIL")),"")</f>
        <v/>
      </c>
      <c r="AV804" s="154" t="str">
        <f>+IF(Table1[[#This Row],[Column6]]=0,"",_xlfn.CONCAT("Sem ",WEEKNUM(Table1[[#This Row],[Column6]],2)))</f>
        <v/>
      </c>
      <c r="AW804" s="211"/>
    </row>
    <row r="805" spans="2:49" ht="19.5" customHeight="1" x14ac:dyDescent="0.3">
      <c r="B805" s="356"/>
      <c r="C805" s="331"/>
      <c r="D805" s="332"/>
      <c r="E805" s="332"/>
      <c r="F805" s="333"/>
      <c r="G805" s="334"/>
      <c r="H805" s="335"/>
      <c r="I805" s="336"/>
      <c r="J805" s="337"/>
      <c r="K805" s="338"/>
      <c r="L805" s="339"/>
      <c r="M805" s="340"/>
      <c r="N805" s="341"/>
      <c r="O805" s="332"/>
      <c r="P805" s="342"/>
      <c r="Q805" s="343"/>
      <c r="R805" s="344"/>
      <c r="S805" s="344"/>
      <c r="T805" s="344"/>
      <c r="U805" s="344"/>
      <c r="V805" s="332"/>
      <c r="W805" s="345"/>
      <c r="X805" s="346"/>
      <c r="Y805" s="208"/>
      <c r="Z805" s="332"/>
      <c r="AA805" s="342"/>
      <c r="AB805" s="342"/>
      <c r="AC805" s="342"/>
      <c r="AD805" s="347"/>
      <c r="AE805" s="348"/>
      <c r="AF805" s="349"/>
      <c r="AG805" s="350"/>
      <c r="AH805" s="351"/>
      <c r="AI805" s="352"/>
      <c r="AJ805" s="206"/>
      <c r="AK805" s="353"/>
      <c r="AL805" s="206"/>
      <c r="AM805" s="349"/>
      <c r="AN805" s="354"/>
      <c r="AO805" s="355"/>
      <c r="AP805" s="206"/>
      <c r="AQ805" s="207"/>
      <c r="AR805" s="211"/>
      <c r="AS805" s="297">
        <f>+IF(Table1[[#This Row],[Column40]]="ok",Table1[[#This Row],[Column7]],0)</f>
        <v>0</v>
      </c>
      <c r="AT805" s="295">
        <f>+IF(Table1[[#This Row],[Column40]]="No",Table1[[#This Row],[Column7]],0)</f>
        <v>0</v>
      </c>
      <c r="AU805" s="4" t="str">
        <f>+IF(LEFT(Table1[[#This Row],[Column42]],2)="DN",IF(Table1[[#This Row],[Column40]]="ok","(CA)",_xlfn.CONCAT("(CA)",CHAR(10),"FAIL")),"")</f>
        <v/>
      </c>
      <c r="AV805" s="154" t="str">
        <f>+IF(Table1[[#This Row],[Column6]]=0,"",_xlfn.CONCAT("Sem ",WEEKNUM(Table1[[#This Row],[Column6]],2)))</f>
        <v/>
      </c>
      <c r="AW805" s="211"/>
    </row>
    <row r="806" spans="2:49" ht="19.5" customHeight="1" x14ac:dyDescent="0.3">
      <c r="B806" s="356"/>
      <c r="C806" s="331"/>
      <c r="D806" s="332"/>
      <c r="E806" s="332"/>
      <c r="F806" s="333"/>
      <c r="G806" s="334"/>
      <c r="H806" s="335"/>
      <c r="I806" s="336"/>
      <c r="J806" s="337"/>
      <c r="K806" s="338"/>
      <c r="L806" s="339"/>
      <c r="M806" s="340"/>
      <c r="N806" s="341"/>
      <c r="O806" s="332"/>
      <c r="P806" s="342"/>
      <c r="Q806" s="343"/>
      <c r="R806" s="344"/>
      <c r="S806" s="344"/>
      <c r="T806" s="344"/>
      <c r="U806" s="344"/>
      <c r="V806" s="332"/>
      <c r="W806" s="345"/>
      <c r="X806" s="346"/>
      <c r="Y806" s="208"/>
      <c r="Z806" s="332"/>
      <c r="AA806" s="342"/>
      <c r="AB806" s="342"/>
      <c r="AC806" s="342"/>
      <c r="AD806" s="347"/>
      <c r="AE806" s="348"/>
      <c r="AF806" s="349"/>
      <c r="AG806" s="350"/>
      <c r="AH806" s="351"/>
      <c r="AI806" s="352"/>
      <c r="AJ806" s="206"/>
      <c r="AK806" s="353"/>
      <c r="AL806" s="206"/>
      <c r="AM806" s="349"/>
      <c r="AN806" s="354"/>
      <c r="AO806" s="355"/>
      <c r="AP806" s="206"/>
      <c r="AQ806" s="207"/>
      <c r="AR806" s="211"/>
      <c r="AS806" s="297">
        <f>+IF(Table1[[#This Row],[Column40]]="ok",Table1[[#This Row],[Column7]],0)</f>
        <v>0</v>
      </c>
      <c r="AT806" s="295">
        <f>+IF(Table1[[#This Row],[Column40]]="No",Table1[[#This Row],[Column7]],0)</f>
        <v>0</v>
      </c>
      <c r="AU806" s="4" t="str">
        <f>+IF(LEFT(Table1[[#This Row],[Column42]],2)="DN",IF(Table1[[#This Row],[Column40]]="ok","(CA)",_xlfn.CONCAT("(CA)",CHAR(10),"FAIL")),"")</f>
        <v/>
      </c>
      <c r="AV806" s="154" t="str">
        <f>+IF(Table1[[#This Row],[Column6]]=0,"",_xlfn.CONCAT("Sem ",WEEKNUM(Table1[[#This Row],[Column6]],2)))</f>
        <v/>
      </c>
      <c r="AW806" s="211"/>
    </row>
    <row r="807" spans="2:49" ht="19.5" customHeight="1" x14ac:dyDescent="0.3">
      <c r="B807" s="356"/>
      <c r="C807" s="331"/>
      <c r="D807" s="332"/>
      <c r="E807" s="332"/>
      <c r="F807" s="333"/>
      <c r="G807" s="334"/>
      <c r="H807" s="335"/>
      <c r="I807" s="336"/>
      <c r="J807" s="337"/>
      <c r="K807" s="338"/>
      <c r="L807" s="339"/>
      <c r="M807" s="340"/>
      <c r="N807" s="341"/>
      <c r="O807" s="332"/>
      <c r="P807" s="342"/>
      <c r="Q807" s="343"/>
      <c r="R807" s="344"/>
      <c r="S807" s="344"/>
      <c r="T807" s="344"/>
      <c r="U807" s="344"/>
      <c r="V807" s="332"/>
      <c r="W807" s="345"/>
      <c r="X807" s="346"/>
      <c r="Y807" s="208"/>
      <c r="Z807" s="332"/>
      <c r="AA807" s="342"/>
      <c r="AB807" s="342"/>
      <c r="AC807" s="342"/>
      <c r="AD807" s="347"/>
      <c r="AE807" s="348"/>
      <c r="AF807" s="349"/>
      <c r="AG807" s="350"/>
      <c r="AH807" s="351"/>
      <c r="AI807" s="352"/>
      <c r="AJ807" s="206"/>
      <c r="AK807" s="353"/>
      <c r="AL807" s="206"/>
      <c r="AM807" s="349"/>
      <c r="AN807" s="354"/>
      <c r="AO807" s="355"/>
      <c r="AP807" s="206"/>
      <c r="AQ807" s="207"/>
      <c r="AR807" s="211"/>
      <c r="AS807" s="297">
        <f>+IF(Table1[[#This Row],[Column40]]="ok",Table1[[#This Row],[Column7]],0)</f>
        <v>0</v>
      </c>
      <c r="AT807" s="295">
        <f>+IF(Table1[[#This Row],[Column40]]="No",Table1[[#This Row],[Column7]],0)</f>
        <v>0</v>
      </c>
      <c r="AU807" s="4" t="str">
        <f>+IF(LEFT(Table1[[#This Row],[Column42]],2)="DN",IF(Table1[[#This Row],[Column40]]="ok","(CA)",_xlfn.CONCAT("(CA)",CHAR(10),"FAIL")),"")</f>
        <v/>
      </c>
      <c r="AV807" s="154" t="str">
        <f>+IF(Table1[[#This Row],[Column6]]=0,"",_xlfn.CONCAT("Sem ",WEEKNUM(Table1[[#This Row],[Column6]],2)))</f>
        <v/>
      </c>
      <c r="AW807" s="211"/>
    </row>
    <row r="808" spans="2:49" ht="19.5" customHeight="1" x14ac:dyDescent="0.3">
      <c r="B808" s="356"/>
      <c r="C808" s="331"/>
      <c r="D808" s="332"/>
      <c r="E808" s="332"/>
      <c r="F808" s="333"/>
      <c r="G808" s="334"/>
      <c r="H808" s="335"/>
      <c r="I808" s="336"/>
      <c r="J808" s="337"/>
      <c r="K808" s="338"/>
      <c r="L808" s="339"/>
      <c r="M808" s="340"/>
      <c r="N808" s="341"/>
      <c r="O808" s="332"/>
      <c r="P808" s="342"/>
      <c r="Q808" s="343"/>
      <c r="R808" s="344"/>
      <c r="S808" s="344"/>
      <c r="T808" s="344"/>
      <c r="U808" s="344"/>
      <c r="V808" s="332"/>
      <c r="W808" s="345"/>
      <c r="X808" s="346"/>
      <c r="Y808" s="208"/>
      <c r="Z808" s="332"/>
      <c r="AA808" s="342"/>
      <c r="AB808" s="342"/>
      <c r="AC808" s="342"/>
      <c r="AD808" s="347"/>
      <c r="AE808" s="348"/>
      <c r="AF808" s="349"/>
      <c r="AG808" s="350"/>
      <c r="AH808" s="351"/>
      <c r="AI808" s="352"/>
      <c r="AJ808" s="206"/>
      <c r="AK808" s="353"/>
      <c r="AL808" s="206"/>
      <c r="AM808" s="349"/>
      <c r="AN808" s="354"/>
      <c r="AO808" s="355"/>
      <c r="AP808" s="206"/>
      <c r="AQ808" s="207"/>
      <c r="AR808" s="211"/>
      <c r="AS808" s="297">
        <f>+IF(Table1[[#This Row],[Column40]]="ok",Table1[[#This Row],[Column7]],0)</f>
        <v>0</v>
      </c>
      <c r="AT808" s="295">
        <f>+IF(Table1[[#This Row],[Column40]]="No",Table1[[#This Row],[Column7]],0)</f>
        <v>0</v>
      </c>
      <c r="AU808" s="4" t="str">
        <f>+IF(LEFT(Table1[[#This Row],[Column42]],2)="DN",IF(Table1[[#This Row],[Column40]]="ok","(CA)",_xlfn.CONCAT("(CA)",CHAR(10),"FAIL")),"")</f>
        <v/>
      </c>
      <c r="AV808" s="154" t="str">
        <f>+IF(Table1[[#This Row],[Column6]]=0,"",_xlfn.CONCAT("Sem ",WEEKNUM(Table1[[#This Row],[Column6]],2)))</f>
        <v/>
      </c>
      <c r="AW808" s="211"/>
    </row>
    <row r="809" spans="2:49" ht="19.5" customHeight="1" x14ac:dyDescent="0.3">
      <c r="B809" s="356"/>
      <c r="C809" s="331"/>
      <c r="D809" s="332"/>
      <c r="E809" s="332"/>
      <c r="F809" s="333"/>
      <c r="G809" s="334"/>
      <c r="H809" s="335"/>
      <c r="I809" s="336"/>
      <c r="J809" s="337"/>
      <c r="K809" s="338"/>
      <c r="L809" s="339"/>
      <c r="M809" s="340"/>
      <c r="N809" s="341"/>
      <c r="O809" s="332"/>
      <c r="P809" s="342"/>
      <c r="Q809" s="343"/>
      <c r="R809" s="344"/>
      <c r="S809" s="344"/>
      <c r="T809" s="344"/>
      <c r="U809" s="344"/>
      <c r="V809" s="332"/>
      <c r="W809" s="345"/>
      <c r="X809" s="346"/>
      <c r="Y809" s="208"/>
      <c r="Z809" s="332"/>
      <c r="AA809" s="342"/>
      <c r="AB809" s="342"/>
      <c r="AC809" s="342"/>
      <c r="AD809" s="347"/>
      <c r="AE809" s="348"/>
      <c r="AF809" s="349"/>
      <c r="AG809" s="350"/>
      <c r="AH809" s="351"/>
      <c r="AI809" s="352"/>
      <c r="AJ809" s="206"/>
      <c r="AK809" s="353"/>
      <c r="AL809" s="206"/>
      <c r="AM809" s="349"/>
      <c r="AN809" s="354"/>
      <c r="AO809" s="355"/>
      <c r="AP809" s="206"/>
      <c r="AQ809" s="207"/>
      <c r="AR809" s="211"/>
      <c r="AS809" s="297">
        <f>+IF(Table1[[#This Row],[Column40]]="ok",Table1[[#This Row],[Column7]],0)</f>
        <v>0</v>
      </c>
      <c r="AT809" s="295">
        <f>+IF(Table1[[#This Row],[Column40]]="No",Table1[[#This Row],[Column7]],0)</f>
        <v>0</v>
      </c>
      <c r="AU809" s="4" t="str">
        <f>+IF(LEFT(Table1[[#This Row],[Column42]],2)="DN",IF(Table1[[#This Row],[Column40]]="ok","(CA)",_xlfn.CONCAT("(CA)",CHAR(10),"FAIL")),"")</f>
        <v/>
      </c>
      <c r="AV809" s="154" t="str">
        <f>+IF(Table1[[#This Row],[Column6]]=0,"",_xlfn.CONCAT("Sem ",WEEKNUM(Table1[[#This Row],[Column6]],2)))</f>
        <v/>
      </c>
      <c r="AW809" s="211"/>
    </row>
    <row r="810" spans="2:49" ht="19.5" customHeight="1" x14ac:dyDescent="0.3">
      <c r="B810" s="356"/>
      <c r="C810" s="331"/>
      <c r="D810" s="332"/>
      <c r="E810" s="332"/>
      <c r="F810" s="333"/>
      <c r="G810" s="334"/>
      <c r="H810" s="335"/>
      <c r="I810" s="336"/>
      <c r="J810" s="337"/>
      <c r="K810" s="338"/>
      <c r="L810" s="339"/>
      <c r="M810" s="340"/>
      <c r="N810" s="341"/>
      <c r="O810" s="332"/>
      <c r="P810" s="342"/>
      <c r="Q810" s="343"/>
      <c r="R810" s="344"/>
      <c r="S810" s="344"/>
      <c r="T810" s="344"/>
      <c r="U810" s="344"/>
      <c r="V810" s="332"/>
      <c r="W810" s="345"/>
      <c r="X810" s="346"/>
      <c r="Y810" s="208"/>
      <c r="Z810" s="332"/>
      <c r="AA810" s="342"/>
      <c r="AB810" s="342"/>
      <c r="AC810" s="342"/>
      <c r="AD810" s="347"/>
      <c r="AE810" s="348"/>
      <c r="AF810" s="349"/>
      <c r="AG810" s="350"/>
      <c r="AH810" s="351"/>
      <c r="AI810" s="352"/>
      <c r="AJ810" s="206"/>
      <c r="AK810" s="353"/>
      <c r="AL810" s="206"/>
      <c r="AM810" s="349"/>
      <c r="AN810" s="354"/>
      <c r="AO810" s="355"/>
      <c r="AP810" s="206"/>
      <c r="AQ810" s="207"/>
      <c r="AR810" s="211"/>
      <c r="AS810" s="297">
        <f>+IF(Table1[[#This Row],[Column40]]="ok",Table1[[#This Row],[Column7]],0)</f>
        <v>0</v>
      </c>
      <c r="AT810" s="295">
        <f>+IF(Table1[[#This Row],[Column40]]="No",Table1[[#This Row],[Column7]],0)</f>
        <v>0</v>
      </c>
      <c r="AU810" s="4" t="str">
        <f>+IF(LEFT(Table1[[#This Row],[Column42]],2)="DN",IF(Table1[[#This Row],[Column40]]="ok","(CA)",_xlfn.CONCAT("(CA)",CHAR(10),"FAIL")),"")</f>
        <v/>
      </c>
      <c r="AV810" s="154" t="str">
        <f>+IF(Table1[[#This Row],[Column6]]=0,"",_xlfn.CONCAT("Sem ",WEEKNUM(Table1[[#This Row],[Column6]],2)))</f>
        <v/>
      </c>
      <c r="AW810" s="211"/>
    </row>
    <row r="811" spans="2:49" ht="19.5" customHeight="1" x14ac:dyDescent="0.3">
      <c r="B811" s="356"/>
      <c r="C811" s="331"/>
      <c r="D811" s="332"/>
      <c r="E811" s="332"/>
      <c r="F811" s="333"/>
      <c r="G811" s="334"/>
      <c r="H811" s="335"/>
      <c r="I811" s="336"/>
      <c r="J811" s="337"/>
      <c r="K811" s="338"/>
      <c r="L811" s="339"/>
      <c r="M811" s="340"/>
      <c r="N811" s="341"/>
      <c r="O811" s="332"/>
      <c r="P811" s="342"/>
      <c r="Q811" s="343"/>
      <c r="R811" s="344"/>
      <c r="S811" s="344"/>
      <c r="T811" s="344"/>
      <c r="U811" s="344"/>
      <c r="V811" s="332"/>
      <c r="W811" s="345"/>
      <c r="X811" s="346"/>
      <c r="Y811" s="208"/>
      <c r="Z811" s="332"/>
      <c r="AA811" s="342"/>
      <c r="AB811" s="342"/>
      <c r="AC811" s="342"/>
      <c r="AD811" s="347"/>
      <c r="AE811" s="348"/>
      <c r="AF811" s="349"/>
      <c r="AG811" s="350"/>
      <c r="AH811" s="351"/>
      <c r="AI811" s="352"/>
      <c r="AJ811" s="206"/>
      <c r="AK811" s="353"/>
      <c r="AL811" s="206"/>
      <c r="AM811" s="349"/>
      <c r="AN811" s="354"/>
      <c r="AO811" s="355"/>
      <c r="AP811" s="206"/>
      <c r="AQ811" s="207"/>
      <c r="AR811" s="211"/>
      <c r="AS811" s="297">
        <f>+IF(Table1[[#This Row],[Column40]]="ok",Table1[[#This Row],[Column7]],0)</f>
        <v>0</v>
      </c>
      <c r="AT811" s="295">
        <f>+IF(Table1[[#This Row],[Column40]]="No",Table1[[#This Row],[Column7]],0)</f>
        <v>0</v>
      </c>
      <c r="AU811" s="4" t="str">
        <f>+IF(LEFT(Table1[[#This Row],[Column42]],2)="DN",IF(Table1[[#This Row],[Column40]]="ok","(CA)",_xlfn.CONCAT("(CA)",CHAR(10),"FAIL")),"")</f>
        <v/>
      </c>
      <c r="AV811" s="154" t="str">
        <f>+IF(Table1[[#This Row],[Column6]]=0,"",_xlfn.CONCAT("Sem ",WEEKNUM(Table1[[#This Row],[Column6]],2)))</f>
        <v/>
      </c>
      <c r="AW811" s="211"/>
    </row>
    <row r="812" spans="2:49" ht="19.5" customHeight="1" x14ac:dyDescent="0.3">
      <c r="B812" s="356"/>
      <c r="C812" s="331"/>
      <c r="D812" s="332"/>
      <c r="E812" s="332"/>
      <c r="F812" s="333"/>
      <c r="G812" s="334"/>
      <c r="H812" s="335"/>
      <c r="I812" s="336"/>
      <c r="J812" s="337"/>
      <c r="K812" s="338"/>
      <c r="L812" s="339"/>
      <c r="M812" s="340"/>
      <c r="N812" s="341"/>
      <c r="O812" s="332"/>
      <c r="P812" s="342"/>
      <c r="Q812" s="343"/>
      <c r="R812" s="344"/>
      <c r="S812" s="344"/>
      <c r="T812" s="344"/>
      <c r="U812" s="344"/>
      <c r="V812" s="332"/>
      <c r="W812" s="345"/>
      <c r="X812" s="346"/>
      <c r="Y812" s="208"/>
      <c r="Z812" s="332"/>
      <c r="AA812" s="342"/>
      <c r="AB812" s="342"/>
      <c r="AC812" s="342"/>
      <c r="AD812" s="347"/>
      <c r="AE812" s="348"/>
      <c r="AF812" s="349"/>
      <c r="AG812" s="350"/>
      <c r="AH812" s="351"/>
      <c r="AI812" s="352"/>
      <c r="AJ812" s="206"/>
      <c r="AK812" s="353"/>
      <c r="AL812" s="206"/>
      <c r="AM812" s="349"/>
      <c r="AN812" s="354"/>
      <c r="AO812" s="355"/>
      <c r="AP812" s="206"/>
      <c r="AQ812" s="207"/>
      <c r="AR812" s="211"/>
      <c r="AS812" s="297">
        <f>+IF(Table1[[#This Row],[Column40]]="ok",Table1[[#This Row],[Column7]],0)</f>
        <v>0</v>
      </c>
      <c r="AT812" s="295">
        <f>+IF(Table1[[#This Row],[Column40]]="No",Table1[[#This Row],[Column7]],0)</f>
        <v>0</v>
      </c>
      <c r="AU812" s="4" t="str">
        <f>+IF(LEFT(Table1[[#This Row],[Column42]],2)="DN",IF(Table1[[#This Row],[Column40]]="ok","(CA)",_xlfn.CONCAT("(CA)",CHAR(10),"FAIL")),"")</f>
        <v/>
      </c>
      <c r="AV812" s="154" t="str">
        <f>+IF(Table1[[#This Row],[Column6]]=0,"",_xlfn.CONCAT("Sem ",WEEKNUM(Table1[[#This Row],[Column6]],2)))</f>
        <v/>
      </c>
      <c r="AW812" s="211"/>
    </row>
    <row r="813" spans="2:49" ht="19.5" customHeight="1" x14ac:dyDescent="0.3">
      <c r="B813" s="356"/>
      <c r="C813" s="331"/>
      <c r="D813" s="332"/>
      <c r="E813" s="332"/>
      <c r="F813" s="333"/>
      <c r="G813" s="334"/>
      <c r="H813" s="335"/>
      <c r="I813" s="336"/>
      <c r="J813" s="337"/>
      <c r="K813" s="338"/>
      <c r="L813" s="339"/>
      <c r="M813" s="340"/>
      <c r="N813" s="341"/>
      <c r="O813" s="332"/>
      <c r="P813" s="342"/>
      <c r="Q813" s="343"/>
      <c r="R813" s="344"/>
      <c r="S813" s="344"/>
      <c r="T813" s="344"/>
      <c r="U813" s="344"/>
      <c r="V813" s="332"/>
      <c r="W813" s="345"/>
      <c r="X813" s="346"/>
      <c r="Y813" s="208"/>
      <c r="Z813" s="332"/>
      <c r="AA813" s="342"/>
      <c r="AB813" s="342"/>
      <c r="AC813" s="342"/>
      <c r="AD813" s="347"/>
      <c r="AE813" s="348"/>
      <c r="AF813" s="349"/>
      <c r="AG813" s="350"/>
      <c r="AH813" s="351"/>
      <c r="AI813" s="352"/>
      <c r="AJ813" s="206"/>
      <c r="AK813" s="353"/>
      <c r="AL813" s="206"/>
      <c r="AM813" s="349"/>
      <c r="AN813" s="354"/>
      <c r="AO813" s="355"/>
      <c r="AP813" s="206"/>
      <c r="AQ813" s="207"/>
      <c r="AR813" s="211"/>
      <c r="AS813" s="297">
        <f>+IF(Table1[[#This Row],[Column40]]="ok",Table1[[#This Row],[Column7]],0)</f>
        <v>0</v>
      </c>
      <c r="AT813" s="295">
        <f>+IF(Table1[[#This Row],[Column40]]="No",Table1[[#This Row],[Column7]],0)</f>
        <v>0</v>
      </c>
      <c r="AU813" s="4" t="str">
        <f>+IF(LEFT(Table1[[#This Row],[Column42]],2)="DN",IF(Table1[[#This Row],[Column40]]="ok","(CA)",_xlfn.CONCAT("(CA)",CHAR(10),"FAIL")),"")</f>
        <v/>
      </c>
      <c r="AV813" s="154" t="str">
        <f>+IF(Table1[[#This Row],[Column6]]=0,"",_xlfn.CONCAT("Sem ",WEEKNUM(Table1[[#This Row],[Column6]],2)))</f>
        <v/>
      </c>
      <c r="AW813" s="211"/>
    </row>
    <row r="814" spans="2:49" ht="19.5" customHeight="1" x14ac:dyDescent="0.3">
      <c r="B814" s="356"/>
      <c r="C814" s="331"/>
      <c r="D814" s="332"/>
      <c r="E814" s="332"/>
      <c r="F814" s="333"/>
      <c r="G814" s="334"/>
      <c r="H814" s="335"/>
      <c r="I814" s="336"/>
      <c r="J814" s="337"/>
      <c r="K814" s="338"/>
      <c r="L814" s="339"/>
      <c r="M814" s="340"/>
      <c r="N814" s="341"/>
      <c r="O814" s="332"/>
      <c r="P814" s="342"/>
      <c r="Q814" s="343"/>
      <c r="R814" s="344"/>
      <c r="S814" s="344"/>
      <c r="T814" s="344"/>
      <c r="U814" s="344"/>
      <c r="V814" s="332"/>
      <c r="W814" s="345"/>
      <c r="X814" s="346"/>
      <c r="Y814" s="208"/>
      <c r="Z814" s="332"/>
      <c r="AA814" s="342"/>
      <c r="AB814" s="342"/>
      <c r="AC814" s="342"/>
      <c r="AD814" s="347"/>
      <c r="AE814" s="348"/>
      <c r="AF814" s="349"/>
      <c r="AG814" s="350"/>
      <c r="AH814" s="351"/>
      <c r="AI814" s="352"/>
      <c r="AJ814" s="206"/>
      <c r="AK814" s="353"/>
      <c r="AL814" s="206"/>
      <c r="AM814" s="349"/>
      <c r="AN814" s="354"/>
      <c r="AO814" s="355"/>
      <c r="AP814" s="206"/>
      <c r="AQ814" s="207"/>
      <c r="AR814" s="211"/>
      <c r="AS814" s="297">
        <f>+IF(Table1[[#This Row],[Column40]]="ok",Table1[[#This Row],[Column7]],0)</f>
        <v>0</v>
      </c>
      <c r="AT814" s="295">
        <f>+IF(Table1[[#This Row],[Column40]]="No",Table1[[#This Row],[Column7]],0)</f>
        <v>0</v>
      </c>
      <c r="AU814" s="4" t="str">
        <f>+IF(LEFT(Table1[[#This Row],[Column42]],2)="DN",IF(Table1[[#This Row],[Column40]]="ok","(CA)",_xlfn.CONCAT("(CA)",CHAR(10),"FAIL")),"")</f>
        <v/>
      </c>
      <c r="AV814" s="154" t="str">
        <f>+IF(Table1[[#This Row],[Column6]]=0,"",_xlfn.CONCAT("Sem ",WEEKNUM(Table1[[#This Row],[Column6]],2)))</f>
        <v/>
      </c>
      <c r="AW814" s="211"/>
    </row>
    <row r="815" spans="2:49" ht="19.5" customHeight="1" x14ac:dyDescent="0.3">
      <c r="B815" s="356"/>
      <c r="C815" s="331"/>
      <c r="D815" s="332"/>
      <c r="E815" s="332"/>
      <c r="F815" s="333"/>
      <c r="G815" s="334"/>
      <c r="H815" s="335"/>
      <c r="I815" s="336"/>
      <c r="J815" s="337"/>
      <c r="K815" s="338"/>
      <c r="L815" s="339"/>
      <c r="M815" s="340"/>
      <c r="N815" s="341"/>
      <c r="O815" s="332"/>
      <c r="P815" s="342"/>
      <c r="Q815" s="343"/>
      <c r="R815" s="344"/>
      <c r="S815" s="344"/>
      <c r="T815" s="344"/>
      <c r="U815" s="344"/>
      <c r="V815" s="332"/>
      <c r="W815" s="345"/>
      <c r="X815" s="346"/>
      <c r="Y815" s="208"/>
      <c r="Z815" s="332"/>
      <c r="AA815" s="342"/>
      <c r="AB815" s="342"/>
      <c r="AC815" s="342"/>
      <c r="AD815" s="347"/>
      <c r="AE815" s="348"/>
      <c r="AF815" s="349"/>
      <c r="AG815" s="350"/>
      <c r="AH815" s="351"/>
      <c r="AI815" s="352"/>
      <c r="AJ815" s="206"/>
      <c r="AK815" s="353"/>
      <c r="AL815" s="206"/>
      <c r="AM815" s="349"/>
      <c r="AN815" s="354"/>
      <c r="AO815" s="355"/>
      <c r="AP815" s="206"/>
      <c r="AQ815" s="207"/>
      <c r="AR815" s="211"/>
      <c r="AS815" s="297">
        <f>+IF(Table1[[#This Row],[Column40]]="ok",Table1[[#This Row],[Column7]],0)</f>
        <v>0</v>
      </c>
      <c r="AT815" s="295">
        <f>+IF(Table1[[#This Row],[Column40]]="No",Table1[[#This Row],[Column7]],0)</f>
        <v>0</v>
      </c>
      <c r="AU815" s="4" t="str">
        <f>+IF(LEFT(Table1[[#This Row],[Column42]],2)="DN",IF(Table1[[#This Row],[Column40]]="ok","(CA)",_xlfn.CONCAT("(CA)",CHAR(10),"FAIL")),"")</f>
        <v/>
      </c>
      <c r="AV815" s="154" t="str">
        <f>+IF(Table1[[#This Row],[Column6]]=0,"",_xlfn.CONCAT("Sem ",WEEKNUM(Table1[[#This Row],[Column6]],2)))</f>
        <v/>
      </c>
      <c r="AW815" s="211"/>
    </row>
    <row r="816" spans="2:49" ht="19.5" customHeight="1" x14ac:dyDescent="0.3">
      <c r="B816" s="356"/>
      <c r="C816" s="331"/>
      <c r="D816" s="332"/>
      <c r="E816" s="332"/>
      <c r="F816" s="333"/>
      <c r="G816" s="334"/>
      <c r="H816" s="335"/>
      <c r="I816" s="336"/>
      <c r="J816" s="337"/>
      <c r="K816" s="338"/>
      <c r="L816" s="339"/>
      <c r="M816" s="340"/>
      <c r="N816" s="341"/>
      <c r="O816" s="332"/>
      <c r="P816" s="342"/>
      <c r="Q816" s="343"/>
      <c r="R816" s="344"/>
      <c r="S816" s="344"/>
      <c r="T816" s="344"/>
      <c r="U816" s="344"/>
      <c r="V816" s="332"/>
      <c r="W816" s="345"/>
      <c r="X816" s="346"/>
      <c r="Y816" s="208"/>
      <c r="Z816" s="332"/>
      <c r="AA816" s="342"/>
      <c r="AB816" s="342"/>
      <c r="AC816" s="342"/>
      <c r="AD816" s="347"/>
      <c r="AE816" s="348"/>
      <c r="AF816" s="349"/>
      <c r="AG816" s="350"/>
      <c r="AH816" s="351"/>
      <c r="AI816" s="352"/>
      <c r="AJ816" s="206"/>
      <c r="AK816" s="353"/>
      <c r="AL816" s="206"/>
      <c r="AM816" s="349"/>
      <c r="AN816" s="354"/>
      <c r="AO816" s="355"/>
      <c r="AP816" s="206"/>
      <c r="AQ816" s="207"/>
      <c r="AR816" s="211"/>
      <c r="AS816" s="297">
        <f>+IF(Table1[[#This Row],[Column40]]="ok",Table1[[#This Row],[Column7]],0)</f>
        <v>0</v>
      </c>
      <c r="AT816" s="295">
        <f>+IF(Table1[[#This Row],[Column40]]="No",Table1[[#This Row],[Column7]],0)</f>
        <v>0</v>
      </c>
      <c r="AU816" s="4" t="str">
        <f>+IF(LEFT(Table1[[#This Row],[Column42]],2)="DN",IF(Table1[[#This Row],[Column40]]="ok","(CA)",_xlfn.CONCAT("(CA)",CHAR(10),"FAIL")),"")</f>
        <v/>
      </c>
      <c r="AV816" s="154" t="str">
        <f>+IF(Table1[[#This Row],[Column6]]=0,"",_xlfn.CONCAT("Sem ",WEEKNUM(Table1[[#This Row],[Column6]],2)))</f>
        <v/>
      </c>
      <c r="AW816" s="211"/>
    </row>
    <row r="817" spans="2:49" ht="19.5" customHeight="1" x14ac:dyDescent="0.3">
      <c r="B817" s="356"/>
      <c r="C817" s="331"/>
      <c r="D817" s="332"/>
      <c r="E817" s="332"/>
      <c r="F817" s="333"/>
      <c r="G817" s="334"/>
      <c r="H817" s="335"/>
      <c r="I817" s="336"/>
      <c r="J817" s="337"/>
      <c r="K817" s="338"/>
      <c r="L817" s="339"/>
      <c r="M817" s="340"/>
      <c r="N817" s="341"/>
      <c r="O817" s="332"/>
      <c r="P817" s="342"/>
      <c r="Q817" s="343"/>
      <c r="R817" s="344"/>
      <c r="S817" s="344"/>
      <c r="T817" s="344"/>
      <c r="U817" s="344"/>
      <c r="V817" s="332"/>
      <c r="W817" s="345"/>
      <c r="X817" s="346"/>
      <c r="Y817" s="208"/>
      <c r="Z817" s="332"/>
      <c r="AA817" s="342"/>
      <c r="AB817" s="342"/>
      <c r="AC817" s="342"/>
      <c r="AD817" s="347"/>
      <c r="AE817" s="348"/>
      <c r="AF817" s="349"/>
      <c r="AG817" s="350"/>
      <c r="AH817" s="351"/>
      <c r="AI817" s="352"/>
      <c r="AJ817" s="206"/>
      <c r="AK817" s="353"/>
      <c r="AL817" s="206"/>
      <c r="AM817" s="349"/>
      <c r="AN817" s="354"/>
      <c r="AO817" s="355"/>
      <c r="AP817" s="206"/>
      <c r="AQ817" s="207"/>
      <c r="AR817" s="211"/>
      <c r="AS817" s="297">
        <f>+IF(Table1[[#This Row],[Column40]]="ok",Table1[[#This Row],[Column7]],0)</f>
        <v>0</v>
      </c>
      <c r="AT817" s="295">
        <f>+IF(Table1[[#This Row],[Column40]]="No",Table1[[#This Row],[Column7]],0)</f>
        <v>0</v>
      </c>
      <c r="AU817" s="4" t="str">
        <f>+IF(LEFT(Table1[[#This Row],[Column42]],2)="DN",IF(Table1[[#This Row],[Column40]]="ok","(CA)",_xlfn.CONCAT("(CA)",CHAR(10),"FAIL")),"")</f>
        <v/>
      </c>
      <c r="AV817" s="154" t="str">
        <f>+IF(Table1[[#This Row],[Column6]]=0,"",_xlfn.CONCAT("Sem ",WEEKNUM(Table1[[#This Row],[Column6]],2)))</f>
        <v/>
      </c>
      <c r="AW817" s="211"/>
    </row>
    <row r="818" spans="2:49" ht="19.5" customHeight="1" x14ac:dyDescent="0.3">
      <c r="B818" s="356"/>
      <c r="C818" s="331"/>
      <c r="D818" s="332"/>
      <c r="E818" s="332"/>
      <c r="F818" s="333"/>
      <c r="G818" s="334"/>
      <c r="H818" s="335"/>
      <c r="I818" s="336"/>
      <c r="J818" s="337"/>
      <c r="K818" s="338"/>
      <c r="L818" s="339"/>
      <c r="M818" s="340"/>
      <c r="N818" s="341"/>
      <c r="O818" s="332"/>
      <c r="P818" s="342"/>
      <c r="Q818" s="343"/>
      <c r="R818" s="344"/>
      <c r="S818" s="344"/>
      <c r="T818" s="344"/>
      <c r="U818" s="344"/>
      <c r="V818" s="332"/>
      <c r="W818" s="345"/>
      <c r="X818" s="346"/>
      <c r="Y818" s="208"/>
      <c r="Z818" s="332"/>
      <c r="AA818" s="342"/>
      <c r="AB818" s="342"/>
      <c r="AC818" s="342"/>
      <c r="AD818" s="347"/>
      <c r="AE818" s="348"/>
      <c r="AF818" s="349"/>
      <c r="AG818" s="350"/>
      <c r="AH818" s="351"/>
      <c r="AI818" s="352"/>
      <c r="AJ818" s="206"/>
      <c r="AK818" s="353"/>
      <c r="AL818" s="206"/>
      <c r="AM818" s="349"/>
      <c r="AN818" s="354"/>
      <c r="AO818" s="355"/>
      <c r="AP818" s="206"/>
      <c r="AQ818" s="207"/>
      <c r="AR818" s="211"/>
      <c r="AS818" s="297">
        <f>+IF(Table1[[#This Row],[Column40]]="ok",Table1[[#This Row],[Column7]],0)</f>
        <v>0</v>
      </c>
      <c r="AT818" s="295">
        <f>+IF(Table1[[#This Row],[Column40]]="No",Table1[[#This Row],[Column7]],0)</f>
        <v>0</v>
      </c>
      <c r="AU818" s="4" t="str">
        <f>+IF(LEFT(Table1[[#This Row],[Column42]],2)="DN",IF(Table1[[#This Row],[Column40]]="ok","(CA)",_xlfn.CONCAT("(CA)",CHAR(10),"FAIL")),"")</f>
        <v/>
      </c>
      <c r="AV818" s="154" t="str">
        <f>+IF(Table1[[#This Row],[Column6]]=0,"",_xlfn.CONCAT("Sem ",WEEKNUM(Table1[[#This Row],[Column6]],2)))</f>
        <v/>
      </c>
      <c r="AW818" s="211"/>
    </row>
    <row r="819" spans="2:49" ht="19.5" customHeight="1" x14ac:dyDescent="0.3">
      <c r="B819" s="356"/>
      <c r="C819" s="331"/>
      <c r="D819" s="332"/>
      <c r="E819" s="332"/>
      <c r="F819" s="333"/>
      <c r="G819" s="334"/>
      <c r="H819" s="335"/>
      <c r="I819" s="336"/>
      <c r="J819" s="337"/>
      <c r="K819" s="338"/>
      <c r="L819" s="339"/>
      <c r="M819" s="340"/>
      <c r="N819" s="341"/>
      <c r="O819" s="332"/>
      <c r="P819" s="342"/>
      <c r="Q819" s="343"/>
      <c r="R819" s="344"/>
      <c r="S819" s="344"/>
      <c r="T819" s="344"/>
      <c r="U819" s="344"/>
      <c r="V819" s="332"/>
      <c r="W819" s="345"/>
      <c r="X819" s="346"/>
      <c r="Y819" s="208"/>
      <c r="Z819" s="332"/>
      <c r="AA819" s="342"/>
      <c r="AB819" s="342"/>
      <c r="AC819" s="342"/>
      <c r="AD819" s="347"/>
      <c r="AE819" s="348"/>
      <c r="AF819" s="349"/>
      <c r="AG819" s="350"/>
      <c r="AH819" s="351"/>
      <c r="AI819" s="352"/>
      <c r="AJ819" s="206"/>
      <c r="AK819" s="353"/>
      <c r="AL819" s="206"/>
      <c r="AM819" s="349"/>
      <c r="AN819" s="354"/>
      <c r="AO819" s="355"/>
      <c r="AP819" s="206"/>
      <c r="AQ819" s="207"/>
      <c r="AR819" s="211"/>
      <c r="AS819" s="297">
        <f>+IF(Table1[[#This Row],[Column40]]="ok",Table1[[#This Row],[Column7]],0)</f>
        <v>0</v>
      </c>
      <c r="AT819" s="295">
        <f>+IF(Table1[[#This Row],[Column40]]="No",Table1[[#This Row],[Column7]],0)</f>
        <v>0</v>
      </c>
      <c r="AU819" s="4" t="str">
        <f>+IF(LEFT(Table1[[#This Row],[Column42]],2)="DN",IF(Table1[[#This Row],[Column40]]="ok","(CA)",_xlfn.CONCAT("(CA)",CHAR(10),"FAIL")),"")</f>
        <v/>
      </c>
      <c r="AV819" s="154" t="str">
        <f>+IF(Table1[[#This Row],[Column6]]=0,"",_xlfn.CONCAT("Sem ",WEEKNUM(Table1[[#This Row],[Column6]],2)))</f>
        <v/>
      </c>
      <c r="AW819" s="211"/>
    </row>
    <row r="820" spans="2:49" ht="19.5" customHeight="1" x14ac:dyDescent="0.3">
      <c r="B820" s="356"/>
      <c r="C820" s="331"/>
      <c r="D820" s="332"/>
      <c r="E820" s="332"/>
      <c r="F820" s="333"/>
      <c r="G820" s="334"/>
      <c r="H820" s="335"/>
      <c r="I820" s="336"/>
      <c r="J820" s="337"/>
      <c r="K820" s="338"/>
      <c r="L820" s="339"/>
      <c r="M820" s="340"/>
      <c r="N820" s="341"/>
      <c r="O820" s="332"/>
      <c r="P820" s="342"/>
      <c r="Q820" s="343"/>
      <c r="R820" s="344"/>
      <c r="S820" s="344"/>
      <c r="T820" s="344"/>
      <c r="U820" s="344"/>
      <c r="V820" s="332"/>
      <c r="W820" s="345"/>
      <c r="X820" s="346"/>
      <c r="Y820" s="208"/>
      <c r="Z820" s="332"/>
      <c r="AA820" s="342"/>
      <c r="AB820" s="342"/>
      <c r="AC820" s="342"/>
      <c r="AD820" s="347"/>
      <c r="AE820" s="348"/>
      <c r="AF820" s="349"/>
      <c r="AG820" s="350"/>
      <c r="AH820" s="351"/>
      <c r="AI820" s="352"/>
      <c r="AJ820" s="206"/>
      <c r="AK820" s="353"/>
      <c r="AL820" s="206"/>
      <c r="AM820" s="349"/>
      <c r="AN820" s="354"/>
      <c r="AO820" s="355"/>
      <c r="AP820" s="206"/>
      <c r="AQ820" s="207"/>
      <c r="AR820" s="211"/>
      <c r="AS820" s="297">
        <f>+IF(Table1[[#This Row],[Column40]]="ok",Table1[[#This Row],[Column7]],0)</f>
        <v>0</v>
      </c>
      <c r="AT820" s="295">
        <f>+IF(Table1[[#This Row],[Column40]]="No",Table1[[#This Row],[Column7]],0)</f>
        <v>0</v>
      </c>
      <c r="AU820" s="4" t="str">
        <f>+IF(LEFT(Table1[[#This Row],[Column42]],2)="DN",IF(Table1[[#This Row],[Column40]]="ok","(CA)",_xlfn.CONCAT("(CA)",CHAR(10),"FAIL")),"")</f>
        <v/>
      </c>
      <c r="AV820" s="154" t="str">
        <f>+IF(Table1[[#This Row],[Column6]]=0,"",_xlfn.CONCAT("Sem ",WEEKNUM(Table1[[#This Row],[Column6]],2)))</f>
        <v/>
      </c>
      <c r="AW820" s="211"/>
    </row>
    <row r="821" spans="2:49" ht="19.5" customHeight="1" x14ac:dyDescent="0.3">
      <c r="B821" s="356"/>
      <c r="C821" s="331"/>
      <c r="D821" s="332"/>
      <c r="E821" s="332"/>
      <c r="F821" s="333"/>
      <c r="G821" s="334"/>
      <c r="H821" s="335"/>
      <c r="I821" s="336"/>
      <c r="J821" s="337"/>
      <c r="K821" s="338"/>
      <c r="L821" s="339"/>
      <c r="M821" s="340"/>
      <c r="N821" s="341"/>
      <c r="O821" s="332"/>
      <c r="P821" s="342"/>
      <c r="Q821" s="343"/>
      <c r="R821" s="344"/>
      <c r="S821" s="344"/>
      <c r="T821" s="344"/>
      <c r="U821" s="344"/>
      <c r="V821" s="332"/>
      <c r="W821" s="345"/>
      <c r="X821" s="346"/>
      <c r="Y821" s="208"/>
      <c r="Z821" s="332"/>
      <c r="AA821" s="342"/>
      <c r="AB821" s="342"/>
      <c r="AC821" s="342"/>
      <c r="AD821" s="347"/>
      <c r="AE821" s="348"/>
      <c r="AF821" s="349"/>
      <c r="AG821" s="350"/>
      <c r="AH821" s="351"/>
      <c r="AI821" s="352"/>
      <c r="AJ821" s="206"/>
      <c r="AK821" s="353"/>
      <c r="AL821" s="206"/>
      <c r="AM821" s="349"/>
      <c r="AN821" s="354"/>
      <c r="AO821" s="355"/>
      <c r="AP821" s="206"/>
      <c r="AQ821" s="207"/>
      <c r="AR821" s="211"/>
      <c r="AS821" s="297">
        <f>+IF(Table1[[#This Row],[Column40]]="ok",Table1[[#This Row],[Column7]],0)</f>
        <v>0</v>
      </c>
      <c r="AT821" s="295">
        <f>+IF(Table1[[#This Row],[Column40]]="No",Table1[[#This Row],[Column7]],0)</f>
        <v>0</v>
      </c>
      <c r="AU821" s="4" t="str">
        <f>+IF(LEFT(Table1[[#This Row],[Column42]],2)="DN",IF(Table1[[#This Row],[Column40]]="ok","(CA)",_xlfn.CONCAT("(CA)",CHAR(10),"FAIL")),"")</f>
        <v/>
      </c>
      <c r="AV821" s="154" t="str">
        <f>+IF(Table1[[#This Row],[Column6]]=0,"",_xlfn.CONCAT("Sem ",WEEKNUM(Table1[[#This Row],[Column6]],2)))</f>
        <v/>
      </c>
      <c r="AW821" s="211"/>
    </row>
    <row r="822" spans="2:49" ht="19.5" customHeight="1" x14ac:dyDescent="0.3">
      <c r="B822" s="356"/>
      <c r="C822" s="331"/>
      <c r="D822" s="332"/>
      <c r="E822" s="332"/>
      <c r="F822" s="333"/>
      <c r="G822" s="334"/>
      <c r="H822" s="335"/>
      <c r="I822" s="336"/>
      <c r="J822" s="337"/>
      <c r="K822" s="338"/>
      <c r="L822" s="339"/>
      <c r="M822" s="340"/>
      <c r="N822" s="341"/>
      <c r="O822" s="332"/>
      <c r="P822" s="342"/>
      <c r="Q822" s="343"/>
      <c r="R822" s="344"/>
      <c r="S822" s="344"/>
      <c r="T822" s="344"/>
      <c r="U822" s="344"/>
      <c r="V822" s="332"/>
      <c r="W822" s="345"/>
      <c r="X822" s="346"/>
      <c r="Y822" s="208"/>
      <c r="Z822" s="332"/>
      <c r="AA822" s="342"/>
      <c r="AB822" s="342"/>
      <c r="AC822" s="342"/>
      <c r="AD822" s="347"/>
      <c r="AE822" s="348"/>
      <c r="AF822" s="349"/>
      <c r="AG822" s="350"/>
      <c r="AH822" s="351"/>
      <c r="AI822" s="352"/>
      <c r="AJ822" s="206"/>
      <c r="AK822" s="353"/>
      <c r="AL822" s="206"/>
      <c r="AM822" s="349"/>
      <c r="AN822" s="354"/>
      <c r="AO822" s="355"/>
      <c r="AP822" s="206"/>
      <c r="AQ822" s="207"/>
      <c r="AR822" s="211"/>
      <c r="AS822" s="297">
        <f>+IF(Table1[[#This Row],[Column40]]="ok",Table1[[#This Row],[Column7]],0)</f>
        <v>0</v>
      </c>
      <c r="AT822" s="295">
        <f>+IF(Table1[[#This Row],[Column40]]="No",Table1[[#This Row],[Column7]],0)</f>
        <v>0</v>
      </c>
      <c r="AU822" s="4" t="str">
        <f>+IF(LEFT(Table1[[#This Row],[Column42]],2)="DN",IF(Table1[[#This Row],[Column40]]="ok","(CA)",_xlfn.CONCAT("(CA)",CHAR(10),"FAIL")),"")</f>
        <v/>
      </c>
      <c r="AV822" s="154" t="str">
        <f>+IF(Table1[[#This Row],[Column6]]=0,"",_xlfn.CONCAT("Sem ",WEEKNUM(Table1[[#This Row],[Column6]],2)))</f>
        <v/>
      </c>
      <c r="AW822" s="211"/>
    </row>
    <row r="823" spans="2:49" ht="19.5" customHeight="1" x14ac:dyDescent="0.3">
      <c r="B823" s="356"/>
      <c r="C823" s="331"/>
      <c r="D823" s="332"/>
      <c r="E823" s="332"/>
      <c r="F823" s="333"/>
      <c r="G823" s="334"/>
      <c r="H823" s="335"/>
      <c r="I823" s="336"/>
      <c r="J823" s="337"/>
      <c r="K823" s="338"/>
      <c r="L823" s="339"/>
      <c r="M823" s="340"/>
      <c r="N823" s="341"/>
      <c r="O823" s="332"/>
      <c r="P823" s="342"/>
      <c r="Q823" s="343"/>
      <c r="R823" s="344"/>
      <c r="S823" s="344"/>
      <c r="T823" s="344"/>
      <c r="U823" s="344"/>
      <c r="V823" s="332"/>
      <c r="W823" s="345"/>
      <c r="X823" s="346"/>
      <c r="Y823" s="208"/>
      <c r="Z823" s="332"/>
      <c r="AA823" s="342"/>
      <c r="AB823" s="342"/>
      <c r="AC823" s="342"/>
      <c r="AD823" s="347"/>
      <c r="AE823" s="348"/>
      <c r="AF823" s="349"/>
      <c r="AG823" s="350"/>
      <c r="AH823" s="351"/>
      <c r="AI823" s="352"/>
      <c r="AJ823" s="206"/>
      <c r="AK823" s="353"/>
      <c r="AL823" s="206"/>
      <c r="AM823" s="349"/>
      <c r="AN823" s="354"/>
      <c r="AO823" s="355"/>
      <c r="AP823" s="206"/>
      <c r="AQ823" s="207"/>
      <c r="AR823" s="211"/>
      <c r="AS823" s="297">
        <f>+IF(Table1[[#This Row],[Column40]]="ok",Table1[[#This Row],[Column7]],0)</f>
        <v>0</v>
      </c>
      <c r="AT823" s="295">
        <f>+IF(Table1[[#This Row],[Column40]]="No",Table1[[#This Row],[Column7]],0)</f>
        <v>0</v>
      </c>
      <c r="AU823" s="4" t="str">
        <f>+IF(LEFT(Table1[[#This Row],[Column42]],2)="DN",IF(Table1[[#This Row],[Column40]]="ok","(CA)",_xlfn.CONCAT("(CA)",CHAR(10),"FAIL")),"")</f>
        <v/>
      </c>
      <c r="AV823" s="154" t="str">
        <f>+IF(Table1[[#This Row],[Column6]]=0,"",_xlfn.CONCAT("Sem ",WEEKNUM(Table1[[#This Row],[Column6]],2)))</f>
        <v/>
      </c>
      <c r="AW823" s="211"/>
    </row>
    <row r="824" spans="2:49" ht="19.5" customHeight="1" x14ac:dyDescent="0.3">
      <c r="B824" s="356"/>
      <c r="C824" s="331"/>
      <c r="D824" s="332"/>
      <c r="E824" s="332"/>
      <c r="F824" s="333"/>
      <c r="G824" s="334"/>
      <c r="H824" s="335"/>
      <c r="I824" s="336"/>
      <c r="J824" s="337"/>
      <c r="K824" s="338"/>
      <c r="L824" s="339"/>
      <c r="M824" s="340"/>
      <c r="N824" s="341"/>
      <c r="O824" s="332"/>
      <c r="P824" s="342"/>
      <c r="Q824" s="343"/>
      <c r="R824" s="344"/>
      <c r="S824" s="344"/>
      <c r="T824" s="344"/>
      <c r="U824" s="344"/>
      <c r="V824" s="332"/>
      <c r="W824" s="345"/>
      <c r="X824" s="346"/>
      <c r="Y824" s="208"/>
      <c r="Z824" s="332"/>
      <c r="AA824" s="342"/>
      <c r="AB824" s="342"/>
      <c r="AC824" s="342"/>
      <c r="AD824" s="347"/>
      <c r="AE824" s="348"/>
      <c r="AF824" s="349"/>
      <c r="AG824" s="350"/>
      <c r="AH824" s="351"/>
      <c r="AI824" s="352"/>
      <c r="AJ824" s="206"/>
      <c r="AK824" s="353"/>
      <c r="AL824" s="206"/>
      <c r="AM824" s="349"/>
      <c r="AN824" s="354"/>
      <c r="AO824" s="355"/>
      <c r="AP824" s="206"/>
      <c r="AQ824" s="207"/>
      <c r="AR824" s="211"/>
      <c r="AS824" s="297">
        <f>+IF(Table1[[#This Row],[Column40]]="ok",Table1[[#This Row],[Column7]],0)</f>
        <v>0</v>
      </c>
      <c r="AT824" s="295">
        <f>+IF(Table1[[#This Row],[Column40]]="No",Table1[[#This Row],[Column7]],0)</f>
        <v>0</v>
      </c>
      <c r="AU824" s="4" t="str">
        <f>+IF(LEFT(Table1[[#This Row],[Column42]],2)="DN",IF(Table1[[#This Row],[Column40]]="ok","(CA)",_xlfn.CONCAT("(CA)",CHAR(10),"FAIL")),"")</f>
        <v/>
      </c>
      <c r="AV824" s="154" t="str">
        <f>+IF(Table1[[#This Row],[Column6]]=0,"",_xlfn.CONCAT("Sem ",WEEKNUM(Table1[[#This Row],[Column6]],2)))</f>
        <v/>
      </c>
      <c r="AW824" s="211"/>
    </row>
    <row r="825" spans="2:49" ht="19.5" customHeight="1" x14ac:dyDescent="0.3">
      <c r="B825" s="356"/>
      <c r="C825" s="331"/>
      <c r="D825" s="332"/>
      <c r="E825" s="332"/>
      <c r="F825" s="333"/>
      <c r="G825" s="334"/>
      <c r="H825" s="335"/>
      <c r="I825" s="336"/>
      <c r="J825" s="337"/>
      <c r="K825" s="338"/>
      <c r="L825" s="339"/>
      <c r="M825" s="340"/>
      <c r="N825" s="341"/>
      <c r="O825" s="332"/>
      <c r="P825" s="342"/>
      <c r="Q825" s="343"/>
      <c r="R825" s="344"/>
      <c r="S825" s="344"/>
      <c r="T825" s="344"/>
      <c r="U825" s="344"/>
      <c r="V825" s="332"/>
      <c r="W825" s="345"/>
      <c r="X825" s="346"/>
      <c r="Y825" s="208"/>
      <c r="Z825" s="332"/>
      <c r="AA825" s="342"/>
      <c r="AB825" s="342"/>
      <c r="AC825" s="342"/>
      <c r="AD825" s="347"/>
      <c r="AE825" s="348"/>
      <c r="AF825" s="349"/>
      <c r="AG825" s="350"/>
      <c r="AH825" s="351"/>
      <c r="AI825" s="352"/>
      <c r="AJ825" s="206"/>
      <c r="AK825" s="353"/>
      <c r="AL825" s="206"/>
      <c r="AM825" s="349"/>
      <c r="AN825" s="354"/>
      <c r="AO825" s="355"/>
      <c r="AP825" s="206"/>
      <c r="AQ825" s="207"/>
      <c r="AR825" s="211"/>
      <c r="AS825" s="297">
        <f>+IF(Table1[[#This Row],[Column40]]="ok",Table1[[#This Row],[Column7]],0)</f>
        <v>0</v>
      </c>
      <c r="AT825" s="295">
        <f>+IF(Table1[[#This Row],[Column40]]="No",Table1[[#This Row],[Column7]],0)</f>
        <v>0</v>
      </c>
      <c r="AU825" s="4" t="str">
        <f>+IF(LEFT(Table1[[#This Row],[Column42]],2)="DN",IF(Table1[[#This Row],[Column40]]="ok","(CA)",_xlfn.CONCAT("(CA)",CHAR(10),"FAIL")),"")</f>
        <v/>
      </c>
      <c r="AV825" s="154" t="str">
        <f>+IF(Table1[[#This Row],[Column6]]=0,"",_xlfn.CONCAT("Sem ",WEEKNUM(Table1[[#This Row],[Column6]],2)))</f>
        <v/>
      </c>
      <c r="AW825" s="211"/>
    </row>
    <row r="826" spans="2:49" ht="20.25" customHeight="1" x14ac:dyDescent="0.25">
      <c r="B826" s="212"/>
      <c r="C826" s="110"/>
      <c r="D826" s="213"/>
      <c r="E826" s="110"/>
      <c r="F826" s="110"/>
      <c r="G826" s="124"/>
      <c r="H826" s="111"/>
      <c r="I826" s="112"/>
      <c r="J826" s="113"/>
      <c r="K826" s="69"/>
      <c r="L826" s="70"/>
      <c r="M826" s="114"/>
      <c r="N826" s="182"/>
      <c r="O826" s="110"/>
      <c r="P826" s="115"/>
      <c r="Q826" s="116"/>
      <c r="R826" s="117">
        <f>SUBTOTAL(101,Table1[Column17])</f>
        <v>1.7406862271271968</v>
      </c>
      <c r="S826" s="117"/>
      <c r="T826" s="117"/>
      <c r="U826" s="117"/>
      <c r="V826" s="110"/>
      <c r="W826" s="70"/>
      <c r="X826" s="114"/>
      <c r="Y826" s="214"/>
      <c r="Z826" s="110"/>
      <c r="AA826" s="115"/>
      <c r="AB826" s="115"/>
      <c r="AC826" s="115"/>
      <c r="AD826" s="113"/>
      <c r="AE826" s="215"/>
      <c r="AF826" s="116"/>
      <c r="AG826" s="216"/>
      <c r="AH826" s="120"/>
      <c r="AI826" s="217"/>
      <c r="AJ826" s="113"/>
      <c r="AK826" s="182"/>
      <c r="AL826" s="115"/>
      <c r="AM826" s="116">
        <f>SUBTOTAL(101,Table1[Column38])</f>
        <v>101.57143984701682</v>
      </c>
      <c r="AN826" s="226"/>
      <c r="AO826" s="218"/>
      <c r="AP826" s="123"/>
      <c r="AQ826" s="219"/>
      <c r="AR826"/>
      <c r="AS826"/>
      <c r="AT826"/>
      <c r="AU826"/>
      <c r="AV826"/>
      <c r="AW826" s="211"/>
    </row>
    <row r="827" spans="2:49" ht="20.25" customHeight="1" x14ac:dyDescent="0.3">
      <c r="B827" s="248"/>
      <c r="C827" s="249"/>
      <c r="D827" s="133"/>
      <c r="E827" s="249"/>
      <c r="F827" s="249"/>
      <c r="G827" s="250"/>
      <c r="H827" s="251"/>
      <c r="I827" s="251"/>
      <c r="J827" s="17"/>
      <c r="K827" s="130"/>
      <c r="L827" s="130"/>
      <c r="M827" s="252"/>
      <c r="N827" s="253"/>
      <c r="O827" s="249"/>
      <c r="P827" s="254"/>
      <c r="Q827" s="254"/>
      <c r="R827" s="255"/>
      <c r="S827" s="255"/>
      <c r="T827" s="255"/>
      <c r="U827" s="256"/>
      <c r="V827" s="249"/>
      <c r="W827" s="130"/>
      <c r="X827" s="130"/>
      <c r="Y827" s="95"/>
      <c r="Z827" s="249"/>
      <c r="AA827" s="17"/>
      <c r="AB827" s="17"/>
      <c r="AC827" s="17"/>
      <c r="AD827" s="17"/>
      <c r="AE827" s="256"/>
      <c r="AF827" s="249"/>
      <c r="AG827" s="249"/>
      <c r="AH827" s="257"/>
      <c r="AI827" s="257"/>
      <c r="AJ827" s="17"/>
      <c r="AK827" s="249"/>
      <c r="AL827" s="17"/>
      <c r="AM827" s="254"/>
      <c r="AN827" s="137"/>
      <c r="AO827" s="249"/>
      <c r="AP827" s="223"/>
      <c r="AR827" s="7"/>
      <c r="AS827" s="7"/>
      <c r="AT827" s="7"/>
      <c r="AW827" s="211"/>
    </row>
    <row r="828" spans="2:49" ht="20.25" customHeight="1" x14ac:dyDescent="0.3">
      <c r="B828" s="463" t="str">
        <f>+"Estadísticas de "&amp;TEXT(G11,"mmmm yyyy")</f>
        <v>Estadísticas de March 2026</v>
      </c>
      <c r="C828" s="464"/>
      <c r="D828" s="464"/>
      <c r="E828" s="464"/>
      <c r="F828" s="464"/>
      <c r="G828" s="464"/>
      <c r="H828" s="464"/>
      <c r="I828" s="464"/>
      <c r="J828" s="464"/>
      <c r="K828" s="464"/>
      <c r="L828" s="465"/>
      <c r="M828" s="147"/>
      <c r="N828" s="308"/>
      <c r="O828" s="309" t="s">
        <v>901</v>
      </c>
      <c r="P828" s="94">
        <f>MIN(P11:P825)</f>
        <v>6</v>
      </c>
      <c r="Q828" s="94">
        <f>SUBTOTAL(105,Table1[Column16])</f>
        <v>6.4066852367687943</v>
      </c>
      <c r="R828" s="94">
        <f>MIN(R11:R825)</f>
        <v>1.6654835847382432</v>
      </c>
      <c r="S828" s="94">
        <f>MIN(S11:S825)</f>
        <v>1.6359999999999999</v>
      </c>
      <c r="T828" s="94">
        <f>MIN(T11:T825)</f>
        <v>1.8149999999999999</v>
      </c>
      <c r="U828" s="53"/>
      <c r="V828" s="310"/>
      <c r="W828" s="310"/>
      <c r="X828" s="311"/>
      <c r="Y828" s="312"/>
      <c r="Z828" s="313"/>
      <c r="AA828" s="313"/>
      <c r="AB828" s="313"/>
      <c r="AC828" s="313"/>
      <c r="AD828" s="313"/>
      <c r="AE828" s="314"/>
      <c r="AF828" s="315"/>
      <c r="AG828" s="316"/>
      <c r="AH828" s="312"/>
      <c r="AI828" s="312"/>
      <c r="AJ828" s="313"/>
      <c r="AK828" s="52"/>
      <c r="AL828" s="317" t="s">
        <v>901</v>
      </c>
      <c r="AM828" s="94">
        <f>MIN(Table1[Column38])</f>
        <v>98.071233350591413</v>
      </c>
      <c r="AN828" s="94">
        <f>MIN(Table1[Column39])</f>
        <v>0</v>
      </c>
      <c r="AO828" s="52"/>
      <c r="AP828" s="318"/>
      <c r="AR828" s="7"/>
      <c r="AS828" s="7"/>
      <c r="AT828" s="7"/>
      <c r="AW828" s="211"/>
    </row>
    <row r="829" spans="2:49" ht="20.25" customHeight="1" x14ac:dyDescent="0.3">
      <c r="B829" s="466"/>
      <c r="C829" s="467"/>
      <c r="D829" s="467"/>
      <c r="E829" s="467"/>
      <c r="F829" s="467"/>
      <c r="G829" s="467"/>
      <c r="H829" s="467"/>
      <c r="I829" s="467"/>
      <c r="J829" s="467"/>
      <c r="K829" s="467"/>
      <c r="L829" s="468"/>
      <c r="M829" s="148"/>
      <c r="N829" s="187"/>
      <c r="O829" s="55" t="s">
        <v>902</v>
      </c>
      <c r="P829" s="94">
        <f>MAX(P11:P825)</f>
        <v>18.5</v>
      </c>
      <c r="Q829" s="94">
        <f>MAX(Q11:Q825)</f>
        <v>19.284064665127019</v>
      </c>
      <c r="R829" s="94">
        <f>MAX(R11:R825)</f>
        <v>1.8563829787234039</v>
      </c>
      <c r="S829" s="94">
        <f>MAX(S11:S825)</f>
        <v>1.931</v>
      </c>
      <c r="T829" s="94">
        <f>MAX(T11:T825)</f>
        <v>2.1040000000000001</v>
      </c>
      <c r="U829" s="56"/>
      <c r="W829" s="27"/>
      <c r="AG829" s="17"/>
      <c r="AK829" s="54"/>
      <c r="AL829" s="294" t="s">
        <v>902</v>
      </c>
      <c r="AM829" s="94">
        <f>MAX(Table1[Column38])</f>
        <v>105.00814653948242</v>
      </c>
      <c r="AN829" s="138">
        <f>MAX(Table1[Column39])</f>
        <v>0</v>
      </c>
      <c r="AO829" s="11"/>
      <c r="AP829" s="14"/>
      <c r="AR829" s="7"/>
      <c r="AS829" s="7"/>
      <c r="AT829" s="7"/>
      <c r="AW829" s="211"/>
    </row>
    <row r="830" spans="2:49" ht="20.25" customHeight="1" x14ac:dyDescent="0.3">
      <c r="B830" s="466"/>
      <c r="C830" s="467"/>
      <c r="D830" s="467"/>
      <c r="E830" s="467"/>
      <c r="F830" s="467"/>
      <c r="G830" s="467"/>
      <c r="H830" s="467"/>
      <c r="I830" s="467"/>
      <c r="J830" s="467"/>
      <c r="K830" s="467"/>
      <c r="L830" s="468"/>
      <c r="M830" s="148"/>
      <c r="N830" s="188"/>
      <c r="O830" s="55" t="s">
        <v>903</v>
      </c>
      <c r="P830" s="94">
        <f>AVERAGE(P11:P825)</f>
        <v>10.98368713497754</v>
      </c>
      <c r="Q830" s="94">
        <f>AVERAGE(Q11:Q825)</f>
        <v>10.845760051839186</v>
      </c>
      <c r="R830" s="247">
        <f>AVERAGE(R11:R825)</f>
        <v>1.7406862271271968</v>
      </c>
      <c r="S830" s="94">
        <f>AVERAGE(S11:S825)</f>
        <v>1.7437554140127389</v>
      </c>
      <c r="T830" s="94">
        <f>AVERAGE(T11:T825)</f>
        <v>1.9317760325094049</v>
      </c>
      <c r="U830" s="56"/>
      <c r="W830" s="27"/>
      <c r="AG830" s="17"/>
      <c r="AK830" s="57"/>
      <c r="AL830" s="294" t="s">
        <v>903</v>
      </c>
      <c r="AM830" s="94">
        <f>AVERAGE(Table1[Column38])</f>
        <v>101.57143984701682</v>
      </c>
      <c r="AN830" s="138" t="e">
        <f>AVERAGE(Table1[Column39])</f>
        <v>#DIV/0!</v>
      </c>
      <c r="AO830" s="11"/>
      <c r="AP830" s="14"/>
      <c r="AR830" s="7"/>
      <c r="AS830" s="7"/>
      <c r="AT830" s="7"/>
      <c r="AW830" s="211"/>
    </row>
    <row r="831" spans="2:49" ht="20.25" customHeight="1" x14ac:dyDescent="0.3">
      <c r="B831" s="469"/>
      <c r="C831" s="470"/>
      <c r="D831" s="470"/>
      <c r="E831" s="470"/>
      <c r="F831" s="470"/>
      <c r="G831" s="470"/>
      <c r="H831" s="470"/>
      <c r="I831" s="470"/>
      <c r="J831" s="470"/>
      <c r="K831" s="470"/>
      <c r="L831" s="471"/>
      <c r="M831" s="149"/>
      <c r="N831" s="189"/>
      <c r="O831" s="59" t="s">
        <v>904</v>
      </c>
      <c r="P831" s="94">
        <f>STDEV(P11:P825)</f>
        <v>2.0605541067315043</v>
      </c>
      <c r="Q831" s="94">
        <f>STDEV(Q11:Q825)</f>
        <v>1.6304690601771037</v>
      </c>
      <c r="R831" s="94">
        <f>STDEV(R11:R825)</f>
        <v>3.2561644750344489E-2</v>
      </c>
      <c r="S831" s="94">
        <f>STDEV(S11:S825)</f>
        <v>3.4833268658144276E-2</v>
      </c>
      <c r="T831" s="94">
        <f>STDEV(T11:T825)</f>
        <v>4.6868242081690818E-2</v>
      </c>
      <c r="U831" s="60"/>
      <c r="V831" s="61"/>
      <c r="W831" s="61"/>
      <c r="X831" s="62"/>
      <c r="Y831" s="63"/>
      <c r="Z831" s="42"/>
      <c r="AA831" s="42"/>
      <c r="AB831" s="42"/>
      <c r="AC831" s="42"/>
      <c r="AD831" s="42"/>
      <c r="AE831" s="153"/>
      <c r="AF831" s="157"/>
      <c r="AG831" s="64"/>
      <c r="AH831" s="63"/>
      <c r="AI831" s="63"/>
      <c r="AJ831" s="42"/>
      <c r="AK831" s="58"/>
      <c r="AL831" s="293" t="s">
        <v>904</v>
      </c>
      <c r="AM831" s="94">
        <f>STDEV(Table1[Column38])</f>
        <v>1.7190259315031433</v>
      </c>
      <c r="AN831" s="138" t="e">
        <f>STDEV(Table1[Column39])</f>
        <v>#DIV/0!</v>
      </c>
      <c r="AO831" s="12"/>
      <c r="AP831" s="15"/>
      <c r="AR831" s="7"/>
      <c r="AS831" s="7"/>
      <c r="AT831" s="7"/>
      <c r="AW831" s="211"/>
    </row>
    <row r="832" spans="2:49" ht="20.25" customHeight="1" x14ac:dyDescent="0.3">
      <c r="G832" s="7"/>
      <c r="M832" s="150"/>
      <c r="N832" s="187"/>
      <c r="O832" s="65"/>
      <c r="P832" s="3"/>
      <c r="Q832" s="3"/>
      <c r="R832" s="6"/>
      <c r="S832" s="6"/>
      <c r="T832" s="6"/>
      <c r="W832" s="27"/>
      <c r="AG832" s="17"/>
      <c r="AK832" s="4"/>
      <c r="AL832" s="158"/>
      <c r="AM832" s="3"/>
      <c r="AN832" s="139"/>
      <c r="AO832" s="2"/>
      <c r="AP832" s="5"/>
      <c r="AR832" s="7"/>
      <c r="AS832" s="7"/>
      <c r="AT832" s="7"/>
      <c r="AW832" s="211"/>
    </row>
    <row r="833" spans="44:49" x14ac:dyDescent="0.3">
      <c r="AR833" s="7"/>
      <c r="AS833" s="7"/>
      <c r="AT833" s="7"/>
      <c r="AW833" s="211"/>
    </row>
    <row r="834" spans="44:49" x14ac:dyDescent="0.3">
      <c r="AR834" s="7"/>
      <c r="AS834" s="7"/>
      <c r="AT834" s="7"/>
      <c r="AW834" s="211"/>
    </row>
    <row r="835" spans="44:49" x14ac:dyDescent="0.3">
      <c r="AR835" s="7"/>
      <c r="AS835" s="7"/>
      <c r="AT835" s="7"/>
      <c r="AW835" s="211"/>
    </row>
    <row r="836" spans="44:49" x14ac:dyDescent="0.3">
      <c r="AR836" s="7"/>
      <c r="AS836" s="7"/>
      <c r="AT836" s="7"/>
      <c r="AW836" s="211"/>
    </row>
    <row r="837" spans="44:49" x14ac:dyDescent="0.3">
      <c r="AR837" s="7"/>
      <c r="AS837" s="7"/>
      <c r="AT837" s="7"/>
      <c r="AW837" s="211"/>
    </row>
    <row r="838" spans="44:49" x14ac:dyDescent="0.3">
      <c r="AR838" s="7"/>
      <c r="AS838" s="7"/>
      <c r="AT838" s="7"/>
      <c r="AW838" s="211"/>
    </row>
    <row r="839" spans="44:49" ht="14.25" customHeight="1" x14ac:dyDescent="0.3">
      <c r="AR839" s="7"/>
      <c r="AS839" s="7"/>
      <c r="AT839" s="7"/>
      <c r="AW839" s="211"/>
    </row>
    <row r="840" spans="44:49" ht="14.25" customHeight="1" x14ac:dyDescent="0.3">
      <c r="AR840" s="7"/>
      <c r="AS840" s="7"/>
      <c r="AT840" s="7"/>
      <c r="AW840" s="211"/>
    </row>
    <row r="841" spans="44:49" ht="14.25" customHeight="1" x14ac:dyDescent="0.3">
      <c r="AR841" s="7"/>
      <c r="AS841" s="7"/>
      <c r="AT841" s="7"/>
      <c r="AW841" s="211"/>
    </row>
    <row r="842" spans="44:49" ht="14.25" customHeight="1" x14ac:dyDescent="0.3">
      <c r="AR842" s="7"/>
      <c r="AS842" s="7"/>
      <c r="AT842" s="7"/>
      <c r="AW842" s="211"/>
    </row>
    <row r="843" spans="44:49" ht="14.25" customHeight="1" x14ac:dyDescent="0.3">
      <c r="AR843" s="7"/>
      <c r="AS843" s="7"/>
      <c r="AT843" s="7"/>
      <c r="AW843" s="211"/>
    </row>
    <row r="844" spans="44:49" ht="14.25" customHeight="1" x14ac:dyDescent="0.3">
      <c r="AR844" s="7"/>
      <c r="AS844" s="7"/>
      <c r="AT844" s="7"/>
      <c r="AW844" s="211"/>
    </row>
    <row r="845" spans="44:49" ht="14.25" customHeight="1" x14ac:dyDescent="0.3">
      <c r="AR845" s="7"/>
      <c r="AS845" s="7"/>
      <c r="AT845" s="7"/>
      <c r="AW845" s="211"/>
    </row>
    <row r="846" spans="44:49" ht="14.25" customHeight="1" x14ac:dyDescent="0.3">
      <c r="AR846" s="7"/>
      <c r="AS846" s="7"/>
      <c r="AT846" s="7"/>
      <c r="AW846" s="211"/>
    </row>
    <row r="847" spans="44:49" ht="14.25" customHeight="1" x14ac:dyDescent="0.3">
      <c r="AR847" s="7"/>
      <c r="AS847" s="7"/>
      <c r="AT847" s="7"/>
      <c r="AW847" s="211"/>
    </row>
    <row r="848" spans="44:49" ht="14.25" customHeight="1" x14ac:dyDescent="0.3">
      <c r="AR848" s="7"/>
      <c r="AS848" s="7"/>
      <c r="AT848" s="7"/>
      <c r="AW848" s="211"/>
    </row>
    <row r="849" spans="7:49" ht="14.25" customHeight="1" x14ac:dyDescent="0.3">
      <c r="AR849" s="7"/>
      <c r="AS849" s="7"/>
      <c r="AT849" s="7"/>
      <c r="AW849" s="211"/>
    </row>
    <row r="850" spans="7:49" ht="14.25" customHeight="1" x14ac:dyDescent="0.3">
      <c r="AR850" s="7"/>
      <c r="AS850" s="7"/>
      <c r="AT850" s="7"/>
      <c r="AW850" s="211"/>
    </row>
    <row r="851" spans="7:49" ht="14.25" customHeight="1" x14ac:dyDescent="0.3">
      <c r="AR851" s="7"/>
      <c r="AS851" s="7"/>
      <c r="AT851" s="7"/>
      <c r="AW851" s="211"/>
    </row>
    <row r="852" spans="7:49" ht="14.25" customHeight="1" x14ac:dyDescent="0.3">
      <c r="AR852" s="7"/>
      <c r="AS852" s="7"/>
      <c r="AT852" s="7"/>
      <c r="AW852" s="211"/>
    </row>
    <row r="853" spans="7:49" ht="14.25" customHeight="1" x14ac:dyDescent="0.3">
      <c r="AR853" s="7"/>
      <c r="AS853" s="7"/>
      <c r="AT853" s="7"/>
      <c r="AW853" s="211"/>
    </row>
    <row r="854" spans="7:49" ht="14.25" customHeight="1" x14ac:dyDescent="0.3">
      <c r="AR854" s="7"/>
      <c r="AS854" s="7"/>
      <c r="AT854" s="7"/>
      <c r="AW854" s="211"/>
    </row>
    <row r="855" spans="7:49" ht="14.25" customHeight="1" x14ac:dyDescent="0.3">
      <c r="AR855" s="7"/>
      <c r="AS855" s="7"/>
      <c r="AT855" s="7"/>
      <c r="AW855" s="211"/>
    </row>
    <row r="856" spans="7:49" ht="14.25" customHeight="1" x14ac:dyDescent="0.3">
      <c r="AR856" s="7"/>
      <c r="AS856" s="7"/>
      <c r="AT856" s="7"/>
      <c r="AW856" s="211"/>
    </row>
    <row r="857" spans="7:49" ht="14.25" customHeight="1" thickBot="1" x14ac:dyDescent="0.35">
      <c r="G857" s="258" t="s">
        <v>905</v>
      </c>
      <c r="H857" s="259"/>
      <c r="I857" s="260" t="s">
        <v>906</v>
      </c>
      <c r="J857" s="511" t="str">
        <f>+UPPER(TEXT(SUBTOTAL(5,Table1[Column6]),"dd-mmm"))</f>
        <v>01-MAR</v>
      </c>
      <c r="K857" s="511"/>
      <c r="L857" s="260" t="s">
        <v>7</v>
      </c>
      <c r="M857" s="511" t="str">
        <f>+UPPER(TEXT(SUBTOTAL(4,Table1[Column6]),"dd-mmm"))</f>
        <v>31-MAR</v>
      </c>
      <c r="N857" s="511"/>
      <c r="AR857" s="7"/>
      <c r="AS857" s="7"/>
      <c r="AT857" s="7"/>
      <c r="AW857" s="211"/>
    </row>
    <row r="858" spans="7:49" ht="14.25" customHeight="1" thickTop="1" x14ac:dyDescent="0.3">
      <c r="G858" s="512" t="s">
        <v>907</v>
      </c>
      <c r="H858" s="513"/>
      <c r="I858" s="513"/>
      <c r="J858" s="513"/>
      <c r="K858" s="513"/>
      <c r="L858" s="513"/>
      <c r="M858" s="513"/>
      <c r="N858" s="514"/>
      <c r="AR858" s="7"/>
      <c r="AS858" s="7"/>
      <c r="AT858" s="7"/>
      <c r="AW858" s="211"/>
    </row>
    <row r="859" spans="7:49" ht="14.25" customHeight="1" x14ac:dyDescent="0.3">
      <c r="G859" s="515" t="s">
        <v>908</v>
      </c>
      <c r="H859" s="516"/>
      <c r="I859" s="519" t="s">
        <v>909</v>
      </c>
      <c r="J859" s="520"/>
      <c r="K859" s="523" t="s">
        <v>910</v>
      </c>
      <c r="L859" s="524"/>
      <c r="M859" s="519" t="s">
        <v>911</v>
      </c>
      <c r="N859" s="527"/>
      <c r="AR859" s="7"/>
      <c r="AS859" s="7"/>
      <c r="AT859" s="7"/>
      <c r="AW859" s="211"/>
    </row>
    <row r="860" spans="7:49" ht="14.25" customHeight="1" x14ac:dyDescent="0.3">
      <c r="G860" s="517"/>
      <c r="H860" s="518"/>
      <c r="I860" s="521"/>
      <c r="J860" s="522"/>
      <c r="K860" s="525"/>
      <c r="L860" s="526"/>
      <c r="M860" s="521"/>
      <c r="N860" s="528"/>
      <c r="AR860" s="7"/>
      <c r="AS860" s="7"/>
      <c r="AT860" s="7"/>
      <c r="AW860" s="211"/>
    </row>
    <row r="861" spans="7:49" ht="14.25" customHeight="1" x14ac:dyDescent="0.3">
      <c r="G861" s="533" t="s">
        <v>912</v>
      </c>
      <c r="H861" s="534"/>
      <c r="I861" s="529">
        <f>+DCOUNTA(Table1[#All],"Column40",H871:J872)-DCOUNTA(Table1[#All],"Column40",G871:J872)</f>
        <v>628</v>
      </c>
      <c r="J861" s="530"/>
      <c r="K861" s="529">
        <f>+DCOUNTA(Table1[#All],"Column40",G871:J872)</f>
        <v>63</v>
      </c>
      <c r="L861" s="530"/>
      <c r="M861" s="531">
        <f>+IFERROR(SUBTOTAL(1,Table1[Column38]),0)</f>
        <v>101.57143984701682</v>
      </c>
      <c r="N861" s="532"/>
      <c r="AR861" s="7"/>
      <c r="AS861" s="7"/>
      <c r="AT861" s="7"/>
      <c r="AW861" s="211"/>
    </row>
    <row r="862" spans="7:49" ht="14.25" customHeight="1" x14ac:dyDescent="0.3">
      <c r="G862" s="533" t="s">
        <v>913</v>
      </c>
      <c r="H862" s="534"/>
      <c r="I862" s="535">
        <f>+DCOUNTA(Table1[#All],"Column40",H873:J874)-DCOUNTA(Table1[#All],"Column40",G873:J874)</f>
        <v>0</v>
      </c>
      <c r="J862" s="536"/>
      <c r="K862" s="535">
        <f>+DCOUNTA(Table1[#All],"Column40",G873:J874)</f>
        <v>0</v>
      </c>
      <c r="L862" s="536"/>
      <c r="M862" s="537">
        <f>+IFERROR(SUBTOTAL(1,Table1[Column39]),0)</f>
        <v>0</v>
      </c>
      <c r="N862" s="538"/>
      <c r="AR862" s="7"/>
      <c r="AS862" s="7"/>
      <c r="AT862" s="7"/>
      <c r="AW862" s="211"/>
    </row>
    <row r="863" spans="7:49" ht="15.75" customHeight="1" thickBot="1" x14ac:dyDescent="0.35">
      <c r="G863" s="549" t="s">
        <v>914</v>
      </c>
      <c r="H863" s="550"/>
      <c r="I863" s="551">
        <f>I861+I862</f>
        <v>628</v>
      </c>
      <c r="J863" s="552"/>
      <c r="K863" s="551">
        <f>K861+K862</f>
        <v>63</v>
      </c>
      <c r="L863" s="552"/>
      <c r="M863" s="553">
        <f>+(IFERROR(SUBTOTAL(1,Table1[Column38]),0)*IFERROR(SUBTOTAL(2,Table1[Column38]),0) +IFERROR(SUBTOTAL(1,Table1[Column39]),0)*IFERROR(SUBTOTAL(2,Table1[Column39]),0))/(IFERROR(SUBTOTAL(2,Table1[Column38]),0)+IFERROR(SUBTOTAL(2,Table1[Column39]),0))</f>
        <v>101.57143984701682</v>
      </c>
      <c r="N863" s="554"/>
      <c r="AR863" s="7"/>
      <c r="AS863" s="7"/>
      <c r="AT863" s="7"/>
      <c r="AW863" s="211"/>
    </row>
    <row r="864" spans="7:49" ht="15" customHeight="1" thickTop="1" x14ac:dyDescent="0.3">
      <c r="AR864" s="7"/>
      <c r="AS864" s="7"/>
      <c r="AT864" s="7"/>
      <c r="AW864" s="211"/>
    </row>
    <row r="865" spans="7:49" ht="15.75" customHeight="1" x14ac:dyDescent="0.3">
      <c r="G865" s="555" t="s">
        <v>915</v>
      </c>
      <c r="H865" s="555"/>
      <c r="I865" s="555"/>
      <c r="J865" s="556" t="s">
        <v>916</v>
      </c>
      <c r="K865" s="557"/>
      <c r="L865" s="558"/>
      <c r="M865" s="261">
        <f>+(IFERROR(SUBTOTAL(1,Table1[Column38]),0)*IFERROR(SUBTOTAL(2,Table1[Column38]),0) +IFERROR(SUBTOTAL(1,Table1[Column39]),0)*IFERROR(SUBTOTAL(2,Table1[Column39]),0))/(IFERROR(SUBTOTAL(2,Table1[Column38]),0)+IFERROR(SUBTOTAL(2,Table1[Column39]),0))</f>
        <v>101.57143984701682</v>
      </c>
      <c r="N865" s="262"/>
      <c r="AR865" s="7"/>
      <c r="AS865" s="7"/>
      <c r="AT865" s="7"/>
      <c r="AW865" s="211"/>
    </row>
    <row r="866" spans="7:49" ht="15.75" customHeight="1" x14ac:dyDescent="0.3">
      <c r="G866" s="555"/>
      <c r="H866" s="555"/>
      <c r="I866" s="555"/>
      <c r="J866" s="556" t="s">
        <v>917</v>
      </c>
      <c r="K866" s="557"/>
      <c r="L866" s="558"/>
      <c r="M866" s="263">
        <f>+DCOUNTA(Table1[#All],"Column40",H871:J872)++DCOUNTA(Table1[#All],"Column40",H873:J874)</f>
        <v>691</v>
      </c>
      <c r="N866" s="262"/>
      <c r="T866" s="539" t="s">
        <v>918</v>
      </c>
      <c r="U866" s="539"/>
      <c r="V866" s="539"/>
      <c r="W866" s="539"/>
      <c r="X866" s="539"/>
      <c r="Y866" s="539"/>
      <c r="Z866" s="539"/>
      <c r="AR866" s="7"/>
      <c r="AS866" s="7"/>
      <c r="AT866" s="7"/>
      <c r="AW866" s="211"/>
    </row>
    <row r="867" spans="7:49" ht="15.75" customHeight="1" x14ac:dyDescent="0.3">
      <c r="G867" s="555"/>
      <c r="H867" s="555"/>
      <c r="I867" s="555"/>
      <c r="J867" s="556" t="s">
        <v>919</v>
      </c>
      <c r="K867" s="557"/>
      <c r="L867" s="558"/>
      <c r="M867" s="264">
        <f>+DCOUNTA(Table1[#All],"Column40",H871:J872)</f>
        <v>691</v>
      </c>
      <c r="N867" s="262"/>
      <c r="T867" s="540" t="s">
        <v>920</v>
      </c>
      <c r="U867" s="541"/>
      <c r="V867" s="541"/>
      <c r="W867" s="541"/>
      <c r="X867" s="541"/>
      <c r="Y867" s="542"/>
      <c r="Z867" s="271">
        <f>I861+K861+I862+K862</f>
        <v>691</v>
      </c>
      <c r="AR867" s="7"/>
      <c r="AS867" s="7"/>
      <c r="AT867" s="7"/>
      <c r="AW867" s="211"/>
    </row>
    <row r="868" spans="7:49" ht="15.75" customHeight="1" x14ac:dyDescent="0.3">
      <c r="G868" s="555"/>
      <c r="H868" s="555"/>
      <c r="I868" s="555"/>
      <c r="J868" s="556" t="s">
        <v>921</v>
      </c>
      <c r="K868" s="557"/>
      <c r="L868" s="558"/>
      <c r="M868" s="265">
        <f>+DCOUNTA(Table1[#All],"Column40",H873:J874)</f>
        <v>0</v>
      </c>
      <c r="N868" s="262"/>
      <c r="T868" s="543" t="s">
        <v>922</v>
      </c>
      <c r="U868" s="544"/>
      <c r="V868" s="544"/>
      <c r="W868" s="544"/>
      <c r="X868" s="544"/>
      <c r="Y868" s="545"/>
      <c r="Z868" s="272">
        <f>+I862+K862</f>
        <v>0</v>
      </c>
      <c r="AR868" s="7"/>
      <c r="AS868" s="7"/>
      <c r="AT868" s="7"/>
      <c r="AW868" s="211"/>
    </row>
    <row r="869" spans="7:49" ht="18" x14ac:dyDescent="0.3">
      <c r="G869" s="555"/>
      <c r="H869" s="555"/>
      <c r="I869" s="555"/>
      <c r="J869" s="556" t="s">
        <v>923</v>
      </c>
      <c r="K869" s="557"/>
      <c r="L869" s="558"/>
      <c r="M869" s="266">
        <f>+M868/M866</f>
        <v>0</v>
      </c>
      <c r="N869" s="262"/>
      <c r="T869" s="546" t="s">
        <v>924</v>
      </c>
      <c r="U869" s="547"/>
      <c r="V869" s="547"/>
      <c r="W869" s="547"/>
      <c r="X869" s="547"/>
      <c r="Y869" s="548"/>
      <c r="Z869" s="442">
        <f>Z868/Z867</f>
        <v>0</v>
      </c>
      <c r="AR869" s="7"/>
      <c r="AS869" s="7"/>
      <c r="AT869" s="7"/>
      <c r="AW869" s="211"/>
    </row>
    <row r="870" spans="7:49" x14ac:dyDescent="0.3">
      <c r="G870" s="267"/>
      <c r="H870" s="262"/>
      <c r="I870" s="262"/>
      <c r="J870" s="262"/>
      <c r="K870" s="268"/>
      <c r="L870" s="262"/>
      <c r="M870" s="269"/>
      <c r="N870" s="262"/>
      <c r="AR870" s="7"/>
      <c r="AS870" s="7"/>
      <c r="AT870" s="7"/>
      <c r="AW870" s="211"/>
    </row>
    <row r="871" spans="7:49" x14ac:dyDescent="0.3">
      <c r="G871" s="276" t="str">
        <f>+Table1[[#Headers],[Column1]]</f>
        <v>Column1</v>
      </c>
      <c r="H871" s="277" t="str">
        <f>+Table1[[#Headers],[Column6]]</f>
        <v>Column6</v>
      </c>
      <c r="I871" s="276" t="str">
        <f>+H871</f>
        <v>Column6</v>
      </c>
      <c r="J871" s="278" t="str">
        <f>+Table1[[#Headers],[Column40]]</f>
        <v>Column40</v>
      </c>
      <c r="K871" s="279"/>
      <c r="L871" s="262"/>
      <c r="M871" s="269"/>
      <c r="N871" s="262"/>
      <c r="AR871" s="7"/>
      <c r="AS871" s="7"/>
      <c r="AT871" s="7"/>
      <c r="AW871" s="211"/>
    </row>
    <row r="872" spans="7:49" x14ac:dyDescent="0.3">
      <c r="G872" s="280" t="str">
        <f>"CA"</f>
        <v>CA</v>
      </c>
      <c r="H872" s="281" t="str">
        <f>+"&gt;="&amp;TEXT(SUBTOTAL(5,Table1[Column6]),"dd-mm-yyy")</f>
        <v>&gt;=01-03-2026</v>
      </c>
      <c r="I872" s="280" t="str">
        <f>+"&lt;="&amp;TEXT(SUBTOTAL(4,Table1[Column6]),"dd-mm-yyy")</f>
        <v>&lt;=31-03-2026</v>
      </c>
      <c r="J872" s="282" t="s">
        <v>140</v>
      </c>
      <c r="K872" s="283"/>
      <c r="M872" s="269"/>
      <c r="N872" s="262"/>
      <c r="AR872" s="7"/>
      <c r="AS872" s="7"/>
      <c r="AT872" s="7"/>
      <c r="AW872" s="211"/>
    </row>
    <row r="873" spans="7:49" x14ac:dyDescent="0.3">
      <c r="G873" s="284" t="str">
        <f>+G871</f>
        <v>Column1</v>
      </c>
      <c r="H873" s="285" t="str">
        <f>+H871</f>
        <v>Column6</v>
      </c>
      <c r="I873" s="286" t="str">
        <f>+H871</f>
        <v>Column6</v>
      </c>
      <c r="J873" s="287" t="str">
        <f>+J871</f>
        <v>Column40</v>
      </c>
      <c r="K873" s="283"/>
      <c r="M873" s="270"/>
      <c r="N873" s="262"/>
      <c r="AR873" s="7"/>
      <c r="AS873" s="7"/>
      <c r="AT873" s="7"/>
      <c r="AW873" s="211"/>
    </row>
    <row r="874" spans="7:49" x14ac:dyDescent="0.3">
      <c r="G874" s="288" t="str">
        <f>+G872</f>
        <v>CA</v>
      </c>
      <c r="H874" s="289" t="str">
        <f>+H872</f>
        <v>&gt;=01-03-2026</v>
      </c>
      <c r="I874" s="290" t="str">
        <f>+I872</f>
        <v>&lt;=31-03-2026</v>
      </c>
      <c r="J874" s="291" t="s">
        <v>925</v>
      </c>
      <c r="K874" s="283"/>
      <c r="M874" s="270"/>
      <c r="N874" s="262"/>
      <c r="AR874" s="7"/>
      <c r="AS874" s="7"/>
      <c r="AT874" s="7"/>
      <c r="AW874" s="211"/>
    </row>
    <row r="875" spans="7:49" x14ac:dyDescent="0.3">
      <c r="G875" s="292" t="str">
        <f>+"RESUMEN SEMANAL COMPACTACIÓN  "&amp;UPPER(TEXT(SUBTOTAL(5,Table1[Column6]),"dd-mmm"))&amp;"   AL   "&amp;UPPER(TEXT(SUBTOTAL(4,Table1[Column6]),"dd-mmm"))</f>
        <v>RESUMEN SEMANAL COMPACTACIÓN  01-MAR   AL   31-MAR</v>
      </c>
      <c r="H875" s="292"/>
      <c r="I875" s="292"/>
      <c r="J875" s="292"/>
      <c r="K875" s="279"/>
      <c r="L875" s="262"/>
      <c r="M875" s="269"/>
      <c r="N875" s="262"/>
      <c r="AR875" s="7"/>
      <c r="AS875" s="7"/>
      <c r="AT875" s="7"/>
      <c r="AW875" s="211"/>
    </row>
    <row r="876" spans="7:49" x14ac:dyDescent="0.3">
      <c r="G876" s="292" t="str">
        <f>+"RESUMEN GRANULOMETRIA DESCARGA - "&amp;UPPER(TEXT(G11,"mmmm yyyy"))</f>
        <v>RESUMEN GRANULOMETRIA DESCARGA - MARCH 2026</v>
      </c>
      <c r="H876" s="292"/>
      <c r="I876" s="292"/>
      <c r="J876" s="292"/>
      <c r="K876" s="279"/>
      <c r="L876" s="262"/>
      <c r="M876" s="269"/>
      <c r="N876" s="262"/>
      <c r="AR876" s="7"/>
      <c r="AS876" s="7"/>
      <c r="AT876" s="7"/>
      <c r="AW876" s="211"/>
    </row>
    <row r="877" spans="7:49" x14ac:dyDescent="0.3">
      <c r="AR877" s="7"/>
      <c r="AS877" s="7"/>
      <c r="AT877" s="7"/>
      <c r="AW877" s="211"/>
    </row>
    <row r="878" spans="7:49" x14ac:dyDescent="0.3">
      <c r="AR878" s="7"/>
      <c r="AS878" s="7"/>
      <c r="AT878" s="7"/>
      <c r="AW878" s="211"/>
    </row>
    <row r="879" spans="7:49" ht="14.25" customHeight="1" x14ac:dyDescent="0.3">
      <c r="AR879" s="7"/>
      <c r="AS879" s="7"/>
      <c r="AT879" s="7"/>
      <c r="AW879" s="211"/>
    </row>
    <row r="880" spans="7:49" ht="14.25" customHeight="1" x14ac:dyDescent="0.3">
      <c r="AR880" s="7"/>
      <c r="AS880" s="7"/>
      <c r="AT880" s="7"/>
      <c r="AW880" s="211"/>
    </row>
    <row r="881" spans="44:47" ht="13.5" customHeight="1" x14ac:dyDescent="0.3">
      <c r="AR881" s="7"/>
      <c r="AS881" s="7"/>
      <c r="AT881" s="7"/>
      <c r="AU881" s="7"/>
    </row>
    <row r="882" spans="44:47" ht="13.5" customHeight="1" x14ac:dyDescent="0.3">
      <c r="AR882" s="7"/>
      <c r="AS882" s="7"/>
      <c r="AT882" s="7"/>
      <c r="AU882" s="7"/>
    </row>
    <row r="883" spans="44:47" ht="13.5" customHeight="1" x14ac:dyDescent="0.3">
      <c r="AR883" s="7"/>
      <c r="AS883" s="7"/>
      <c r="AT883" s="7"/>
      <c r="AU883" s="7"/>
    </row>
    <row r="884" spans="44:47" ht="13.5" customHeight="1" x14ac:dyDescent="0.3">
      <c r="AR884" s="7"/>
      <c r="AS884" s="7"/>
      <c r="AT884" s="7"/>
      <c r="AU884" s="7"/>
    </row>
    <row r="885" spans="44:47" ht="13.5" customHeight="1" x14ac:dyDescent="0.3">
      <c r="AR885" s="7"/>
      <c r="AS885" s="7"/>
      <c r="AT885" s="7"/>
      <c r="AU885" s="7"/>
    </row>
    <row r="886" spans="44:47" ht="13.5" customHeight="1" x14ac:dyDescent="0.3">
      <c r="AR886" s="7"/>
      <c r="AS886" s="7"/>
      <c r="AT886" s="7"/>
      <c r="AU886" s="7"/>
    </row>
    <row r="887" spans="44:47" ht="13.5" customHeight="1" x14ac:dyDescent="0.3">
      <c r="AR887" s="7"/>
      <c r="AS887" s="7"/>
      <c r="AT887" s="7"/>
      <c r="AU887" s="7"/>
    </row>
    <row r="888" spans="44:47" ht="13.5" customHeight="1" x14ac:dyDescent="0.3">
      <c r="AR888" s="7"/>
      <c r="AS888" s="7"/>
      <c r="AT888" s="7"/>
      <c r="AU888" s="7"/>
    </row>
    <row r="889" spans="44:47" ht="13.5" customHeight="1" x14ac:dyDescent="0.3">
      <c r="AR889" s="7"/>
      <c r="AS889" s="7"/>
      <c r="AT889" s="7"/>
      <c r="AU889" s="7"/>
    </row>
    <row r="890" spans="44:47" ht="13.5" customHeight="1" x14ac:dyDescent="0.3">
      <c r="AR890" s="7"/>
      <c r="AS890" s="7"/>
      <c r="AT890" s="7"/>
      <c r="AU890" s="7"/>
    </row>
    <row r="891" spans="44:47" ht="13.5" customHeight="1" x14ac:dyDescent="0.3">
      <c r="AR891" s="7"/>
      <c r="AS891" s="7"/>
      <c r="AT891" s="7"/>
      <c r="AU891" s="7"/>
    </row>
    <row r="892" spans="44:47" ht="13.5" customHeight="1" x14ac:dyDescent="0.3">
      <c r="AR892" s="7"/>
      <c r="AS892" s="7"/>
      <c r="AT892" s="7"/>
      <c r="AU892" s="7"/>
    </row>
    <row r="893" spans="44:47" ht="13.5" customHeight="1" x14ac:dyDescent="0.3">
      <c r="AR893" s="7"/>
      <c r="AS893" s="7"/>
      <c r="AT893" s="7"/>
      <c r="AU893" s="7"/>
    </row>
    <row r="894" spans="44:47" ht="13.5" customHeight="1" x14ac:dyDescent="0.3">
      <c r="AR894" s="7"/>
      <c r="AS894" s="7"/>
      <c r="AT894" s="7"/>
      <c r="AU894" s="7"/>
    </row>
    <row r="895" spans="44:47" ht="13.5" customHeight="1" x14ac:dyDescent="0.3">
      <c r="AR895" s="7"/>
      <c r="AS895" s="7"/>
      <c r="AT895" s="7"/>
      <c r="AU895" s="7"/>
    </row>
    <row r="896" spans="44:47" ht="13.5" customHeight="1" x14ac:dyDescent="0.3">
      <c r="AR896" s="7"/>
      <c r="AS896" s="7"/>
      <c r="AT896" s="7"/>
      <c r="AU896" s="7"/>
    </row>
    <row r="897" spans="44:47" ht="13.5" customHeight="1" x14ac:dyDescent="0.3">
      <c r="AR897" s="7"/>
      <c r="AS897" s="7"/>
      <c r="AT897" s="7"/>
      <c r="AU897" s="7"/>
    </row>
    <row r="898" spans="44:47" ht="13.5" customHeight="1" x14ac:dyDescent="0.3">
      <c r="AR898" s="7"/>
      <c r="AS898" s="7"/>
      <c r="AT898" s="7"/>
      <c r="AU898" s="7"/>
    </row>
    <row r="899" spans="44:47" ht="13.5" customHeight="1" x14ac:dyDescent="0.3">
      <c r="AR899" s="7"/>
      <c r="AS899" s="7"/>
      <c r="AT899" s="7"/>
      <c r="AU899" s="7"/>
    </row>
    <row r="900" spans="44:47" ht="13.5" customHeight="1" x14ac:dyDescent="0.3">
      <c r="AR900" s="7"/>
      <c r="AS900" s="7"/>
      <c r="AT900" s="7"/>
      <c r="AU900" s="7"/>
    </row>
    <row r="901" spans="44:47" ht="13.5" customHeight="1" x14ac:dyDescent="0.3">
      <c r="AR901" s="7"/>
      <c r="AS901" s="7"/>
      <c r="AT901" s="7"/>
      <c r="AU901" s="7"/>
    </row>
    <row r="902" spans="44:47" ht="13.5" customHeight="1" x14ac:dyDescent="0.3">
      <c r="AR902" s="7"/>
      <c r="AS902" s="7"/>
      <c r="AT902" s="7"/>
      <c r="AU902" s="7"/>
    </row>
    <row r="903" spans="44:47" ht="13.5" customHeight="1" x14ac:dyDescent="0.3">
      <c r="AR903" s="7"/>
      <c r="AS903" s="7"/>
      <c r="AT903" s="7"/>
      <c r="AU903" s="7"/>
    </row>
    <row r="904" spans="44:47" ht="13.5" customHeight="1" x14ac:dyDescent="0.3">
      <c r="AR904" s="7"/>
      <c r="AS904" s="7"/>
      <c r="AT904" s="7"/>
      <c r="AU904" s="7"/>
    </row>
    <row r="905" spans="44:47" ht="13.5" customHeight="1" x14ac:dyDescent="0.3">
      <c r="AR905" s="7"/>
      <c r="AS905" s="7"/>
      <c r="AT905" s="7"/>
      <c r="AU905" s="7"/>
    </row>
    <row r="906" spans="44:47" ht="14.25" customHeight="1" x14ac:dyDescent="0.3">
      <c r="AR906" s="7"/>
      <c r="AS906" s="7"/>
      <c r="AT906" s="7"/>
      <c r="AU906" s="7"/>
    </row>
    <row r="907" spans="44:47" ht="13.5" customHeight="1" x14ac:dyDescent="0.3">
      <c r="AR907" s="7"/>
      <c r="AS907" s="7"/>
      <c r="AT907" s="7"/>
      <c r="AU907" s="7"/>
    </row>
    <row r="908" spans="44:47" x14ac:dyDescent="0.3">
      <c r="AR908" s="7"/>
      <c r="AS908" s="7"/>
      <c r="AT908" s="7"/>
      <c r="AU908" s="7"/>
    </row>
    <row r="909" spans="44:47" x14ac:dyDescent="0.3">
      <c r="AR909" s="7"/>
      <c r="AS909" s="7"/>
      <c r="AT909" s="7"/>
      <c r="AU909" s="7"/>
    </row>
    <row r="910" spans="44:47" x14ac:dyDescent="0.3">
      <c r="AR910" s="7"/>
      <c r="AS910" s="7"/>
      <c r="AT910" s="7"/>
      <c r="AU910" s="7"/>
    </row>
    <row r="911" spans="44:47" x14ac:dyDescent="0.3">
      <c r="AR911" s="7"/>
      <c r="AS911" s="7"/>
      <c r="AT911" s="7"/>
      <c r="AU911" s="7"/>
    </row>
    <row r="912" spans="44:47" x14ac:dyDescent="0.3">
      <c r="AR912" s="7"/>
      <c r="AS912" s="7"/>
      <c r="AT912" s="7"/>
      <c r="AU912" s="7"/>
    </row>
    <row r="913" spans="44:47" x14ac:dyDescent="0.3">
      <c r="AR913" s="7"/>
      <c r="AS913" s="7"/>
      <c r="AT913" s="7"/>
      <c r="AU913" s="7"/>
    </row>
    <row r="914" spans="44:47" x14ac:dyDescent="0.3">
      <c r="AR914" s="7"/>
      <c r="AS914" s="7"/>
      <c r="AT914" s="7"/>
      <c r="AU914" s="7"/>
    </row>
    <row r="915" spans="44:47" x14ac:dyDescent="0.3">
      <c r="AR915" s="7"/>
      <c r="AS915" s="7"/>
      <c r="AT915" s="7"/>
      <c r="AU915" s="7"/>
    </row>
    <row r="916" spans="44:47" x14ac:dyDescent="0.3">
      <c r="AR916" s="7"/>
      <c r="AS916" s="7"/>
      <c r="AT916" s="7"/>
      <c r="AU916" s="7"/>
    </row>
    <row r="917" spans="44:47" x14ac:dyDescent="0.3">
      <c r="AR917" s="7"/>
      <c r="AS917" s="7"/>
      <c r="AT917" s="7"/>
      <c r="AU917" s="7"/>
    </row>
    <row r="918" spans="44:47" x14ac:dyDescent="0.3">
      <c r="AR918" s="7"/>
      <c r="AS918" s="7"/>
      <c r="AT918" s="7"/>
      <c r="AU918" s="7"/>
    </row>
    <row r="919" spans="44:47" x14ac:dyDescent="0.3">
      <c r="AR919" s="7"/>
      <c r="AS919" s="7"/>
      <c r="AT919" s="7"/>
      <c r="AU919" s="7"/>
    </row>
    <row r="920" spans="44:47" x14ac:dyDescent="0.3">
      <c r="AR920" s="7"/>
      <c r="AS920" s="7"/>
      <c r="AT920" s="7"/>
      <c r="AU920" s="7"/>
    </row>
    <row r="921" spans="44:47" x14ac:dyDescent="0.3">
      <c r="AR921" s="7"/>
      <c r="AS921" s="7"/>
      <c r="AT921" s="7"/>
      <c r="AU921" s="7"/>
    </row>
    <row r="922" spans="44:47" x14ac:dyDescent="0.3">
      <c r="AR922" s="7"/>
      <c r="AS922" s="7"/>
      <c r="AT922" s="7"/>
      <c r="AU922" s="7"/>
    </row>
    <row r="923" spans="44:47" x14ac:dyDescent="0.3">
      <c r="AR923" s="7"/>
      <c r="AS923" s="7"/>
      <c r="AT923" s="7"/>
      <c r="AU923" s="7"/>
    </row>
    <row r="924" spans="44:47" x14ac:dyDescent="0.3">
      <c r="AR924" s="7"/>
      <c r="AS924" s="7"/>
      <c r="AT924" s="7"/>
      <c r="AU924" s="7"/>
    </row>
    <row r="925" spans="44:47" x14ac:dyDescent="0.3">
      <c r="AR925" s="7"/>
      <c r="AS925" s="7"/>
      <c r="AT925" s="7"/>
      <c r="AU925" s="7"/>
    </row>
    <row r="926" spans="44:47" x14ac:dyDescent="0.3">
      <c r="AR926" s="7"/>
      <c r="AS926" s="7"/>
      <c r="AT926" s="7"/>
      <c r="AU926" s="7"/>
    </row>
    <row r="927" spans="44:47" x14ac:dyDescent="0.3">
      <c r="AR927" s="7"/>
      <c r="AS927" s="7"/>
      <c r="AT927" s="7"/>
      <c r="AU927" s="7"/>
    </row>
    <row r="928" spans="44:47" x14ac:dyDescent="0.3">
      <c r="AR928" s="7"/>
      <c r="AS928" s="7"/>
      <c r="AT928" s="7"/>
      <c r="AU928" s="7"/>
    </row>
    <row r="929" spans="44:47" x14ac:dyDescent="0.3">
      <c r="AR929" s="7"/>
      <c r="AS929" s="7"/>
      <c r="AT929" s="7"/>
      <c r="AU929" s="7"/>
    </row>
    <row r="930" spans="44:47" x14ac:dyDescent="0.3">
      <c r="AR930" s="7"/>
      <c r="AS930" s="7"/>
      <c r="AT930" s="7"/>
      <c r="AU930" s="7"/>
    </row>
    <row r="931" spans="44:47" x14ac:dyDescent="0.3">
      <c r="AR931" s="7"/>
      <c r="AS931" s="7"/>
      <c r="AT931" s="7"/>
      <c r="AU931" s="7"/>
    </row>
    <row r="932" spans="44:47" x14ac:dyDescent="0.3">
      <c r="AR932" s="7"/>
      <c r="AS932" s="7"/>
      <c r="AT932" s="7"/>
      <c r="AU932" s="7"/>
    </row>
    <row r="933" spans="44:47" x14ac:dyDescent="0.3">
      <c r="AR933" s="7"/>
      <c r="AS933" s="7"/>
      <c r="AT933" s="7"/>
      <c r="AU933" s="7"/>
    </row>
    <row r="934" spans="44:47" x14ac:dyDescent="0.3">
      <c r="AR934" s="7"/>
      <c r="AS934" s="7"/>
      <c r="AT934" s="7"/>
      <c r="AU934" s="7"/>
    </row>
    <row r="935" spans="44:47" x14ac:dyDescent="0.3">
      <c r="AR935" s="7"/>
      <c r="AS935" s="7"/>
      <c r="AT935" s="7"/>
      <c r="AU935" s="7"/>
    </row>
    <row r="936" spans="44:47" x14ac:dyDescent="0.3">
      <c r="AR936" s="7"/>
      <c r="AS936" s="7"/>
      <c r="AT936" s="7"/>
      <c r="AU936" s="7"/>
    </row>
    <row r="937" spans="44:47" x14ac:dyDescent="0.3">
      <c r="AR937" s="7"/>
      <c r="AS937" s="7"/>
      <c r="AT937" s="7"/>
      <c r="AU937" s="7"/>
    </row>
    <row r="938" spans="44:47" x14ac:dyDescent="0.3">
      <c r="AR938" s="7"/>
      <c r="AS938" s="7"/>
      <c r="AT938" s="7"/>
      <c r="AU938" s="7"/>
    </row>
    <row r="939" spans="44:47" x14ac:dyDescent="0.3">
      <c r="AR939" s="7"/>
      <c r="AS939" s="7"/>
      <c r="AT939" s="7"/>
      <c r="AU939" s="7"/>
    </row>
    <row r="940" spans="44:47" x14ac:dyDescent="0.3">
      <c r="AR940" s="7"/>
      <c r="AS940" s="7"/>
      <c r="AT940" s="7"/>
      <c r="AU940" s="7"/>
    </row>
    <row r="941" spans="44:47" x14ac:dyDescent="0.3">
      <c r="AR941" s="7"/>
      <c r="AS941" s="7"/>
      <c r="AT941" s="7"/>
      <c r="AU941" s="7"/>
    </row>
    <row r="942" spans="44:47" x14ac:dyDescent="0.3">
      <c r="AR942" s="7"/>
      <c r="AS942" s="7"/>
      <c r="AT942" s="7"/>
      <c r="AU942" s="7"/>
    </row>
    <row r="943" spans="44:47" x14ac:dyDescent="0.3">
      <c r="AR943" s="7"/>
      <c r="AS943" s="7"/>
      <c r="AT943" s="7"/>
      <c r="AU943" s="7"/>
    </row>
    <row r="944" spans="44:47" x14ac:dyDescent="0.3">
      <c r="AR944" s="7"/>
      <c r="AS944" s="7"/>
      <c r="AT944" s="7"/>
      <c r="AU944" s="7"/>
    </row>
    <row r="945" spans="44:47" x14ac:dyDescent="0.3">
      <c r="AR945" s="7"/>
      <c r="AS945" s="7"/>
      <c r="AT945" s="7"/>
      <c r="AU945" s="7"/>
    </row>
    <row r="946" spans="44:47" x14ac:dyDescent="0.3">
      <c r="AR946" s="7"/>
      <c r="AS946" s="7"/>
      <c r="AT946" s="7"/>
      <c r="AU946" s="7"/>
    </row>
    <row r="947" spans="44:47" x14ac:dyDescent="0.3">
      <c r="AR947" s="7"/>
      <c r="AS947" s="7"/>
      <c r="AT947" s="7"/>
      <c r="AU947" s="7"/>
    </row>
    <row r="948" spans="44:47" x14ac:dyDescent="0.3">
      <c r="AR948" s="7"/>
      <c r="AS948" s="7"/>
      <c r="AT948" s="7"/>
      <c r="AU948" s="7"/>
    </row>
    <row r="949" spans="44:47" x14ac:dyDescent="0.3">
      <c r="AR949" s="7"/>
      <c r="AS949" s="7"/>
      <c r="AT949" s="7"/>
      <c r="AU949" s="7"/>
    </row>
    <row r="950" spans="44:47" x14ac:dyDescent="0.3">
      <c r="AR950" s="7"/>
      <c r="AS950" s="7"/>
      <c r="AT950" s="7"/>
      <c r="AU950" s="7"/>
    </row>
    <row r="951" spans="44:47" x14ac:dyDescent="0.3">
      <c r="AR951" s="7"/>
      <c r="AS951" s="7"/>
      <c r="AT951" s="7"/>
      <c r="AU951" s="7"/>
    </row>
    <row r="952" spans="44:47" x14ac:dyDescent="0.3">
      <c r="AR952" s="7"/>
      <c r="AS952" s="7"/>
      <c r="AT952" s="7"/>
      <c r="AU952" s="7"/>
    </row>
    <row r="953" spans="44:47" x14ac:dyDescent="0.3">
      <c r="AR953" s="7"/>
      <c r="AS953" s="7"/>
      <c r="AT953" s="7"/>
      <c r="AU953" s="7"/>
    </row>
    <row r="954" spans="44:47" x14ac:dyDescent="0.3">
      <c r="AR954" s="7"/>
      <c r="AS954" s="7"/>
      <c r="AT954" s="7"/>
      <c r="AU954" s="7"/>
    </row>
    <row r="955" spans="44:47" x14ac:dyDescent="0.3">
      <c r="AR955" s="7"/>
      <c r="AS955" s="7"/>
      <c r="AT955" s="7"/>
      <c r="AU955" s="7"/>
    </row>
    <row r="956" spans="44:47" x14ac:dyDescent="0.3">
      <c r="AR956" s="7"/>
      <c r="AS956" s="7"/>
      <c r="AT956" s="7"/>
      <c r="AU956" s="7"/>
    </row>
    <row r="957" spans="44:47" x14ac:dyDescent="0.3">
      <c r="AR957" s="7"/>
      <c r="AS957" s="7"/>
      <c r="AT957" s="7"/>
      <c r="AU957" s="7"/>
    </row>
    <row r="958" spans="44:47" x14ac:dyDescent="0.3">
      <c r="AR958" s="7"/>
      <c r="AS958" s="7"/>
      <c r="AT958" s="7"/>
      <c r="AU958" s="7"/>
    </row>
    <row r="959" spans="44:47" x14ac:dyDescent="0.3">
      <c r="AR959" s="7"/>
      <c r="AS959" s="7"/>
      <c r="AT959" s="7"/>
      <c r="AU959" s="7"/>
    </row>
    <row r="960" spans="44:47" x14ac:dyDescent="0.3">
      <c r="AR960" s="7"/>
      <c r="AS960" s="7"/>
      <c r="AT960" s="7"/>
      <c r="AU960" s="7"/>
    </row>
    <row r="961" spans="44:47" x14ac:dyDescent="0.3">
      <c r="AR961" s="7"/>
      <c r="AS961" s="7"/>
      <c r="AT961" s="7"/>
      <c r="AU961" s="7"/>
    </row>
    <row r="962" spans="44:47" x14ac:dyDescent="0.3">
      <c r="AR962" s="7"/>
      <c r="AS962" s="7"/>
      <c r="AT962" s="7"/>
      <c r="AU962" s="7"/>
    </row>
    <row r="963" spans="44:47" x14ac:dyDescent="0.3">
      <c r="AR963" s="7"/>
      <c r="AS963" s="7"/>
      <c r="AT963" s="7"/>
      <c r="AU963" s="7"/>
    </row>
    <row r="964" spans="44:47" x14ac:dyDescent="0.3">
      <c r="AR964" s="7"/>
      <c r="AS964" s="7"/>
      <c r="AT964" s="7"/>
      <c r="AU964" s="7"/>
    </row>
    <row r="965" spans="44:47" x14ac:dyDescent="0.3">
      <c r="AR965" s="7"/>
      <c r="AS965" s="7"/>
      <c r="AT965" s="7"/>
      <c r="AU965" s="7"/>
    </row>
    <row r="966" spans="44:47" x14ac:dyDescent="0.3">
      <c r="AR966" s="7"/>
      <c r="AS966" s="7"/>
      <c r="AT966" s="7"/>
      <c r="AU966" s="7"/>
    </row>
    <row r="967" spans="44:47" x14ac:dyDescent="0.3">
      <c r="AR967" s="7"/>
      <c r="AS967" s="7"/>
      <c r="AT967" s="7"/>
      <c r="AU967" s="7"/>
    </row>
    <row r="968" spans="44:47" x14ac:dyDescent="0.3">
      <c r="AR968" s="7"/>
      <c r="AS968" s="7"/>
      <c r="AT968" s="7"/>
      <c r="AU968" s="7"/>
    </row>
    <row r="969" spans="44:47" x14ac:dyDescent="0.3">
      <c r="AR969" s="7"/>
      <c r="AS969" s="7"/>
      <c r="AT969" s="7"/>
      <c r="AU969" s="7"/>
    </row>
    <row r="970" spans="44:47" x14ac:dyDescent="0.3">
      <c r="AR970" s="7"/>
      <c r="AS970" s="7"/>
      <c r="AT970" s="7"/>
      <c r="AU970" s="7"/>
    </row>
    <row r="971" spans="44:47" x14ac:dyDescent="0.3">
      <c r="AR971" s="7"/>
      <c r="AS971" s="7"/>
      <c r="AT971" s="7"/>
      <c r="AU971" s="7"/>
    </row>
    <row r="972" spans="44:47" x14ac:dyDescent="0.3">
      <c r="AR972" s="7"/>
      <c r="AS972" s="7"/>
      <c r="AT972" s="7"/>
      <c r="AU972" s="7"/>
    </row>
    <row r="973" spans="44:47" x14ac:dyDescent="0.3">
      <c r="AR973" s="7"/>
      <c r="AS973" s="7"/>
      <c r="AT973" s="7"/>
      <c r="AU973" s="7"/>
    </row>
    <row r="974" spans="44:47" x14ac:dyDescent="0.3">
      <c r="AR974" s="7"/>
      <c r="AS974" s="7"/>
      <c r="AT974" s="7"/>
      <c r="AU974" s="7"/>
    </row>
    <row r="975" spans="44:47" x14ac:dyDescent="0.3">
      <c r="AR975" s="7"/>
      <c r="AS975" s="7"/>
      <c r="AT975" s="7"/>
      <c r="AU975" s="7"/>
    </row>
    <row r="976" spans="44:47" x14ac:dyDescent="0.3">
      <c r="AR976" s="7"/>
      <c r="AS976" s="7"/>
      <c r="AT976" s="7"/>
      <c r="AU976" s="7"/>
    </row>
    <row r="977" spans="43:47" x14ac:dyDescent="0.3">
      <c r="AR977" s="7"/>
      <c r="AS977" s="7"/>
      <c r="AT977" s="7"/>
      <c r="AU977" s="7"/>
    </row>
    <row r="978" spans="43:47" x14ac:dyDescent="0.3">
      <c r="AR978" s="7"/>
      <c r="AS978" s="7"/>
      <c r="AT978" s="7"/>
      <c r="AU978" s="7"/>
    </row>
    <row r="979" spans="43:47" x14ac:dyDescent="0.3">
      <c r="AR979" s="7"/>
      <c r="AS979" s="7"/>
      <c r="AT979" s="7"/>
      <c r="AU979" s="7"/>
    </row>
    <row r="980" spans="43:47" x14ac:dyDescent="0.3">
      <c r="AR980" s="7"/>
      <c r="AS980" s="7"/>
      <c r="AT980" s="7"/>
      <c r="AU980" s="7"/>
    </row>
    <row r="981" spans="43:47" x14ac:dyDescent="0.3">
      <c r="AQ981" s="7"/>
      <c r="AR981" s="7"/>
      <c r="AS981" s="7"/>
      <c r="AT981" s="7"/>
      <c r="AU981" s="7"/>
    </row>
    <row r="982" spans="43:47" x14ac:dyDescent="0.3">
      <c r="AQ982" s="7"/>
      <c r="AR982" s="7"/>
      <c r="AS982" s="7"/>
      <c r="AT982" s="7"/>
      <c r="AU982" s="7"/>
    </row>
    <row r="983" spans="43:47" x14ac:dyDescent="0.3">
      <c r="AQ983" s="7"/>
      <c r="AR983" s="7"/>
      <c r="AS983" s="7"/>
      <c r="AT983" s="7"/>
      <c r="AU983" s="7"/>
    </row>
    <row r="984" spans="43:47" x14ac:dyDescent="0.3">
      <c r="AQ984" s="7"/>
      <c r="AR984" s="7"/>
      <c r="AS984" s="7"/>
      <c r="AT984" s="7"/>
      <c r="AU984" s="7"/>
    </row>
    <row r="985" spans="43:47" x14ac:dyDescent="0.3">
      <c r="AQ985" s="7"/>
      <c r="AR985" s="7"/>
      <c r="AS985" s="7"/>
      <c r="AT985" s="7"/>
      <c r="AU985" s="7"/>
    </row>
    <row r="986" spans="43:47" x14ac:dyDescent="0.3">
      <c r="AQ986" s="7"/>
      <c r="AR986" s="7"/>
      <c r="AS986" s="7"/>
      <c r="AT986" s="7"/>
      <c r="AU986" s="7"/>
    </row>
    <row r="987" spans="43:47" x14ac:dyDescent="0.3">
      <c r="AQ987" s="7"/>
      <c r="AR987" s="7"/>
      <c r="AS987" s="7"/>
      <c r="AT987" s="7"/>
      <c r="AU987" s="7"/>
    </row>
    <row r="988" spans="43:47" x14ac:dyDescent="0.3">
      <c r="AQ988" s="7"/>
      <c r="AR988" s="7"/>
      <c r="AS988" s="7"/>
      <c r="AT988" s="7"/>
      <c r="AU988" s="7"/>
    </row>
    <row r="989" spans="43:47" x14ac:dyDescent="0.3">
      <c r="AQ989" s="7"/>
      <c r="AR989" s="7"/>
      <c r="AS989" s="7"/>
      <c r="AT989" s="7"/>
      <c r="AU989" s="7"/>
    </row>
    <row r="990" spans="43:47" x14ac:dyDescent="0.3">
      <c r="AQ990" s="7"/>
      <c r="AR990" s="7"/>
      <c r="AS990" s="7"/>
      <c r="AT990" s="7"/>
      <c r="AU990" s="7"/>
    </row>
    <row r="991" spans="43:47" x14ac:dyDescent="0.3">
      <c r="AQ991" s="7"/>
      <c r="AR991" s="7"/>
      <c r="AS991" s="7"/>
      <c r="AT991" s="7"/>
      <c r="AU991" s="7"/>
    </row>
    <row r="992" spans="43:47" x14ac:dyDescent="0.3">
      <c r="AQ992" s="7"/>
      <c r="AR992" s="7"/>
      <c r="AS992" s="7"/>
      <c r="AT992" s="7"/>
      <c r="AU992" s="7"/>
    </row>
    <row r="993" spans="43:47" x14ac:dyDescent="0.3">
      <c r="AQ993" s="7"/>
      <c r="AR993" s="7"/>
      <c r="AS993" s="7"/>
      <c r="AT993" s="7"/>
      <c r="AU993" s="7"/>
    </row>
    <row r="994" spans="43:47" x14ac:dyDescent="0.3">
      <c r="AQ994" s="7"/>
      <c r="AR994" s="7"/>
      <c r="AS994" s="7"/>
      <c r="AT994" s="7"/>
      <c r="AU994" s="7"/>
    </row>
    <row r="995" spans="43:47" x14ac:dyDescent="0.3">
      <c r="AQ995" s="7"/>
      <c r="AR995" s="7"/>
      <c r="AS995" s="7"/>
      <c r="AT995" s="7"/>
      <c r="AU995" s="7"/>
    </row>
    <row r="996" spans="43:47" x14ac:dyDescent="0.3">
      <c r="AQ996" s="7"/>
      <c r="AR996" s="7"/>
      <c r="AS996" s="7"/>
      <c r="AT996" s="7"/>
      <c r="AU996" s="7"/>
    </row>
    <row r="997" spans="43:47" x14ac:dyDescent="0.3">
      <c r="AQ997" s="7"/>
      <c r="AR997" s="7"/>
      <c r="AS997" s="7"/>
      <c r="AT997" s="7"/>
      <c r="AU997" s="7"/>
    </row>
    <row r="998" spans="43:47" x14ac:dyDescent="0.3">
      <c r="AQ998" s="7"/>
      <c r="AR998" s="7"/>
      <c r="AS998" s="7"/>
      <c r="AT998" s="7"/>
      <c r="AU998" s="7"/>
    </row>
    <row r="999" spans="43:47" x14ac:dyDescent="0.3">
      <c r="AQ999" s="7"/>
      <c r="AR999" s="7"/>
      <c r="AS999" s="7"/>
      <c r="AT999" s="7"/>
      <c r="AU999" s="7"/>
    </row>
    <row r="1000" spans="43:47" x14ac:dyDescent="0.3">
      <c r="AQ1000" s="7"/>
      <c r="AR1000" s="7"/>
      <c r="AS1000" s="7"/>
      <c r="AT1000" s="7"/>
      <c r="AU1000" s="7"/>
    </row>
    <row r="1001" spans="43:47" x14ac:dyDescent="0.3">
      <c r="AQ1001" s="7"/>
      <c r="AR1001" s="7"/>
      <c r="AS1001" s="7"/>
      <c r="AT1001" s="7"/>
      <c r="AU1001" s="7"/>
    </row>
    <row r="1002" spans="43:47" x14ac:dyDescent="0.3">
      <c r="AQ1002" s="7"/>
      <c r="AR1002" s="7"/>
      <c r="AS1002" s="7"/>
      <c r="AT1002" s="7"/>
      <c r="AU1002" s="7"/>
    </row>
    <row r="1003" spans="43:47" x14ac:dyDescent="0.3">
      <c r="AQ1003" s="7"/>
      <c r="AR1003" s="7"/>
      <c r="AS1003" s="7"/>
      <c r="AT1003" s="7"/>
      <c r="AU1003" s="7"/>
    </row>
    <row r="1004" spans="43:47" x14ac:dyDescent="0.3">
      <c r="AQ1004" s="7"/>
      <c r="AR1004" s="7"/>
      <c r="AS1004" s="7"/>
      <c r="AT1004" s="7"/>
      <c r="AU1004" s="7"/>
    </row>
    <row r="1005" spans="43:47" x14ac:dyDescent="0.3">
      <c r="AQ1005" s="7"/>
      <c r="AR1005" s="7"/>
      <c r="AS1005" s="7"/>
      <c r="AT1005" s="7"/>
      <c r="AU1005" s="7"/>
    </row>
    <row r="1006" spans="43:47" x14ac:dyDescent="0.3">
      <c r="AQ1006" s="7"/>
      <c r="AR1006" s="7"/>
      <c r="AS1006" s="7"/>
      <c r="AT1006" s="7"/>
      <c r="AU1006" s="7"/>
    </row>
    <row r="1007" spans="43:47" x14ac:dyDescent="0.3">
      <c r="AQ1007" s="7"/>
      <c r="AR1007" s="7"/>
      <c r="AS1007" s="7"/>
      <c r="AT1007" s="7"/>
      <c r="AU1007" s="7"/>
    </row>
    <row r="1008" spans="43:47" x14ac:dyDescent="0.3">
      <c r="AQ1008" s="7"/>
      <c r="AR1008" s="7"/>
      <c r="AS1008" s="7"/>
      <c r="AT1008" s="7"/>
      <c r="AU1008" s="7"/>
    </row>
    <row r="1009" spans="43:47" x14ac:dyDescent="0.3">
      <c r="AQ1009" s="7"/>
      <c r="AR1009" s="7"/>
      <c r="AS1009" s="7"/>
      <c r="AT1009" s="7"/>
      <c r="AU1009" s="7"/>
    </row>
    <row r="1010" spans="43:47" x14ac:dyDescent="0.3">
      <c r="AQ1010" s="7"/>
      <c r="AR1010" s="7"/>
      <c r="AS1010" s="7"/>
      <c r="AT1010" s="7"/>
      <c r="AU1010" s="7"/>
    </row>
    <row r="1011" spans="43:47" x14ac:dyDescent="0.3">
      <c r="AQ1011" s="7"/>
      <c r="AR1011" s="7"/>
      <c r="AS1011" s="7"/>
      <c r="AT1011" s="7"/>
      <c r="AU1011" s="7"/>
    </row>
    <row r="1012" spans="43:47" x14ac:dyDescent="0.3">
      <c r="AQ1012" s="7"/>
      <c r="AR1012" s="7"/>
      <c r="AS1012" s="7"/>
      <c r="AT1012" s="7"/>
      <c r="AU1012" s="7"/>
    </row>
    <row r="1013" spans="43:47" x14ac:dyDescent="0.3">
      <c r="AQ1013" s="7"/>
      <c r="AR1013" s="7"/>
      <c r="AS1013" s="7"/>
      <c r="AT1013" s="7"/>
      <c r="AU1013" s="7"/>
    </row>
    <row r="1014" spans="43:47" x14ac:dyDescent="0.3">
      <c r="AQ1014" s="7"/>
      <c r="AR1014" s="7"/>
      <c r="AS1014" s="7"/>
      <c r="AT1014" s="7"/>
      <c r="AU1014" s="7"/>
    </row>
    <row r="1015" spans="43:47" x14ac:dyDescent="0.3">
      <c r="AQ1015" s="7"/>
      <c r="AR1015" s="7"/>
      <c r="AS1015" s="7"/>
      <c r="AT1015" s="7"/>
      <c r="AU1015" s="7"/>
    </row>
    <row r="1016" spans="43:47" x14ac:dyDescent="0.3">
      <c r="AQ1016" s="7"/>
      <c r="AR1016" s="7"/>
      <c r="AS1016" s="7"/>
      <c r="AT1016" s="7"/>
      <c r="AU1016" s="7"/>
    </row>
    <row r="1017" spans="43:47" x14ac:dyDescent="0.3">
      <c r="AQ1017" s="7"/>
      <c r="AR1017" s="7"/>
      <c r="AS1017" s="7"/>
      <c r="AT1017" s="7"/>
      <c r="AU1017" s="7"/>
    </row>
    <row r="1018" spans="43:47" x14ac:dyDescent="0.3">
      <c r="AQ1018" s="7"/>
      <c r="AR1018" s="7"/>
      <c r="AS1018" s="7"/>
      <c r="AT1018" s="7"/>
      <c r="AU1018" s="7"/>
    </row>
    <row r="1019" spans="43:47" x14ac:dyDescent="0.3">
      <c r="AQ1019" s="7"/>
      <c r="AR1019" s="7"/>
      <c r="AS1019" s="7"/>
      <c r="AT1019" s="7"/>
      <c r="AU1019" s="7"/>
    </row>
    <row r="1020" spans="43:47" x14ac:dyDescent="0.3">
      <c r="AQ1020" s="7"/>
      <c r="AR1020" s="7"/>
      <c r="AS1020" s="7"/>
      <c r="AT1020" s="7"/>
      <c r="AU1020" s="7"/>
    </row>
    <row r="1021" spans="43:47" x14ac:dyDescent="0.3">
      <c r="AQ1021" s="7"/>
      <c r="AR1021" s="7"/>
      <c r="AS1021" s="7"/>
      <c r="AT1021" s="7"/>
      <c r="AU1021" s="7"/>
    </row>
    <row r="1022" spans="43:47" x14ac:dyDescent="0.3">
      <c r="AQ1022" s="7"/>
      <c r="AR1022" s="7"/>
      <c r="AS1022" s="7"/>
      <c r="AT1022" s="7"/>
      <c r="AU1022" s="7"/>
    </row>
    <row r="1023" spans="43:47" x14ac:dyDescent="0.3">
      <c r="AQ1023" s="7"/>
      <c r="AR1023" s="7"/>
      <c r="AS1023" s="7"/>
      <c r="AT1023" s="7"/>
      <c r="AU1023" s="7"/>
    </row>
    <row r="1024" spans="43:47" x14ac:dyDescent="0.3">
      <c r="AQ1024" s="7"/>
      <c r="AR1024" s="7"/>
      <c r="AS1024" s="7"/>
      <c r="AT1024" s="7"/>
      <c r="AU1024" s="7"/>
    </row>
    <row r="1025" spans="43:47" x14ac:dyDescent="0.3">
      <c r="AQ1025" s="7"/>
      <c r="AR1025" s="7"/>
      <c r="AS1025" s="7"/>
      <c r="AT1025" s="7"/>
      <c r="AU1025" s="7"/>
    </row>
    <row r="1026" spans="43:47" x14ac:dyDescent="0.3">
      <c r="AQ1026" s="7"/>
      <c r="AR1026" s="7"/>
      <c r="AS1026" s="7"/>
      <c r="AT1026" s="7"/>
      <c r="AU1026" s="7"/>
    </row>
    <row r="1027" spans="43:47" x14ac:dyDescent="0.3">
      <c r="AQ1027" s="7"/>
      <c r="AR1027" s="7"/>
      <c r="AS1027" s="7"/>
      <c r="AT1027" s="7"/>
      <c r="AU1027" s="7"/>
    </row>
    <row r="1028" spans="43:47" x14ac:dyDescent="0.3">
      <c r="AQ1028" s="7"/>
      <c r="AR1028" s="7"/>
      <c r="AS1028" s="7"/>
      <c r="AT1028" s="7"/>
      <c r="AU1028" s="7"/>
    </row>
    <row r="1029" spans="43:47" x14ac:dyDescent="0.3">
      <c r="AQ1029" s="7"/>
      <c r="AR1029" s="7"/>
      <c r="AS1029" s="7"/>
      <c r="AT1029" s="7"/>
      <c r="AU1029" s="7"/>
    </row>
    <row r="1030" spans="43:47" x14ac:dyDescent="0.3">
      <c r="AQ1030" s="7"/>
      <c r="AR1030" s="7"/>
      <c r="AS1030" s="7"/>
      <c r="AT1030" s="7"/>
      <c r="AU1030" s="7"/>
    </row>
    <row r="1031" spans="43:47" x14ac:dyDescent="0.3">
      <c r="AQ1031" s="7"/>
      <c r="AR1031" s="7"/>
      <c r="AS1031" s="7"/>
      <c r="AT1031" s="7"/>
      <c r="AU1031" s="7"/>
    </row>
    <row r="1032" spans="43:47" x14ac:dyDescent="0.3">
      <c r="AQ1032" s="7"/>
      <c r="AR1032" s="7"/>
      <c r="AS1032" s="7"/>
      <c r="AT1032" s="7"/>
      <c r="AU1032" s="7"/>
    </row>
    <row r="1033" spans="43:47" x14ac:dyDescent="0.3">
      <c r="AQ1033" s="7"/>
      <c r="AR1033" s="7"/>
      <c r="AS1033" s="7"/>
      <c r="AT1033" s="7"/>
      <c r="AU1033" s="7"/>
    </row>
    <row r="1034" spans="43:47" x14ac:dyDescent="0.3">
      <c r="AQ1034" s="7"/>
      <c r="AR1034" s="7"/>
      <c r="AS1034" s="7"/>
      <c r="AT1034" s="7"/>
      <c r="AU1034" s="7"/>
    </row>
    <row r="1035" spans="43:47" x14ac:dyDescent="0.3">
      <c r="AQ1035" s="7"/>
      <c r="AR1035" s="7"/>
      <c r="AS1035" s="7"/>
      <c r="AT1035" s="7"/>
      <c r="AU1035" s="7"/>
    </row>
    <row r="1036" spans="43:47" x14ac:dyDescent="0.3">
      <c r="AQ1036" s="7"/>
      <c r="AR1036" s="7"/>
      <c r="AS1036" s="7"/>
      <c r="AT1036" s="7"/>
      <c r="AU1036" s="7"/>
    </row>
    <row r="1037" spans="43:47" x14ac:dyDescent="0.3">
      <c r="AQ1037" s="7"/>
      <c r="AR1037" s="7"/>
      <c r="AS1037" s="7"/>
      <c r="AT1037" s="7"/>
      <c r="AU1037" s="7"/>
    </row>
    <row r="1038" spans="43:47" x14ac:dyDescent="0.3">
      <c r="AQ1038" s="7"/>
      <c r="AR1038" s="7"/>
      <c r="AS1038" s="7"/>
      <c r="AT1038" s="7"/>
      <c r="AU1038" s="7"/>
    </row>
    <row r="1039" spans="43:47" x14ac:dyDescent="0.3">
      <c r="AQ1039" s="7"/>
      <c r="AR1039" s="7"/>
      <c r="AS1039" s="7"/>
      <c r="AT1039" s="7"/>
      <c r="AU1039" s="7"/>
    </row>
    <row r="1040" spans="43:47" x14ac:dyDescent="0.3">
      <c r="AQ1040" s="7"/>
      <c r="AR1040" s="7"/>
      <c r="AS1040" s="7"/>
      <c r="AT1040" s="7"/>
      <c r="AU1040" s="7"/>
    </row>
    <row r="1041" spans="7:47" x14ac:dyDescent="0.3">
      <c r="AQ1041" s="7"/>
      <c r="AR1041" s="7"/>
      <c r="AS1041" s="7"/>
      <c r="AT1041" s="7"/>
      <c r="AU1041" s="7"/>
    </row>
    <row r="1042" spans="7:47" x14ac:dyDescent="0.3">
      <c r="AQ1042" s="7"/>
      <c r="AR1042" s="7"/>
      <c r="AS1042" s="7"/>
      <c r="AT1042" s="7"/>
      <c r="AU1042" s="7"/>
    </row>
    <row r="1043" spans="7:47" x14ac:dyDescent="0.3">
      <c r="AQ1043" s="7"/>
      <c r="AR1043" s="7"/>
      <c r="AS1043" s="7"/>
      <c r="AT1043" s="7"/>
      <c r="AU1043" s="7"/>
    </row>
    <row r="1044" spans="7:47" x14ac:dyDescent="0.3">
      <c r="AQ1044" s="7"/>
      <c r="AR1044" s="7"/>
      <c r="AS1044" s="7"/>
      <c r="AT1044" s="7"/>
      <c r="AU1044" s="7"/>
    </row>
    <row r="1045" spans="7:47" x14ac:dyDescent="0.3">
      <c r="AQ1045" s="7"/>
      <c r="AR1045" s="7"/>
      <c r="AS1045" s="7"/>
      <c r="AT1045" s="7"/>
      <c r="AU1045" s="7"/>
    </row>
    <row r="1046" spans="7:47" x14ac:dyDescent="0.3">
      <c r="AQ1046" s="7"/>
      <c r="AR1046" s="7"/>
      <c r="AS1046" s="7"/>
      <c r="AT1046" s="7"/>
      <c r="AU1046" s="7"/>
    </row>
    <row r="1047" spans="7:47" x14ac:dyDescent="0.3">
      <c r="AQ1047" s="7"/>
      <c r="AR1047" s="7"/>
      <c r="AS1047" s="7"/>
      <c r="AT1047" s="7"/>
      <c r="AU1047" s="7"/>
    </row>
    <row r="1048" spans="7:47" x14ac:dyDescent="0.3">
      <c r="AQ1048" s="7"/>
      <c r="AR1048" s="7"/>
      <c r="AS1048" s="7"/>
      <c r="AT1048" s="7"/>
      <c r="AU1048" s="7"/>
    </row>
    <row r="1049" spans="7:47" x14ac:dyDescent="0.3">
      <c r="AQ1049" s="7"/>
      <c r="AR1049" s="7"/>
      <c r="AS1049" s="7"/>
      <c r="AT1049" s="7"/>
      <c r="AU1049" s="7"/>
    </row>
    <row r="1050" spans="7:47" x14ac:dyDescent="0.3">
      <c r="AQ1050" s="7"/>
      <c r="AR1050" s="7"/>
      <c r="AS1050" s="7"/>
      <c r="AT1050" s="7"/>
      <c r="AU1050" s="7"/>
    </row>
    <row r="1051" spans="7:47" ht="13.5" x14ac:dyDescent="0.25">
      <c r="G1051" s="7"/>
      <c r="P1051" s="7"/>
      <c r="Q1051" s="7"/>
      <c r="V1051" s="7"/>
      <c r="W1051" s="7"/>
      <c r="X1051" s="7"/>
      <c r="Y1051" s="7"/>
      <c r="Z1051" s="7"/>
      <c r="AA1051" s="7"/>
      <c r="AB1051" s="7"/>
      <c r="AC1051" s="7"/>
      <c r="AD1051" s="7"/>
      <c r="AE1051" s="154"/>
      <c r="AF1051" s="154"/>
      <c r="AH1051" s="7"/>
      <c r="AI1051" s="7"/>
      <c r="AJ1051" s="7"/>
      <c r="AL1051" s="154"/>
      <c r="AM1051" s="7"/>
      <c r="AN1051" s="13"/>
      <c r="AP1051" s="7"/>
      <c r="AQ1051" s="7"/>
      <c r="AR1051" s="7"/>
      <c r="AS1051" s="7"/>
      <c r="AT1051" s="7"/>
      <c r="AU1051" s="7"/>
    </row>
    <row r="1052" spans="7:47" ht="13.5" x14ac:dyDescent="0.25">
      <c r="G1052" s="7"/>
      <c r="P1052" s="7"/>
      <c r="Q1052" s="7"/>
      <c r="V1052" s="7"/>
      <c r="W1052" s="7"/>
      <c r="X1052" s="7"/>
      <c r="Y1052" s="7"/>
      <c r="Z1052" s="7"/>
      <c r="AA1052" s="7"/>
      <c r="AB1052" s="7"/>
      <c r="AC1052" s="7"/>
      <c r="AD1052" s="7"/>
      <c r="AE1052" s="154"/>
      <c r="AF1052" s="154"/>
      <c r="AH1052" s="7"/>
      <c r="AI1052" s="7"/>
      <c r="AJ1052" s="7"/>
      <c r="AL1052" s="154"/>
      <c r="AM1052" s="7"/>
      <c r="AN1052" s="13"/>
      <c r="AP1052" s="7"/>
      <c r="AQ1052" s="7"/>
      <c r="AR1052" s="7"/>
      <c r="AS1052" s="7"/>
      <c r="AT1052" s="7"/>
      <c r="AU1052" s="7"/>
    </row>
    <row r="1053" spans="7:47" ht="13.5" x14ac:dyDescent="0.25">
      <c r="G1053" s="7"/>
      <c r="P1053" s="7"/>
      <c r="Q1053" s="7"/>
      <c r="V1053" s="7"/>
      <c r="W1053" s="7"/>
      <c r="X1053" s="7"/>
      <c r="Y1053" s="7"/>
      <c r="Z1053" s="7"/>
      <c r="AA1053" s="7"/>
      <c r="AB1053" s="7"/>
      <c r="AC1053" s="7"/>
      <c r="AD1053" s="7"/>
      <c r="AE1053" s="154"/>
      <c r="AF1053" s="154"/>
      <c r="AH1053" s="7"/>
      <c r="AI1053" s="7"/>
      <c r="AJ1053" s="7"/>
      <c r="AL1053" s="154"/>
      <c r="AM1053" s="7"/>
      <c r="AN1053" s="13"/>
      <c r="AP1053" s="7"/>
      <c r="AQ1053" s="7"/>
      <c r="AR1053" s="7"/>
      <c r="AS1053" s="7"/>
      <c r="AT1053" s="7"/>
      <c r="AU1053" s="7"/>
    </row>
    <row r="1054" spans="7:47" ht="13.5" x14ac:dyDescent="0.25">
      <c r="G1054" s="7"/>
      <c r="P1054" s="7"/>
      <c r="Q1054" s="7"/>
      <c r="V1054" s="7"/>
      <c r="W1054" s="7"/>
      <c r="X1054" s="7"/>
      <c r="Y1054" s="7"/>
      <c r="Z1054" s="7"/>
      <c r="AA1054" s="7"/>
      <c r="AB1054" s="7"/>
      <c r="AC1054" s="7"/>
      <c r="AD1054" s="7"/>
      <c r="AE1054" s="154"/>
      <c r="AF1054" s="154"/>
      <c r="AH1054" s="7"/>
      <c r="AI1054" s="7"/>
      <c r="AJ1054" s="7"/>
      <c r="AL1054" s="154"/>
      <c r="AM1054" s="7"/>
      <c r="AN1054" s="13"/>
      <c r="AP1054" s="7"/>
      <c r="AQ1054" s="7"/>
      <c r="AR1054" s="7"/>
      <c r="AS1054" s="7"/>
      <c r="AT1054" s="7"/>
      <c r="AU1054" s="7"/>
    </row>
    <row r="1055" spans="7:47" ht="13.5" x14ac:dyDescent="0.25">
      <c r="G1055" s="7"/>
      <c r="P1055" s="7"/>
      <c r="Q1055" s="7"/>
      <c r="V1055" s="7"/>
      <c r="W1055" s="7"/>
      <c r="X1055" s="7"/>
      <c r="Y1055" s="7"/>
      <c r="Z1055" s="7"/>
      <c r="AA1055" s="7"/>
      <c r="AB1055" s="7"/>
      <c r="AC1055" s="7"/>
      <c r="AD1055" s="7"/>
      <c r="AE1055" s="154"/>
      <c r="AF1055" s="154"/>
      <c r="AH1055" s="7"/>
      <c r="AI1055" s="7"/>
      <c r="AJ1055" s="7"/>
      <c r="AL1055" s="154"/>
      <c r="AM1055" s="7"/>
      <c r="AN1055" s="13"/>
      <c r="AP1055" s="7"/>
      <c r="AQ1055" s="7"/>
      <c r="AR1055" s="7"/>
      <c r="AS1055" s="7"/>
      <c r="AT1055" s="7"/>
      <c r="AU1055" s="7"/>
    </row>
    <row r="1056" spans="7:47" ht="13.5" x14ac:dyDescent="0.25">
      <c r="G1056" s="7"/>
      <c r="P1056" s="7"/>
      <c r="Q1056" s="7"/>
      <c r="V1056" s="7"/>
      <c r="W1056" s="7"/>
      <c r="X1056" s="7"/>
      <c r="Y1056" s="7"/>
      <c r="Z1056" s="7"/>
      <c r="AA1056" s="7"/>
      <c r="AB1056" s="7"/>
      <c r="AC1056" s="7"/>
      <c r="AD1056" s="7"/>
      <c r="AE1056" s="154"/>
      <c r="AF1056" s="154"/>
      <c r="AH1056" s="7"/>
      <c r="AI1056" s="7"/>
      <c r="AJ1056" s="7"/>
      <c r="AL1056" s="154"/>
      <c r="AM1056" s="7"/>
      <c r="AN1056" s="13"/>
      <c r="AP1056" s="7"/>
      <c r="AQ1056" s="7"/>
      <c r="AR1056" s="7"/>
      <c r="AS1056" s="7"/>
      <c r="AT1056" s="7"/>
      <c r="AU1056" s="7"/>
    </row>
    <row r="1057" spans="7:47" ht="13.5" x14ac:dyDescent="0.25">
      <c r="G1057" s="7"/>
      <c r="P1057" s="7"/>
      <c r="Q1057" s="7"/>
      <c r="V1057" s="7"/>
      <c r="W1057" s="7"/>
      <c r="X1057" s="7"/>
      <c r="Y1057" s="7"/>
      <c r="Z1057" s="7"/>
      <c r="AA1057" s="7"/>
      <c r="AB1057" s="7"/>
      <c r="AC1057" s="7"/>
      <c r="AD1057" s="7"/>
      <c r="AE1057" s="154"/>
      <c r="AF1057" s="154"/>
      <c r="AH1057" s="7"/>
      <c r="AI1057" s="7"/>
      <c r="AJ1057" s="7"/>
      <c r="AL1057" s="154"/>
      <c r="AM1057" s="7"/>
      <c r="AN1057" s="13"/>
      <c r="AP1057" s="7"/>
      <c r="AQ1057" s="7"/>
      <c r="AR1057" s="7"/>
      <c r="AS1057" s="7"/>
      <c r="AT1057" s="7"/>
      <c r="AU1057" s="7"/>
    </row>
    <row r="1058" spans="7:47" ht="13.5" x14ac:dyDescent="0.25">
      <c r="G1058" s="7"/>
      <c r="P1058" s="7"/>
      <c r="Q1058" s="7"/>
      <c r="V1058" s="7"/>
      <c r="W1058" s="7"/>
      <c r="X1058" s="7"/>
      <c r="Y1058" s="7"/>
      <c r="Z1058" s="7"/>
      <c r="AA1058" s="7"/>
      <c r="AB1058" s="7"/>
      <c r="AC1058" s="7"/>
      <c r="AD1058" s="7"/>
      <c r="AE1058" s="154"/>
      <c r="AF1058" s="154"/>
      <c r="AH1058" s="7"/>
      <c r="AI1058" s="7"/>
      <c r="AJ1058" s="7"/>
      <c r="AL1058" s="154"/>
      <c r="AM1058" s="7"/>
      <c r="AN1058" s="13"/>
      <c r="AP1058" s="7"/>
      <c r="AQ1058" s="7"/>
      <c r="AR1058" s="7"/>
      <c r="AS1058" s="7"/>
      <c r="AT1058" s="7"/>
      <c r="AU1058" s="7"/>
    </row>
    <row r="1059" spans="7:47" ht="13.5" x14ac:dyDescent="0.25">
      <c r="G1059" s="7"/>
      <c r="P1059" s="7"/>
      <c r="Q1059" s="7"/>
      <c r="V1059" s="7"/>
      <c r="W1059" s="7"/>
      <c r="X1059" s="7"/>
      <c r="Y1059" s="7"/>
      <c r="Z1059" s="7"/>
      <c r="AA1059" s="7"/>
      <c r="AB1059" s="7"/>
      <c r="AC1059" s="7"/>
      <c r="AD1059" s="7"/>
      <c r="AE1059" s="154"/>
      <c r="AF1059" s="154"/>
      <c r="AH1059" s="7"/>
      <c r="AI1059" s="7"/>
      <c r="AJ1059" s="7"/>
      <c r="AL1059" s="154"/>
      <c r="AM1059" s="7"/>
      <c r="AN1059" s="13"/>
      <c r="AP1059" s="7"/>
      <c r="AQ1059" s="7"/>
      <c r="AR1059" s="7"/>
      <c r="AS1059" s="7"/>
      <c r="AT1059" s="7"/>
      <c r="AU1059" s="7"/>
    </row>
    <row r="1060" spans="7:47" ht="13.5" x14ac:dyDescent="0.25">
      <c r="G1060" s="7"/>
      <c r="P1060" s="7"/>
      <c r="Q1060" s="7"/>
      <c r="V1060" s="7"/>
      <c r="W1060" s="7"/>
      <c r="X1060" s="7"/>
      <c r="Y1060" s="7"/>
      <c r="Z1060" s="7"/>
      <c r="AA1060" s="7"/>
      <c r="AB1060" s="7"/>
      <c r="AC1060" s="7"/>
      <c r="AD1060" s="7"/>
      <c r="AE1060" s="154"/>
      <c r="AF1060" s="154"/>
      <c r="AH1060" s="7"/>
      <c r="AI1060" s="7"/>
      <c r="AJ1060" s="7"/>
      <c r="AL1060" s="154"/>
      <c r="AM1060" s="7"/>
      <c r="AN1060" s="13"/>
      <c r="AP1060" s="7"/>
      <c r="AQ1060" s="7"/>
      <c r="AR1060" s="7"/>
      <c r="AS1060" s="7"/>
      <c r="AT1060" s="7"/>
      <c r="AU1060" s="7"/>
    </row>
    <row r="1061" spans="7:47" ht="13.5" x14ac:dyDescent="0.25">
      <c r="G1061" s="7"/>
      <c r="P1061" s="7"/>
      <c r="Q1061" s="7"/>
      <c r="V1061" s="7"/>
      <c r="W1061" s="7"/>
      <c r="X1061" s="7"/>
      <c r="Y1061" s="7"/>
      <c r="Z1061" s="7"/>
      <c r="AA1061" s="7"/>
      <c r="AB1061" s="7"/>
      <c r="AC1061" s="7"/>
      <c r="AD1061" s="7"/>
      <c r="AE1061" s="154"/>
      <c r="AF1061" s="154"/>
      <c r="AH1061" s="7"/>
      <c r="AI1061" s="7"/>
      <c r="AJ1061" s="7"/>
      <c r="AL1061" s="154"/>
      <c r="AM1061" s="7"/>
      <c r="AN1061" s="13"/>
      <c r="AP1061" s="7"/>
      <c r="AQ1061" s="7"/>
      <c r="AR1061" s="7"/>
      <c r="AS1061" s="7"/>
      <c r="AT1061" s="7"/>
      <c r="AU1061" s="7"/>
    </row>
    <row r="1062" spans="7:47" ht="13.5" x14ac:dyDescent="0.25">
      <c r="G1062" s="7"/>
      <c r="P1062" s="7"/>
      <c r="Q1062" s="7"/>
      <c r="V1062" s="7"/>
      <c r="W1062" s="7"/>
      <c r="X1062" s="7"/>
      <c r="Y1062" s="7"/>
      <c r="Z1062" s="7"/>
      <c r="AA1062" s="7"/>
      <c r="AB1062" s="7"/>
      <c r="AC1062" s="7"/>
      <c r="AD1062" s="7"/>
      <c r="AE1062" s="154"/>
      <c r="AF1062" s="154"/>
      <c r="AH1062" s="7"/>
      <c r="AI1062" s="7"/>
      <c r="AJ1062" s="7"/>
      <c r="AL1062" s="154"/>
      <c r="AM1062" s="7"/>
      <c r="AN1062" s="13"/>
      <c r="AP1062" s="7"/>
      <c r="AQ1062" s="7"/>
      <c r="AR1062" s="7"/>
      <c r="AS1062" s="7"/>
      <c r="AT1062" s="7"/>
      <c r="AU1062" s="7"/>
    </row>
    <row r="1063" spans="7:47" ht="13.5" x14ac:dyDescent="0.25">
      <c r="G1063" s="7"/>
      <c r="P1063" s="7"/>
      <c r="Q1063" s="7"/>
      <c r="V1063" s="7"/>
      <c r="W1063" s="7"/>
      <c r="X1063" s="7"/>
      <c r="Y1063" s="7"/>
      <c r="Z1063" s="7"/>
      <c r="AA1063" s="7"/>
      <c r="AB1063" s="7"/>
      <c r="AC1063" s="7"/>
      <c r="AD1063" s="7"/>
      <c r="AE1063" s="154"/>
      <c r="AF1063" s="154"/>
      <c r="AH1063" s="7"/>
      <c r="AI1063" s="7"/>
      <c r="AJ1063" s="7"/>
      <c r="AL1063" s="154"/>
      <c r="AM1063" s="7"/>
      <c r="AN1063" s="13"/>
      <c r="AP1063" s="7"/>
      <c r="AQ1063" s="7"/>
      <c r="AR1063" s="7"/>
      <c r="AS1063" s="7"/>
      <c r="AT1063" s="7"/>
      <c r="AU1063" s="7"/>
    </row>
    <row r="1064" spans="7:47" ht="13.5" x14ac:dyDescent="0.25">
      <c r="G1064" s="7"/>
      <c r="P1064" s="7"/>
      <c r="Q1064" s="7"/>
      <c r="V1064" s="7"/>
      <c r="W1064" s="7"/>
      <c r="X1064" s="7"/>
      <c r="Y1064" s="7"/>
      <c r="Z1064" s="7"/>
      <c r="AA1064" s="7"/>
      <c r="AB1064" s="7"/>
      <c r="AC1064" s="7"/>
      <c r="AD1064" s="7"/>
      <c r="AE1064" s="154"/>
      <c r="AF1064" s="154"/>
      <c r="AH1064" s="7"/>
      <c r="AI1064" s="7"/>
      <c r="AJ1064" s="7"/>
      <c r="AL1064" s="154"/>
      <c r="AM1064" s="7"/>
      <c r="AN1064" s="13"/>
      <c r="AP1064" s="7"/>
      <c r="AQ1064" s="7"/>
      <c r="AR1064" s="7"/>
      <c r="AS1064" s="7"/>
      <c r="AT1064" s="7"/>
      <c r="AU1064" s="7"/>
    </row>
    <row r="1065" spans="7:47" ht="13.5" x14ac:dyDescent="0.25">
      <c r="G1065" s="7"/>
      <c r="P1065" s="7"/>
      <c r="Q1065" s="7"/>
      <c r="V1065" s="7"/>
      <c r="W1065" s="7"/>
      <c r="X1065" s="7"/>
      <c r="Y1065" s="7"/>
      <c r="Z1065" s="7"/>
      <c r="AA1065" s="7"/>
      <c r="AB1065" s="7"/>
      <c r="AC1065" s="7"/>
      <c r="AD1065" s="7"/>
      <c r="AE1065" s="154"/>
      <c r="AF1065" s="154"/>
      <c r="AH1065" s="7"/>
      <c r="AI1065" s="7"/>
      <c r="AJ1065" s="7"/>
      <c r="AL1065" s="154"/>
      <c r="AM1065" s="7"/>
      <c r="AN1065" s="13"/>
      <c r="AP1065" s="7"/>
      <c r="AQ1065" s="7"/>
      <c r="AR1065" s="7"/>
      <c r="AS1065" s="7"/>
      <c r="AT1065" s="7"/>
      <c r="AU1065" s="7"/>
    </row>
    <row r="1066" spans="7:47" ht="13.5" x14ac:dyDescent="0.25">
      <c r="G1066" s="7"/>
      <c r="P1066" s="7"/>
      <c r="Q1066" s="7"/>
      <c r="V1066" s="7"/>
      <c r="W1066" s="7"/>
      <c r="X1066" s="7"/>
      <c r="Y1066" s="7"/>
      <c r="Z1066" s="7"/>
      <c r="AA1066" s="7"/>
      <c r="AB1066" s="7"/>
      <c r="AC1066" s="7"/>
      <c r="AD1066" s="7"/>
      <c r="AE1066" s="154"/>
      <c r="AF1066" s="154"/>
      <c r="AH1066" s="7"/>
      <c r="AI1066" s="7"/>
      <c r="AJ1066" s="7"/>
      <c r="AL1066" s="154"/>
      <c r="AM1066" s="7"/>
      <c r="AN1066" s="13"/>
      <c r="AP1066" s="7"/>
      <c r="AQ1066" s="7"/>
      <c r="AR1066" s="7"/>
      <c r="AS1066" s="7"/>
      <c r="AT1066" s="7"/>
      <c r="AU1066" s="7"/>
    </row>
    <row r="1067" spans="7:47" ht="13.5" x14ac:dyDescent="0.25">
      <c r="G1067" s="7"/>
      <c r="P1067" s="7"/>
      <c r="Q1067" s="7"/>
      <c r="V1067" s="7"/>
      <c r="W1067" s="7"/>
      <c r="X1067" s="7"/>
      <c r="Y1067" s="7"/>
      <c r="Z1067" s="7"/>
      <c r="AA1067" s="7"/>
      <c r="AB1067" s="7"/>
      <c r="AC1067" s="7"/>
      <c r="AD1067" s="7"/>
      <c r="AE1067" s="154"/>
      <c r="AF1067" s="154"/>
      <c r="AH1067" s="7"/>
      <c r="AI1067" s="7"/>
      <c r="AJ1067" s="7"/>
      <c r="AL1067" s="154"/>
      <c r="AM1067" s="7"/>
      <c r="AN1067" s="13"/>
      <c r="AP1067" s="7"/>
      <c r="AQ1067" s="7"/>
      <c r="AR1067" s="7"/>
      <c r="AS1067" s="7"/>
      <c r="AT1067" s="7"/>
      <c r="AU1067" s="7"/>
    </row>
    <row r="1068" spans="7:47" ht="13.5" x14ac:dyDescent="0.25">
      <c r="G1068" s="7"/>
      <c r="P1068" s="7"/>
      <c r="Q1068" s="7"/>
      <c r="V1068" s="7"/>
      <c r="W1068" s="7"/>
      <c r="X1068" s="7"/>
      <c r="Y1068" s="7"/>
      <c r="Z1068" s="7"/>
      <c r="AA1068" s="7"/>
      <c r="AB1068" s="7"/>
      <c r="AC1068" s="7"/>
      <c r="AD1068" s="7"/>
      <c r="AE1068" s="154"/>
      <c r="AF1068" s="154"/>
      <c r="AH1068" s="7"/>
      <c r="AI1068" s="7"/>
      <c r="AJ1068" s="7"/>
      <c r="AL1068" s="154"/>
      <c r="AM1068" s="7"/>
      <c r="AN1068" s="13"/>
      <c r="AP1068" s="7"/>
      <c r="AQ1068" s="7"/>
      <c r="AR1068" s="7"/>
      <c r="AS1068" s="7"/>
      <c r="AT1068" s="7"/>
      <c r="AU1068" s="7"/>
    </row>
    <row r="1069" spans="7:47" ht="13.5" x14ac:dyDescent="0.25">
      <c r="G1069" s="7"/>
      <c r="P1069" s="7"/>
      <c r="Q1069" s="7"/>
      <c r="V1069" s="7"/>
      <c r="W1069" s="7"/>
      <c r="X1069" s="7"/>
      <c r="Y1069" s="7"/>
      <c r="Z1069" s="7"/>
      <c r="AA1069" s="7"/>
      <c r="AB1069" s="7"/>
      <c r="AC1069" s="7"/>
      <c r="AD1069" s="7"/>
      <c r="AE1069" s="154"/>
      <c r="AF1069" s="154"/>
      <c r="AH1069" s="7"/>
      <c r="AI1069" s="7"/>
      <c r="AJ1069" s="7"/>
      <c r="AL1069" s="154"/>
      <c r="AM1069" s="7"/>
      <c r="AN1069" s="13"/>
      <c r="AP1069" s="7"/>
      <c r="AQ1069" s="7"/>
      <c r="AR1069" s="7"/>
      <c r="AS1069" s="7"/>
      <c r="AT1069" s="7"/>
      <c r="AU1069" s="7"/>
    </row>
    <row r="1070" spans="7:47" ht="13.5" x14ac:dyDescent="0.25">
      <c r="G1070" s="7"/>
      <c r="P1070" s="7"/>
      <c r="Q1070" s="7"/>
      <c r="V1070" s="7"/>
      <c r="W1070" s="7"/>
      <c r="X1070" s="7"/>
      <c r="Y1070" s="7"/>
      <c r="Z1070" s="7"/>
      <c r="AA1070" s="7"/>
      <c r="AB1070" s="7"/>
      <c r="AC1070" s="7"/>
      <c r="AD1070" s="7"/>
      <c r="AE1070" s="154"/>
      <c r="AF1070" s="154"/>
      <c r="AH1070" s="7"/>
      <c r="AI1070" s="7"/>
      <c r="AJ1070" s="7"/>
      <c r="AL1070" s="154"/>
      <c r="AM1070" s="7"/>
      <c r="AN1070" s="13"/>
      <c r="AP1070" s="7"/>
      <c r="AQ1070" s="7"/>
      <c r="AR1070" s="7"/>
      <c r="AS1070" s="7"/>
      <c r="AT1070" s="7"/>
      <c r="AU1070" s="7"/>
    </row>
    <row r="1071" spans="7:47" ht="13.5" x14ac:dyDescent="0.25">
      <c r="G1071" s="7"/>
      <c r="P1071" s="7"/>
      <c r="Q1071" s="7"/>
      <c r="V1071" s="7"/>
      <c r="W1071" s="7"/>
      <c r="X1071" s="7"/>
      <c r="Y1071" s="7"/>
      <c r="Z1071" s="7"/>
      <c r="AA1071" s="7"/>
      <c r="AB1071" s="7"/>
      <c r="AC1071" s="7"/>
      <c r="AD1071" s="7"/>
      <c r="AE1071" s="154"/>
      <c r="AF1071" s="154"/>
      <c r="AH1071" s="7"/>
      <c r="AI1071" s="7"/>
      <c r="AJ1071" s="7"/>
      <c r="AL1071" s="154"/>
      <c r="AM1071" s="7"/>
      <c r="AN1071" s="13"/>
      <c r="AP1071" s="7"/>
      <c r="AQ1071" s="7"/>
      <c r="AR1071" s="7"/>
      <c r="AS1071" s="7"/>
      <c r="AT1071" s="7"/>
      <c r="AU1071" s="7"/>
    </row>
    <row r="1072" spans="7:47" ht="13.5" x14ac:dyDescent="0.25">
      <c r="G1072" s="7"/>
      <c r="P1072" s="7"/>
      <c r="Q1072" s="7"/>
      <c r="V1072" s="7"/>
      <c r="W1072" s="7"/>
      <c r="X1072" s="7"/>
      <c r="Y1072" s="7"/>
      <c r="Z1072" s="7"/>
      <c r="AA1072" s="7"/>
      <c r="AB1072" s="7"/>
      <c r="AC1072" s="7"/>
      <c r="AD1072" s="7"/>
      <c r="AE1072" s="154"/>
      <c r="AF1072" s="154"/>
      <c r="AH1072" s="7"/>
      <c r="AI1072" s="7"/>
      <c r="AJ1072" s="7"/>
      <c r="AL1072" s="154"/>
      <c r="AM1072" s="7"/>
      <c r="AN1072" s="13"/>
      <c r="AP1072" s="7"/>
      <c r="AQ1072" s="7"/>
      <c r="AR1072" s="7"/>
      <c r="AS1072" s="7"/>
      <c r="AT1072" s="7"/>
      <c r="AU1072" s="7"/>
    </row>
    <row r="1073" spans="7:47" ht="13.5" x14ac:dyDescent="0.25">
      <c r="G1073" s="7"/>
      <c r="P1073" s="7"/>
      <c r="Q1073" s="7"/>
      <c r="V1073" s="7"/>
      <c r="W1073" s="7"/>
      <c r="X1073" s="7"/>
      <c r="Y1073" s="7"/>
      <c r="Z1073" s="7"/>
      <c r="AA1073" s="7"/>
      <c r="AB1073" s="7"/>
      <c r="AC1073" s="7"/>
      <c r="AD1073" s="7"/>
      <c r="AE1073" s="154"/>
      <c r="AF1073" s="154"/>
      <c r="AH1073" s="7"/>
      <c r="AI1073" s="7"/>
      <c r="AJ1073" s="7"/>
      <c r="AL1073" s="154"/>
      <c r="AM1073" s="7"/>
      <c r="AN1073" s="13"/>
      <c r="AP1073" s="7"/>
      <c r="AQ1073" s="7"/>
      <c r="AR1073" s="7"/>
      <c r="AS1073" s="7"/>
      <c r="AT1073" s="7"/>
      <c r="AU1073" s="7"/>
    </row>
    <row r="1074" spans="7:47" ht="13.5" x14ac:dyDescent="0.25">
      <c r="G1074" s="7"/>
      <c r="P1074" s="7"/>
      <c r="Q1074" s="7"/>
      <c r="V1074" s="7"/>
      <c r="W1074" s="7"/>
      <c r="X1074" s="7"/>
      <c r="Y1074" s="7"/>
      <c r="Z1074" s="7"/>
      <c r="AA1074" s="7"/>
      <c r="AB1074" s="7"/>
      <c r="AC1074" s="7"/>
      <c r="AD1074" s="7"/>
      <c r="AE1074" s="154"/>
      <c r="AF1074" s="154"/>
      <c r="AH1074" s="7"/>
      <c r="AI1074" s="7"/>
      <c r="AJ1074" s="7"/>
      <c r="AL1074" s="154"/>
      <c r="AM1074" s="7"/>
      <c r="AN1074" s="13"/>
      <c r="AP1074" s="7"/>
      <c r="AQ1074" s="7"/>
      <c r="AR1074" s="7"/>
      <c r="AS1074" s="7"/>
      <c r="AT1074" s="7"/>
      <c r="AU1074" s="7"/>
    </row>
    <row r="1075" spans="7:47" ht="13.5" x14ac:dyDescent="0.25">
      <c r="G1075" s="7"/>
      <c r="P1075" s="7"/>
      <c r="Q1075" s="7"/>
      <c r="V1075" s="7"/>
      <c r="W1075" s="7"/>
      <c r="X1075" s="7"/>
      <c r="Y1075" s="7"/>
      <c r="Z1075" s="7"/>
      <c r="AA1075" s="7"/>
      <c r="AB1075" s="7"/>
      <c r="AC1075" s="7"/>
      <c r="AD1075" s="7"/>
      <c r="AE1075" s="154"/>
      <c r="AF1075" s="154"/>
      <c r="AH1075" s="7"/>
      <c r="AI1075" s="7"/>
      <c r="AJ1075" s="7"/>
      <c r="AL1075" s="154"/>
      <c r="AM1075" s="7"/>
      <c r="AN1075" s="13"/>
      <c r="AP1075" s="7"/>
      <c r="AQ1075" s="7"/>
      <c r="AR1075" s="7"/>
      <c r="AS1075" s="7"/>
      <c r="AT1075" s="7"/>
      <c r="AU1075" s="7"/>
    </row>
    <row r="1076" spans="7:47" ht="13.5" x14ac:dyDescent="0.25">
      <c r="G1076" s="7"/>
      <c r="P1076" s="7"/>
      <c r="Q1076" s="7"/>
      <c r="V1076" s="7"/>
      <c r="W1076" s="7"/>
      <c r="X1076" s="7"/>
      <c r="Y1076" s="7"/>
      <c r="Z1076" s="7"/>
      <c r="AA1076" s="7"/>
      <c r="AB1076" s="7"/>
      <c r="AC1076" s="7"/>
      <c r="AD1076" s="7"/>
      <c r="AE1076" s="154"/>
      <c r="AF1076" s="154"/>
      <c r="AH1076" s="7"/>
      <c r="AI1076" s="7"/>
      <c r="AJ1076" s="7"/>
      <c r="AL1076" s="154"/>
      <c r="AM1076" s="7"/>
      <c r="AN1076" s="13"/>
      <c r="AP1076" s="7"/>
      <c r="AQ1076" s="7"/>
      <c r="AR1076" s="7"/>
      <c r="AS1076" s="7"/>
      <c r="AT1076" s="7"/>
      <c r="AU1076" s="7"/>
    </row>
    <row r="1077" spans="7:47" ht="13.5" x14ac:dyDescent="0.25">
      <c r="G1077" s="7"/>
      <c r="P1077" s="7"/>
      <c r="Q1077" s="7"/>
      <c r="V1077" s="7"/>
      <c r="W1077" s="7"/>
      <c r="X1077" s="7"/>
      <c r="Y1077" s="7"/>
      <c r="Z1077" s="7"/>
      <c r="AA1077" s="7"/>
      <c r="AB1077" s="7"/>
      <c r="AC1077" s="7"/>
      <c r="AD1077" s="7"/>
      <c r="AE1077" s="154"/>
      <c r="AF1077" s="154"/>
      <c r="AH1077" s="7"/>
      <c r="AI1077" s="7"/>
      <c r="AJ1077" s="7"/>
      <c r="AL1077" s="154"/>
      <c r="AM1077" s="7"/>
      <c r="AN1077" s="13"/>
      <c r="AP1077" s="7"/>
      <c r="AQ1077" s="7"/>
      <c r="AR1077" s="7"/>
      <c r="AS1077" s="7"/>
      <c r="AT1077" s="7"/>
      <c r="AU1077" s="7"/>
    </row>
    <row r="1078" spans="7:47" ht="13.5" x14ac:dyDescent="0.25">
      <c r="G1078" s="7"/>
      <c r="P1078" s="7"/>
      <c r="Q1078" s="7"/>
      <c r="V1078" s="7"/>
      <c r="W1078" s="7"/>
      <c r="X1078" s="7"/>
      <c r="Y1078" s="7"/>
      <c r="Z1078" s="7"/>
      <c r="AA1078" s="7"/>
      <c r="AB1078" s="7"/>
      <c r="AC1078" s="7"/>
      <c r="AD1078" s="7"/>
      <c r="AE1078" s="154"/>
      <c r="AF1078" s="154"/>
      <c r="AH1078" s="7"/>
      <c r="AI1078" s="7"/>
      <c r="AJ1078" s="7"/>
      <c r="AL1078" s="154"/>
      <c r="AM1078" s="7"/>
      <c r="AN1078" s="13"/>
      <c r="AP1078" s="7"/>
      <c r="AQ1078" s="7"/>
      <c r="AR1078" s="7"/>
      <c r="AS1078" s="7"/>
      <c r="AT1078" s="7"/>
      <c r="AU1078" s="7"/>
    </row>
    <row r="1079" spans="7:47" ht="13.5" x14ac:dyDescent="0.25">
      <c r="G1079" s="7"/>
      <c r="P1079" s="7"/>
      <c r="Q1079" s="7"/>
      <c r="V1079" s="7"/>
      <c r="W1079" s="7"/>
      <c r="X1079" s="7"/>
      <c r="Y1079" s="7"/>
      <c r="Z1079" s="7"/>
      <c r="AA1079" s="7"/>
      <c r="AB1079" s="7"/>
      <c r="AC1079" s="7"/>
      <c r="AD1079" s="7"/>
      <c r="AE1079" s="154"/>
      <c r="AF1079" s="154"/>
      <c r="AH1079" s="7"/>
      <c r="AI1079" s="7"/>
      <c r="AJ1079" s="7"/>
      <c r="AL1079" s="154"/>
      <c r="AM1079" s="7"/>
      <c r="AN1079" s="13"/>
      <c r="AP1079" s="7"/>
      <c r="AQ1079" s="7"/>
      <c r="AR1079" s="7"/>
      <c r="AS1079" s="7"/>
      <c r="AT1079" s="7"/>
      <c r="AU1079" s="7"/>
    </row>
    <row r="1080" spans="7:47" ht="13.5" x14ac:dyDescent="0.25">
      <c r="G1080" s="7"/>
      <c r="P1080" s="7"/>
      <c r="Q1080" s="7"/>
      <c r="V1080" s="7"/>
      <c r="W1080" s="7"/>
      <c r="X1080" s="7"/>
      <c r="Y1080" s="7"/>
      <c r="Z1080" s="7"/>
      <c r="AA1080" s="7"/>
      <c r="AB1080" s="7"/>
      <c r="AC1080" s="7"/>
      <c r="AD1080" s="7"/>
      <c r="AE1080" s="154"/>
      <c r="AF1080" s="154"/>
      <c r="AH1080" s="7"/>
      <c r="AI1080" s="7"/>
      <c r="AJ1080" s="7"/>
      <c r="AL1080" s="154"/>
      <c r="AM1080" s="7"/>
      <c r="AN1080" s="13"/>
      <c r="AP1080" s="7"/>
      <c r="AQ1080" s="7"/>
      <c r="AR1080" s="7"/>
      <c r="AS1080" s="7"/>
      <c r="AT1080" s="7"/>
      <c r="AU1080" s="7"/>
    </row>
    <row r="1081" spans="7:47" ht="13.5" x14ac:dyDescent="0.25">
      <c r="G1081" s="7"/>
      <c r="P1081" s="7"/>
      <c r="Q1081" s="7"/>
      <c r="V1081" s="7"/>
      <c r="W1081" s="7"/>
      <c r="X1081" s="7"/>
      <c r="Y1081" s="7"/>
      <c r="Z1081" s="7"/>
      <c r="AA1081" s="7"/>
      <c r="AB1081" s="7"/>
      <c r="AC1081" s="7"/>
      <c r="AD1081" s="7"/>
      <c r="AE1081" s="154"/>
      <c r="AF1081" s="154"/>
      <c r="AH1081" s="7"/>
      <c r="AI1081" s="7"/>
      <c r="AJ1081" s="7"/>
      <c r="AL1081" s="154"/>
      <c r="AM1081" s="7"/>
      <c r="AN1081" s="13"/>
      <c r="AP1081" s="7"/>
      <c r="AQ1081" s="7"/>
      <c r="AR1081" s="7"/>
      <c r="AS1081" s="7"/>
      <c r="AT1081" s="7"/>
      <c r="AU1081" s="7"/>
    </row>
    <row r="1082" spans="7:47" ht="13.5" x14ac:dyDescent="0.25">
      <c r="G1082" s="7"/>
      <c r="P1082" s="7"/>
      <c r="Q1082" s="7"/>
      <c r="V1082" s="7"/>
      <c r="W1082" s="7"/>
      <c r="X1082" s="7"/>
      <c r="Y1082" s="7"/>
      <c r="Z1082" s="7"/>
      <c r="AA1082" s="7"/>
      <c r="AB1082" s="7"/>
      <c r="AC1082" s="7"/>
      <c r="AD1082" s="7"/>
      <c r="AE1082" s="154"/>
      <c r="AF1082" s="154"/>
      <c r="AH1082" s="7"/>
      <c r="AI1082" s="7"/>
      <c r="AJ1082" s="7"/>
      <c r="AL1082" s="154"/>
      <c r="AM1082" s="7"/>
      <c r="AN1082" s="13"/>
      <c r="AP1082" s="7"/>
      <c r="AQ1082" s="7"/>
      <c r="AR1082" s="7"/>
      <c r="AS1082" s="7"/>
      <c r="AT1082" s="7"/>
      <c r="AU1082" s="7"/>
    </row>
    <row r="1083" spans="7:47" ht="13.5" x14ac:dyDescent="0.25">
      <c r="G1083" s="7"/>
      <c r="P1083" s="7"/>
      <c r="Q1083" s="7"/>
      <c r="V1083" s="7"/>
      <c r="W1083" s="7"/>
      <c r="X1083" s="7"/>
      <c r="Y1083" s="7"/>
      <c r="Z1083" s="7"/>
      <c r="AA1083" s="7"/>
      <c r="AB1083" s="7"/>
      <c r="AC1083" s="7"/>
      <c r="AD1083" s="7"/>
      <c r="AE1083" s="154"/>
      <c r="AF1083" s="154"/>
      <c r="AH1083" s="7"/>
      <c r="AI1083" s="7"/>
      <c r="AJ1083" s="7"/>
      <c r="AL1083" s="154"/>
      <c r="AM1083" s="7"/>
      <c r="AN1083" s="13"/>
      <c r="AP1083" s="7"/>
      <c r="AQ1083" s="7"/>
      <c r="AR1083" s="7"/>
      <c r="AS1083" s="7"/>
      <c r="AT1083" s="7"/>
      <c r="AU1083" s="7"/>
    </row>
    <row r="1084" spans="7:47" ht="13.5" x14ac:dyDescent="0.25">
      <c r="G1084" s="7"/>
      <c r="P1084" s="7"/>
      <c r="Q1084" s="7"/>
      <c r="V1084" s="7"/>
      <c r="W1084" s="7"/>
      <c r="X1084" s="7"/>
      <c r="Y1084" s="7"/>
      <c r="Z1084" s="7"/>
      <c r="AA1084" s="7"/>
      <c r="AB1084" s="7"/>
      <c r="AC1084" s="7"/>
      <c r="AD1084" s="7"/>
      <c r="AE1084" s="154"/>
      <c r="AF1084" s="154"/>
      <c r="AH1084" s="7"/>
      <c r="AI1084" s="7"/>
      <c r="AJ1084" s="7"/>
      <c r="AL1084" s="154"/>
      <c r="AM1084" s="7"/>
      <c r="AN1084" s="13"/>
      <c r="AP1084" s="7"/>
      <c r="AQ1084" s="7"/>
      <c r="AR1084" s="7"/>
      <c r="AS1084" s="7"/>
      <c r="AT1084" s="7"/>
      <c r="AU1084" s="7"/>
    </row>
    <row r="1085" spans="7:47" ht="13.5" x14ac:dyDescent="0.25">
      <c r="G1085" s="7"/>
      <c r="P1085" s="7"/>
      <c r="Q1085" s="7"/>
      <c r="V1085" s="7"/>
      <c r="W1085" s="7"/>
      <c r="X1085" s="7"/>
      <c r="Y1085" s="7"/>
      <c r="Z1085" s="7"/>
      <c r="AA1085" s="7"/>
      <c r="AB1085" s="7"/>
      <c r="AC1085" s="7"/>
      <c r="AD1085" s="7"/>
      <c r="AE1085" s="154"/>
      <c r="AF1085" s="154"/>
      <c r="AH1085" s="7"/>
      <c r="AI1085" s="7"/>
      <c r="AJ1085" s="7"/>
      <c r="AL1085" s="154"/>
      <c r="AM1085" s="7"/>
      <c r="AN1085" s="13"/>
      <c r="AP1085" s="7"/>
      <c r="AQ1085" s="7"/>
      <c r="AR1085" s="7"/>
      <c r="AS1085" s="7"/>
      <c r="AT1085" s="7"/>
      <c r="AU1085" s="7"/>
    </row>
    <row r="1086" spans="7:47" ht="13.5" x14ac:dyDescent="0.25">
      <c r="G1086" s="7"/>
      <c r="P1086" s="7"/>
      <c r="Q1086" s="7"/>
      <c r="V1086" s="7"/>
      <c r="W1086" s="7"/>
      <c r="X1086" s="7"/>
      <c r="Y1086" s="7"/>
      <c r="Z1086" s="7"/>
      <c r="AA1086" s="7"/>
      <c r="AB1086" s="7"/>
      <c r="AC1086" s="7"/>
      <c r="AD1086" s="7"/>
      <c r="AE1086" s="154"/>
      <c r="AF1086" s="154"/>
      <c r="AH1086" s="7"/>
      <c r="AI1086" s="7"/>
      <c r="AJ1086" s="7"/>
      <c r="AL1086" s="154"/>
      <c r="AM1086" s="7"/>
      <c r="AN1086" s="13"/>
      <c r="AP1086" s="7"/>
      <c r="AQ1086" s="7"/>
      <c r="AR1086" s="7"/>
      <c r="AS1086" s="7"/>
      <c r="AT1086" s="7"/>
      <c r="AU1086" s="7"/>
    </row>
    <row r="1087" spans="7:47" ht="13.5" x14ac:dyDescent="0.25">
      <c r="G1087" s="7"/>
      <c r="P1087" s="7"/>
      <c r="Q1087" s="7"/>
      <c r="V1087" s="7"/>
      <c r="W1087" s="7"/>
      <c r="X1087" s="7"/>
      <c r="Y1087" s="7"/>
      <c r="Z1087" s="7"/>
      <c r="AA1087" s="7"/>
      <c r="AB1087" s="7"/>
      <c r="AC1087" s="7"/>
      <c r="AD1087" s="7"/>
      <c r="AE1087" s="154"/>
      <c r="AF1087" s="154"/>
      <c r="AH1087" s="7"/>
      <c r="AI1087" s="7"/>
      <c r="AJ1087" s="7"/>
      <c r="AL1087" s="154"/>
      <c r="AM1087" s="7"/>
      <c r="AN1087" s="13"/>
      <c r="AP1087" s="7"/>
      <c r="AQ1087" s="7"/>
      <c r="AR1087" s="7"/>
      <c r="AS1087" s="7"/>
      <c r="AT1087" s="7"/>
      <c r="AU1087" s="7"/>
    </row>
    <row r="1088" spans="7:47" ht="13.5" x14ac:dyDescent="0.25">
      <c r="G1088" s="7"/>
      <c r="P1088" s="7"/>
      <c r="Q1088" s="7"/>
      <c r="V1088" s="7"/>
      <c r="W1088" s="7"/>
      <c r="X1088" s="7"/>
      <c r="Y1088" s="7"/>
      <c r="Z1088" s="7"/>
      <c r="AA1088" s="7"/>
      <c r="AB1088" s="7"/>
      <c r="AC1088" s="7"/>
      <c r="AD1088" s="7"/>
      <c r="AE1088" s="154"/>
      <c r="AF1088" s="154"/>
      <c r="AH1088" s="7"/>
      <c r="AI1088" s="7"/>
      <c r="AJ1088" s="7"/>
      <c r="AL1088" s="154"/>
      <c r="AM1088" s="7"/>
      <c r="AN1088" s="13"/>
      <c r="AP1088" s="7"/>
      <c r="AQ1088" s="7"/>
      <c r="AR1088" s="7"/>
      <c r="AS1088" s="7"/>
      <c r="AT1088" s="7"/>
      <c r="AU1088" s="7"/>
    </row>
    <row r="1089" spans="7:47" ht="13.5" x14ac:dyDescent="0.25">
      <c r="G1089" s="7"/>
      <c r="P1089" s="7"/>
      <c r="Q1089" s="7"/>
      <c r="V1089" s="7"/>
      <c r="W1089" s="7"/>
      <c r="X1089" s="7"/>
      <c r="Y1089" s="7"/>
      <c r="Z1089" s="7"/>
      <c r="AA1089" s="7"/>
      <c r="AB1089" s="7"/>
      <c r="AC1089" s="7"/>
      <c r="AD1089" s="7"/>
      <c r="AE1089" s="154"/>
      <c r="AF1089" s="154"/>
      <c r="AH1089" s="7"/>
      <c r="AI1089" s="7"/>
      <c r="AJ1089" s="7"/>
      <c r="AL1089" s="154"/>
      <c r="AM1089" s="7"/>
      <c r="AN1089" s="13"/>
      <c r="AP1089" s="7"/>
      <c r="AQ1089" s="7"/>
      <c r="AR1089" s="7"/>
      <c r="AS1089" s="7"/>
      <c r="AT1089" s="7"/>
      <c r="AU1089" s="7"/>
    </row>
    <row r="1090" spans="7:47" ht="13.5" x14ac:dyDescent="0.25">
      <c r="G1090" s="7"/>
      <c r="P1090" s="7"/>
      <c r="Q1090" s="7"/>
      <c r="V1090" s="7"/>
      <c r="W1090" s="7"/>
      <c r="X1090" s="7"/>
      <c r="Y1090" s="7"/>
      <c r="Z1090" s="7"/>
      <c r="AA1090" s="7"/>
      <c r="AB1090" s="7"/>
      <c r="AC1090" s="7"/>
      <c r="AD1090" s="7"/>
      <c r="AE1090" s="154"/>
      <c r="AF1090" s="154"/>
      <c r="AH1090" s="7"/>
      <c r="AI1090" s="7"/>
      <c r="AJ1090" s="7"/>
      <c r="AL1090" s="154"/>
      <c r="AM1090" s="7"/>
      <c r="AN1090" s="13"/>
      <c r="AP1090" s="7"/>
      <c r="AQ1090" s="7"/>
      <c r="AR1090" s="7"/>
      <c r="AS1090" s="7"/>
      <c r="AT1090" s="7"/>
      <c r="AU1090" s="7"/>
    </row>
    <row r="1091" spans="7:47" ht="13.5" x14ac:dyDescent="0.25">
      <c r="G1091" s="7"/>
      <c r="P1091" s="7"/>
      <c r="Q1091" s="7"/>
      <c r="V1091" s="7"/>
      <c r="W1091" s="7"/>
      <c r="X1091" s="7"/>
      <c r="Y1091" s="7"/>
      <c r="Z1091" s="7"/>
      <c r="AA1091" s="7"/>
      <c r="AB1091" s="7"/>
      <c r="AC1091" s="7"/>
      <c r="AD1091" s="7"/>
      <c r="AE1091" s="154"/>
      <c r="AF1091" s="154"/>
      <c r="AH1091" s="7"/>
      <c r="AI1091" s="7"/>
      <c r="AJ1091" s="7"/>
      <c r="AL1091" s="154"/>
      <c r="AM1091" s="7"/>
      <c r="AN1091" s="13"/>
      <c r="AP1091" s="7"/>
      <c r="AQ1091" s="7"/>
      <c r="AR1091" s="7"/>
      <c r="AS1091" s="7"/>
      <c r="AT1091" s="7"/>
      <c r="AU1091" s="7"/>
    </row>
    <row r="1092" spans="7:47" ht="13.5" x14ac:dyDescent="0.25">
      <c r="G1092" s="7"/>
      <c r="P1092" s="7"/>
      <c r="Q1092" s="7"/>
      <c r="V1092" s="7"/>
      <c r="W1092" s="7"/>
      <c r="X1092" s="7"/>
      <c r="Y1092" s="7"/>
      <c r="Z1092" s="7"/>
      <c r="AA1092" s="7"/>
      <c r="AB1092" s="7"/>
      <c r="AC1092" s="7"/>
      <c r="AD1092" s="7"/>
      <c r="AE1092" s="154"/>
      <c r="AF1092" s="154"/>
      <c r="AH1092" s="7"/>
      <c r="AI1092" s="7"/>
      <c r="AJ1092" s="7"/>
      <c r="AL1092" s="154"/>
      <c r="AM1092" s="7"/>
      <c r="AN1092" s="13"/>
      <c r="AP1092" s="7"/>
      <c r="AQ1092" s="7"/>
      <c r="AR1092" s="7"/>
      <c r="AS1092" s="7"/>
      <c r="AT1092" s="7"/>
      <c r="AU1092" s="7"/>
    </row>
    <row r="1093" spans="7:47" ht="13.5" x14ac:dyDescent="0.25">
      <c r="G1093" s="7"/>
      <c r="P1093" s="7"/>
      <c r="Q1093" s="7"/>
      <c r="V1093" s="7"/>
      <c r="W1093" s="7"/>
      <c r="X1093" s="7"/>
      <c r="Y1093" s="7"/>
      <c r="Z1093" s="7"/>
      <c r="AA1093" s="7"/>
      <c r="AB1093" s="7"/>
      <c r="AC1093" s="7"/>
      <c r="AD1093" s="7"/>
      <c r="AE1093" s="154"/>
      <c r="AF1093" s="154"/>
      <c r="AH1093" s="7"/>
      <c r="AI1093" s="7"/>
      <c r="AJ1093" s="7"/>
      <c r="AL1093" s="154"/>
      <c r="AM1093" s="7"/>
      <c r="AN1093" s="13"/>
      <c r="AP1093" s="7"/>
      <c r="AQ1093" s="7"/>
      <c r="AR1093" s="7"/>
      <c r="AS1093" s="7"/>
      <c r="AT1093" s="7"/>
      <c r="AU1093" s="7"/>
    </row>
    <row r="1094" spans="7:47" ht="13.5" x14ac:dyDescent="0.25">
      <c r="G1094" s="7"/>
      <c r="P1094" s="7"/>
      <c r="Q1094" s="7"/>
      <c r="V1094" s="7"/>
      <c r="W1094" s="7"/>
      <c r="X1094" s="7"/>
      <c r="Y1094" s="7"/>
      <c r="Z1094" s="7"/>
      <c r="AA1094" s="7"/>
      <c r="AB1094" s="7"/>
      <c r="AC1094" s="7"/>
      <c r="AD1094" s="7"/>
      <c r="AE1094" s="154"/>
      <c r="AF1094" s="154"/>
      <c r="AH1094" s="7"/>
      <c r="AI1094" s="7"/>
      <c r="AJ1094" s="7"/>
      <c r="AL1094" s="154"/>
      <c r="AM1094" s="7"/>
      <c r="AN1094" s="13"/>
      <c r="AP1094" s="7"/>
      <c r="AQ1094" s="7"/>
      <c r="AR1094" s="7"/>
      <c r="AS1094" s="7"/>
      <c r="AT1094" s="7"/>
      <c r="AU1094" s="7"/>
    </row>
    <row r="1095" spans="7:47" ht="13.5" x14ac:dyDescent="0.25">
      <c r="G1095" s="7"/>
      <c r="P1095" s="7"/>
      <c r="Q1095" s="7"/>
      <c r="V1095" s="7"/>
      <c r="W1095" s="7"/>
      <c r="X1095" s="7"/>
      <c r="Y1095" s="7"/>
      <c r="Z1095" s="7"/>
      <c r="AA1095" s="7"/>
      <c r="AB1095" s="7"/>
      <c r="AC1095" s="7"/>
      <c r="AD1095" s="7"/>
      <c r="AE1095" s="154"/>
      <c r="AF1095" s="154"/>
      <c r="AH1095" s="7"/>
      <c r="AI1095" s="7"/>
      <c r="AJ1095" s="7"/>
      <c r="AL1095" s="154"/>
      <c r="AM1095" s="7"/>
      <c r="AN1095" s="13"/>
      <c r="AP1095" s="7"/>
      <c r="AQ1095" s="7"/>
      <c r="AR1095" s="7"/>
      <c r="AS1095" s="7"/>
      <c r="AT1095" s="7"/>
      <c r="AU1095" s="7"/>
    </row>
    <row r="1096" spans="7:47" ht="13.5" x14ac:dyDescent="0.25">
      <c r="G1096" s="7"/>
      <c r="P1096" s="7"/>
      <c r="Q1096" s="7"/>
      <c r="V1096" s="7"/>
      <c r="W1096" s="7"/>
      <c r="X1096" s="7"/>
      <c r="Y1096" s="7"/>
      <c r="Z1096" s="7"/>
      <c r="AA1096" s="7"/>
      <c r="AB1096" s="7"/>
      <c r="AC1096" s="7"/>
      <c r="AD1096" s="7"/>
      <c r="AE1096" s="154"/>
      <c r="AF1096" s="154"/>
      <c r="AH1096" s="7"/>
      <c r="AI1096" s="7"/>
      <c r="AJ1096" s="7"/>
      <c r="AL1096" s="154"/>
      <c r="AM1096" s="7"/>
      <c r="AN1096" s="13"/>
      <c r="AP1096" s="7"/>
      <c r="AQ1096" s="7"/>
      <c r="AR1096" s="7"/>
      <c r="AS1096" s="7"/>
      <c r="AT1096" s="7"/>
      <c r="AU1096" s="7"/>
    </row>
    <row r="1097" spans="7:47" ht="13.5" x14ac:dyDescent="0.25">
      <c r="G1097" s="7"/>
      <c r="P1097" s="7"/>
      <c r="Q1097" s="7"/>
      <c r="V1097" s="7"/>
      <c r="W1097" s="7"/>
      <c r="X1097" s="7"/>
      <c r="Y1097" s="7"/>
      <c r="Z1097" s="7"/>
      <c r="AA1097" s="7"/>
      <c r="AB1097" s="7"/>
      <c r="AC1097" s="7"/>
      <c r="AD1097" s="7"/>
      <c r="AE1097" s="154"/>
      <c r="AF1097" s="154"/>
      <c r="AH1097" s="7"/>
      <c r="AI1097" s="7"/>
      <c r="AJ1097" s="7"/>
      <c r="AL1097" s="154"/>
      <c r="AM1097" s="7"/>
      <c r="AN1097" s="13"/>
      <c r="AP1097" s="7"/>
      <c r="AQ1097" s="7"/>
      <c r="AR1097" s="7"/>
      <c r="AS1097" s="7"/>
      <c r="AT1097" s="7"/>
      <c r="AU1097" s="7"/>
    </row>
    <row r="1098" spans="7:47" ht="13.5" x14ac:dyDescent="0.25">
      <c r="G1098" s="7"/>
      <c r="P1098" s="7"/>
      <c r="Q1098" s="7"/>
      <c r="V1098" s="7"/>
      <c r="W1098" s="7"/>
      <c r="X1098" s="7"/>
      <c r="Y1098" s="7"/>
      <c r="Z1098" s="7"/>
      <c r="AA1098" s="7"/>
      <c r="AB1098" s="7"/>
      <c r="AC1098" s="7"/>
      <c r="AD1098" s="7"/>
      <c r="AE1098" s="154"/>
      <c r="AF1098" s="154"/>
      <c r="AH1098" s="7"/>
      <c r="AI1098" s="7"/>
      <c r="AJ1098" s="7"/>
      <c r="AL1098" s="154"/>
      <c r="AM1098" s="7"/>
      <c r="AN1098" s="13"/>
      <c r="AP1098" s="7"/>
      <c r="AQ1098" s="7"/>
      <c r="AR1098" s="7"/>
      <c r="AS1098" s="7"/>
      <c r="AT1098" s="7"/>
      <c r="AU1098" s="7"/>
    </row>
    <row r="1099" spans="7:47" ht="13.5" x14ac:dyDescent="0.25">
      <c r="G1099" s="7"/>
      <c r="P1099" s="7"/>
      <c r="Q1099" s="7"/>
      <c r="V1099" s="7"/>
      <c r="W1099" s="7"/>
      <c r="X1099" s="7"/>
      <c r="Y1099" s="7"/>
      <c r="Z1099" s="7"/>
      <c r="AA1099" s="7"/>
      <c r="AB1099" s="7"/>
      <c r="AC1099" s="7"/>
      <c r="AD1099" s="7"/>
      <c r="AE1099" s="154"/>
      <c r="AF1099" s="154"/>
      <c r="AH1099" s="7"/>
      <c r="AI1099" s="7"/>
      <c r="AJ1099" s="7"/>
      <c r="AL1099" s="154"/>
      <c r="AM1099" s="7"/>
      <c r="AN1099" s="13"/>
      <c r="AP1099" s="7"/>
      <c r="AQ1099" s="7"/>
      <c r="AR1099" s="7"/>
      <c r="AS1099" s="7"/>
      <c r="AT1099" s="7"/>
      <c r="AU1099" s="7"/>
    </row>
    <row r="1100" spans="7:47" ht="13.5" x14ac:dyDescent="0.25">
      <c r="G1100" s="7"/>
      <c r="P1100" s="7"/>
      <c r="Q1100" s="7"/>
      <c r="V1100" s="7"/>
      <c r="W1100" s="7"/>
      <c r="X1100" s="7"/>
      <c r="Y1100" s="7"/>
      <c r="Z1100" s="7"/>
      <c r="AA1100" s="7"/>
      <c r="AB1100" s="7"/>
      <c r="AC1100" s="7"/>
      <c r="AD1100" s="7"/>
      <c r="AE1100" s="154"/>
      <c r="AF1100" s="154"/>
      <c r="AH1100" s="7"/>
      <c r="AI1100" s="7"/>
      <c r="AJ1100" s="7"/>
      <c r="AL1100" s="154"/>
      <c r="AM1100" s="7"/>
      <c r="AN1100" s="13"/>
      <c r="AP1100" s="7"/>
      <c r="AQ1100" s="7"/>
      <c r="AR1100" s="7"/>
      <c r="AS1100" s="7"/>
      <c r="AT1100" s="7"/>
      <c r="AU1100" s="7"/>
    </row>
    <row r="1101" spans="7:47" ht="13.5" x14ac:dyDescent="0.25">
      <c r="G1101" s="7"/>
      <c r="P1101" s="7"/>
      <c r="Q1101" s="7"/>
      <c r="V1101" s="7"/>
      <c r="W1101" s="7"/>
      <c r="X1101" s="7"/>
      <c r="Y1101" s="7"/>
      <c r="Z1101" s="7"/>
      <c r="AA1101" s="7"/>
      <c r="AB1101" s="7"/>
      <c r="AC1101" s="7"/>
      <c r="AD1101" s="7"/>
      <c r="AE1101" s="154"/>
      <c r="AF1101" s="154"/>
      <c r="AH1101" s="7"/>
      <c r="AI1101" s="7"/>
      <c r="AJ1101" s="7"/>
      <c r="AL1101" s="154"/>
      <c r="AM1101" s="7"/>
      <c r="AN1101" s="13"/>
      <c r="AP1101" s="7"/>
      <c r="AQ1101" s="7"/>
      <c r="AR1101" s="7"/>
      <c r="AS1101" s="7"/>
      <c r="AT1101" s="7"/>
      <c r="AU1101" s="7"/>
    </row>
    <row r="1102" spans="7:47" ht="13.5" x14ac:dyDescent="0.25">
      <c r="G1102" s="7"/>
      <c r="P1102" s="7"/>
      <c r="Q1102" s="7"/>
      <c r="V1102" s="7"/>
      <c r="W1102" s="7"/>
      <c r="X1102" s="7"/>
      <c r="Y1102" s="7"/>
      <c r="Z1102" s="7"/>
      <c r="AA1102" s="7"/>
      <c r="AB1102" s="7"/>
      <c r="AC1102" s="7"/>
      <c r="AD1102" s="7"/>
      <c r="AE1102" s="154"/>
      <c r="AF1102" s="154"/>
      <c r="AH1102" s="7"/>
      <c r="AI1102" s="7"/>
      <c r="AJ1102" s="7"/>
      <c r="AL1102" s="154"/>
      <c r="AM1102" s="7"/>
      <c r="AN1102" s="13"/>
      <c r="AP1102" s="7"/>
      <c r="AQ1102" s="7"/>
      <c r="AR1102" s="7"/>
      <c r="AS1102" s="7"/>
      <c r="AT1102" s="7"/>
      <c r="AU1102" s="7"/>
    </row>
    <row r="1103" spans="7:47" ht="13.5" x14ac:dyDescent="0.25">
      <c r="G1103" s="7"/>
      <c r="P1103" s="7"/>
      <c r="Q1103" s="7"/>
      <c r="V1103" s="7"/>
      <c r="W1103" s="7"/>
      <c r="X1103" s="7"/>
      <c r="Y1103" s="7"/>
      <c r="Z1103" s="7"/>
      <c r="AA1103" s="7"/>
      <c r="AB1103" s="7"/>
      <c r="AC1103" s="7"/>
      <c r="AD1103" s="7"/>
      <c r="AE1103" s="154"/>
      <c r="AF1103" s="154"/>
      <c r="AH1103" s="7"/>
      <c r="AI1103" s="7"/>
      <c r="AJ1103" s="7"/>
      <c r="AL1103" s="154"/>
      <c r="AM1103" s="7"/>
      <c r="AN1103" s="13"/>
      <c r="AP1103" s="7"/>
      <c r="AQ1103" s="7"/>
      <c r="AR1103" s="7"/>
      <c r="AS1103" s="7"/>
      <c r="AT1103" s="7"/>
      <c r="AU1103" s="7"/>
    </row>
    <row r="1104" spans="7:47" ht="13.5" x14ac:dyDescent="0.25">
      <c r="G1104" s="7"/>
      <c r="P1104" s="7"/>
      <c r="Q1104" s="7"/>
      <c r="V1104" s="7"/>
      <c r="W1104" s="7"/>
      <c r="X1104" s="7"/>
      <c r="Y1104" s="7"/>
      <c r="Z1104" s="7"/>
      <c r="AA1104" s="7"/>
      <c r="AB1104" s="7"/>
      <c r="AC1104" s="7"/>
      <c r="AD1104" s="7"/>
      <c r="AE1104" s="154"/>
      <c r="AF1104" s="154"/>
      <c r="AH1104" s="7"/>
      <c r="AI1104" s="7"/>
      <c r="AJ1104" s="7"/>
      <c r="AL1104" s="154"/>
      <c r="AM1104" s="7"/>
      <c r="AN1104" s="13"/>
      <c r="AP1104" s="7"/>
      <c r="AQ1104" s="7"/>
      <c r="AR1104" s="7"/>
      <c r="AS1104" s="7"/>
      <c r="AT1104" s="7"/>
      <c r="AU1104" s="7"/>
    </row>
    <row r="1105" spans="7:47" ht="13.5" x14ac:dyDescent="0.25">
      <c r="G1105" s="7"/>
      <c r="P1105" s="7"/>
      <c r="Q1105" s="7"/>
      <c r="V1105" s="7"/>
      <c r="W1105" s="7"/>
      <c r="X1105" s="7"/>
      <c r="Y1105" s="7"/>
      <c r="Z1105" s="7"/>
      <c r="AA1105" s="7"/>
      <c r="AB1105" s="7"/>
      <c r="AC1105" s="7"/>
      <c r="AD1105" s="7"/>
      <c r="AE1105" s="154"/>
      <c r="AF1105" s="154"/>
      <c r="AH1105" s="7"/>
      <c r="AI1105" s="7"/>
      <c r="AJ1105" s="7"/>
      <c r="AL1105" s="154"/>
      <c r="AM1105" s="7"/>
      <c r="AN1105" s="13"/>
      <c r="AP1105" s="7"/>
      <c r="AQ1105" s="7"/>
      <c r="AR1105" s="7"/>
      <c r="AS1105" s="7"/>
      <c r="AT1105" s="7"/>
      <c r="AU1105" s="7"/>
    </row>
    <row r="1106" spans="7:47" ht="13.5" x14ac:dyDescent="0.25">
      <c r="G1106" s="7"/>
      <c r="P1106" s="7"/>
      <c r="Q1106" s="7"/>
      <c r="V1106" s="7"/>
      <c r="W1106" s="7"/>
      <c r="X1106" s="7"/>
      <c r="Y1106" s="7"/>
      <c r="Z1106" s="7"/>
      <c r="AA1106" s="7"/>
      <c r="AB1106" s="7"/>
      <c r="AC1106" s="7"/>
      <c r="AD1106" s="7"/>
      <c r="AE1106" s="154"/>
      <c r="AF1106" s="154"/>
      <c r="AH1106" s="7"/>
      <c r="AI1106" s="7"/>
      <c r="AJ1106" s="7"/>
      <c r="AL1106" s="154"/>
      <c r="AM1106" s="7"/>
      <c r="AN1106" s="13"/>
      <c r="AP1106" s="7"/>
      <c r="AQ1106" s="7"/>
      <c r="AR1106" s="7"/>
      <c r="AS1106" s="7"/>
      <c r="AT1106" s="7"/>
      <c r="AU1106" s="7"/>
    </row>
    <row r="1107" spans="7:47" ht="13.5" x14ac:dyDescent="0.25">
      <c r="G1107" s="7"/>
      <c r="P1107" s="7"/>
      <c r="Q1107" s="7"/>
      <c r="V1107" s="7"/>
      <c r="W1107" s="7"/>
      <c r="X1107" s="7"/>
      <c r="Y1107" s="7"/>
      <c r="Z1107" s="7"/>
      <c r="AA1107" s="7"/>
      <c r="AB1107" s="7"/>
      <c r="AC1107" s="7"/>
      <c r="AD1107" s="7"/>
      <c r="AE1107" s="154"/>
      <c r="AF1107" s="154"/>
      <c r="AH1107" s="7"/>
      <c r="AI1107" s="7"/>
      <c r="AJ1107" s="7"/>
      <c r="AL1107" s="154"/>
      <c r="AM1107" s="7"/>
      <c r="AN1107" s="13"/>
      <c r="AP1107" s="7"/>
      <c r="AQ1107" s="7"/>
      <c r="AR1107" s="7"/>
      <c r="AS1107" s="7"/>
      <c r="AT1107" s="7"/>
      <c r="AU1107" s="7"/>
    </row>
    <row r="1108" spans="7:47" ht="13.5" x14ac:dyDescent="0.25">
      <c r="G1108" s="7"/>
      <c r="P1108" s="7"/>
      <c r="Q1108" s="7"/>
      <c r="V1108" s="7"/>
      <c r="W1108" s="7"/>
      <c r="X1108" s="7"/>
      <c r="Y1108" s="7"/>
      <c r="Z1108" s="7"/>
      <c r="AA1108" s="7"/>
      <c r="AB1108" s="7"/>
      <c r="AC1108" s="7"/>
      <c r="AD1108" s="7"/>
      <c r="AE1108" s="154"/>
      <c r="AF1108" s="154"/>
      <c r="AH1108" s="7"/>
      <c r="AI1108" s="7"/>
      <c r="AJ1108" s="7"/>
      <c r="AL1108" s="154"/>
      <c r="AM1108" s="7"/>
      <c r="AN1108" s="13"/>
      <c r="AP1108" s="7"/>
      <c r="AQ1108" s="7"/>
      <c r="AR1108" s="7"/>
      <c r="AS1108" s="7"/>
      <c r="AT1108" s="7"/>
      <c r="AU1108" s="7"/>
    </row>
    <row r="1109" spans="7:47" ht="13.5" x14ac:dyDescent="0.25">
      <c r="G1109" s="7"/>
      <c r="P1109" s="7"/>
      <c r="Q1109" s="7"/>
      <c r="V1109" s="7"/>
      <c r="W1109" s="7"/>
      <c r="X1109" s="7"/>
      <c r="Y1109" s="7"/>
      <c r="Z1109" s="7"/>
      <c r="AA1109" s="7"/>
      <c r="AB1109" s="7"/>
      <c r="AC1109" s="7"/>
      <c r="AD1109" s="7"/>
      <c r="AE1109" s="154"/>
      <c r="AF1109" s="154"/>
      <c r="AH1109" s="7"/>
      <c r="AI1109" s="7"/>
      <c r="AJ1109" s="7"/>
      <c r="AL1109" s="154"/>
      <c r="AM1109" s="7"/>
      <c r="AN1109" s="13"/>
      <c r="AP1109" s="7"/>
      <c r="AQ1109" s="7"/>
      <c r="AR1109" s="7"/>
      <c r="AS1109" s="7"/>
      <c r="AT1109" s="7"/>
      <c r="AU1109" s="7"/>
    </row>
    <row r="1110" spans="7:47" ht="13.5" x14ac:dyDescent="0.25">
      <c r="G1110" s="7"/>
      <c r="P1110" s="7"/>
      <c r="Q1110" s="7"/>
      <c r="V1110" s="7"/>
      <c r="W1110" s="7"/>
      <c r="X1110" s="7"/>
      <c r="Y1110" s="7"/>
      <c r="Z1110" s="7"/>
      <c r="AA1110" s="7"/>
      <c r="AB1110" s="7"/>
      <c r="AC1110" s="7"/>
      <c r="AD1110" s="7"/>
      <c r="AE1110" s="154"/>
      <c r="AF1110" s="154"/>
      <c r="AH1110" s="7"/>
      <c r="AI1110" s="7"/>
      <c r="AJ1110" s="7"/>
      <c r="AL1110" s="154"/>
      <c r="AM1110" s="7"/>
      <c r="AN1110" s="13"/>
      <c r="AP1110" s="7"/>
      <c r="AQ1110" s="7"/>
      <c r="AR1110" s="7"/>
      <c r="AS1110" s="7"/>
      <c r="AT1110" s="7"/>
      <c r="AU1110" s="7"/>
    </row>
    <row r="1111" spans="7:47" ht="13.5" x14ac:dyDescent="0.25">
      <c r="G1111" s="7"/>
      <c r="P1111" s="7"/>
      <c r="Q1111" s="7"/>
      <c r="V1111" s="7"/>
      <c r="W1111" s="7"/>
      <c r="X1111" s="7"/>
      <c r="Y1111" s="7"/>
      <c r="Z1111" s="7"/>
      <c r="AA1111" s="7"/>
      <c r="AB1111" s="7"/>
      <c r="AC1111" s="7"/>
      <c r="AD1111" s="7"/>
      <c r="AE1111" s="154"/>
      <c r="AF1111" s="154"/>
      <c r="AH1111" s="7"/>
      <c r="AI1111" s="7"/>
      <c r="AJ1111" s="7"/>
      <c r="AL1111" s="154"/>
      <c r="AM1111" s="7"/>
      <c r="AN1111" s="13"/>
      <c r="AP1111" s="7"/>
      <c r="AQ1111" s="7"/>
      <c r="AR1111" s="7"/>
      <c r="AS1111" s="7"/>
      <c r="AT1111" s="7"/>
      <c r="AU1111" s="7"/>
    </row>
    <row r="1112" spans="7:47" ht="13.5" x14ac:dyDescent="0.25">
      <c r="G1112" s="7"/>
      <c r="P1112" s="7"/>
      <c r="Q1112" s="7"/>
      <c r="V1112" s="7"/>
      <c r="W1112" s="7"/>
      <c r="X1112" s="7"/>
      <c r="Y1112" s="7"/>
      <c r="Z1112" s="7"/>
      <c r="AA1112" s="7"/>
      <c r="AB1112" s="7"/>
      <c r="AC1112" s="7"/>
      <c r="AD1112" s="7"/>
      <c r="AE1112" s="154"/>
      <c r="AF1112" s="154"/>
      <c r="AH1112" s="7"/>
      <c r="AI1112" s="7"/>
      <c r="AJ1112" s="7"/>
      <c r="AL1112" s="154"/>
      <c r="AM1112" s="7"/>
      <c r="AN1112" s="13"/>
      <c r="AP1112" s="7"/>
      <c r="AQ1112" s="7"/>
      <c r="AR1112" s="7"/>
      <c r="AS1112" s="7"/>
      <c r="AT1112" s="7"/>
      <c r="AU1112" s="7"/>
    </row>
    <row r="1113" spans="7:47" ht="13.5" x14ac:dyDescent="0.25">
      <c r="G1113" s="7"/>
      <c r="P1113" s="7"/>
      <c r="Q1113" s="7"/>
      <c r="V1113" s="7"/>
      <c r="W1113" s="7"/>
      <c r="X1113" s="7"/>
      <c r="Y1113" s="7"/>
      <c r="Z1113" s="7"/>
      <c r="AA1113" s="7"/>
      <c r="AB1113" s="7"/>
      <c r="AC1113" s="7"/>
      <c r="AD1113" s="7"/>
      <c r="AE1113" s="154"/>
      <c r="AF1113" s="154"/>
      <c r="AH1113" s="7"/>
      <c r="AI1113" s="7"/>
      <c r="AJ1113" s="7"/>
      <c r="AL1113" s="154"/>
      <c r="AM1113" s="7"/>
      <c r="AN1113" s="13"/>
      <c r="AP1113" s="7"/>
      <c r="AQ1113" s="7"/>
      <c r="AR1113" s="7"/>
      <c r="AS1113" s="7"/>
      <c r="AT1113" s="7"/>
      <c r="AU1113" s="7"/>
    </row>
    <row r="1114" spans="7:47" ht="13.5" x14ac:dyDescent="0.25">
      <c r="G1114" s="7"/>
      <c r="P1114" s="7"/>
      <c r="Q1114" s="7"/>
      <c r="V1114" s="7"/>
      <c r="W1114" s="7"/>
      <c r="X1114" s="7"/>
      <c r="Y1114" s="7"/>
      <c r="Z1114" s="7"/>
      <c r="AA1114" s="7"/>
      <c r="AB1114" s="7"/>
      <c r="AC1114" s="7"/>
      <c r="AD1114" s="7"/>
      <c r="AE1114" s="154"/>
      <c r="AF1114" s="154"/>
      <c r="AH1114" s="7"/>
      <c r="AI1114" s="7"/>
      <c r="AJ1114" s="7"/>
      <c r="AL1114" s="154"/>
      <c r="AM1114" s="7"/>
      <c r="AN1114" s="13"/>
      <c r="AP1114" s="7"/>
      <c r="AQ1114" s="7"/>
      <c r="AR1114" s="7"/>
      <c r="AS1114" s="7"/>
      <c r="AT1114" s="7"/>
      <c r="AU1114" s="7"/>
    </row>
    <row r="1115" spans="7:47" ht="13.5" x14ac:dyDescent="0.25">
      <c r="G1115" s="7"/>
      <c r="P1115" s="7"/>
      <c r="Q1115" s="7"/>
      <c r="V1115" s="7"/>
      <c r="W1115" s="7"/>
      <c r="X1115" s="7"/>
      <c r="Y1115" s="7"/>
      <c r="Z1115" s="7"/>
      <c r="AA1115" s="7"/>
      <c r="AB1115" s="7"/>
      <c r="AC1115" s="7"/>
      <c r="AD1115" s="7"/>
      <c r="AE1115" s="154"/>
      <c r="AF1115" s="154"/>
      <c r="AH1115" s="7"/>
      <c r="AI1115" s="7"/>
      <c r="AJ1115" s="7"/>
      <c r="AL1115" s="154"/>
      <c r="AM1115" s="7"/>
      <c r="AN1115" s="13"/>
      <c r="AP1115" s="7"/>
      <c r="AQ1115" s="7"/>
      <c r="AR1115" s="7"/>
      <c r="AS1115" s="7"/>
      <c r="AT1115" s="7"/>
      <c r="AU1115" s="7"/>
    </row>
    <row r="1116" spans="7:47" ht="13.5" x14ac:dyDescent="0.25">
      <c r="G1116" s="7"/>
      <c r="P1116" s="7"/>
      <c r="Q1116" s="7"/>
      <c r="V1116" s="7"/>
      <c r="W1116" s="7"/>
      <c r="X1116" s="7"/>
      <c r="Y1116" s="7"/>
      <c r="Z1116" s="7"/>
      <c r="AA1116" s="7"/>
      <c r="AB1116" s="7"/>
      <c r="AC1116" s="7"/>
      <c r="AD1116" s="7"/>
      <c r="AE1116" s="154"/>
      <c r="AF1116" s="154"/>
      <c r="AH1116" s="7"/>
      <c r="AI1116" s="7"/>
      <c r="AJ1116" s="7"/>
      <c r="AL1116" s="154"/>
      <c r="AM1116" s="7"/>
      <c r="AN1116" s="13"/>
      <c r="AP1116" s="7"/>
      <c r="AQ1116" s="7"/>
      <c r="AR1116" s="7"/>
      <c r="AS1116" s="7"/>
      <c r="AT1116" s="7"/>
      <c r="AU1116" s="7"/>
    </row>
    <row r="1117" spans="7:47" ht="13.5" x14ac:dyDescent="0.25">
      <c r="G1117" s="7"/>
      <c r="P1117" s="7"/>
      <c r="Q1117" s="7"/>
      <c r="V1117" s="7"/>
      <c r="W1117" s="7"/>
      <c r="X1117" s="7"/>
      <c r="Y1117" s="7"/>
      <c r="Z1117" s="7"/>
      <c r="AA1117" s="7"/>
      <c r="AB1117" s="7"/>
      <c r="AC1117" s="7"/>
      <c r="AD1117" s="7"/>
      <c r="AE1117" s="154"/>
      <c r="AF1117" s="154"/>
      <c r="AH1117" s="7"/>
      <c r="AI1117" s="7"/>
      <c r="AJ1117" s="7"/>
      <c r="AL1117" s="154"/>
      <c r="AM1117" s="7"/>
      <c r="AN1117" s="13"/>
      <c r="AP1117" s="7"/>
      <c r="AQ1117" s="7"/>
      <c r="AR1117" s="7"/>
      <c r="AS1117" s="7"/>
      <c r="AT1117" s="7"/>
      <c r="AU1117" s="7"/>
    </row>
    <row r="1118" spans="7:47" ht="13.5" x14ac:dyDescent="0.25">
      <c r="G1118" s="7"/>
      <c r="P1118" s="7"/>
      <c r="Q1118" s="7"/>
      <c r="V1118" s="7"/>
      <c r="W1118" s="7"/>
      <c r="X1118" s="7"/>
      <c r="Y1118" s="7"/>
      <c r="Z1118" s="7"/>
      <c r="AA1118" s="7"/>
      <c r="AB1118" s="7"/>
      <c r="AC1118" s="7"/>
      <c r="AD1118" s="7"/>
      <c r="AE1118" s="154"/>
      <c r="AF1118" s="154"/>
      <c r="AH1118" s="7"/>
      <c r="AI1118" s="7"/>
      <c r="AJ1118" s="7"/>
      <c r="AL1118" s="154"/>
      <c r="AM1118" s="7"/>
      <c r="AN1118" s="13"/>
      <c r="AP1118" s="7"/>
      <c r="AQ1118" s="7"/>
      <c r="AR1118" s="7"/>
      <c r="AS1118" s="7"/>
      <c r="AT1118" s="7"/>
      <c r="AU1118" s="7"/>
    </row>
    <row r="1119" spans="7:47" ht="13.5" x14ac:dyDescent="0.25">
      <c r="G1119" s="7"/>
      <c r="P1119" s="7"/>
      <c r="Q1119" s="7"/>
      <c r="V1119" s="7"/>
      <c r="W1119" s="7"/>
      <c r="X1119" s="7"/>
      <c r="Y1119" s="7"/>
      <c r="Z1119" s="7"/>
      <c r="AA1119" s="7"/>
      <c r="AB1119" s="7"/>
      <c r="AC1119" s="7"/>
      <c r="AD1119" s="7"/>
      <c r="AE1119" s="154"/>
      <c r="AF1119" s="154"/>
      <c r="AH1119" s="7"/>
      <c r="AI1119" s="7"/>
      <c r="AJ1119" s="7"/>
      <c r="AL1119" s="154"/>
      <c r="AM1119" s="7"/>
      <c r="AN1119" s="13"/>
      <c r="AP1119" s="7"/>
      <c r="AQ1119" s="7"/>
      <c r="AR1119" s="7"/>
      <c r="AS1119" s="7"/>
      <c r="AT1119" s="7"/>
      <c r="AU1119" s="7"/>
    </row>
    <row r="1120" spans="7:47" ht="13.5" x14ac:dyDescent="0.25">
      <c r="G1120" s="7"/>
      <c r="P1120" s="7"/>
      <c r="Q1120" s="7"/>
      <c r="V1120" s="7"/>
      <c r="W1120" s="7"/>
      <c r="X1120" s="7"/>
      <c r="Y1120" s="7"/>
      <c r="Z1120" s="7"/>
      <c r="AA1120" s="7"/>
      <c r="AB1120" s="7"/>
      <c r="AC1120" s="7"/>
      <c r="AD1120" s="7"/>
      <c r="AE1120" s="154"/>
      <c r="AF1120" s="154"/>
      <c r="AH1120" s="7"/>
      <c r="AI1120" s="7"/>
      <c r="AJ1120" s="7"/>
      <c r="AL1120" s="154"/>
      <c r="AM1120" s="7"/>
      <c r="AN1120" s="13"/>
      <c r="AP1120" s="7"/>
      <c r="AQ1120" s="7"/>
      <c r="AR1120" s="7"/>
      <c r="AS1120" s="7"/>
      <c r="AT1120" s="7"/>
      <c r="AU1120" s="7"/>
    </row>
    <row r="1121" spans="7:47" ht="13.5" x14ac:dyDescent="0.25">
      <c r="G1121" s="7"/>
      <c r="P1121" s="7"/>
      <c r="Q1121" s="7"/>
      <c r="V1121" s="7"/>
      <c r="W1121" s="7"/>
      <c r="X1121" s="7"/>
      <c r="Y1121" s="7"/>
      <c r="Z1121" s="7"/>
      <c r="AA1121" s="7"/>
      <c r="AB1121" s="7"/>
      <c r="AC1121" s="7"/>
      <c r="AD1121" s="7"/>
      <c r="AE1121" s="154"/>
      <c r="AF1121" s="154"/>
      <c r="AH1121" s="7"/>
      <c r="AI1121" s="7"/>
      <c r="AJ1121" s="7"/>
      <c r="AL1121" s="154"/>
      <c r="AM1121" s="7"/>
      <c r="AN1121" s="13"/>
      <c r="AP1121" s="7"/>
      <c r="AQ1121" s="7"/>
      <c r="AR1121" s="7"/>
      <c r="AS1121" s="7"/>
      <c r="AT1121" s="7"/>
      <c r="AU1121" s="7"/>
    </row>
    <row r="1122" spans="7:47" ht="13.5" x14ac:dyDescent="0.25">
      <c r="G1122" s="7"/>
      <c r="P1122" s="7"/>
      <c r="Q1122" s="7"/>
      <c r="V1122" s="7"/>
      <c r="W1122" s="7"/>
      <c r="X1122" s="7"/>
      <c r="Y1122" s="7"/>
      <c r="Z1122" s="7"/>
      <c r="AA1122" s="7"/>
      <c r="AB1122" s="7"/>
      <c r="AC1122" s="7"/>
      <c r="AD1122" s="7"/>
      <c r="AE1122" s="154"/>
      <c r="AF1122" s="154"/>
      <c r="AH1122" s="7"/>
      <c r="AI1122" s="7"/>
      <c r="AJ1122" s="7"/>
      <c r="AL1122" s="154"/>
      <c r="AM1122" s="7"/>
      <c r="AN1122" s="13"/>
      <c r="AP1122" s="7"/>
      <c r="AQ1122" s="7"/>
      <c r="AR1122" s="7"/>
      <c r="AS1122" s="7"/>
      <c r="AT1122" s="7"/>
      <c r="AU1122" s="7"/>
    </row>
    <row r="1123" spans="7:47" ht="13.5" x14ac:dyDescent="0.25">
      <c r="G1123" s="7"/>
      <c r="P1123" s="7"/>
      <c r="Q1123" s="7"/>
      <c r="V1123" s="7"/>
      <c r="W1123" s="7"/>
      <c r="X1123" s="7"/>
      <c r="Y1123" s="7"/>
      <c r="Z1123" s="7"/>
      <c r="AA1123" s="7"/>
      <c r="AB1123" s="7"/>
      <c r="AC1123" s="7"/>
      <c r="AD1123" s="7"/>
      <c r="AE1123" s="154"/>
      <c r="AF1123" s="154"/>
      <c r="AH1123" s="7"/>
      <c r="AI1123" s="7"/>
      <c r="AJ1123" s="7"/>
      <c r="AL1123" s="154"/>
      <c r="AM1123" s="7"/>
      <c r="AN1123" s="13"/>
      <c r="AP1123" s="7"/>
      <c r="AQ1123" s="7"/>
      <c r="AR1123" s="7"/>
      <c r="AS1123" s="7"/>
      <c r="AT1123" s="7"/>
      <c r="AU1123" s="7"/>
    </row>
    <row r="1124" spans="7:47" ht="13.5" x14ac:dyDescent="0.25">
      <c r="G1124" s="7"/>
      <c r="P1124" s="7"/>
      <c r="Q1124" s="7"/>
      <c r="V1124" s="7"/>
      <c r="W1124" s="7"/>
      <c r="X1124" s="7"/>
      <c r="Y1124" s="7"/>
      <c r="Z1124" s="7"/>
      <c r="AA1124" s="7"/>
      <c r="AB1124" s="7"/>
      <c r="AC1124" s="7"/>
      <c r="AD1124" s="7"/>
      <c r="AE1124" s="154"/>
      <c r="AF1124" s="154"/>
      <c r="AH1124" s="7"/>
      <c r="AI1124" s="7"/>
      <c r="AJ1124" s="7"/>
      <c r="AL1124" s="154"/>
      <c r="AM1124" s="7"/>
      <c r="AN1124" s="13"/>
      <c r="AP1124" s="7"/>
      <c r="AQ1124" s="7"/>
      <c r="AR1124" s="7"/>
      <c r="AS1124" s="7"/>
      <c r="AT1124" s="7"/>
      <c r="AU1124" s="7"/>
    </row>
    <row r="1125" spans="7:47" ht="13.5" x14ac:dyDescent="0.25">
      <c r="G1125" s="7"/>
      <c r="P1125" s="7"/>
      <c r="Q1125" s="7"/>
      <c r="V1125" s="7"/>
      <c r="W1125" s="7"/>
      <c r="X1125" s="7"/>
      <c r="Y1125" s="7"/>
      <c r="Z1125" s="7"/>
      <c r="AA1125" s="7"/>
      <c r="AB1125" s="7"/>
      <c r="AC1125" s="7"/>
      <c r="AD1125" s="7"/>
      <c r="AE1125" s="154"/>
      <c r="AF1125" s="154"/>
      <c r="AH1125" s="7"/>
      <c r="AI1125" s="7"/>
      <c r="AJ1125" s="7"/>
      <c r="AL1125" s="154"/>
      <c r="AM1125" s="7"/>
      <c r="AN1125" s="13"/>
      <c r="AP1125" s="7"/>
      <c r="AQ1125" s="7"/>
      <c r="AR1125" s="7"/>
      <c r="AS1125" s="7"/>
      <c r="AT1125" s="7"/>
      <c r="AU1125" s="7"/>
    </row>
    <row r="1126" spans="7:47" ht="13.5" x14ac:dyDescent="0.25">
      <c r="G1126" s="7"/>
      <c r="P1126" s="7"/>
      <c r="Q1126" s="7"/>
      <c r="V1126" s="7"/>
      <c r="W1126" s="7"/>
      <c r="X1126" s="7"/>
      <c r="Y1126" s="7"/>
      <c r="Z1126" s="7"/>
      <c r="AA1126" s="7"/>
      <c r="AB1126" s="7"/>
      <c r="AC1126" s="7"/>
      <c r="AD1126" s="7"/>
      <c r="AE1126" s="154"/>
      <c r="AF1126" s="154"/>
      <c r="AH1126" s="7"/>
      <c r="AI1126" s="7"/>
      <c r="AJ1126" s="7"/>
      <c r="AL1126" s="154"/>
      <c r="AM1126" s="7"/>
      <c r="AN1126" s="13"/>
      <c r="AP1126" s="7"/>
      <c r="AQ1126" s="7"/>
      <c r="AR1126" s="7"/>
      <c r="AS1126" s="7"/>
      <c r="AT1126" s="7"/>
      <c r="AU1126" s="7"/>
    </row>
    <row r="1127" spans="7:47" ht="13.5" x14ac:dyDescent="0.25">
      <c r="G1127" s="7"/>
      <c r="P1127" s="7"/>
      <c r="Q1127" s="7"/>
      <c r="V1127" s="7"/>
      <c r="W1127" s="7"/>
      <c r="X1127" s="7"/>
      <c r="Y1127" s="7"/>
      <c r="Z1127" s="7"/>
      <c r="AA1127" s="7"/>
      <c r="AB1127" s="7"/>
      <c r="AC1127" s="7"/>
      <c r="AD1127" s="7"/>
      <c r="AE1127" s="154"/>
      <c r="AF1127" s="154"/>
      <c r="AH1127" s="7"/>
      <c r="AI1127" s="7"/>
      <c r="AJ1127" s="7"/>
      <c r="AL1127" s="154"/>
      <c r="AM1127" s="7"/>
      <c r="AN1127" s="13"/>
      <c r="AP1127" s="7"/>
      <c r="AQ1127" s="7"/>
      <c r="AR1127" s="7"/>
      <c r="AS1127" s="7"/>
      <c r="AT1127" s="7"/>
      <c r="AU1127" s="7"/>
    </row>
    <row r="1128" spans="7:47" ht="13.5" x14ac:dyDescent="0.25">
      <c r="G1128" s="7"/>
      <c r="P1128" s="7"/>
      <c r="Q1128" s="7"/>
      <c r="V1128" s="7"/>
      <c r="W1128" s="7"/>
      <c r="X1128" s="7"/>
      <c r="Y1128" s="7"/>
      <c r="Z1128" s="7"/>
      <c r="AA1128" s="7"/>
      <c r="AB1128" s="7"/>
      <c r="AC1128" s="7"/>
      <c r="AD1128" s="7"/>
      <c r="AE1128" s="154"/>
      <c r="AF1128" s="154"/>
      <c r="AH1128" s="7"/>
      <c r="AI1128" s="7"/>
      <c r="AJ1128" s="7"/>
      <c r="AL1128" s="154"/>
      <c r="AM1128" s="7"/>
      <c r="AN1128" s="13"/>
      <c r="AP1128" s="7"/>
      <c r="AQ1128" s="7"/>
      <c r="AR1128" s="7"/>
      <c r="AS1128" s="7"/>
      <c r="AT1128" s="7"/>
      <c r="AU1128" s="7"/>
    </row>
    <row r="1129" spans="7:47" ht="13.5" x14ac:dyDescent="0.25">
      <c r="G1129" s="7"/>
      <c r="P1129" s="7"/>
      <c r="Q1129" s="7"/>
      <c r="V1129" s="7"/>
      <c r="W1129" s="7"/>
      <c r="X1129" s="7"/>
      <c r="Y1129" s="7"/>
      <c r="Z1129" s="7"/>
      <c r="AA1129" s="7"/>
      <c r="AB1129" s="7"/>
      <c r="AC1129" s="7"/>
      <c r="AD1129" s="7"/>
      <c r="AE1129" s="154"/>
      <c r="AF1129" s="154"/>
      <c r="AH1129" s="7"/>
      <c r="AI1129" s="7"/>
      <c r="AJ1129" s="7"/>
      <c r="AL1129" s="154"/>
      <c r="AM1129" s="7"/>
      <c r="AN1129" s="13"/>
      <c r="AP1129" s="7"/>
      <c r="AQ1129" s="7"/>
      <c r="AR1129" s="7"/>
      <c r="AS1129" s="7"/>
      <c r="AT1129" s="7"/>
      <c r="AU1129" s="7"/>
    </row>
    <row r="1130" spans="7:47" ht="13.5" x14ac:dyDescent="0.25">
      <c r="G1130" s="7"/>
      <c r="P1130" s="7"/>
      <c r="Q1130" s="7"/>
      <c r="V1130" s="7"/>
      <c r="W1130" s="7"/>
      <c r="X1130" s="7"/>
      <c r="Y1130" s="7"/>
      <c r="Z1130" s="7"/>
      <c r="AA1130" s="7"/>
      <c r="AB1130" s="7"/>
      <c r="AC1130" s="7"/>
      <c r="AD1130" s="7"/>
      <c r="AE1130" s="154"/>
      <c r="AF1130" s="154"/>
      <c r="AH1130" s="7"/>
      <c r="AI1130" s="7"/>
      <c r="AJ1130" s="7"/>
      <c r="AL1130" s="154"/>
      <c r="AM1130" s="7"/>
      <c r="AN1130" s="13"/>
      <c r="AP1130" s="7"/>
      <c r="AQ1130" s="7"/>
      <c r="AR1130" s="7"/>
      <c r="AS1130" s="7"/>
      <c r="AT1130" s="7"/>
      <c r="AU1130" s="7"/>
    </row>
    <row r="1131" spans="7:47" ht="13.5" x14ac:dyDescent="0.25">
      <c r="G1131" s="7"/>
      <c r="P1131" s="7"/>
      <c r="Q1131" s="7"/>
      <c r="V1131" s="7"/>
      <c r="W1131" s="7"/>
      <c r="X1131" s="7"/>
      <c r="Y1131" s="7"/>
      <c r="Z1131" s="7"/>
      <c r="AA1131" s="7"/>
      <c r="AB1131" s="7"/>
      <c r="AC1131" s="7"/>
      <c r="AD1131" s="7"/>
      <c r="AE1131" s="154"/>
      <c r="AF1131" s="154"/>
      <c r="AH1131" s="7"/>
      <c r="AI1131" s="7"/>
      <c r="AJ1131" s="7"/>
      <c r="AL1131" s="154"/>
      <c r="AM1131" s="7"/>
      <c r="AN1131" s="13"/>
      <c r="AP1131" s="7"/>
      <c r="AQ1131" s="7"/>
      <c r="AR1131" s="7"/>
      <c r="AS1131" s="7"/>
      <c r="AT1131" s="7"/>
      <c r="AU1131" s="7"/>
    </row>
    <row r="1132" spans="7:47" ht="13.5" x14ac:dyDescent="0.25">
      <c r="G1132" s="7"/>
      <c r="P1132" s="7"/>
      <c r="Q1132" s="7"/>
      <c r="V1132" s="7"/>
      <c r="W1132" s="7"/>
      <c r="X1132" s="7"/>
      <c r="Y1132" s="7"/>
      <c r="Z1132" s="7"/>
      <c r="AA1132" s="7"/>
      <c r="AB1132" s="7"/>
      <c r="AC1132" s="7"/>
      <c r="AD1132" s="7"/>
      <c r="AE1132" s="154"/>
      <c r="AF1132" s="154"/>
      <c r="AH1132" s="7"/>
      <c r="AI1132" s="7"/>
      <c r="AJ1132" s="7"/>
      <c r="AL1132" s="154"/>
      <c r="AM1132" s="7"/>
      <c r="AN1132" s="13"/>
      <c r="AP1132" s="7"/>
      <c r="AQ1132" s="7"/>
      <c r="AR1132" s="7"/>
      <c r="AS1132" s="7"/>
      <c r="AT1132" s="7"/>
      <c r="AU1132" s="7"/>
    </row>
    <row r="1133" spans="7:47" ht="13.5" x14ac:dyDescent="0.25">
      <c r="G1133" s="7"/>
      <c r="P1133" s="7"/>
      <c r="Q1133" s="7"/>
      <c r="V1133" s="7"/>
      <c r="W1133" s="7"/>
      <c r="X1133" s="7"/>
      <c r="Y1133" s="7"/>
      <c r="Z1133" s="7"/>
      <c r="AA1133" s="7"/>
      <c r="AB1133" s="7"/>
      <c r="AC1133" s="7"/>
      <c r="AD1133" s="7"/>
      <c r="AE1133" s="154"/>
      <c r="AF1133" s="154"/>
      <c r="AH1133" s="7"/>
      <c r="AI1133" s="7"/>
      <c r="AJ1133" s="7"/>
      <c r="AL1133" s="154"/>
      <c r="AM1133" s="7"/>
      <c r="AN1133" s="13"/>
      <c r="AP1133" s="7"/>
      <c r="AQ1133" s="7"/>
      <c r="AR1133" s="7"/>
      <c r="AS1133" s="7"/>
      <c r="AT1133" s="7"/>
      <c r="AU1133" s="7"/>
    </row>
    <row r="1134" spans="7:47" ht="13.5" x14ac:dyDescent="0.25">
      <c r="G1134" s="7"/>
      <c r="P1134" s="7"/>
      <c r="Q1134" s="7"/>
      <c r="V1134" s="7"/>
      <c r="W1134" s="7"/>
      <c r="X1134" s="7"/>
      <c r="Y1134" s="7"/>
      <c r="Z1134" s="7"/>
      <c r="AA1134" s="7"/>
      <c r="AB1134" s="7"/>
      <c r="AC1134" s="7"/>
      <c r="AD1134" s="7"/>
      <c r="AE1134" s="154"/>
      <c r="AF1134" s="154"/>
      <c r="AH1134" s="7"/>
      <c r="AI1134" s="7"/>
      <c r="AJ1134" s="7"/>
      <c r="AL1134" s="154"/>
      <c r="AM1134" s="7"/>
      <c r="AN1134" s="13"/>
      <c r="AP1134" s="7"/>
      <c r="AQ1134" s="7"/>
      <c r="AR1134" s="7"/>
      <c r="AS1134" s="7"/>
      <c r="AT1134" s="7"/>
      <c r="AU1134" s="7"/>
    </row>
    <row r="1135" spans="7:47" ht="13.5" x14ac:dyDescent="0.25">
      <c r="G1135" s="7"/>
      <c r="P1135" s="7"/>
      <c r="Q1135" s="7"/>
      <c r="V1135" s="7"/>
      <c r="W1135" s="7"/>
      <c r="X1135" s="7"/>
      <c r="Y1135" s="7"/>
      <c r="Z1135" s="7"/>
      <c r="AA1135" s="7"/>
      <c r="AB1135" s="7"/>
      <c r="AC1135" s="7"/>
      <c r="AD1135" s="7"/>
      <c r="AE1135" s="154"/>
      <c r="AF1135" s="154"/>
      <c r="AH1135" s="7"/>
      <c r="AI1135" s="7"/>
      <c r="AJ1135" s="7"/>
      <c r="AL1135" s="154"/>
      <c r="AM1135" s="7"/>
      <c r="AN1135" s="13"/>
      <c r="AP1135" s="7"/>
      <c r="AQ1135" s="7"/>
      <c r="AR1135" s="7"/>
      <c r="AS1135" s="7"/>
      <c r="AT1135" s="7"/>
      <c r="AU1135" s="7"/>
    </row>
    <row r="1136" spans="7:47" ht="13.5" x14ac:dyDescent="0.25">
      <c r="G1136" s="7"/>
      <c r="P1136" s="7"/>
      <c r="Q1136" s="7"/>
      <c r="V1136" s="7"/>
      <c r="W1136" s="7"/>
      <c r="X1136" s="7"/>
      <c r="Y1136" s="7"/>
      <c r="Z1136" s="7"/>
      <c r="AA1136" s="7"/>
      <c r="AB1136" s="7"/>
      <c r="AC1136" s="7"/>
      <c r="AD1136" s="7"/>
      <c r="AE1136" s="154"/>
      <c r="AF1136" s="154"/>
      <c r="AH1136" s="7"/>
      <c r="AI1136" s="7"/>
      <c r="AJ1136" s="7"/>
      <c r="AL1136" s="154"/>
      <c r="AM1136" s="7"/>
      <c r="AN1136" s="13"/>
      <c r="AP1136" s="7"/>
      <c r="AQ1136" s="7"/>
      <c r="AR1136" s="7"/>
      <c r="AS1136" s="7"/>
      <c r="AT1136" s="7"/>
      <c r="AU1136" s="7"/>
    </row>
    <row r="1137" spans="7:47" ht="13.5" x14ac:dyDescent="0.25">
      <c r="G1137" s="7"/>
      <c r="P1137" s="7"/>
      <c r="Q1137" s="7"/>
      <c r="V1137" s="7"/>
      <c r="W1137" s="7"/>
      <c r="X1137" s="7"/>
      <c r="Y1137" s="7"/>
      <c r="Z1137" s="7"/>
      <c r="AA1137" s="7"/>
      <c r="AB1137" s="7"/>
      <c r="AC1137" s="7"/>
      <c r="AD1137" s="7"/>
      <c r="AE1137" s="154"/>
      <c r="AF1137" s="154"/>
      <c r="AH1137" s="7"/>
      <c r="AI1137" s="7"/>
      <c r="AJ1137" s="7"/>
      <c r="AL1137" s="154"/>
      <c r="AM1137" s="7"/>
      <c r="AN1137" s="13"/>
      <c r="AP1137" s="7"/>
      <c r="AQ1137" s="7"/>
      <c r="AR1137" s="7"/>
      <c r="AS1137" s="7"/>
      <c r="AT1137" s="7"/>
      <c r="AU1137" s="7"/>
    </row>
    <row r="1138" spans="7:47" ht="13.5" x14ac:dyDescent="0.25">
      <c r="G1138" s="7"/>
      <c r="P1138" s="7"/>
      <c r="Q1138" s="7"/>
      <c r="V1138" s="7"/>
      <c r="W1138" s="7"/>
      <c r="X1138" s="7"/>
      <c r="Y1138" s="7"/>
      <c r="Z1138" s="7"/>
      <c r="AA1138" s="7"/>
      <c r="AB1138" s="7"/>
      <c r="AC1138" s="7"/>
      <c r="AD1138" s="7"/>
      <c r="AE1138" s="154"/>
      <c r="AF1138" s="154"/>
      <c r="AH1138" s="7"/>
      <c r="AI1138" s="7"/>
      <c r="AJ1138" s="7"/>
      <c r="AL1138" s="154"/>
      <c r="AM1138" s="7"/>
      <c r="AN1138" s="13"/>
      <c r="AP1138" s="7"/>
      <c r="AQ1138" s="7"/>
      <c r="AR1138" s="7"/>
      <c r="AS1138" s="7"/>
      <c r="AT1138" s="7"/>
      <c r="AU1138" s="7"/>
    </row>
    <row r="1139" spans="7:47" ht="13.5" x14ac:dyDescent="0.25">
      <c r="G1139" s="7"/>
      <c r="P1139" s="7"/>
      <c r="Q1139" s="7"/>
      <c r="V1139" s="7"/>
      <c r="W1139" s="7"/>
      <c r="X1139" s="7"/>
      <c r="Y1139" s="7"/>
      <c r="Z1139" s="7"/>
      <c r="AA1139" s="7"/>
      <c r="AB1139" s="7"/>
      <c r="AC1139" s="7"/>
      <c r="AD1139" s="7"/>
      <c r="AE1139" s="154"/>
      <c r="AF1139" s="154"/>
      <c r="AH1139" s="7"/>
      <c r="AI1139" s="7"/>
      <c r="AJ1139" s="7"/>
      <c r="AL1139" s="154"/>
      <c r="AM1139" s="7"/>
      <c r="AN1139" s="13"/>
      <c r="AP1139" s="7"/>
      <c r="AQ1139" s="7"/>
      <c r="AR1139" s="7"/>
      <c r="AS1139" s="7"/>
      <c r="AT1139" s="7"/>
      <c r="AU1139" s="7"/>
    </row>
    <row r="1140" spans="7:47" ht="13.5" x14ac:dyDescent="0.25">
      <c r="G1140" s="7"/>
      <c r="P1140" s="7"/>
      <c r="Q1140" s="7"/>
      <c r="V1140" s="7"/>
      <c r="W1140" s="7"/>
      <c r="X1140" s="7"/>
      <c r="Y1140" s="7"/>
      <c r="Z1140" s="7"/>
      <c r="AA1140" s="7"/>
      <c r="AB1140" s="7"/>
      <c r="AC1140" s="7"/>
      <c r="AD1140" s="7"/>
      <c r="AE1140" s="154"/>
      <c r="AF1140" s="154"/>
      <c r="AH1140" s="7"/>
      <c r="AI1140" s="7"/>
      <c r="AJ1140" s="7"/>
      <c r="AL1140" s="154"/>
      <c r="AM1140" s="7"/>
      <c r="AN1140" s="13"/>
      <c r="AP1140" s="7"/>
      <c r="AQ1140" s="7"/>
      <c r="AR1140" s="7"/>
      <c r="AS1140" s="7"/>
      <c r="AT1140" s="7"/>
      <c r="AU1140" s="7"/>
    </row>
    <row r="1141" spans="7:47" ht="13.5" x14ac:dyDescent="0.25">
      <c r="G1141" s="7"/>
      <c r="P1141" s="7"/>
      <c r="Q1141" s="7"/>
      <c r="V1141" s="7"/>
      <c r="W1141" s="7"/>
      <c r="X1141" s="7"/>
      <c r="Y1141" s="7"/>
      <c r="Z1141" s="7"/>
      <c r="AA1141" s="7"/>
      <c r="AB1141" s="7"/>
      <c r="AC1141" s="7"/>
      <c r="AD1141" s="7"/>
      <c r="AE1141" s="154"/>
      <c r="AF1141" s="154"/>
      <c r="AH1141" s="7"/>
      <c r="AI1141" s="7"/>
      <c r="AJ1141" s="7"/>
      <c r="AL1141" s="154"/>
      <c r="AM1141" s="7"/>
      <c r="AN1141" s="13"/>
      <c r="AP1141" s="7"/>
      <c r="AQ1141" s="7"/>
      <c r="AR1141" s="7"/>
      <c r="AS1141" s="7"/>
      <c r="AT1141" s="7"/>
      <c r="AU1141" s="7"/>
    </row>
    <row r="1142" spans="7:47" ht="13.5" x14ac:dyDescent="0.25">
      <c r="G1142" s="7"/>
      <c r="P1142" s="7"/>
      <c r="Q1142" s="7"/>
      <c r="V1142" s="7"/>
      <c r="W1142" s="7"/>
      <c r="X1142" s="7"/>
      <c r="Y1142" s="7"/>
      <c r="Z1142" s="7"/>
      <c r="AA1142" s="7"/>
      <c r="AB1142" s="7"/>
      <c r="AC1142" s="7"/>
      <c r="AD1142" s="7"/>
      <c r="AE1142" s="154"/>
      <c r="AF1142" s="154"/>
      <c r="AH1142" s="7"/>
      <c r="AI1142" s="7"/>
      <c r="AJ1142" s="7"/>
      <c r="AL1142" s="154"/>
      <c r="AM1142" s="7"/>
      <c r="AN1142" s="13"/>
      <c r="AP1142" s="7"/>
      <c r="AQ1142" s="7"/>
      <c r="AR1142" s="7"/>
      <c r="AS1142" s="7"/>
      <c r="AT1142" s="7"/>
      <c r="AU1142" s="7"/>
    </row>
    <row r="1143" spans="7:47" ht="13.5" x14ac:dyDescent="0.25">
      <c r="G1143" s="7"/>
      <c r="P1143" s="7"/>
      <c r="Q1143" s="7"/>
      <c r="V1143" s="7"/>
      <c r="W1143" s="7"/>
      <c r="X1143" s="7"/>
      <c r="Y1143" s="7"/>
      <c r="Z1143" s="7"/>
      <c r="AA1143" s="7"/>
      <c r="AB1143" s="7"/>
      <c r="AC1143" s="7"/>
      <c r="AD1143" s="7"/>
      <c r="AE1143" s="154"/>
      <c r="AF1143" s="154"/>
      <c r="AH1143" s="7"/>
      <c r="AI1143" s="7"/>
      <c r="AJ1143" s="7"/>
      <c r="AL1143" s="154"/>
      <c r="AM1143" s="7"/>
      <c r="AN1143" s="13"/>
      <c r="AP1143" s="7"/>
      <c r="AQ1143" s="7"/>
      <c r="AR1143" s="7"/>
      <c r="AS1143" s="7"/>
      <c r="AT1143" s="7"/>
      <c r="AU1143" s="7"/>
    </row>
    <row r="1144" spans="7:47" ht="13.5" x14ac:dyDescent="0.25">
      <c r="G1144" s="7"/>
      <c r="P1144" s="7"/>
      <c r="Q1144" s="7"/>
      <c r="V1144" s="7"/>
      <c r="W1144" s="7"/>
      <c r="X1144" s="7"/>
      <c r="Y1144" s="7"/>
      <c r="Z1144" s="7"/>
      <c r="AA1144" s="7"/>
      <c r="AB1144" s="7"/>
      <c r="AC1144" s="7"/>
      <c r="AD1144" s="7"/>
      <c r="AE1144" s="154"/>
      <c r="AF1144" s="154"/>
      <c r="AH1144" s="7"/>
      <c r="AI1144" s="7"/>
      <c r="AJ1144" s="7"/>
      <c r="AL1144" s="154"/>
      <c r="AM1144" s="7"/>
      <c r="AN1144" s="13"/>
      <c r="AP1144" s="7"/>
      <c r="AQ1144" s="7"/>
      <c r="AR1144" s="7"/>
      <c r="AS1144" s="7"/>
      <c r="AT1144" s="7"/>
      <c r="AU1144" s="7"/>
    </row>
    <row r="1145" spans="7:47" ht="13.5" x14ac:dyDescent="0.25">
      <c r="G1145" s="7"/>
      <c r="P1145" s="7"/>
      <c r="Q1145" s="7"/>
      <c r="V1145" s="7"/>
      <c r="W1145" s="7"/>
      <c r="X1145" s="7"/>
      <c r="Y1145" s="7"/>
      <c r="Z1145" s="7"/>
      <c r="AA1145" s="7"/>
      <c r="AB1145" s="7"/>
      <c r="AC1145" s="7"/>
      <c r="AD1145" s="7"/>
      <c r="AE1145" s="154"/>
      <c r="AF1145" s="154"/>
      <c r="AH1145" s="7"/>
      <c r="AI1145" s="7"/>
      <c r="AJ1145" s="7"/>
      <c r="AL1145" s="154"/>
      <c r="AM1145" s="7"/>
      <c r="AN1145" s="13"/>
      <c r="AP1145" s="7"/>
      <c r="AQ1145" s="7"/>
      <c r="AR1145" s="7"/>
      <c r="AS1145" s="7"/>
      <c r="AT1145" s="7"/>
      <c r="AU1145" s="7"/>
    </row>
    <row r="1146" spans="7:47" ht="13.5" x14ac:dyDescent="0.25">
      <c r="G1146" s="7"/>
      <c r="P1146" s="7"/>
      <c r="Q1146" s="7"/>
      <c r="V1146" s="7"/>
      <c r="W1146" s="7"/>
      <c r="X1146" s="7"/>
      <c r="Y1146" s="7"/>
      <c r="Z1146" s="7"/>
      <c r="AA1146" s="7"/>
      <c r="AB1146" s="7"/>
      <c r="AC1146" s="7"/>
      <c r="AD1146" s="7"/>
      <c r="AE1146" s="154"/>
      <c r="AF1146" s="154"/>
      <c r="AH1146" s="7"/>
      <c r="AI1146" s="7"/>
      <c r="AJ1146" s="7"/>
      <c r="AL1146" s="154"/>
      <c r="AM1146" s="7"/>
      <c r="AN1146" s="13"/>
      <c r="AP1146" s="7"/>
      <c r="AQ1146" s="7"/>
      <c r="AR1146" s="7"/>
      <c r="AS1146" s="7"/>
      <c r="AT1146" s="7"/>
      <c r="AU1146" s="7"/>
    </row>
    <row r="1147" spans="7:47" ht="13.5" x14ac:dyDescent="0.25">
      <c r="G1147" s="7"/>
      <c r="P1147" s="7"/>
      <c r="Q1147" s="7"/>
      <c r="V1147" s="7"/>
      <c r="W1147" s="7"/>
      <c r="X1147" s="7"/>
      <c r="Y1147" s="7"/>
      <c r="Z1147" s="7"/>
      <c r="AA1147" s="7"/>
      <c r="AB1147" s="7"/>
      <c r="AC1147" s="7"/>
      <c r="AD1147" s="7"/>
      <c r="AE1147" s="154"/>
      <c r="AF1147" s="154"/>
      <c r="AH1147" s="7"/>
      <c r="AI1147" s="7"/>
      <c r="AJ1147" s="7"/>
      <c r="AL1147" s="154"/>
      <c r="AM1147" s="7"/>
      <c r="AN1147" s="13"/>
      <c r="AP1147" s="7"/>
      <c r="AQ1147" s="7"/>
      <c r="AR1147" s="7"/>
      <c r="AS1147" s="7"/>
      <c r="AT1147" s="7"/>
      <c r="AU1147" s="7"/>
    </row>
    <row r="1148" spans="7:47" ht="13.5" x14ac:dyDescent="0.25">
      <c r="G1148" s="7"/>
      <c r="P1148" s="7"/>
      <c r="Q1148" s="7"/>
      <c r="V1148" s="7"/>
      <c r="W1148" s="7"/>
      <c r="X1148" s="7"/>
      <c r="Y1148" s="7"/>
      <c r="Z1148" s="7"/>
      <c r="AA1148" s="7"/>
      <c r="AB1148" s="7"/>
      <c r="AC1148" s="7"/>
      <c r="AD1148" s="7"/>
      <c r="AE1148" s="154"/>
      <c r="AF1148" s="154"/>
      <c r="AH1148" s="7"/>
      <c r="AI1148" s="7"/>
      <c r="AJ1148" s="7"/>
      <c r="AL1148" s="154"/>
      <c r="AM1148" s="7"/>
      <c r="AN1148" s="13"/>
      <c r="AP1148" s="7"/>
      <c r="AQ1148" s="7"/>
      <c r="AR1148" s="7"/>
      <c r="AS1148" s="7"/>
      <c r="AT1148" s="7"/>
      <c r="AU1148" s="7"/>
    </row>
    <row r="1149" spans="7:47" ht="13.5" x14ac:dyDescent="0.25">
      <c r="G1149" s="7"/>
      <c r="P1149" s="7"/>
      <c r="Q1149" s="7"/>
      <c r="V1149" s="7"/>
      <c r="W1149" s="7"/>
      <c r="X1149" s="7"/>
      <c r="Y1149" s="7"/>
      <c r="Z1149" s="7"/>
      <c r="AA1149" s="7"/>
      <c r="AB1149" s="7"/>
      <c r="AC1149" s="7"/>
      <c r="AD1149" s="7"/>
      <c r="AE1149" s="154"/>
      <c r="AF1149" s="154"/>
      <c r="AH1149" s="7"/>
      <c r="AI1149" s="7"/>
      <c r="AJ1149" s="7"/>
      <c r="AL1149" s="154"/>
      <c r="AM1149" s="7"/>
      <c r="AN1149" s="13"/>
      <c r="AP1149" s="7"/>
      <c r="AQ1149" s="7"/>
      <c r="AR1149" s="7"/>
      <c r="AS1149" s="7"/>
      <c r="AT1149" s="7"/>
      <c r="AU1149" s="7"/>
    </row>
    <row r="1150" spans="7:47" ht="13.5" x14ac:dyDescent="0.25">
      <c r="G1150" s="7"/>
      <c r="P1150" s="7"/>
      <c r="Q1150" s="7"/>
      <c r="V1150" s="7"/>
      <c r="W1150" s="7"/>
      <c r="X1150" s="7"/>
      <c r="Y1150" s="7"/>
      <c r="Z1150" s="7"/>
      <c r="AA1150" s="7"/>
      <c r="AB1150" s="7"/>
      <c r="AC1150" s="7"/>
      <c r="AD1150" s="7"/>
      <c r="AE1150" s="154"/>
      <c r="AF1150" s="154"/>
      <c r="AH1150" s="7"/>
      <c r="AI1150" s="7"/>
      <c r="AJ1150" s="7"/>
      <c r="AL1150" s="154"/>
      <c r="AM1150" s="7"/>
      <c r="AN1150" s="13"/>
      <c r="AP1150" s="7"/>
      <c r="AQ1150" s="7"/>
      <c r="AR1150" s="7"/>
      <c r="AS1150" s="7"/>
      <c r="AT1150" s="7"/>
      <c r="AU1150" s="7"/>
    </row>
    <row r="1151" spans="7:47" ht="13.5" x14ac:dyDescent="0.25">
      <c r="G1151" s="7"/>
      <c r="P1151" s="7"/>
      <c r="Q1151" s="7"/>
      <c r="V1151" s="7"/>
      <c r="W1151" s="7"/>
      <c r="X1151" s="7"/>
      <c r="Y1151" s="7"/>
      <c r="Z1151" s="7"/>
      <c r="AA1151" s="7"/>
      <c r="AB1151" s="7"/>
      <c r="AC1151" s="7"/>
      <c r="AD1151" s="7"/>
      <c r="AE1151" s="154"/>
      <c r="AF1151" s="154"/>
      <c r="AH1151" s="7"/>
      <c r="AI1151" s="7"/>
      <c r="AJ1151" s="7"/>
      <c r="AL1151" s="154"/>
      <c r="AM1151" s="7"/>
      <c r="AN1151" s="13"/>
      <c r="AP1151" s="7"/>
      <c r="AQ1151" s="7"/>
      <c r="AR1151" s="7"/>
      <c r="AS1151" s="7"/>
      <c r="AT1151" s="7"/>
      <c r="AU1151" s="7"/>
    </row>
    <row r="1152" spans="7:47" ht="13.5" x14ac:dyDescent="0.25">
      <c r="G1152" s="7"/>
      <c r="P1152" s="7"/>
      <c r="Q1152" s="7"/>
      <c r="V1152" s="7"/>
      <c r="W1152" s="7"/>
      <c r="X1152" s="7"/>
      <c r="Y1152" s="7"/>
      <c r="Z1152" s="7"/>
      <c r="AA1152" s="7"/>
      <c r="AB1152" s="7"/>
      <c r="AC1152" s="7"/>
      <c r="AD1152" s="7"/>
      <c r="AE1152" s="154"/>
      <c r="AF1152" s="154"/>
      <c r="AH1152" s="7"/>
      <c r="AI1152" s="7"/>
      <c r="AJ1152" s="7"/>
      <c r="AL1152" s="154"/>
      <c r="AM1152" s="7"/>
      <c r="AN1152" s="13"/>
      <c r="AP1152" s="7"/>
      <c r="AQ1152" s="7"/>
      <c r="AR1152" s="7"/>
      <c r="AS1152" s="7"/>
      <c r="AT1152" s="7"/>
      <c r="AU1152" s="7"/>
    </row>
    <row r="1153" spans="7:47" ht="13.5" x14ac:dyDescent="0.25">
      <c r="G1153" s="7"/>
      <c r="P1153" s="7"/>
      <c r="Q1153" s="7"/>
      <c r="V1153" s="7"/>
      <c r="W1153" s="7"/>
      <c r="X1153" s="7"/>
      <c r="Y1153" s="7"/>
      <c r="Z1153" s="7"/>
      <c r="AA1153" s="7"/>
      <c r="AB1153" s="7"/>
      <c r="AC1153" s="7"/>
      <c r="AD1153" s="7"/>
      <c r="AE1153" s="154"/>
      <c r="AF1153" s="154"/>
      <c r="AH1153" s="7"/>
      <c r="AI1153" s="7"/>
      <c r="AJ1153" s="7"/>
      <c r="AL1153" s="154"/>
      <c r="AM1153" s="7"/>
      <c r="AN1153" s="13"/>
      <c r="AP1153" s="7"/>
      <c r="AQ1153" s="7"/>
      <c r="AR1153" s="7"/>
      <c r="AS1153" s="7"/>
      <c r="AT1153" s="7"/>
      <c r="AU1153" s="7"/>
    </row>
    <row r="1154" spans="7:47" ht="13.5" x14ac:dyDescent="0.25">
      <c r="G1154" s="7"/>
      <c r="P1154" s="7"/>
      <c r="Q1154" s="7"/>
      <c r="V1154" s="7"/>
      <c r="W1154" s="7"/>
      <c r="X1154" s="7"/>
      <c r="Y1154" s="7"/>
      <c r="Z1154" s="7"/>
      <c r="AA1154" s="7"/>
      <c r="AB1154" s="7"/>
      <c r="AC1154" s="7"/>
      <c r="AD1154" s="7"/>
      <c r="AE1154" s="154"/>
      <c r="AF1154" s="154"/>
      <c r="AH1154" s="7"/>
      <c r="AI1154" s="7"/>
      <c r="AJ1154" s="7"/>
      <c r="AL1154" s="154"/>
      <c r="AM1154" s="7"/>
      <c r="AN1154" s="13"/>
      <c r="AP1154" s="7"/>
      <c r="AQ1154" s="7"/>
      <c r="AR1154" s="7"/>
      <c r="AS1154" s="7"/>
      <c r="AT1154" s="7"/>
      <c r="AU1154" s="7"/>
    </row>
    <row r="1155" spans="7:47" ht="13.5" x14ac:dyDescent="0.25">
      <c r="G1155" s="7"/>
      <c r="P1155" s="7"/>
      <c r="Q1155" s="7"/>
      <c r="V1155" s="7"/>
      <c r="W1155" s="7"/>
      <c r="X1155" s="7"/>
      <c r="Y1155" s="7"/>
      <c r="Z1155" s="7"/>
      <c r="AA1155" s="7"/>
      <c r="AB1155" s="7"/>
      <c r="AC1155" s="7"/>
      <c r="AD1155" s="7"/>
      <c r="AE1155" s="154"/>
      <c r="AF1155" s="154"/>
      <c r="AH1155" s="7"/>
      <c r="AI1155" s="7"/>
      <c r="AJ1155" s="7"/>
      <c r="AL1155" s="154"/>
      <c r="AM1155" s="7"/>
      <c r="AN1155" s="13"/>
      <c r="AP1155" s="7"/>
      <c r="AQ1155" s="7"/>
      <c r="AR1155" s="7"/>
      <c r="AS1155" s="7"/>
      <c r="AT1155" s="7"/>
      <c r="AU1155" s="7"/>
    </row>
    <row r="1156" spans="7:47" ht="13.5" x14ac:dyDescent="0.25">
      <c r="G1156" s="7"/>
      <c r="P1156" s="7"/>
      <c r="Q1156" s="7"/>
      <c r="V1156" s="7"/>
      <c r="W1156" s="7"/>
      <c r="X1156" s="7"/>
      <c r="Y1156" s="7"/>
      <c r="Z1156" s="7"/>
      <c r="AA1156" s="7"/>
      <c r="AB1156" s="7"/>
      <c r="AC1156" s="7"/>
      <c r="AD1156" s="7"/>
      <c r="AE1156" s="154"/>
      <c r="AF1156" s="154"/>
      <c r="AH1156" s="7"/>
      <c r="AI1156" s="7"/>
      <c r="AJ1156" s="7"/>
      <c r="AL1156" s="154"/>
      <c r="AM1156" s="7"/>
      <c r="AN1156" s="13"/>
      <c r="AP1156" s="7"/>
      <c r="AQ1156" s="7"/>
      <c r="AR1156" s="7"/>
      <c r="AS1156" s="7"/>
      <c r="AT1156" s="7"/>
      <c r="AU1156" s="7"/>
    </row>
    <row r="1157" spans="7:47" ht="13.5" x14ac:dyDescent="0.25">
      <c r="G1157" s="7"/>
      <c r="P1157" s="7"/>
      <c r="Q1157" s="7"/>
      <c r="V1157" s="7"/>
      <c r="W1157" s="7"/>
      <c r="X1157" s="7"/>
      <c r="Y1157" s="7"/>
      <c r="Z1157" s="7"/>
      <c r="AA1157" s="7"/>
      <c r="AB1157" s="7"/>
      <c r="AC1157" s="7"/>
      <c r="AD1157" s="7"/>
      <c r="AE1157" s="154"/>
      <c r="AF1157" s="154"/>
      <c r="AH1157" s="7"/>
      <c r="AI1157" s="7"/>
      <c r="AJ1157" s="7"/>
      <c r="AL1157" s="154"/>
      <c r="AM1157" s="7"/>
      <c r="AN1157" s="13"/>
      <c r="AP1157" s="7"/>
      <c r="AQ1157" s="7"/>
      <c r="AR1157" s="7"/>
      <c r="AS1157" s="7"/>
      <c r="AT1157" s="7"/>
      <c r="AU1157" s="7"/>
    </row>
    <row r="1158" spans="7:47" ht="13.5" x14ac:dyDescent="0.25">
      <c r="G1158" s="7"/>
      <c r="P1158" s="7"/>
      <c r="Q1158" s="7"/>
      <c r="V1158" s="7"/>
      <c r="W1158" s="7"/>
      <c r="X1158" s="7"/>
      <c r="Y1158" s="7"/>
      <c r="Z1158" s="7"/>
      <c r="AA1158" s="7"/>
      <c r="AB1158" s="7"/>
      <c r="AC1158" s="7"/>
      <c r="AD1158" s="7"/>
      <c r="AE1158" s="154"/>
      <c r="AF1158" s="154"/>
      <c r="AH1158" s="7"/>
      <c r="AI1158" s="7"/>
      <c r="AJ1158" s="7"/>
      <c r="AL1158" s="154"/>
      <c r="AM1158" s="7"/>
      <c r="AN1158" s="13"/>
      <c r="AP1158" s="7"/>
      <c r="AQ1158" s="7"/>
      <c r="AR1158" s="7"/>
      <c r="AS1158" s="7"/>
      <c r="AT1158" s="7"/>
      <c r="AU1158" s="7"/>
    </row>
    <row r="1159" spans="7:47" ht="13.5" x14ac:dyDescent="0.25">
      <c r="G1159" s="7"/>
      <c r="P1159" s="7"/>
      <c r="Q1159" s="7"/>
      <c r="V1159" s="7"/>
      <c r="W1159" s="7"/>
      <c r="X1159" s="7"/>
      <c r="Y1159" s="7"/>
      <c r="Z1159" s="7"/>
      <c r="AA1159" s="7"/>
      <c r="AB1159" s="7"/>
      <c r="AC1159" s="7"/>
      <c r="AD1159" s="7"/>
      <c r="AE1159" s="154"/>
      <c r="AF1159" s="154"/>
      <c r="AH1159" s="7"/>
      <c r="AI1159" s="7"/>
      <c r="AJ1159" s="7"/>
      <c r="AL1159" s="154"/>
      <c r="AM1159" s="7"/>
      <c r="AN1159" s="13"/>
      <c r="AP1159" s="7"/>
      <c r="AQ1159" s="7"/>
      <c r="AR1159" s="7"/>
      <c r="AS1159" s="7"/>
      <c r="AT1159" s="7"/>
      <c r="AU1159" s="7"/>
    </row>
    <row r="1160" spans="7:47" ht="13.5" x14ac:dyDescent="0.25">
      <c r="G1160" s="7"/>
      <c r="P1160" s="7"/>
      <c r="Q1160" s="7"/>
      <c r="V1160" s="7"/>
      <c r="W1160" s="7"/>
      <c r="X1160" s="7"/>
      <c r="Y1160" s="7"/>
      <c r="Z1160" s="7"/>
      <c r="AA1160" s="7"/>
      <c r="AB1160" s="7"/>
      <c r="AC1160" s="7"/>
      <c r="AD1160" s="7"/>
      <c r="AE1160" s="154"/>
      <c r="AF1160" s="154"/>
      <c r="AH1160" s="7"/>
      <c r="AI1160" s="7"/>
      <c r="AJ1160" s="7"/>
      <c r="AL1160" s="154"/>
      <c r="AM1160" s="7"/>
      <c r="AN1160" s="13"/>
      <c r="AP1160" s="7"/>
      <c r="AQ1160" s="7"/>
      <c r="AR1160" s="7"/>
      <c r="AS1160" s="7"/>
      <c r="AT1160" s="7"/>
      <c r="AU1160" s="7"/>
    </row>
    <row r="1161" spans="7:47" ht="13.5" x14ac:dyDescent="0.25">
      <c r="G1161" s="7"/>
      <c r="P1161" s="7"/>
      <c r="Q1161" s="7"/>
      <c r="V1161" s="7"/>
      <c r="W1161" s="7"/>
      <c r="X1161" s="7"/>
      <c r="Y1161" s="7"/>
      <c r="Z1161" s="7"/>
      <c r="AA1161" s="7"/>
      <c r="AB1161" s="7"/>
      <c r="AC1161" s="7"/>
      <c r="AD1161" s="7"/>
      <c r="AE1161" s="154"/>
      <c r="AF1161" s="154"/>
      <c r="AH1161" s="7"/>
      <c r="AI1161" s="7"/>
      <c r="AJ1161" s="7"/>
      <c r="AL1161" s="154"/>
      <c r="AM1161" s="7"/>
      <c r="AN1161" s="13"/>
      <c r="AP1161" s="7"/>
      <c r="AQ1161" s="7"/>
      <c r="AR1161" s="7"/>
      <c r="AS1161" s="7"/>
      <c r="AT1161" s="7"/>
      <c r="AU1161" s="7"/>
    </row>
    <row r="1162" spans="7:47" ht="13.5" x14ac:dyDescent="0.25">
      <c r="G1162" s="7"/>
      <c r="P1162" s="7"/>
      <c r="Q1162" s="7"/>
      <c r="V1162" s="7"/>
      <c r="W1162" s="7"/>
      <c r="X1162" s="7"/>
      <c r="Y1162" s="7"/>
      <c r="Z1162" s="7"/>
      <c r="AA1162" s="7"/>
      <c r="AB1162" s="7"/>
      <c r="AC1162" s="7"/>
      <c r="AD1162" s="7"/>
      <c r="AE1162" s="154"/>
      <c r="AF1162" s="154"/>
      <c r="AH1162" s="7"/>
      <c r="AI1162" s="7"/>
      <c r="AJ1162" s="7"/>
      <c r="AL1162" s="154"/>
      <c r="AM1162" s="7"/>
      <c r="AN1162" s="13"/>
      <c r="AP1162" s="7"/>
      <c r="AQ1162" s="7"/>
      <c r="AR1162" s="7"/>
      <c r="AS1162" s="7"/>
      <c r="AT1162" s="7"/>
      <c r="AU1162" s="7"/>
    </row>
    <row r="1163" spans="7:47" ht="13.5" x14ac:dyDescent="0.25">
      <c r="G1163" s="7"/>
      <c r="P1163" s="7"/>
      <c r="Q1163" s="7"/>
      <c r="V1163" s="7"/>
      <c r="W1163" s="7"/>
      <c r="X1163" s="7"/>
      <c r="Y1163" s="7"/>
      <c r="Z1163" s="7"/>
      <c r="AA1163" s="7"/>
      <c r="AB1163" s="7"/>
      <c r="AC1163" s="7"/>
      <c r="AD1163" s="7"/>
      <c r="AE1163" s="154"/>
      <c r="AF1163" s="154"/>
      <c r="AH1163" s="7"/>
      <c r="AI1163" s="7"/>
      <c r="AJ1163" s="7"/>
      <c r="AL1163" s="154"/>
      <c r="AM1163" s="7"/>
      <c r="AN1163" s="13"/>
      <c r="AP1163" s="7"/>
      <c r="AQ1163" s="7"/>
      <c r="AR1163" s="7"/>
      <c r="AS1163" s="7"/>
      <c r="AT1163" s="7"/>
      <c r="AU1163" s="7"/>
    </row>
    <row r="1164" spans="7:47" ht="13.5" x14ac:dyDescent="0.25">
      <c r="G1164" s="7"/>
      <c r="P1164" s="7"/>
      <c r="Q1164" s="7"/>
      <c r="V1164" s="7"/>
      <c r="W1164" s="7"/>
      <c r="X1164" s="7"/>
      <c r="Y1164" s="7"/>
      <c r="Z1164" s="7"/>
      <c r="AA1164" s="7"/>
      <c r="AB1164" s="7"/>
      <c r="AC1164" s="7"/>
      <c r="AD1164" s="7"/>
      <c r="AE1164" s="154"/>
      <c r="AF1164" s="154"/>
      <c r="AH1164" s="7"/>
      <c r="AI1164" s="7"/>
      <c r="AJ1164" s="7"/>
      <c r="AL1164" s="154"/>
      <c r="AM1164" s="7"/>
      <c r="AN1164" s="13"/>
      <c r="AP1164" s="7"/>
      <c r="AQ1164" s="7"/>
      <c r="AR1164" s="7"/>
      <c r="AS1164" s="7"/>
      <c r="AT1164" s="7"/>
      <c r="AU1164" s="7"/>
    </row>
    <row r="1165" spans="7:47" ht="13.5" x14ac:dyDescent="0.25">
      <c r="G1165" s="7"/>
      <c r="P1165" s="7"/>
      <c r="Q1165" s="7"/>
      <c r="V1165" s="7"/>
      <c r="W1165" s="7"/>
      <c r="X1165" s="7"/>
      <c r="Y1165" s="7"/>
      <c r="Z1165" s="7"/>
      <c r="AA1165" s="7"/>
      <c r="AB1165" s="7"/>
      <c r="AC1165" s="7"/>
      <c r="AD1165" s="7"/>
      <c r="AE1165" s="154"/>
      <c r="AF1165" s="154"/>
      <c r="AH1165" s="7"/>
      <c r="AI1165" s="7"/>
      <c r="AJ1165" s="7"/>
      <c r="AL1165" s="154"/>
      <c r="AM1165" s="7"/>
      <c r="AN1165" s="13"/>
      <c r="AP1165" s="7"/>
      <c r="AQ1165" s="7"/>
      <c r="AR1165" s="7"/>
      <c r="AS1165" s="7"/>
      <c r="AT1165" s="7"/>
      <c r="AU1165" s="7"/>
    </row>
    <row r="1166" spans="7:47" ht="13.5" x14ac:dyDescent="0.25">
      <c r="G1166" s="7"/>
      <c r="P1166" s="7"/>
      <c r="Q1166" s="7"/>
      <c r="V1166" s="7"/>
      <c r="W1166" s="7"/>
      <c r="X1166" s="7"/>
      <c r="Y1166" s="7"/>
      <c r="Z1166" s="7"/>
      <c r="AA1166" s="7"/>
      <c r="AB1166" s="7"/>
      <c r="AC1166" s="7"/>
      <c r="AD1166" s="7"/>
      <c r="AE1166" s="154"/>
      <c r="AF1166" s="154"/>
      <c r="AH1166" s="7"/>
      <c r="AI1166" s="7"/>
      <c r="AJ1166" s="7"/>
      <c r="AL1166" s="154"/>
      <c r="AM1166" s="7"/>
      <c r="AN1166" s="13"/>
      <c r="AP1166" s="7"/>
      <c r="AQ1166" s="7"/>
      <c r="AR1166" s="7"/>
      <c r="AS1166" s="7"/>
      <c r="AT1166" s="7"/>
      <c r="AU1166" s="7"/>
    </row>
    <row r="1167" spans="7:47" ht="13.5" x14ac:dyDescent="0.25">
      <c r="G1167" s="7"/>
      <c r="P1167" s="7"/>
      <c r="Q1167" s="7"/>
      <c r="V1167" s="7"/>
      <c r="W1167" s="7"/>
      <c r="X1167" s="7"/>
      <c r="Y1167" s="7"/>
      <c r="Z1167" s="7"/>
      <c r="AA1167" s="7"/>
      <c r="AB1167" s="7"/>
      <c r="AC1167" s="7"/>
      <c r="AD1167" s="7"/>
      <c r="AE1167" s="154"/>
      <c r="AF1167" s="154"/>
      <c r="AH1167" s="7"/>
      <c r="AI1167" s="7"/>
      <c r="AJ1167" s="7"/>
      <c r="AL1167" s="154"/>
      <c r="AM1167" s="7"/>
      <c r="AN1167" s="13"/>
      <c r="AP1167" s="7"/>
      <c r="AQ1167" s="7"/>
      <c r="AR1167" s="7"/>
      <c r="AS1167" s="7"/>
      <c r="AT1167" s="7"/>
      <c r="AU1167" s="7"/>
    </row>
    <row r="1168" spans="7:47" ht="13.5" x14ac:dyDescent="0.25">
      <c r="G1168" s="7"/>
      <c r="P1168" s="7"/>
      <c r="Q1168" s="7"/>
      <c r="V1168" s="7"/>
      <c r="W1168" s="7"/>
      <c r="X1168" s="7"/>
      <c r="Y1168" s="7"/>
      <c r="Z1168" s="7"/>
      <c r="AA1168" s="7"/>
      <c r="AB1168" s="7"/>
      <c r="AC1168" s="7"/>
      <c r="AD1168" s="7"/>
      <c r="AE1168" s="154"/>
      <c r="AF1168" s="154"/>
      <c r="AH1168" s="7"/>
      <c r="AI1168" s="7"/>
      <c r="AJ1168" s="7"/>
      <c r="AL1168" s="154"/>
      <c r="AM1168" s="7"/>
      <c r="AN1168" s="13"/>
      <c r="AP1168" s="7"/>
      <c r="AQ1168" s="7"/>
      <c r="AR1168" s="7"/>
      <c r="AS1168" s="7"/>
      <c r="AT1168" s="7"/>
      <c r="AU1168" s="7"/>
    </row>
    <row r="1169" spans="7:47" ht="13.5" x14ac:dyDescent="0.25">
      <c r="G1169" s="7"/>
      <c r="P1169" s="7"/>
      <c r="Q1169" s="7"/>
      <c r="V1169" s="7"/>
      <c r="W1169" s="7"/>
      <c r="X1169" s="7"/>
      <c r="Y1169" s="7"/>
      <c r="Z1169" s="7"/>
      <c r="AA1169" s="7"/>
      <c r="AB1169" s="7"/>
      <c r="AC1169" s="7"/>
      <c r="AD1169" s="7"/>
      <c r="AE1169" s="154"/>
      <c r="AF1169" s="154"/>
      <c r="AH1169" s="7"/>
      <c r="AI1169" s="7"/>
      <c r="AJ1169" s="7"/>
      <c r="AL1169" s="154"/>
      <c r="AM1169" s="7"/>
      <c r="AN1169" s="13"/>
      <c r="AP1169" s="7"/>
      <c r="AQ1169" s="7"/>
      <c r="AR1169" s="7"/>
      <c r="AS1169" s="7"/>
      <c r="AT1169" s="7"/>
      <c r="AU1169" s="7"/>
    </row>
    <row r="1170" spans="7:47" ht="13.5" x14ac:dyDescent="0.25">
      <c r="G1170" s="7"/>
      <c r="P1170" s="7"/>
      <c r="Q1170" s="7"/>
      <c r="V1170" s="7"/>
      <c r="W1170" s="7"/>
      <c r="X1170" s="7"/>
      <c r="Y1170" s="7"/>
      <c r="Z1170" s="7"/>
      <c r="AA1170" s="7"/>
      <c r="AB1170" s="7"/>
      <c r="AC1170" s="7"/>
      <c r="AD1170" s="7"/>
      <c r="AE1170" s="154"/>
      <c r="AF1170" s="154"/>
      <c r="AH1170" s="7"/>
      <c r="AI1170" s="7"/>
      <c r="AJ1170" s="7"/>
      <c r="AL1170" s="154"/>
      <c r="AM1170" s="7"/>
      <c r="AN1170" s="13"/>
      <c r="AP1170" s="7"/>
      <c r="AQ1170" s="7"/>
      <c r="AR1170" s="7"/>
      <c r="AS1170" s="7"/>
      <c r="AT1170" s="7"/>
      <c r="AU1170" s="7"/>
    </row>
    <row r="1171" spans="7:47" ht="13.5" x14ac:dyDescent="0.25">
      <c r="G1171" s="7"/>
      <c r="P1171" s="7"/>
      <c r="Q1171" s="7"/>
      <c r="V1171" s="7"/>
      <c r="W1171" s="7"/>
      <c r="X1171" s="7"/>
      <c r="Y1171" s="7"/>
      <c r="Z1171" s="7"/>
      <c r="AA1171" s="7"/>
      <c r="AB1171" s="7"/>
      <c r="AC1171" s="7"/>
      <c r="AD1171" s="7"/>
      <c r="AE1171" s="154"/>
      <c r="AF1171" s="154"/>
      <c r="AH1171" s="7"/>
      <c r="AI1171" s="7"/>
      <c r="AJ1171" s="7"/>
      <c r="AL1171" s="154"/>
      <c r="AM1171" s="7"/>
      <c r="AN1171" s="13"/>
      <c r="AP1171" s="7"/>
      <c r="AQ1171" s="7"/>
      <c r="AR1171" s="7"/>
      <c r="AS1171" s="7"/>
      <c r="AT1171" s="7"/>
      <c r="AU1171" s="7"/>
    </row>
    <row r="1172" spans="7:47" ht="13.5" x14ac:dyDescent="0.25">
      <c r="G1172" s="7"/>
      <c r="P1172" s="7"/>
      <c r="Q1172" s="7"/>
      <c r="V1172" s="7"/>
      <c r="W1172" s="7"/>
      <c r="X1172" s="7"/>
      <c r="Y1172" s="7"/>
      <c r="Z1172" s="7"/>
      <c r="AA1172" s="7"/>
      <c r="AB1172" s="7"/>
      <c r="AC1172" s="7"/>
      <c r="AD1172" s="7"/>
      <c r="AE1172" s="154"/>
      <c r="AF1172" s="154"/>
      <c r="AH1172" s="7"/>
      <c r="AI1172" s="7"/>
      <c r="AJ1172" s="7"/>
      <c r="AL1172" s="154"/>
      <c r="AM1172" s="7"/>
      <c r="AN1172" s="13"/>
      <c r="AP1172" s="7"/>
      <c r="AQ1172" s="7"/>
      <c r="AR1172" s="7"/>
      <c r="AS1172" s="7"/>
      <c r="AT1172" s="7"/>
      <c r="AU1172" s="7"/>
    </row>
    <row r="1173" spans="7:47" ht="13.5" x14ac:dyDescent="0.25">
      <c r="G1173" s="7"/>
      <c r="P1173" s="7"/>
      <c r="Q1173" s="7"/>
      <c r="V1173" s="7"/>
      <c r="W1173" s="7"/>
      <c r="X1173" s="7"/>
      <c r="Y1173" s="7"/>
      <c r="Z1173" s="7"/>
      <c r="AA1173" s="7"/>
      <c r="AB1173" s="7"/>
      <c r="AC1173" s="7"/>
      <c r="AD1173" s="7"/>
      <c r="AE1173" s="154"/>
      <c r="AF1173" s="154"/>
      <c r="AH1173" s="7"/>
      <c r="AI1173" s="7"/>
      <c r="AJ1173" s="7"/>
      <c r="AL1173" s="154"/>
      <c r="AM1173" s="7"/>
      <c r="AN1173" s="13"/>
      <c r="AP1173" s="7"/>
      <c r="AQ1173" s="7"/>
      <c r="AR1173" s="7"/>
      <c r="AS1173" s="7"/>
      <c r="AT1173" s="7"/>
      <c r="AU1173" s="7"/>
    </row>
    <row r="1174" spans="7:47" ht="13.5" x14ac:dyDescent="0.25">
      <c r="G1174" s="7"/>
      <c r="P1174" s="7"/>
      <c r="Q1174" s="7"/>
      <c r="V1174" s="7"/>
      <c r="W1174" s="7"/>
      <c r="X1174" s="7"/>
      <c r="Y1174" s="7"/>
      <c r="Z1174" s="7"/>
      <c r="AA1174" s="7"/>
      <c r="AB1174" s="7"/>
      <c r="AC1174" s="7"/>
      <c r="AD1174" s="7"/>
      <c r="AE1174" s="154"/>
      <c r="AF1174" s="154"/>
      <c r="AH1174" s="7"/>
      <c r="AI1174" s="7"/>
      <c r="AJ1174" s="7"/>
      <c r="AL1174" s="154"/>
      <c r="AM1174" s="7"/>
      <c r="AN1174" s="13"/>
      <c r="AP1174" s="7"/>
      <c r="AQ1174" s="7"/>
      <c r="AR1174" s="7"/>
      <c r="AS1174" s="7"/>
      <c r="AT1174" s="7"/>
      <c r="AU1174" s="7"/>
    </row>
    <row r="1175" spans="7:47" ht="13.5" x14ac:dyDescent="0.25">
      <c r="G1175" s="7"/>
      <c r="P1175" s="7"/>
      <c r="Q1175" s="7"/>
      <c r="V1175" s="7"/>
      <c r="W1175" s="7"/>
      <c r="X1175" s="7"/>
      <c r="Y1175" s="7"/>
      <c r="Z1175" s="7"/>
      <c r="AA1175" s="7"/>
      <c r="AB1175" s="7"/>
      <c r="AC1175" s="7"/>
      <c r="AD1175" s="7"/>
      <c r="AE1175" s="154"/>
      <c r="AF1175" s="154"/>
      <c r="AH1175" s="7"/>
      <c r="AI1175" s="7"/>
      <c r="AJ1175" s="7"/>
      <c r="AL1175" s="154"/>
      <c r="AM1175" s="7"/>
      <c r="AN1175" s="13"/>
      <c r="AP1175" s="7"/>
      <c r="AQ1175" s="7"/>
      <c r="AR1175" s="7"/>
      <c r="AS1175" s="7"/>
      <c r="AT1175" s="7"/>
      <c r="AU1175" s="7"/>
    </row>
    <row r="1176" spans="7:47" ht="13.5" x14ac:dyDescent="0.25">
      <c r="G1176" s="7"/>
      <c r="P1176" s="7"/>
      <c r="Q1176" s="7"/>
      <c r="V1176" s="7"/>
      <c r="W1176" s="7"/>
      <c r="X1176" s="7"/>
      <c r="Y1176" s="7"/>
      <c r="Z1176" s="7"/>
      <c r="AA1176" s="7"/>
      <c r="AB1176" s="7"/>
      <c r="AC1176" s="7"/>
      <c r="AD1176" s="7"/>
      <c r="AE1176" s="154"/>
      <c r="AF1176" s="154"/>
      <c r="AH1176" s="7"/>
      <c r="AI1176" s="7"/>
      <c r="AJ1176" s="7"/>
      <c r="AL1176" s="154"/>
      <c r="AM1176" s="7"/>
      <c r="AN1176" s="13"/>
      <c r="AP1176" s="7"/>
      <c r="AQ1176" s="7"/>
      <c r="AR1176" s="7"/>
      <c r="AS1176" s="7"/>
      <c r="AT1176" s="7"/>
      <c r="AU1176" s="7"/>
    </row>
    <row r="1177" spans="7:47" ht="13.5" x14ac:dyDescent="0.25">
      <c r="G1177" s="7"/>
      <c r="P1177" s="7"/>
      <c r="Q1177" s="7"/>
      <c r="V1177" s="7"/>
      <c r="W1177" s="7"/>
      <c r="X1177" s="7"/>
      <c r="Y1177" s="7"/>
      <c r="Z1177" s="7"/>
      <c r="AA1177" s="7"/>
      <c r="AB1177" s="7"/>
      <c r="AC1177" s="7"/>
      <c r="AD1177" s="7"/>
      <c r="AE1177" s="154"/>
      <c r="AF1177" s="154"/>
      <c r="AH1177" s="7"/>
      <c r="AI1177" s="7"/>
      <c r="AJ1177" s="7"/>
      <c r="AL1177" s="154"/>
      <c r="AM1177" s="7"/>
      <c r="AN1177" s="13"/>
      <c r="AP1177" s="7"/>
      <c r="AQ1177" s="7"/>
      <c r="AR1177" s="7"/>
      <c r="AS1177" s="7"/>
      <c r="AT1177" s="7"/>
      <c r="AU1177" s="7"/>
    </row>
    <row r="1178" spans="7:47" ht="13.5" x14ac:dyDescent="0.25">
      <c r="G1178" s="7"/>
      <c r="P1178" s="7"/>
      <c r="Q1178" s="7"/>
      <c r="V1178" s="7"/>
      <c r="W1178" s="7"/>
      <c r="X1178" s="7"/>
      <c r="Y1178" s="7"/>
      <c r="Z1178" s="7"/>
      <c r="AA1178" s="7"/>
      <c r="AB1178" s="7"/>
      <c r="AC1178" s="7"/>
      <c r="AD1178" s="7"/>
      <c r="AE1178" s="154"/>
      <c r="AF1178" s="154"/>
      <c r="AH1178" s="7"/>
      <c r="AI1178" s="7"/>
      <c r="AJ1178" s="7"/>
      <c r="AL1178" s="154"/>
      <c r="AM1178" s="7"/>
      <c r="AN1178" s="13"/>
      <c r="AP1178" s="7"/>
      <c r="AQ1178" s="7"/>
      <c r="AR1178" s="7"/>
      <c r="AS1178" s="7"/>
      <c r="AT1178" s="7"/>
      <c r="AU1178" s="7"/>
    </row>
    <row r="1179" spans="7:47" ht="13.5" x14ac:dyDescent="0.25">
      <c r="G1179" s="7"/>
      <c r="P1179" s="7"/>
      <c r="Q1179" s="7"/>
      <c r="V1179" s="7"/>
      <c r="W1179" s="7"/>
      <c r="X1179" s="7"/>
      <c r="Y1179" s="7"/>
      <c r="Z1179" s="7"/>
      <c r="AA1179" s="7"/>
      <c r="AB1179" s="7"/>
      <c r="AC1179" s="7"/>
      <c r="AD1179" s="7"/>
      <c r="AE1179" s="154"/>
      <c r="AF1179" s="154"/>
      <c r="AH1179" s="7"/>
      <c r="AI1179" s="7"/>
      <c r="AJ1179" s="7"/>
      <c r="AL1179" s="154"/>
      <c r="AM1179" s="7"/>
      <c r="AN1179" s="13"/>
      <c r="AP1179" s="7"/>
      <c r="AQ1179" s="7"/>
      <c r="AR1179" s="7"/>
      <c r="AS1179" s="7"/>
      <c r="AT1179" s="7"/>
      <c r="AU1179" s="7"/>
    </row>
    <row r="1180" spans="7:47" ht="13.5" x14ac:dyDescent="0.25">
      <c r="G1180" s="7"/>
      <c r="P1180" s="7"/>
      <c r="Q1180" s="7"/>
      <c r="V1180" s="7"/>
      <c r="W1180" s="7"/>
      <c r="X1180" s="7"/>
      <c r="Y1180" s="7"/>
      <c r="Z1180" s="7"/>
      <c r="AA1180" s="7"/>
      <c r="AB1180" s="7"/>
      <c r="AC1180" s="7"/>
      <c r="AD1180" s="7"/>
      <c r="AE1180" s="154"/>
      <c r="AF1180" s="154"/>
      <c r="AH1180" s="7"/>
      <c r="AI1180" s="7"/>
      <c r="AJ1180" s="7"/>
      <c r="AL1180" s="154"/>
      <c r="AM1180" s="7"/>
      <c r="AN1180" s="13"/>
      <c r="AP1180" s="7"/>
      <c r="AQ1180" s="7"/>
      <c r="AR1180" s="7"/>
      <c r="AS1180" s="7"/>
      <c r="AT1180" s="7"/>
      <c r="AU1180" s="7"/>
    </row>
    <row r="1181" spans="7:47" ht="13.5" x14ac:dyDescent="0.25">
      <c r="G1181" s="7"/>
      <c r="P1181" s="7"/>
      <c r="Q1181" s="7"/>
      <c r="V1181" s="7"/>
      <c r="W1181" s="7"/>
      <c r="X1181" s="7"/>
      <c r="Y1181" s="7"/>
      <c r="Z1181" s="7"/>
      <c r="AA1181" s="7"/>
      <c r="AB1181" s="7"/>
      <c r="AC1181" s="7"/>
      <c r="AD1181" s="7"/>
      <c r="AE1181" s="154"/>
      <c r="AF1181" s="154"/>
      <c r="AH1181" s="7"/>
      <c r="AI1181" s="7"/>
      <c r="AJ1181" s="7"/>
      <c r="AL1181" s="154"/>
      <c r="AM1181" s="7"/>
      <c r="AN1181" s="13"/>
      <c r="AP1181" s="7"/>
      <c r="AQ1181" s="7"/>
      <c r="AR1181" s="7"/>
      <c r="AS1181" s="7"/>
      <c r="AT1181" s="7"/>
      <c r="AU1181" s="7"/>
    </row>
    <row r="1182" spans="7:47" ht="13.5" x14ac:dyDescent="0.25">
      <c r="G1182" s="7"/>
      <c r="P1182" s="7"/>
      <c r="Q1182" s="7"/>
      <c r="V1182" s="7"/>
      <c r="W1182" s="7"/>
      <c r="X1182" s="7"/>
      <c r="Y1182" s="7"/>
      <c r="Z1182" s="7"/>
      <c r="AA1182" s="7"/>
      <c r="AB1182" s="7"/>
      <c r="AC1182" s="7"/>
      <c r="AD1182" s="7"/>
      <c r="AE1182" s="154"/>
      <c r="AF1182" s="154"/>
      <c r="AH1182" s="7"/>
      <c r="AI1182" s="7"/>
      <c r="AJ1182" s="7"/>
      <c r="AL1182" s="154"/>
      <c r="AM1182" s="7"/>
      <c r="AN1182" s="13"/>
      <c r="AP1182" s="7"/>
      <c r="AQ1182" s="7"/>
      <c r="AR1182" s="7"/>
      <c r="AS1182" s="7"/>
      <c r="AT1182" s="7"/>
      <c r="AU1182" s="7"/>
    </row>
    <row r="1183" spans="7:47" ht="13.5" x14ac:dyDescent="0.25">
      <c r="G1183" s="7"/>
      <c r="P1183" s="7"/>
      <c r="Q1183" s="7"/>
      <c r="V1183" s="7"/>
      <c r="W1183" s="7"/>
      <c r="X1183" s="7"/>
      <c r="Y1183" s="7"/>
      <c r="Z1183" s="7"/>
      <c r="AA1183" s="7"/>
      <c r="AB1183" s="7"/>
      <c r="AC1183" s="7"/>
      <c r="AD1183" s="7"/>
      <c r="AE1183" s="154"/>
      <c r="AF1183" s="154"/>
      <c r="AH1183" s="7"/>
      <c r="AI1183" s="7"/>
      <c r="AJ1183" s="7"/>
      <c r="AL1183" s="154"/>
      <c r="AM1183" s="7"/>
      <c r="AN1183" s="13"/>
      <c r="AP1183" s="7"/>
      <c r="AQ1183" s="7"/>
      <c r="AR1183" s="7"/>
      <c r="AS1183" s="7"/>
      <c r="AT1183" s="7"/>
      <c r="AU1183" s="7"/>
    </row>
    <row r="1184" spans="7:47" ht="13.5" x14ac:dyDescent="0.25">
      <c r="G1184" s="7"/>
      <c r="P1184" s="7"/>
      <c r="Q1184" s="7"/>
      <c r="V1184" s="7"/>
      <c r="W1184" s="7"/>
      <c r="X1184" s="7"/>
      <c r="Y1184" s="7"/>
      <c r="Z1184" s="7"/>
      <c r="AA1184" s="7"/>
      <c r="AB1184" s="7"/>
      <c r="AC1184" s="7"/>
      <c r="AD1184" s="7"/>
      <c r="AE1184" s="154"/>
      <c r="AF1184" s="154"/>
      <c r="AH1184" s="7"/>
      <c r="AI1184" s="7"/>
      <c r="AJ1184" s="7"/>
      <c r="AL1184" s="154"/>
      <c r="AM1184" s="7"/>
      <c r="AN1184" s="13"/>
      <c r="AP1184" s="7"/>
      <c r="AQ1184" s="7"/>
      <c r="AR1184" s="7"/>
      <c r="AS1184" s="7"/>
      <c r="AT1184" s="7"/>
      <c r="AU1184" s="7"/>
    </row>
    <row r="1185" spans="7:47" ht="13.5" x14ac:dyDescent="0.25">
      <c r="G1185" s="7"/>
      <c r="P1185" s="7"/>
      <c r="Q1185" s="7"/>
      <c r="V1185" s="7"/>
      <c r="W1185" s="7"/>
      <c r="X1185" s="7"/>
      <c r="Y1185" s="7"/>
      <c r="Z1185" s="7"/>
      <c r="AA1185" s="7"/>
      <c r="AB1185" s="7"/>
      <c r="AC1185" s="7"/>
      <c r="AD1185" s="7"/>
      <c r="AE1185" s="154"/>
      <c r="AF1185" s="154"/>
      <c r="AH1185" s="7"/>
      <c r="AI1185" s="7"/>
      <c r="AJ1185" s="7"/>
      <c r="AL1185" s="154"/>
      <c r="AM1185" s="7"/>
      <c r="AN1185" s="13"/>
      <c r="AP1185" s="7"/>
      <c r="AQ1185" s="7"/>
      <c r="AR1185" s="7"/>
      <c r="AS1185" s="7"/>
      <c r="AT1185" s="7"/>
      <c r="AU1185" s="7"/>
    </row>
    <row r="1186" spans="7:47" ht="13.5" x14ac:dyDescent="0.25">
      <c r="G1186" s="7"/>
      <c r="P1186" s="7"/>
      <c r="Q1186" s="7"/>
      <c r="V1186" s="7"/>
      <c r="W1186" s="7"/>
      <c r="X1186" s="7"/>
      <c r="Y1186" s="7"/>
      <c r="Z1186" s="7"/>
      <c r="AA1186" s="7"/>
      <c r="AB1186" s="7"/>
      <c r="AC1186" s="7"/>
      <c r="AD1186" s="7"/>
      <c r="AE1186" s="154"/>
      <c r="AF1186" s="154"/>
      <c r="AH1186" s="7"/>
      <c r="AI1186" s="7"/>
      <c r="AJ1186" s="7"/>
      <c r="AL1186" s="154"/>
      <c r="AM1186" s="7"/>
      <c r="AN1186" s="13"/>
      <c r="AP1186" s="7"/>
      <c r="AQ1186" s="7"/>
      <c r="AR1186" s="7"/>
      <c r="AS1186" s="7"/>
      <c r="AT1186" s="7"/>
      <c r="AU1186" s="7"/>
    </row>
    <row r="1187" spans="7:47" ht="13.5" x14ac:dyDescent="0.25">
      <c r="G1187" s="7"/>
      <c r="P1187" s="7"/>
      <c r="Q1187" s="7"/>
      <c r="V1187" s="7"/>
      <c r="W1187" s="7"/>
      <c r="X1187" s="7"/>
      <c r="Y1187" s="7"/>
      <c r="Z1187" s="7"/>
      <c r="AA1187" s="7"/>
      <c r="AB1187" s="7"/>
      <c r="AC1187" s="7"/>
      <c r="AD1187" s="7"/>
      <c r="AE1187" s="154"/>
      <c r="AF1187" s="154"/>
      <c r="AH1187" s="7"/>
      <c r="AI1187" s="7"/>
      <c r="AJ1187" s="7"/>
      <c r="AL1187" s="154"/>
      <c r="AM1187" s="7"/>
      <c r="AN1187" s="13"/>
      <c r="AP1187" s="7"/>
      <c r="AQ1187" s="7"/>
      <c r="AR1187" s="7"/>
      <c r="AS1187" s="7"/>
      <c r="AT1187" s="7"/>
      <c r="AU1187" s="7"/>
    </row>
    <row r="1188" spans="7:47" ht="13.5" x14ac:dyDescent="0.25">
      <c r="G1188" s="7"/>
      <c r="P1188" s="7"/>
      <c r="Q1188" s="7"/>
      <c r="V1188" s="7"/>
      <c r="W1188" s="7"/>
      <c r="X1188" s="7"/>
      <c r="Y1188" s="7"/>
      <c r="Z1188" s="7"/>
      <c r="AA1188" s="7"/>
      <c r="AB1188" s="7"/>
      <c r="AC1188" s="7"/>
      <c r="AD1188" s="7"/>
      <c r="AE1188" s="154"/>
      <c r="AF1188" s="154"/>
      <c r="AH1188" s="7"/>
      <c r="AI1188" s="7"/>
      <c r="AJ1188" s="7"/>
      <c r="AL1188" s="154"/>
      <c r="AM1188" s="7"/>
      <c r="AN1188" s="13"/>
      <c r="AP1188" s="7"/>
      <c r="AQ1188" s="7"/>
      <c r="AR1188" s="7"/>
      <c r="AS1188" s="7"/>
      <c r="AT1188" s="7"/>
      <c r="AU1188" s="7"/>
    </row>
    <row r="1189" spans="7:47" ht="13.5" x14ac:dyDescent="0.25">
      <c r="G1189" s="7"/>
      <c r="P1189" s="7"/>
      <c r="Q1189" s="7"/>
      <c r="V1189" s="7"/>
      <c r="W1189" s="7"/>
      <c r="X1189" s="7"/>
      <c r="Y1189" s="7"/>
      <c r="Z1189" s="7"/>
      <c r="AA1189" s="7"/>
      <c r="AB1189" s="7"/>
      <c r="AC1189" s="7"/>
      <c r="AD1189" s="7"/>
      <c r="AE1189" s="154"/>
      <c r="AF1189" s="154"/>
      <c r="AH1189" s="7"/>
      <c r="AI1189" s="7"/>
      <c r="AJ1189" s="7"/>
      <c r="AL1189" s="154"/>
      <c r="AM1189" s="7"/>
      <c r="AN1189" s="13"/>
      <c r="AP1189" s="7"/>
      <c r="AQ1189" s="7"/>
      <c r="AR1189" s="7"/>
      <c r="AS1189" s="7"/>
      <c r="AT1189" s="7"/>
      <c r="AU1189" s="7"/>
    </row>
    <row r="1190" spans="7:47" ht="13.5" x14ac:dyDescent="0.25">
      <c r="G1190" s="7"/>
      <c r="P1190" s="7"/>
      <c r="Q1190" s="7"/>
      <c r="V1190" s="7"/>
      <c r="W1190" s="7"/>
      <c r="X1190" s="7"/>
      <c r="Y1190" s="7"/>
      <c r="Z1190" s="7"/>
      <c r="AA1190" s="7"/>
      <c r="AB1190" s="7"/>
      <c r="AC1190" s="7"/>
      <c r="AD1190" s="7"/>
      <c r="AE1190" s="154"/>
      <c r="AF1190" s="154"/>
      <c r="AH1190" s="7"/>
      <c r="AI1190" s="7"/>
      <c r="AJ1190" s="7"/>
      <c r="AL1190" s="154"/>
      <c r="AM1190" s="7"/>
      <c r="AN1190" s="13"/>
      <c r="AP1190" s="7"/>
      <c r="AQ1190" s="7"/>
      <c r="AR1190" s="7"/>
      <c r="AS1190" s="7"/>
      <c r="AT1190" s="7"/>
      <c r="AU1190" s="7"/>
    </row>
    <row r="1191" spans="7:47" ht="13.5" x14ac:dyDescent="0.25">
      <c r="G1191" s="7"/>
      <c r="P1191" s="7"/>
      <c r="Q1191" s="7"/>
      <c r="V1191" s="7"/>
      <c r="W1191" s="7"/>
      <c r="X1191" s="7"/>
      <c r="Y1191" s="7"/>
      <c r="Z1191" s="7"/>
      <c r="AA1191" s="7"/>
      <c r="AB1191" s="7"/>
      <c r="AC1191" s="7"/>
      <c r="AD1191" s="7"/>
      <c r="AE1191" s="154"/>
      <c r="AF1191" s="154"/>
      <c r="AH1191" s="7"/>
      <c r="AI1191" s="7"/>
      <c r="AJ1191" s="7"/>
      <c r="AL1191" s="154"/>
      <c r="AM1191" s="7"/>
      <c r="AN1191" s="13"/>
      <c r="AP1191" s="7"/>
      <c r="AQ1191" s="7"/>
      <c r="AR1191" s="7"/>
      <c r="AS1191" s="7"/>
      <c r="AT1191" s="7"/>
      <c r="AU1191" s="7"/>
    </row>
    <row r="1192" spans="7:47" ht="13.5" x14ac:dyDescent="0.25">
      <c r="G1192" s="7"/>
      <c r="P1192" s="7"/>
      <c r="Q1192" s="7"/>
      <c r="V1192" s="7"/>
      <c r="W1192" s="7"/>
      <c r="X1192" s="7"/>
      <c r="Y1192" s="7"/>
      <c r="Z1192" s="7"/>
      <c r="AA1192" s="7"/>
      <c r="AB1192" s="7"/>
      <c r="AC1192" s="7"/>
      <c r="AD1192" s="7"/>
      <c r="AE1192" s="154"/>
      <c r="AF1192" s="154"/>
      <c r="AH1192" s="7"/>
      <c r="AI1192" s="7"/>
      <c r="AJ1192" s="7"/>
      <c r="AL1192" s="154"/>
      <c r="AM1192" s="7"/>
      <c r="AN1192" s="13"/>
      <c r="AP1192" s="7"/>
      <c r="AQ1192" s="7"/>
      <c r="AR1192" s="7"/>
      <c r="AS1192" s="7"/>
      <c r="AT1192" s="7"/>
      <c r="AU1192" s="7"/>
    </row>
    <row r="1193" spans="7:47" ht="13.5" x14ac:dyDescent="0.25">
      <c r="G1193" s="7"/>
      <c r="P1193" s="7"/>
      <c r="Q1193" s="7"/>
      <c r="V1193" s="7"/>
      <c r="W1193" s="7"/>
      <c r="X1193" s="7"/>
      <c r="Y1193" s="7"/>
      <c r="Z1193" s="7"/>
      <c r="AA1193" s="7"/>
      <c r="AB1193" s="7"/>
      <c r="AC1193" s="7"/>
      <c r="AD1193" s="7"/>
      <c r="AE1193" s="154"/>
      <c r="AF1193" s="154"/>
      <c r="AH1193" s="7"/>
      <c r="AI1193" s="7"/>
      <c r="AJ1193" s="7"/>
      <c r="AL1193" s="154"/>
      <c r="AM1193" s="7"/>
      <c r="AN1193" s="13"/>
      <c r="AP1193" s="7"/>
      <c r="AQ1193" s="7"/>
      <c r="AR1193" s="7"/>
      <c r="AS1193" s="7"/>
      <c r="AT1193" s="7"/>
      <c r="AU1193" s="7"/>
    </row>
    <row r="1194" spans="7:47" ht="13.5" x14ac:dyDescent="0.25">
      <c r="G1194" s="7"/>
      <c r="P1194" s="7"/>
      <c r="Q1194" s="7"/>
      <c r="V1194" s="7"/>
      <c r="W1194" s="7"/>
      <c r="X1194" s="7"/>
      <c r="Y1194" s="7"/>
      <c r="Z1194" s="7"/>
      <c r="AA1194" s="7"/>
      <c r="AB1194" s="7"/>
      <c r="AC1194" s="7"/>
      <c r="AD1194" s="7"/>
      <c r="AE1194" s="154"/>
      <c r="AF1194" s="154"/>
      <c r="AH1194" s="7"/>
      <c r="AI1194" s="7"/>
      <c r="AJ1194" s="7"/>
      <c r="AL1194" s="154"/>
      <c r="AM1194" s="7"/>
      <c r="AN1194" s="13"/>
      <c r="AP1194" s="7"/>
      <c r="AQ1194" s="7"/>
      <c r="AR1194" s="7"/>
      <c r="AS1194" s="7"/>
      <c r="AT1194" s="7"/>
      <c r="AU1194" s="7"/>
    </row>
    <row r="1195" spans="7:47" ht="13.5" x14ac:dyDescent="0.25">
      <c r="G1195" s="7"/>
      <c r="P1195" s="7"/>
      <c r="Q1195" s="7"/>
      <c r="V1195" s="7"/>
      <c r="W1195" s="7"/>
      <c r="X1195" s="7"/>
      <c r="Y1195" s="7"/>
      <c r="Z1195" s="7"/>
      <c r="AA1195" s="7"/>
      <c r="AB1195" s="7"/>
      <c r="AC1195" s="7"/>
      <c r="AD1195" s="7"/>
      <c r="AE1195" s="154"/>
      <c r="AF1195" s="154"/>
      <c r="AH1195" s="7"/>
      <c r="AI1195" s="7"/>
      <c r="AJ1195" s="7"/>
      <c r="AL1195" s="154"/>
      <c r="AM1195" s="7"/>
      <c r="AN1195" s="13"/>
      <c r="AP1195" s="7"/>
      <c r="AQ1195" s="7"/>
      <c r="AR1195" s="7"/>
      <c r="AS1195" s="7"/>
      <c r="AT1195" s="7"/>
      <c r="AU1195" s="7"/>
    </row>
    <row r="1196" spans="7:47" ht="13.5" x14ac:dyDescent="0.25">
      <c r="G1196" s="7"/>
      <c r="P1196" s="7"/>
      <c r="Q1196" s="7"/>
      <c r="V1196" s="7"/>
      <c r="W1196" s="7"/>
      <c r="X1196" s="7"/>
      <c r="Y1196" s="7"/>
      <c r="Z1196" s="7"/>
      <c r="AA1196" s="7"/>
      <c r="AB1196" s="7"/>
      <c r="AC1196" s="7"/>
      <c r="AD1196" s="7"/>
      <c r="AE1196" s="154"/>
      <c r="AF1196" s="154"/>
      <c r="AH1196" s="7"/>
      <c r="AI1196" s="7"/>
      <c r="AJ1196" s="7"/>
      <c r="AL1196" s="154"/>
      <c r="AM1196" s="7"/>
      <c r="AN1196" s="13"/>
      <c r="AP1196" s="7"/>
      <c r="AQ1196" s="7"/>
      <c r="AR1196" s="7"/>
      <c r="AS1196" s="7"/>
      <c r="AT1196" s="7"/>
      <c r="AU1196" s="7"/>
    </row>
    <row r="1197" spans="7:47" ht="13.5" x14ac:dyDescent="0.25">
      <c r="G1197" s="7"/>
      <c r="P1197" s="7"/>
      <c r="Q1197" s="7"/>
      <c r="V1197" s="7"/>
      <c r="W1197" s="7"/>
      <c r="X1197" s="7"/>
      <c r="Y1197" s="7"/>
      <c r="Z1197" s="7"/>
      <c r="AA1197" s="7"/>
      <c r="AB1197" s="7"/>
      <c r="AC1197" s="7"/>
      <c r="AD1197" s="7"/>
      <c r="AE1197" s="154"/>
      <c r="AF1197" s="154"/>
      <c r="AH1197" s="7"/>
      <c r="AI1197" s="7"/>
      <c r="AJ1197" s="7"/>
      <c r="AL1197" s="154"/>
      <c r="AM1197" s="7"/>
      <c r="AN1197" s="13"/>
      <c r="AP1197" s="7"/>
      <c r="AQ1197" s="7"/>
      <c r="AR1197" s="7"/>
      <c r="AS1197" s="7"/>
      <c r="AT1197" s="7"/>
      <c r="AU1197" s="7"/>
    </row>
    <row r="1198" spans="7:47" ht="13.5" x14ac:dyDescent="0.25">
      <c r="G1198" s="7"/>
      <c r="P1198" s="7"/>
      <c r="Q1198" s="7"/>
      <c r="V1198" s="7"/>
      <c r="W1198" s="7"/>
      <c r="X1198" s="7"/>
      <c r="Y1198" s="7"/>
      <c r="Z1198" s="7"/>
      <c r="AA1198" s="7"/>
      <c r="AB1198" s="7"/>
      <c r="AC1198" s="7"/>
      <c r="AD1198" s="7"/>
      <c r="AE1198" s="154"/>
      <c r="AF1198" s="154"/>
      <c r="AH1198" s="7"/>
      <c r="AI1198" s="7"/>
      <c r="AJ1198" s="7"/>
      <c r="AL1198" s="154"/>
      <c r="AM1198" s="7"/>
      <c r="AN1198" s="13"/>
      <c r="AP1198" s="7"/>
      <c r="AQ1198" s="7"/>
      <c r="AR1198" s="7"/>
      <c r="AS1198" s="7"/>
      <c r="AT1198" s="7"/>
      <c r="AU1198" s="7"/>
    </row>
    <row r="1199" spans="7:47" ht="13.5" x14ac:dyDescent="0.25">
      <c r="G1199" s="7"/>
      <c r="P1199" s="7"/>
      <c r="Q1199" s="7"/>
      <c r="V1199" s="7"/>
      <c r="W1199" s="7"/>
      <c r="X1199" s="7"/>
      <c r="Y1199" s="7"/>
      <c r="Z1199" s="7"/>
      <c r="AA1199" s="7"/>
      <c r="AB1199" s="7"/>
      <c r="AC1199" s="7"/>
      <c r="AD1199" s="7"/>
      <c r="AE1199" s="154"/>
      <c r="AF1199" s="154"/>
      <c r="AH1199" s="7"/>
      <c r="AI1199" s="7"/>
      <c r="AJ1199" s="7"/>
      <c r="AL1199" s="154"/>
      <c r="AM1199" s="7"/>
      <c r="AN1199" s="13"/>
      <c r="AP1199" s="7"/>
      <c r="AQ1199" s="7"/>
      <c r="AR1199" s="7"/>
      <c r="AS1199" s="7"/>
      <c r="AT1199" s="7"/>
      <c r="AU1199" s="7"/>
    </row>
    <row r="1200" spans="7:47" ht="13.5" x14ac:dyDescent="0.25">
      <c r="G1200" s="7"/>
      <c r="P1200" s="7"/>
      <c r="Q1200" s="7"/>
      <c r="V1200" s="7"/>
      <c r="W1200" s="7"/>
      <c r="X1200" s="7"/>
      <c r="Y1200" s="7"/>
      <c r="Z1200" s="7"/>
      <c r="AA1200" s="7"/>
      <c r="AB1200" s="7"/>
      <c r="AC1200" s="7"/>
      <c r="AD1200" s="7"/>
      <c r="AE1200" s="154"/>
      <c r="AF1200" s="154"/>
      <c r="AH1200" s="7"/>
      <c r="AI1200" s="7"/>
      <c r="AJ1200" s="7"/>
      <c r="AL1200" s="154"/>
      <c r="AM1200" s="7"/>
      <c r="AN1200" s="13"/>
      <c r="AP1200" s="7"/>
      <c r="AQ1200" s="7"/>
      <c r="AR1200" s="7"/>
      <c r="AS1200" s="7"/>
      <c r="AT1200" s="7"/>
      <c r="AU1200" s="7"/>
    </row>
    <row r="1201" spans="7:47" ht="13.5" x14ac:dyDescent="0.25">
      <c r="G1201" s="7"/>
      <c r="P1201" s="7"/>
      <c r="Q1201" s="7"/>
      <c r="V1201" s="7"/>
      <c r="W1201" s="7"/>
      <c r="X1201" s="7"/>
      <c r="Y1201" s="7"/>
      <c r="Z1201" s="7"/>
      <c r="AA1201" s="7"/>
      <c r="AB1201" s="7"/>
      <c r="AC1201" s="7"/>
      <c r="AD1201" s="7"/>
      <c r="AE1201" s="154"/>
      <c r="AF1201" s="154"/>
      <c r="AH1201" s="7"/>
      <c r="AI1201" s="7"/>
      <c r="AJ1201" s="7"/>
      <c r="AL1201" s="154"/>
      <c r="AM1201" s="7"/>
      <c r="AN1201" s="13"/>
      <c r="AP1201" s="7"/>
      <c r="AQ1201" s="7"/>
      <c r="AR1201" s="7"/>
      <c r="AS1201" s="7"/>
      <c r="AT1201" s="7"/>
      <c r="AU1201" s="7"/>
    </row>
    <row r="1202" spans="7:47" ht="13.5" x14ac:dyDescent="0.25">
      <c r="G1202" s="7"/>
      <c r="P1202" s="7"/>
      <c r="Q1202" s="7"/>
      <c r="V1202" s="7"/>
      <c r="W1202" s="7"/>
      <c r="X1202" s="7"/>
      <c r="Y1202" s="7"/>
      <c r="Z1202" s="7"/>
      <c r="AA1202" s="7"/>
      <c r="AB1202" s="7"/>
      <c r="AC1202" s="7"/>
      <c r="AD1202" s="7"/>
      <c r="AE1202" s="154"/>
      <c r="AF1202" s="154"/>
      <c r="AH1202" s="7"/>
      <c r="AI1202" s="7"/>
      <c r="AJ1202" s="7"/>
      <c r="AL1202" s="154"/>
      <c r="AM1202" s="7"/>
      <c r="AN1202" s="13"/>
      <c r="AP1202" s="7"/>
      <c r="AQ1202" s="7"/>
      <c r="AR1202" s="7"/>
      <c r="AS1202" s="7"/>
      <c r="AT1202" s="7"/>
      <c r="AU1202" s="7"/>
    </row>
    <row r="1203" spans="7:47" ht="13.5" x14ac:dyDescent="0.25">
      <c r="G1203" s="7"/>
      <c r="P1203" s="7"/>
      <c r="Q1203" s="7"/>
      <c r="V1203" s="7"/>
      <c r="W1203" s="7"/>
      <c r="X1203" s="7"/>
      <c r="Y1203" s="7"/>
      <c r="Z1203" s="7"/>
      <c r="AA1203" s="7"/>
      <c r="AB1203" s="7"/>
      <c r="AC1203" s="7"/>
      <c r="AD1203" s="7"/>
      <c r="AE1203" s="154"/>
      <c r="AF1203" s="154"/>
      <c r="AH1203" s="7"/>
      <c r="AI1203" s="7"/>
      <c r="AJ1203" s="7"/>
      <c r="AL1203" s="154"/>
      <c r="AM1203" s="7"/>
      <c r="AN1203" s="13"/>
      <c r="AP1203" s="7"/>
      <c r="AQ1203" s="7"/>
      <c r="AR1203" s="7"/>
      <c r="AS1203" s="7"/>
      <c r="AT1203" s="7"/>
      <c r="AU1203" s="7"/>
    </row>
    <row r="1204" spans="7:47" ht="13.5" x14ac:dyDescent="0.25">
      <c r="G1204" s="7"/>
      <c r="P1204" s="7"/>
      <c r="Q1204" s="7"/>
      <c r="V1204" s="7"/>
      <c r="W1204" s="7"/>
      <c r="X1204" s="7"/>
      <c r="Y1204" s="7"/>
      <c r="Z1204" s="7"/>
      <c r="AA1204" s="7"/>
      <c r="AB1204" s="7"/>
      <c r="AC1204" s="7"/>
      <c r="AD1204" s="7"/>
      <c r="AE1204" s="154"/>
      <c r="AF1204" s="154"/>
      <c r="AH1204" s="7"/>
      <c r="AI1204" s="7"/>
      <c r="AJ1204" s="7"/>
      <c r="AL1204" s="154"/>
      <c r="AM1204" s="7"/>
      <c r="AN1204" s="13"/>
      <c r="AP1204" s="7"/>
      <c r="AQ1204" s="7"/>
      <c r="AR1204" s="7"/>
      <c r="AS1204" s="7"/>
      <c r="AT1204" s="7"/>
      <c r="AU1204" s="7"/>
    </row>
    <row r="1205" spans="7:47" ht="13.5" x14ac:dyDescent="0.25">
      <c r="G1205" s="7"/>
      <c r="P1205" s="7"/>
      <c r="Q1205" s="7"/>
      <c r="V1205" s="7"/>
      <c r="W1205" s="7"/>
      <c r="X1205" s="7"/>
      <c r="Y1205" s="7"/>
      <c r="Z1205" s="7"/>
      <c r="AA1205" s="7"/>
      <c r="AB1205" s="7"/>
      <c r="AC1205" s="7"/>
      <c r="AD1205" s="7"/>
      <c r="AE1205" s="154"/>
      <c r="AF1205" s="154"/>
      <c r="AH1205" s="7"/>
      <c r="AI1205" s="7"/>
      <c r="AJ1205" s="7"/>
      <c r="AL1205" s="154"/>
      <c r="AM1205" s="7"/>
      <c r="AN1205" s="13"/>
      <c r="AP1205" s="7"/>
      <c r="AQ1205" s="7"/>
      <c r="AR1205" s="7"/>
      <c r="AS1205" s="7"/>
      <c r="AT1205" s="7"/>
      <c r="AU1205" s="7"/>
    </row>
    <row r="1206" spans="7:47" ht="13.5" x14ac:dyDescent="0.25">
      <c r="G1206" s="7"/>
      <c r="P1206" s="7"/>
      <c r="Q1206" s="7"/>
      <c r="V1206" s="7"/>
      <c r="W1206" s="7"/>
      <c r="X1206" s="7"/>
      <c r="Y1206" s="7"/>
      <c r="Z1206" s="7"/>
      <c r="AA1206" s="7"/>
      <c r="AB1206" s="7"/>
      <c r="AC1206" s="7"/>
      <c r="AD1206" s="7"/>
      <c r="AE1206" s="154"/>
      <c r="AF1206" s="154"/>
      <c r="AH1206" s="7"/>
      <c r="AI1206" s="7"/>
      <c r="AJ1206" s="7"/>
      <c r="AL1206" s="154"/>
      <c r="AM1206" s="7"/>
      <c r="AN1206" s="13"/>
      <c r="AP1206" s="7"/>
      <c r="AQ1206" s="7"/>
      <c r="AR1206" s="7"/>
      <c r="AS1206" s="7"/>
      <c r="AT1206" s="7"/>
      <c r="AU1206" s="7"/>
    </row>
    <row r="1207" spans="7:47" ht="13.5" x14ac:dyDescent="0.25">
      <c r="G1207" s="7"/>
      <c r="P1207" s="7"/>
      <c r="Q1207" s="7"/>
      <c r="V1207" s="7"/>
      <c r="W1207" s="7"/>
      <c r="X1207" s="7"/>
      <c r="Y1207" s="7"/>
      <c r="Z1207" s="7"/>
      <c r="AA1207" s="7"/>
      <c r="AB1207" s="7"/>
      <c r="AC1207" s="7"/>
      <c r="AD1207" s="7"/>
      <c r="AE1207" s="154"/>
      <c r="AF1207" s="154"/>
      <c r="AH1207" s="7"/>
      <c r="AI1207" s="7"/>
      <c r="AJ1207" s="7"/>
      <c r="AL1207" s="154"/>
      <c r="AM1207" s="7"/>
      <c r="AN1207" s="13"/>
      <c r="AP1207" s="7"/>
      <c r="AQ1207" s="7"/>
      <c r="AR1207" s="7"/>
      <c r="AS1207" s="7"/>
      <c r="AT1207" s="7"/>
      <c r="AU1207" s="7"/>
    </row>
    <row r="1208" spans="7:47" ht="13.5" x14ac:dyDescent="0.25">
      <c r="G1208" s="7"/>
      <c r="P1208" s="7"/>
      <c r="Q1208" s="7"/>
      <c r="V1208" s="7"/>
      <c r="W1208" s="7"/>
      <c r="X1208" s="7"/>
      <c r="Y1208" s="7"/>
      <c r="Z1208" s="7"/>
      <c r="AA1208" s="7"/>
      <c r="AB1208" s="7"/>
      <c r="AC1208" s="7"/>
      <c r="AD1208" s="7"/>
      <c r="AE1208" s="154"/>
      <c r="AF1208" s="154"/>
      <c r="AH1208" s="7"/>
      <c r="AI1208" s="7"/>
      <c r="AJ1208" s="7"/>
      <c r="AL1208" s="154"/>
      <c r="AM1208" s="7"/>
      <c r="AN1208" s="13"/>
      <c r="AP1208" s="7"/>
      <c r="AQ1208" s="7"/>
      <c r="AR1208" s="7"/>
      <c r="AS1208" s="7"/>
      <c r="AT1208" s="7"/>
      <c r="AU1208" s="7"/>
    </row>
    <row r="1209" spans="7:47" ht="13.5" x14ac:dyDescent="0.25">
      <c r="G1209" s="7"/>
      <c r="P1209" s="7"/>
      <c r="Q1209" s="7"/>
      <c r="V1209" s="7"/>
      <c r="W1209" s="7"/>
      <c r="X1209" s="7"/>
      <c r="Y1209" s="7"/>
      <c r="Z1209" s="7"/>
      <c r="AA1209" s="7"/>
      <c r="AB1209" s="7"/>
      <c r="AC1209" s="7"/>
      <c r="AD1209" s="7"/>
      <c r="AE1209" s="154"/>
      <c r="AF1209" s="154"/>
      <c r="AH1209" s="7"/>
      <c r="AI1209" s="7"/>
      <c r="AJ1209" s="7"/>
      <c r="AL1209" s="154"/>
      <c r="AM1209" s="7"/>
      <c r="AN1209" s="13"/>
      <c r="AP1209" s="7"/>
      <c r="AQ1209" s="7"/>
      <c r="AR1209" s="7"/>
      <c r="AS1209" s="7"/>
      <c r="AT1209" s="7"/>
      <c r="AU1209" s="7"/>
    </row>
    <row r="1210" spans="7:47" ht="13.5" x14ac:dyDescent="0.25">
      <c r="G1210" s="7"/>
      <c r="P1210" s="7"/>
      <c r="Q1210" s="7"/>
      <c r="V1210" s="7"/>
      <c r="W1210" s="7"/>
      <c r="X1210" s="7"/>
      <c r="Y1210" s="7"/>
      <c r="Z1210" s="7"/>
      <c r="AA1210" s="7"/>
      <c r="AB1210" s="7"/>
      <c r="AC1210" s="7"/>
      <c r="AD1210" s="7"/>
      <c r="AE1210" s="154"/>
      <c r="AF1210" s="154"/>
      <c r="AH1210" s="7"/>
      <c r="AI1210" s="7"/>
      <c r="AJ1210" s="7"/>
      <c r="AL1210" s="154"/>
      <c r="AM1210" s="7"/>
      <c r="AN1210" s="13"/>
      <c r="AP1210" s="7"/>
      <c r="AQ1210" s="7"/>
      <c r="AR1210" s="7"/>
      <c r="AS1210" s="7"/>
      <c r="AT1210" s="7"/>
      <c r="AU1210" s="7"/>
    </row>
    <row r="1211" spans="7:47" ht="13.5" x14ac:dyDescent="0.25">
      <c r="G1211" s="7"/>
      <c r="P1211" s="7"/>
      <c r="Q1211" s="7"/>
      <c r="V1211" s="7"/>
      <c r="W1211" s="7"/>
      <c r="X1211" s="7"/>
      <c r="Y1211" s="7"/>
      <c r="Z1211" s="7"/>
      <c r="AA1211" s="7"/>
      <c r="AB1211" s="7"/>
      <c r="AC1211" s="7"/>
      <c r="AD1211" s="7"/>
      <c r="AE1211" s="154"/>
      <c r="AF1211" s="154"/>
      <c r="AH1211" s="7"/>
      <c r="AI1211" s="7"/>
      <c r="AJ1211" s="7"/>
      <c r="AL1211" s="154"/>
      <c r="AM1211" s="7"/>
      <c r="AN1211" s="13"/>
      <c r="AP1211" s="7"/>
      <c r="AQ1211" s="7"/>
      <c r="AR1211" s="7"/>
      <c r="AS1211" s="7"/>
      <c r="AT1211" s="7"/>
      <c r="AU1211" s="7"/>
    </row>
    <row r="1212" spans="7:47" ht="13.5" x14ac:dyDescent="0.25">
      <c r="G1212" s="7"/>
      <c r="P1212" s="7"/>
      <c r="Q1212" s="7"/>
      <c r="V1212" s="7"/>
      <c r="W1212" s="7"/>
      <c r="X1212" s="7"/>
      <c r="Y1212" s="7"/>
      <c r="Z1212" s="7"/>
      <c r="AA1212" s="7"/>
      <c r="AB1212" s="7"/>
      <c r="AC1212" s="7"/>
      <c r="AD1212" s="7"/>
      <c r="AE1212" s="154"/>
      <c r="AF1212" s="154"/>
      <c r="AH1212" s="7"/>
      <c r="AI1212" s="7"/>
      <c r="AJ1212" s="7"/>
      <c r="AL1212" s="154"/>
      <c r="AM1212" s="7"/>
      <c r="AN1212" s="13"/>
      <c r="AP1212" s="7"/>
      <c r="AQ1212" s="7"/>
      <c r="AR1212" s="7"/>
      <c r="AS1212" s="7"/>
      <c r="AT1212" s="7"/>
      <c r="AU1212" s="7"/>
    </row>
    <row r="1213" spans="7:47" ht="13.5" x14ac:dyDescent="0.25">
      <c r="G1213" s="7"/>
      <c r="P1213" s="7"/>
      <c r="Q1213" s="7"/>
      <c r="V1213" s="7"/>
      <c r="W1213" s="7"/>
      <c r="X1213" s="7"/>
      <c r="Y1213" s="7"/>
      <c r="Z1213" s="7"/>
      <c r="AA1213" s="7"/>
      <c r="AB1213" s="7"/>
      <c r="AC1213" s="7"/>
      <c r="AD1213" s="7"/>
      <c r="AE1213" s="154"/>
      <c r="AF1213" s="154"/>
      <c r="AH1213" s="7"/>
      <c r="AI1213" s="7"/>
      <c r="AJ1213" s="7"/>
      <c r="AL1213" s="154"/>
      <c r="AM1213" s="7"/>
      <c r="AN1213" s="13"/>
      <c r="AP1213" s="7"/>
      <c r="AQ1213" s="7"/>
      <c r="AR1213" s="7"/>
      <c r="AS1213" s="7"/>
      <c r="AT1213" s="7"/>
      <c r="AU1213" s="7"/>
    </row>
    <row r="1214" spans="7:47" ht="13.5" x14ac:dyDescent="0.25">
      <c r="G1214" s="7"/>
      <c r="P1214" s="7"/>
      <c r="Q1214" s="7"/>
      <c r="V1214" s="7"/>
      <c r="W1214" s="7"/>
      <c r="X1214" s="7"/>
      <c r="Y1214" s="7"/>
      <c r="Z1214" s="7"/>
      <c r="AA1214" s="7"/>
      <c r="AB1214" s="7"/>
      <c r="AC1214" s="7"/>
      <c r="AD1214" s="7"/>
      <c r="AE1214" s="154"/>
      <c r="AF1214" s="154"/>
      <c r="AH1214" s="7"/>
      <c r="AI1214" s="7"/>
      <c r="AJ1214" s="7"/>
      <c r="AL1214" s="154"/>
      <c r="AM1214" s="7"/>
      <c r="AN1214" s="13"/>
      <c r="AP1214" s="7"/>
      <c r="AQ1214" s="7"/>
      <c r="AR1214" s="7"/>
      <c r="AS1214" s="7"/>
      <c r="AT1214" s="7"/>
      <c r="AU1214" s="7"/>
    </row>
    <row r="1215" spans="7:47" ht="13.5" x14ac:dyDescent="0.25">
      <c r="G1215" s="7"/>
      <c r="P1215" s="7"/>
      <c r="Q1215" s="7"/>
      <c r="V1215" s="7"/>
      <c r="W1215" s="7"/>
      <c r="X1215" s="7"/>
      <c r="Y1215" s="7"/>
      <c r="Z1215" s="7"/>
      <c r="AA1215" s="7"/>
      <c r="AB1215" s="7"/>
      <c r="AC1215" s="7"/>
      <c r="AD1215" s="7"/>
      <c r="AE1215" s="154"/>
      <c r="AF1215" s="154"/>
      <c r="AH1215" s="7"/>
      <c r="AI1215" s="7"/>
      <c r="AJ1215" s="7"/>
      <c r="AL1215" s="154"/>
      <c r="AM1215" s="7"/>
      <c r="AN1215" s="13"/>
      <c r="AP1215" s="7"/>
      <c r="AQ1215" s="7"/>
      <c r="AR1215" s="7"/>
      <c r="AS1215" s="7"/>
      <c r="AT1215" s="7"/>
      <c r="AU1215" s="7"/>
    </row>
    <row r="1216" spans="7:47" ht="13.5" x14ac:dyDescent="0.25">
      <c r="G1216" s="7"/>
      <c r="P1216" s="7"/>
      <c r="Q1216" s="7"/>
      <c r="V1216" s="7"/>
      <c r="W1216" s="7"/>
      <c r="X1216" s="7"/>
      <c r="Y1216" s="7"/>
      <c r="Z1216" s="7"/>
      <c r="AA1216" s="7"/>
      <c r="AB1216" s="7"/>
      <c r="AC1216" s="7"/>
      <c r="AD1216" s="7"/>
      <c r="AE1216" s="154"/>
      <c r="AF1216" s="154"/>
      <c r="AH1216" s="7"/>
      <c r="AI1216" s="7"/>
      <c r="AJ1216" s="7"/>
      <c r="AL1216" s="154"/>
      <c r="AM1216" s="7"/>
      <c r="AN1216" s="13"/>
      <c r="AP1216" s="7"/>
      <c r="AQ1216" s="7"/>
      <c r="AR1216" s="7"/>
      <c r="AS1216" s="7"/>
      <c r="AT1216" s="7"/>
      <c r="AU1216" s="7"/>
    </row>
    <row r="1217" spans="7:47" ht="13.5" x14ac:dyDescent="0.25">
      <c r="G1217" s="7"/>
      <c r="P1217" s="7"/>
      <c r="Q1217" s="7"/>
      <c r="V1217" s="7"/>
      <c r="W1217" s="7"/>
      <c r="X1217" s="7"/>
      <c r="Y1217" s="7"/>
      <c r="Z1217" s="7"/>
      <c r="AA1217" s="7"/>
      <c r="AB1217" s="7"/>
      <c r="AC1217" s="7"/>
      <c r="AD1217" s="7"/>
      <c r="AE1217" s="154"/>
      <c r="AF1217" s="154"/>
      <c r="AH1217" s="7"/>
      <c r="AI1217" s="7"/>
      <c r="AJ1217" s="7"/>
      <c r="AL1217" s="154"/>
      <c r="AM1217" s="7"/>
      <c r="AN1217" s="13"/>
      <c r="AP1217" s="7"/>
      <c r="AQ1217" s="7"/>
      <c r="AR1217" s="7"/>
      <c r="AS1217" s="7"/>
      <c r="AT1217" s="7"/>
      <c r="AU1217" s="7"/>
    </row>
    <row r="1218" spans="7:47" ht="13.5" x14ac:dyDescent="0.25">
      <c r="G1218" s="7"/>
      <c r="P1218" s="7"/>
      <c r="Q1218" s="7"/>
      <c r="V1218" s="7"/>
      <c r="W1218" s="7"/>
      <c r="X1218" s="7"/>
      <c r="Y1218" s="7"/>
      <c r="Z1218" s="7"/>
      <c r="AA1218" s="7"/>
      <c r="AB1218" s="7"/>
      <c r="AC1218" s="7"/>
      <c r="AD1218" s="7"/>
      <c r="AE1218" s="154"/>
      <c r="AF1218" s="154"/>
      <c r="AH1218" s="7"/>
      <c r="AI1218" s="7"/>
      <c r="AJ1218" s="7"/>
      <c r="AL1218" s="154"/>
      <c r="AM1218" s="7"/>
      <c r="AN1218" s="13"/>
      <c r="AP1218" s="7"/>
      <c r="AQ1218" s="7"/>
      <c r="AR1218" s="7"/>
      <c r="AS1218" s="7"/>
      <c r="AT1218" s="7"/>
      <c r="AU1218" s="7"/>
    </row>
    <row r="1219" spans="7:47" ht="13.5" x14ac:dyDescent="0.25">
      <c r="G1219" s="7"/>
      <c r="P1219" s="7"/>
      <c r="Q1219" s="7"/>
      <c r="V1219" s="7"/>
      <c r="W1219" s="7"/>
      <c r="X1219" s="7"/>
      <c r="Y1219" s="7"/>
      <c r="Z1219" s="7"/>
      <c r="AA1219" s="7"/>
      <c r="AB1219" s="7"/>
      <c r="AC1219" s="7"/>
      <c r="AD1219" s="7"/>
      <c r="AE1219" s="154"/>
      <c r="AF1219" s="154"/>
      <c r="AH1219" s="7"/>
      <c r="AI1219" s="7"/>
      <c r="AJ1219" s="7"/>
      <c r="AL1219" s="154"/>
      <c r="AM1219" s="7"/>
      <c r="AN1219" s="13"/>
      <c r="AP1219" s="7"/>
      <c r="AQ1219" s="7"/>
      <c r="AR1219" s="7"/>
      <c r="AS1219" s="7"/>
      <c r="AT1219" s="7"/>
      <c r="AU1219" s="7"/>
    </row>
    <row r="1220" spans="7:47" ht="13.5" x14ac:dyDescent="0.25">
      <c r="G1220" s="7"/>
      <c r="P1220" s="7"/>
      <c r="Q1220" s="7"/>
      <c r="V1220" s="7"/>
      <c r="W1220" s="7"/>
      <c r="X1220" s="7"/>
      <c r="Y1220" s="7"/>
      <c r="Z1220" s="7"/>
      <c r="AA1220" s="7"/>
      <c r="AB1220" s="7"/>
      <c r="AC1220" s="7"/>
      <c r="AD1220" s="7"/>
      <c r="AE1220" s="154"/>
      <c r="AF1220" s="154"/>
      <c r="AH1220" s="7"/>
      <c r="AI1220" s="7"/>
      <c r="AJ1220" s="7"/>
      <c r="AL1220" s="154"/>
      <c r="AM1220" s="7"/>
      <c r="AN1220" s="13"/>
      <c r="AP1220" s="7"/>
      <c r="AQ1220" s="7"/>
      <c r="AR1220" s="7"/>
      <c r="AS1220" s="7"/>
      <c r="AT1220" s="7"/>
      <c r="AU1220" s="7"/>
    </row>
    <row r="1221" spans="7:47" ht="13.5" x14ac:dyDescent="0.25">
      <c r="G1221" s="7"/>
      <c r="P1221" s="7"/>
      <c r="Q1221" s="7"/>
      <c r="V1221" s="7"/>
      <c r="W1221" s="7"/>
      <c r="X1221" s="7"/>
      <c r="Y1221" s="7"/>
      <c r="Z1221" s="7"/>
      <c r="AA1221" s="7"/>
      <c r="AB1221" s="7"/>
      <c r="AC1221" s="7"/>
      <c r="AD1221" s="7"/>
      <c r="AE1221" s="154"/>
      <c r="AF1221" s="154"/>
      <c r="AH1221" s="7"/>
      <c r="AI1221" s="7"/>
      <c r="AJ1221" s="7"/>
      <c r="AL1221" s="154"/>
      <c r="AM1221" s="7"/>
      <c r="AN1221" s="13"/>
      <c r="AP1221" s="7"/>
      <c r="AQ1221" s="7"/>
      <c r="AR1221" s="7"/>
      <c r="AS1221" s="7"/>
      <c r="AT1221" s="7"/>
      <c r="AU1221" s="7"/>
    </row>
    <row r="1222" spans="7:47" ht="13.5" x14ac:dyDescent="0.25">
      <c r="G1222" s="7"/>
      <c r="P1222" s="7"/>
      <c r="Q1222" s="7"/>
      <c r="V1222" s="7"/>
      <c r="W1222" s="7"/>
      <c r="X1222" s="7"/>
      <c r="Y1222" s="7"/>
      <c r="Z1222" s="7"/>
      <c r="AA1222" s="7"/>
      <c r="AB1222" s="7"/>
      <c r="AC1222" s="7"/>
      <c r="AD1222" s="7"/>
      <c r="AE1222" s="154"/>
      <c r="AF1222" s="154"/>
      <c r="AH1222" s="7"/>
      <c r="AI1222" s="7"/>
      <c r="AJ1222" s="7"/>
      <c r="AL1222" s="154"/>
      <c r="AM1222" s="7"/>
      <c r="AN1222" s="13"/>
      <c r="AP1222" s="7"/>
      <c r="AQ1222" s="7"/>
      <c r="AR1222" s="7"/>
      <c r="AS1222" s="7"/>
      <c r="AT1222" s="7"/>
      <c r="AU1222" s="7"/>
    </row>
    <row r="1223" spans="7:47" ht="13.5" x14ac:dyDescent="0.25">
      <c r="G1223" s="7"/>
      <c r="P1223" s="7"/>
      <c r="Q1223" s="7"/>
      <c r="V1223" s="7"/>
      <c r="W1223" s="7"/>
      <c r="X1223" s="7"/>
      <c r="Y1223" s="7"/>
      <c r="Z1223" s="7"/>
      <c r="AA1223" s="7"/>
      <c r="AB1223" s="7"/>
      <c r="AC1223" s="7"/>
      <c r="AD1223" s="7"/>
      <c r="AE1223" s="154"/>
      <c r="AF1223" s="154"/>
      <c r="AH1223" s="7"/>
      <c r="AI1223" s="7"/>
      <c r="AJ1223" s="7"/>
      <c r="AL1223" s="154"/>
      <c r="AM1223" s="7"/>
      <c r="AN1223" s="13"/>
      <c r="AP1223" s="7"/>
      <c r="AQ1223" s="7"/>
      <c r="AR1223" s="7"/>
      <c r="AS1223" s="7"/>
      <c r="AT1223" s="7"/>
      <c r="AU1223" s="7"/>
    </row>
    <row r="1224" spans="7:47" ht="13.5" x14ac:dyDescent="0.25">
      <c r="G1224" s="7"/>
      <c r="P1224" s="7"/>
      <c r="Q1224" s="7"/>
      <c r="V1224" s="7"/>
      <c r="W1224" s="7"/>
      <c r="X1224" s="7"/>
      <c r="Y1224" s="7"/>
      <c r="Z1224" s="7"/>
      <c r="AA1224" s="7"/>
      <c r="AB1224" s="7"/>
      <c r="AC1224" s="7"/>
      <c r="AD1224" s="7"/>
      <c r="AE1224" s="154"/>
      <c r="AF1224" s="154"/>
      <c r="AH1224" s="7"/>
      <c r="AI1224" s="7"/>
      <c r="AJ1224" s="7"/>
      <c r="AL1224" s="154"/>
      <c r="AM1224" s="7"/>
      <c r="AN1224" s="13"/>
      <c r="AP1224" s="7"/>
      <c r="AQ1224" s="7"/>
      <c r="AR1224" s="7"/>
      <c r="AS1224" s="7"/>
      <c r="AT1224" s="7"/>
      <c r="AU1224" s="7"/>
    </row>
    <row r="1225" spans="7:47" ht="13.5" x14ac:dyDescent="0.25">
      <c r="G1225" s="7"/>
      <c r="P1225" s="7"/>
      <c r="Q1225" s="7"/>
      <c r="V1225" s="7"/>
      <c r="W1225" s="7"/>
      <c r="X1225" s="7"/>
      <c r="Y1225" s="7"/>
      <c r="Z1225" s="7"/>
      <c r="AA1225" s="7"/>
      <c r="AB1225" s="7"/>
      <c r="AC1225" s="7"/>
      <c r="AD1225" s="7"/>
      <c r="AE1225" s="154"/>
      <c r="AF1225" s="154"/>
      <c r="AH1225" s="7"/>
      <c r="AI1225" s="7"/>
      <c r="AJ1225" s="7"/>
      <c r="AL1225" s="154"/>
      <c r="AM1225" s="7"/>
      <c r="AN1225" s="13"/>
      <c r="AP1225" s="7"/>
      <c r="AQ1225" s="7"/>
      <c r="AR1225" s="7"/>
      <c r="AS1225" s="7"/>
      <c r="AT1225" s="7"/>
      <c r="AU1225" s="7"/>
    </row>
    <row r="1226" spans="7:47" ht="13.5" x14ac:dyDescent="0.25">
      <c r="G1226" s="7"/>
      <c r="P1226" s="7"/>
      <c r="Q1226" s="7"/>
      <c r="V1226" s="7"/>
      <c r="W1226" s="7"/>
      <c r="X1226" s="7"/>
      <c r="Y1226" s="7"/>
      <c r="Z1226" s="7"/>
      <c r="AA1226" s="7"/>
      <c r="AB1226" s="7"/>
      <c r="AC1226" s="7"/>
      <c r="AD1226" s="7"/>
      <c r="AE1226" s="154"/>
      <c r="AF1226" s="154"/>
      <c r="AH1226" s="7"/>
      <c r="AI1226" s="7"/>
      <c r="AJ1226" s="7"/>
      <c r="AL1226" s="154"/>
      <c r="AM1226" s="7"/>
      <c r="AN1226" s="13"/>
      <c r="AP1226" s="7"/>
      <c r="AQ1226" s="7"/>
      <c r="AR1226" s="7"/>
      <c r="AS1226" s="7"/>
      <c r="AT1226" s="7"/>
      <c r="AU1226" s="7"/>
    </row>
    <row r="1227" spans="7:47" ht="13.5" x14ac:dyDescent="0.25">
      <c r="G1227" s="7"/>
      <c r="P1227" s="7"/>
      <c r="Q1227" s="7"/>
      <c r="V1227" s="7"/>
      <c r="W1227" s="7"/>
      <c r="X1227" s="7"/>
      <c r="Y1227" s="7"/>
      <c r="Z1227" s="7"/>
      <c r="AA1227" s="7"/>
      <c r="AB1227" s="7"/>
      <c r="AC1227" s="7"/>
      <c r="AD1227" s="7"/>
      <c r="AE1227" s="154"/>
      <c r="AF1227" s="154"/>
      <c r="AH1227" s="7"/>
      <c r="AI1227" s="7"/>
      <c r="AJ1227" s="7"/>
      <c r="AL1227" s="154"/>
      <c r="AM1227" s="7"/>
      <c r="AN1227" s="13"/>
      <c r="AP1227" s="7"/>
      <c r="AQ1227" s="7"/>
      <c r="AR1227" s="7"/>
      <c r="AS1227" s="7"/>
      <c r="AT1227" s="7"/>
      <c r="AU1227" s="7"/>
    </row>
    <row r="1228" spans="7:47" ht="13.5" x14ac:dyDescent="0.25">
      <c r="G1228" s="7"/>
      <c r="P1228" s="7"/>
      <c r="Q1228" s="7"/>
      <c r="V1228" s="7"/>
      <c r="W1228" s="7"/>
      <c r="X1228" s="7"/>
      <c r="Y1228" s="7"/>
      <c r="Z1228" s="7"/>
      <c r="AA1228" s="7"/>
      <c r="AB1228" s="7"/>
      <c r="AC1228" s="7"/>
      <c r="AD1228" s="7"/>
      <c r="AE1228" s="154"/>
      <c r="AF1228" s="154"/>
      <c r="AH1228" s="7"/>
      <c r="AI1228" s="7"/>
      <c r="AJ1228" s="7"/>
      <c r="AL1228" s="154"/>
      <c r="AM1228" s="7"/>
      <c r="AN1228" s="13"/>
      <c r="AP1228" s="7"/>
      <c r="AQ1228" s="7"/>
      <c r="AR1228" s="7"/>
      <c r="AS1228" s="7"/>
      <c r="AT1228" s="7"/>
      <c r="AU1228" s="7"/>
    </row>
    <row r="1229" spans="7:47" ht="13.5" x14ac:dyDescent="0.25">
      <c r="G1229" s="7"/>
      <c r="P1229" s="7"/>
      <c r="Q1229" s="7"/>
      <c r="V1229" s="7"/>
      <c r="W1229" s="7"/>
      <c r="X1229" s="7"/>
      <c r="Y1229" s="7"/>
      <c r="Z1229" s="7"/>
      <c r="AA1229" s="7"/>
      <c r="AB1229" s="7"/>
      <c r="AC1229" s="7"/>
      <c r="AD1229" s="7"/>
      <c r="AE1229" s="154"/>
      <c r="AF1229" s="154"/>
      <c r="AH1229" s="7"/>
      <c r="AI1229" s="7"/>
      <c r="AJ1229" s="7"/>
      <c r="AL1229" s="154"/>
      <c r="AM1229" s="7"/>
      <c r="AN1229" s="13"/>
      <c r="AP1229" s="7"/>
      <c r="AQ1229" s="7"/>
      <c r="AR1229" s="7"/>
      <c r="AS1229" s="7"/>
      <c r="AT1229" s="7"/>
      <c r="AU1229" s="7"/>
    </row>
    <row r="1230" spans="7:47" ht="13.5" x14ac:dyDescent="0.25">
      <c r="G1230" s="7"/>
      <c r="P1230" s="7"/>
      <c r="Q1230" s="7"/>
      <c r="V1230" s="7"/>
      <c r="W1230" s="7"/>
      <c r="X1230" s="7"/>
      <c r="Y1230" s="7"/>
      <c r="Z1230" s="7"/>
      <c r="AA1230" s="7"/>
      <c r="AB1230" s="7"/>
      <c r="AC1230" s="7"/>
      <c r="AD1230" s="7"/>
      <c r="AE1230" s="154"/>
      <c r="AF1230" s="154"/>
      <c r="AH1230" s="7"/>
      <c r="AI1230" s="7"/>
      <c r="AJ1230" s="7"/>
      <c r="AL1230" s="154"/>
      <c r="AM1230" s="7"/>
      <c r="AN1230" s="13"/>
      <c r="AP1230" s="7"/>
      <c r="AQ1230" s="7"/>
      <c r="AR1230" s="7"/>
      <c r="AS1230" s="7"/>
      <c r="AT1230" s="7"/>
      <c r="AU1230" s="7"/>
    </row>
    <row r="1231" spans="7:47" ht="13.5" x14ac:dyDescent="0.25">
      <c r="G1231" s="7"/>
      <c r="P1231" s="7"/>
      <c r="Q1231" s="7"/>
      <c r="V1231" s="7"/>
      <c r="W1231" s="7"/>
      <c r="X1231" s="7"/>
      <c r="Y1231" s="7"/>
      <c r="Z1231" s="7"/>
      <c r="AA1231" s="7"/>
      <c r="AB1231" s="7"/>
      <c r="AC1231" s="7"/>
      <c r="AD1231" s="7"/>
      <c r="AE1231" s="154"/>
      <c r="AF1231" s="154"/>
      <c r="AH1231" s="7"/>
      <c r="AI1231" s="7"/>
      <c r="AJ1231" s="7"/>
      <c r="AL1231" s="154"/>
      <c r="AM1231" s="7"/>
      <c r="AN1231" s="13"/>
      <c r="AP1231" s="7"/>
      <c r="AQ1231" s="7"/>
      <c r="AR1231" s="7"/>
      <c r="AS1231" s="7"/>
      <c r="AT1231" s="7"/>
      <c r="AU1231" s="7"/>
    </row>
    <row r="1232" spans="7:47" x14ac:dyDescent="0.3">
      <c r="G1232" s="7"/>
      <c r="P1232" s="7"/>
      <c r="Q1232" s="7"/>
      <c r="V1232" s="7"/>
      <c r="W1232" s="7"/>
      <c r="X1232" s="7"/>
      <c r="Y1232" s="7"/>
      <c r="Z1232" s="7"/>
      <c r="AA1232" s="7"/>
      <c r="AB1232" s="7"/>
      <c r="AC1232" s="7"/>
      <c r="AD1232" s="7"/>
      <c r="AE1232" s="154"/>
      <c r="AF1232" s="154"/>
      <c r="AH1232" s="7"/>
      <c r="AI1232" s="7"/>
      <c r="AJ1232" s="7"/>
      <c r="AL1232" s="154"/>
      <c r="AM1232" s="7"/>
      <c r="AN1232" s="13"/>
      <c r="AP1232" s="7"/>
      <c r="AQ1232" s="7"/>
    </row>
    <row r="1233" spans="7:47" x14ac:dyDescent="0.3">
      <c r="G1233" s="7"/>
      <c r="P1233" s="7"/>
      <c r="Q1233" s="7"/>
      <c r="V1233" s="7"/>
      <c r="W1233" s="7"/>
      <c r="X1233" s="7"/>
      <c r="Y1233" s="7"/>
      <c r="Z1233" s="7"/>
      <c r="AA1233" s="7"/>
      <c r="AB1233" s="7"/>
      <c r="AC1233" s="7"/>
      <c r="AD1233" s="7"/>
      <c r="AE1233" s="154"/>
      <c r="AF1233" s="154"/>
      <c r="AH1233" s="7"/>
      <c r="AI1233" s="7"/>
      <c r="AJ1233" s="7"/>
      <c r="AL1233" s="154"/>
      <c r="AM1233" s="7"/>
      <c r="AN1233" s="13"/>
      <c r="AP1233" s="7"/>
      <c r="AQ1233" s="7"/>
    </row>
    <row r="1234" spans="7:47" x14ac:dyDescent="0.3">
      <c r="G1234" s="7"/>
      <c r="P1234" s="7"/>
      <c r="Q1234" s="7"/>
      <c r="V1234" s="7"/>
      <c r="W1234" s="7"/>
      <c r="X1234" s="7"/>
      <c r="Y1234" s="7"/>
      <c r="Z1234" s="7"/>
      <c r="AA1234" s="7"/>
      <c r="AB1234" s="7"/>
      <c r="AC1234" s="7"/>
      <c r="AD1234" s="7"/>
      <c r="AE1234" s="154"/>
      <c r="AF1234" s="154"/>
      <c r="AH1234" s="7"/>
      <c r="AI1234" s="7"/>
      <c r="AJ1234" s="7"/>
      <c r="AL1234" s="154"/>
      <c r="AM1234" s="7"/>
      <c r="AN1234" s="13"/>
      <c r="AP1234" s="7"/>
      <c r="AQ1234" s="7"/>
    </row>
    <row r="1235" spans="7:47" x14ac:dyDescent="0.3">
      <c r="G1235" s="7"/>
      <c r="P1235" s="7"/>
      <c r="Q1235" s="7"/>
      <c r="V1235" s="7"/>
      <c r="W1235" s="7"/>
      <c r="X1235" s="7"/>
      <c r="Y1235" s="7"/>
      <c r="Z1235" s="7"/>
      <c r="AA1235" s="7"/>
      <c r="AB1235" s="7"/>
      <c r="AC1235" s="7"/>
      <c r="AD1235" s="7"/>
      <c r="AE1235" s="154"/>
      <c r="AF1235" s="154"/>
      <c r="AH1235" s="7"/>
      <c r="AI1235" s="7"/>
      <c r="AJ1235" s="7"/>
      <c r="AL1235" s="154"/>
      <c r="AM1235" s="7"/>
      <c r="AN1235" s="13"/>
      <c r="AP1235" s="7"/>
      <c r="AQ1235" s="7"/>
    </row>
    <row r="1236" spans="7:47" x14ac:dyDescent="0.3">
      <c r="G1236" s="7"/>
      <c r="P1236" s="7"/>
      <c r="Q1236" s="7"/>
      <c r="V1236" s="7"/>
      <c r="W1236" s="7"/>
      <c r="X1236" s="7"/>
      <c r="Y1236" s="7"/>
      <c r="Z1236" s="7"/>
      <c r="AA1236" s="7"/>
      <c r="AB1236" s="7"/>
      <c r="AC1236" s="7"/>
      <c r="AD1236" s="7"/>
      <c r="AE1236" s="154"/>
      <c r="AF1236" s="154"/>
      <c r="AH1236" s="7"/>
      <c r="AI1236" s="7"/>
      <c r="AJ1236" s="7"/>
      <c r="AL1236" s="154"/>
      <c r="AM1236" s="7"/>
      <c r="AN1236" s="13"/>
      <c r="AP1236" s="7"/>
      <c r="AQ1236" s="7"/>
    </row>
    <row r="1237" spans="7:47" x14ac:dyDescent="0.3">
      <c r="G1237" s="7"/>
      <c r="P1237" s="7"/>
      <c r="Q1237" s="7"/>
      <c r="V1237" s="7"/>
      <c r="W1237" s="7"/>
      <c r="X1237" s="7"/>
      <c r="Y1237" s="7"/>
      <c r="Z1237" s="7"/>
      <c r="AA1237" s="7"/>
      <c r="AB1237" s="7"/>
      <c r="AC1237" s="7"/>
      <c r="AD1237" s="7"/>
      <c r="AE1237" s="154"/>
      <c r="AF1237" s="154"/>
      <c r="AH1237" s="7"/>
      <c r="AI1237" s="7"/>
      <c r="AJ1237" s="7"/>
      <c r="AL1237" s="154"/>
      <c r="AM1237" s="7"/>
      <c r="AN1237" s="13"/>
      <c r="AP1237" s="7"/>
      <c r="AQ1237" s="7"/>
    </row>
    <row r="1238" spans="7:47" x14ac:dyDescent="0.3">
      <c r="G1238" s="7"/>
      <c r="P1238" s="7"/>
      <c r="Q1238" s="7"/>
      <c r="V1238" s="7"/>
      <c r="W1238" s="7"/>
      <c r="X1238" s="7"/>
      <c r="Y1238" s="7"/>
      <c r="Z1238" s="7"/>
      <c r="AA1238" s="7"/>
      <c r="AB1238" s="7"/>
      <c r="AC1238" s="7"/>
      <c r="AD1238" s="7"/>
      <c r="AE1238" s="154"/>
      <c r="AF1238" s="154"/>
      <c r="AH1238" s="7"/>
      <c r="AI1238" s="7"/>
      <c r="AJ1238" s="7"/>
      <c r="AL1238" s="154"/>
      <c r="AM1238" s="7"/>
      <c r="AN1238" s="13"/>
      <c r="AP1238" s="7"/>
      <c r="AQ1238" s="7"/>
    </row>
    <row r="1239" spans="7:47" x14ac:dyDescent="0.3">
      <c r="G1239" s="7"/>
      <c r="P1239" s="7"/>
      <c r="Q1239" s="7"/>
      <c r="V1239" s="7"/>
      <c r="W1239" s="7"/>
      <c r="X1239" s="7"/>
      <c r="Y1239" s="7"/>
      <c r="Z1239" s="7"/>
      <c r="AA1239" s="7"/>
      <c r="AB1239" s="7"/>
      <c r="AC1239" s="7"/>
      <c r="AD1239" s="7"/>
      <c r="AE1239" s="154"/>
      <c r="AF1239" s="154"/>
      <c r="AH1239" s="7"/>
      <c r="AI1239" s="7"/>
      <c r="AJ1239" s="7"/>
      <c r="AL1239" s="154"/>
      <c r="AM1239" s="7"/>
      <c r="AN1239" s="13"/>
      <c r="AP1239" s="7"/>
      <c r="AQ1239" s="7"/>
    </row>
    <row r="1240" spans="7:47" x14ac:dyDescent="0.3">
      <c r="G1240" s="7"/>
      <c r="P1240" s="7"/>
      <c r="Q1240" s="7"/>
      <c r="V1240" s="7"/>
      <c r="W1240" s="7"/>
      <c r="X1240" s="7"/>
      <c r="Y1240" s="7"/>
      <c r="Z1240" s="7"/>
      <c r="AA1240" s="7"/>
      <c r="AB1240" s="7"/>
      <c r="AC1240" s="7"/>
      <c r="AD1240" s="7"/>
      <c r="AE1240" s="154"/>
      <c r="AF1240" s="154"/>
      <c r="AH1240" s="7"/>
      <c r="AI1240" s="7"/>
      <c r="AJ1240" s="7"/>
      <c r="AL1240" s="154"/>
      <c r="AM1240" s="7"/>
      <c r="AN1240" s="13"/>
      <c r="AP1240" s="7"/>
      <c r="AQ1240" s="7"/>
    </row>
    <row r="1241" spans="7:47" x14ac:dyDescent="0.3">
      <c r="G1241" s="7"/>
      <c r="P1241" s="7"/>
      <c r="Q1241" s="7"/>
      <c r="V1241" s="7"/>
      <c r="W1241" s="7"/>
      <c r="X1241" s="7"/>
      <c r="Y1241" s="7"/>
      <c r="Z1241" s="7"/>
      <c r="AA1241" s="7"/>
      <c r="AB1241" s="7"/>
      <c r="AC1241" s="7"/>
      <c r="AD1241" s="7"/>
      <c r="AE1241" s="154"/>
      <c r="AF1241" s="154"/>
      <c r="AH1241" s="7"/>
      <c r="AI1241" s="7"/>
      <c r="AJ1241" s="7"/>
      <c r="AL1241" s="154"/>
      <c r="AM1241" s="7"/>
      <c r="AN1241" s="13"/>
      <c r="AP1241" s="7"/>
      <c r="AQ1241" s="7"/>
    </row>
    <row r="1242" spans="7:47" ht="13.5" x14ac:dyDescent="0.25">
      <c r="G1242" s="7"/>
      <c r="P1242" s="7"/>
      <c r="Q1242" s="7"/>
      <c r="V1242" s="7"/>
      <c r="W1242" s="7"/>
      <c r="X1242" s="7"/>
      <c r="Y1242" s="7"/>
      <c r="Z1242" s="7"/>
      <c r="AA1242" s="7"/>
      <c r="AB1242" s="7"/>
      <c r="AC1242" s="7"/>
      <c r="AD1242" s="7"/>
      <c r="AE1242" s="154"/>
      <c r="AF1242" s="154"/>
      <c r="AH1242" s="7"/>
      <c r="AI1242" s="7"/>
      <c r="AJ1242" s="7"/>
      <c r="AL1242" s="154"/>
      <c r="AM1242" s="7"/>
      <c r="AN1242" s="13"/>
      <c r="AP1242" s="7"/>
      <c r="AQ1242" s="7"/>
      <c r="AR1242" s="7"/>
      <c r="AS1242" s="7"/>
      <c r="AT1242" s="7"/>
      <c r="AU1242" s="7"/>
    </row>
    <row r="1243" spans="7:47" ht="13.5" x14ac:dyDescent="0.25">
      <c r="G1243" s="7"/>
      <c r="P1243" s="7"/>
      <c r="Q1243" s="7"/>
      <c r="V1243" s="7"/>
      <c r="W1243" s="7"/>
      <c r="X1243" s="7"/>
      <c r="Y1243" s="7"/>
      <c r="Z1243" s="7"/>
      <c r="AA1243" s="7"/>
      <c r="AB1243" s="7"/>
      <c r="AC1243" s="7"/>
      <c r="AD1243" s="7"/>
      <c r="AE1243" s="154"/>
      <c r="AF1243" s="154"/>
      <c r="AH1243" s="7"/>
      <c r="AI1243" s="7"/>
      <c r="AJ1243" s="7"/>
      <c r="AL1243" s="154"/>
      <c r="AM1243" s="7"/>
      <c r="AN1243" s="13"/>
      <c r="AP1243" s="7"/>
      <c r="AQ1243" s="7"/>
      <c r="AR1243" s="7"/>
      <c r="AS1243" s="7"/>
      <c r="AT1243" s="7"/>
      <c r="AU1243" s="7"/>
    </row>
    <row r="1244" spans="7:47" ht="13.5" x14ac:dyDescent="0.25">
      <c r="G1244" s="7"/>
      <c r="P1244" s="7"/>
      <c r="Q1244" s="7"/>
      <c r="V1244" s="7"/>
      <c r="W1244" s="7"/>
      <c r="X1244" s="7"/>
      <c r="Y1244" s="7"/>
      <c r="Z1244" s="7"/>
      <c r="AA1244" s="7"/>
      <c r="AB1244" s="7"/>
      <c r="AC1244" s="7"/>
      <c r="AD1244" s="7"/>
      <c r="AE1244" s="154"/>
      <c r="AF1244" s="154"/>
      <c r="AH1244" s="7"/>
      <c r="AI1244" s="7"/>
      <c r="AJ1244" s="7"/>
      <c r="AL1244" s="154"/>
      <c r="AM1244" s="7"/>
      <c r="AN1244" s="13"/>
      <c r="AP1244" s="7"/>
      <c r="AQ1244" s="7"/>
      <c r="AR1244" s="7"/>
      <c r="AS1244" s="7"/>
      <c r="AT1244" s="7"/>
      <c r="AU1244" s="7"/>
    </row>
    <row r="1245" spans="7:47" ht="13.5" x14ac:dyDescent="0.25">
      <c r="G1245" s="7"/>
      <c r="P1245" s="7"/>
      <c r="Q1245" s="7"/>
      <c r="V1245" s="7"/>
      <c r="W1245" s="7"/>
      <c r="X1245" s="7"/>
      <c r="Y1245" s="7"/>
      <c r="Z1245" s="7"/>
      <c r="AA1245" s="7"/>
      <c r="AB1245" s="7"/>
      <c r="AC1245" s="7"/>
      <c r="AD1245" s="7"/>
      <c r="AE1245" s="154"/>
      <c r="AF1245" s="154"/>
      <c r="AH1245" s="7"/>
      <c r="AI1245" s="7"/>
      <c r="AJ1245" s="7"/>
      <c r="AL1245" s="154"/>
      <c r="AM1245" s="7"/>
      <c r="AN1245" s="13"/>
      <c r="AP1245" s="7"/>
      <c r="AQ1245" s="7"/>
      <c r="AR1245" s="7"/>
      <c r="AS1245" s="7"/>
      <c r="AT1245" s="7"/>
      <c r="AU1245" s="7"/>
    </row>
    <row r="1246" spans="7:47" ht="13.5" x14ac:dyDescent="0.25">
      <c r="G1246" s="7"/>
      <c r="P1246" s="7"/>
      <c r="Q1246" s="7"/>
      <c r="V1246" s="7"/>
      <c r="W1246" s="7"/>
      <c r="X1246" s="7"/>
      <c r="Y1246" s="7"/>
      <c r="Z1246" s="7"/>
      <c r="AA1246" s="7"/>
      <c r="AB1246" s="7"/>
      <c r="AC1246" s="7"/>
      <c r="AD1246" s="7"/>
      <c r="AE1246" s="154"/>
      <c r="AF1246" s="154"/>
      <c r="AH1246" s="7"/>
      <c r="AI1246" s="7"/>
      <c r="AJ1246" s="7"/>
      <c r="AL1246" s="154"/>
      <c r="AM1246" s="7"/>
      <c r="AN1246" s="13"/>
      <c r="AP1246" s="7"/>
      <c r="AQ1246" s="7"/>
      <c r="AR1246" s="7"/>
      <c r="AS1246" s="7"/>
      <c r="AT1246" s="7"/>
      <c r="AU1246" s="7"/>
    </row>
    <row r="1247" spans="7:47" ht="13.5" x14ac:dyDescent="0.25">
      <c r="G1247" s="7"/>
      <c r="P1247" s="7"/>
      <c r="Q1247" s="7"/>
      <c r="V1247" s="7"/>
      <c r="W1247" s="7"/>
      <c r="X1247" s="7"/>
      <c r="Y1247" s="7"/>
      <c r="Z1247" s="7"/>
      <c r="AA1247" s="7"/>
      <c r="AB1247" s="7"/>
      <c r="AC1247" s="7"/>
      <c r="AD1247" s="7"/>
      <c r="AE1247" s="154"/>
      <c r="AF1247" s="154"/>
      <c r="AH1247" s="7"/>
      <c r="AI1247" s="7"/>
      <c r="AJ1247" s="7"/>
      <c r="AL1247" s="154"/>
      <c r="AM1247" s="7"/>
      <c r="AN1247" s="13"/>
      <c r="AP1247" s="7"/>
      <c r="AQ1247" s="7"/>
      <c r="AR1247" s="7"/>
      <c r="AS1247" s="7"/>
      <c r="AT1247" s="7"/>
      <c r="AU1247" s="7"/>
    </row>
    <row r="1248" spans="7:47" ht="13.5" x14ac:dyDescent="0.25">
      <c r="G1248" s="7"/>
      <c r="P1248" s="7"/>
      <c r="Q1248" s="7"/>
      <c r="V1248" s="7"/>
      <c r="W1248" s="7"/>
      <c r="X1248" s="7"/>
      <c r="Y1248" s="7"/>
      <c r="Z1248" s="7"/>
      <c r="AA1248" s="7"/>
      <c r="AB1248" s="7"/>
      <c r="AC1248" s="7"/>
      <c r="AD1248" s="7"/>
      <c r="AE1248" s="154"/>
      <c r="AF1248" s="154"/>
      <c r="AH1248" s="7"/>
      <c r="AI1248" s="7"/>
      <c r="AJ1248" s="7"/>
      <c r="AL1248" s="154"/>
      <c r="AM1248" s="7"/>
      <c r="AN1248" s="13"/>
      <c r="AP1248" s="7"/>
      <c r="AQ1248" s="7"/>
      <c r="AR1248" s="7"/>
      <c r="AS1248" s="7"/>
      <c r="AT1248" s="7"/>
      <c r="AU1248" s="7"/>
    </row>
    <row r="1249" spans="7:47" ht="13.5" x14ac:dyDescent="0.25">
      <c r="G1249" s="7"/>
      <c r="P1249" s="7"/>
      <c r="Q1249" s="7"/>
      <c r="V1249" s="7"/>
      <c r="W1249" s="7"/>
      <c r="X1249" s="7"/>
      <c r="Y1249" s="7"/>
      <c r="Z1249" s="7"/>
      <c r="AA1249" s="7"/>
      <c r="AB1249" s="7"/>
      <c r="AC1249" s="7"/>
      <c r="AD1249" s="7"/>
      <c r="AE1249" s="154"/>
      <c r="AF1249" s="154"/>
      <c r="AH1249" s="7"/>
      <c r="AI1249" s="7"/>
      <c r="AJ1249" s="7"/>
      <c r="AL1249" s="154"/>
      <c r="AM1249" s="7"/>
      <c r="AN1249" s="13"/>
      <c r="AP1249" s="7"/>
      <c r="AQ1249" s="7"/>
      <c r="AR1249" s="7"/>
      <c r="AS1249" s="7"/>
      <c r="AT1249" s="7"/>
      <c r="AU1249" s="7"/>
    </row>
    <row r="1250" spans="7:47" ht="13.5" x14ac:dyDescent="0.25">
      <c r="G1250" s="7"/>
      <c r="P1250" s="7"/>
      <c r="Q1250" s="7"/>
      <c r="V1250" s="7"/>
      <c r="W1250" s="7"/>
      <c r="X1250" s="7"/>
      <c r="Y1250" s="7"/>
      <c r="Z1250" s="7"/>
      <c r="AA1250" s="7"/>
      <c r="AB1250" s="7"/>
      <c r="AC1250" s="7"/>
      <c r="AD1250" s="7"/>
      <c r="AE1250" s="154"/>
      <c r="AF1250" s="154"/>
      <c r="AH1250" s="7"/>
      <c r="AI1250" s="7"/>
      <c r="AJ1250" s="7"/>
      <c r="AL1250" s="154"/>
      <c r="AM1250" s="7"/>
      <c r="AN1250" s="13"/>
      <c r="AP1250" s="7"/>
      <c r="AQ1250" s="7"/>
      <c r="AR1250" s="7"/>
      <c r="AS1250" s="7"/>
      <c r="AT1250" s="7"/>
      <c r="AU1250" s="7"/>
    </row>
    <row r="1251" spans="7:47" ht="13.5" x14ac:dyDescent="0.25">
      <c r="G1251" s="7"/>
      <c r="P1251" s="7"/>
      <c r="Q1251" s="7"/>
      <c r="V1251" s="7"/>
      <c r="W1251" s="7"/>
      <c r="X1251" s="7"/>
      <c r="Y1251" s="7"/>
      <c r="Z1251" s="7"/>
      <c r="AA1251" s="7"/>
      <c r="AB1251" s="7"/>
      <c r="AC1251" s="7"/>
      <c r="AD1251" s="7"/>
      <c r="AE1251" s="154"/>
      <c r="AF1251" s="154"/>
      <c r="AH1251" s="7"/>
      <c r="AI1251" s="7"/>
      <c r="AJ1251" s="7"/>
      <c r="AL1251" s="154"/>
      <c r="AM1251" s="7"/>
      <c r="AN1251" s="13"/>
      <c r="AP1251" s="7"/>
      <c r="AQ1251" s="7"/>
      <c r="AR1251" s="7"/>
      <c r="AS1251" s="7"/>
      <c r="AT1251" s="7"/>
      <c r="AU1251" s="7"/>
    </row>
    <row r="1252" spans="7:47" ht="13.5" x14ac:dyDescent="0.25">
      <c r="G1252" s="7"/>
      <c r="P1252" s="7"/>
      <c r="Q1252" s="7"/>
      <c r="V1252" s="7"/>
      <c r="W1252" s="7"/>
      <c r="X1252" s="7"/>
      <c r="Y1252" s="7"/>
      <c r="Z1252" s="7"/>
      <c r="AA1252" s="7"/>
      <c r="AB1252" s="7"/>
      <c r="AC1252" s="7"/>
      <c r="AD1252" s="7"/>
      <c r="AE1252" s="154"/>
      <c r="AF1252" s="154"/>
      <c r="AH1252" s="7"/>
      <c r="AI1252" s="7"/>
      <c r="AJ1252" s="7"/>
      <c r="AL1252" s="154"/>
      <c r="AM1252" s="7"/>
      <c r="AN1252" s="13"/>
      <c r="AP1252" s="7"/>
      <c r="AQ1252" s="7"/>
      <c r="AR1252" s="7"/>
      <c r="AS1252" s="7"/>
      <c r="AT1252" s="7"/>
      <c r="AU1252" s="7"/>
    </row>
    <row r="1253" spans="7:47" ht="13.5" x14ac:dyDescent="0.25">
      <c r="G1253" s="7"/>
      <c r="P1253" s="7"/>
      <c r="Q1253" s="7"/>
      <c r="V1253" s="7"/>
      <c r="W1253" s="7"/>
      <c r="X1253" s="7"/>
      <c r="Y1253" s="7"/>
      <c r="Z1253" s="7"/>
      <c r="AA1253" s="7"/>
      <c r="AB1253" s="7"/>
      <c r="AC1253" s="7"/>
      <c r="AD1253" s="7"/>
      <c r="AE1253" s="154"/>
      <c r="AF1253" s="154"/>
      <c r="AH1253" s="7"/>
      <c r="AI1253" s="7"/>
      <c r="AJ1253" s="7"/>
      <c r="AL1253" s="154"/>
      <c r="AM1253" s="7"/>
      <c r="AN1253" s="13"/>
      <c r="AP1253" s="7"/>
      <c r="AQ1253" s="7"/>
      <c r="AR1253" s="7"/>
      <c r="AS1253" s="7"/>
      <c r="AT1253" s="7"/>
      <c r="AU1253" s="7"/>
    </row>
    <row r="1254" spans="7:47" ht="13.5" x14ac:dyDescent="0.25">
      <c r="G1254" s="7"/>
      <c r="P1254" s="7"/>
      <c r="Q1254" s="7"/>
      <c r="V1254" s="7"/>
      <c r="W1254" s="7"/>
      <c r="X1254" s="7"/>
      <c r="Y1254" s="7"/>
      <c r="Z1254" s="7"/>
      <c r="AA1254" s="7"/>
      <c r="AB1254" s="7"/>
      <c r="AC1254" s="7"/>
      <c r="AD1254" s="7"/>
      <c r="AE1254" s="154"/>
      <c r="AF1254" s="154"/>
      <c r="AH1254" s="7"/>
      <c r="AI1254" s="7"/>
      <c r="AJ1254" s="7"/>
      <c r="AL1254" s="154"/>
      <c r="AM1254" s="7"/>
      <c r="AN1254" s="13"/>
      <c r="AP1254" s="7"/>
      <c r="AQ1254" s="7"/>
      <c r="AR1254" s="7"/>
      <c r="AS1254" s="7"/>
      <c r="AT1254" s="7"/>
      <c r="AU1254" s="7"/>
    </row>
    <row r="1255" spans="7:47" ht="13.5" x14ac:dyDescent="0.25">
      <c r="G1255" s="7"/>
      <c r="P1255" s="7"/>
      <c r="Q1255" s="7"/>
      <c r="V1255" s="7"/>
      <c r="W1255" s="7"/>
      <c r="X1255" s="7"/>
      <c r="Y1255" s="7"/>
      <c r="Z1255" s="7"/>
      <c r="AA1255" s="7"/>
      <c r="AB1255" s="7"/>
      <c r="AC1255" s="7"/>
      <c r="AD1255" s="7"/>
      <c r="AE1255" s="154"/>
      <c r="AF1255" s="154"/>
      <c r="AH1255" s="7"/>
      <c r="AI1255" s="7"/>
      <c r="AJ1255" s="7"/>
      <c r="AL1255" s="154"/>
      <c r="AM1255" s="7"/>
      <c r="AN1255" s="13"/>
      <c r="AP1255" s="7"/>
      <c r="AQ1255" s="7"/>
      <c r="AR1255" s="7"/>
      <c r="AS1255" s="7"/>
      <c r="AT1255" s="7"/>
      <c r="AU1255" s="7"/>
    </row>
    <row r="1256" spans="7:47" ht="13.5" x14ac:dyDescent="0.25">
      <c r="G1256" s="7"/>
      <c r="P1256" s="7"/>
      <c r="Q1256" s="7"/>
      <c r="V1256" s="7"/>
      <c r="W1256" s="7"/>
      <c r="X1256" s="7"/>
      <c r="Y1256" s="7"/>
      <c r="Z1256" s="7"/>
      <c r="AA1256" s="7"/>
      <c r="AB1256" s="7"/>
      <c r="AC1256" s="7"/>
      <c r="AD1256" s="7"/>
      <c r="AE1256" s="154"/>
      <c r="AF1256" s="154"/>
      <c r="AH1256" s="7"/>
      <c r="AI1256" s="7"/>
      <c r="AJ1256" s="7"/>
      <c r="AL1256" s="154"/>
      <c r="AM1256" s="7"/>
      <c r="AN1256" s="13"/>
      <c r="AP1256" s="7"/>
      <c r="AQ1256" s="7"/>
      <c r="AR1256" s="7"/>
      <c r="AS1256" s="7"/>
      <c r="AT1256" s="7"/>
      <c r="AU1256" s="7"/>
    </row>
    <row r="1257" spans="7:47" ht="13.5" x14ac:dyDescent="0.25">
      <c r="G1257" s="7"/>
      <c r="P1257" s="7"/>
      <c r="Q1257" s="7"/>
      <c r="V1257" s="7"/>
      <c r="W1257" s="7"/>
      <c r="X1257" s="7"/>
      <c r="Y1257" s="7"/>
      <c r="Z1257" s="7"/>
      <c r="AA1257" s="7"/>
      <c r="AB1257" s="7"/>
      <c r="AC1257" s="7"/>
      <c r="AD1257" s="7"/>
      <c r="AE1257" s="154"/>
      <c r="AF1257" s="154"/>
      <c r="AH1257" s="7"/>
      <c r="AI1257" s="7"/>
      <c r="AJ1257" s="7"/>
      <c r="AL1257" s="154"/>
      <c r="AM1257" s="7"/>
      <c r="AN1257" s="13"/>
      <c r="AP1257" s="7"/>
      <c r="AQ1257" s="7"/>
      <c r="AR1257" s="7"/>
      <c r="AS1257" s="7"/>
      <c r="AT1257" s="7"/>
      <c r="AU1257" s="7"/>
    </row>
    <row r="1258" spans="7:47" ht="13.5" x14ac:dyDescent="0.25">
      <c r="G1258" s="7"/>
      <c r="P1258" s="7"/>
      <c r="Q1258" s="7"/>
      <c r="V1258" s="7"/>
      <c r="W1258" s="7"/>
      <c r="X1258" s="7"/>
      <c r="Y1258" s="7"/>
      <c r="Z1258" s="7"/>
      <c r="AA1258" s="7"/>
      <c r="AB1258" s="7"/>
      <c r="AC1258" s="7"/>
      <c r="AD1258" s="7"/>
      <c r="AE1258" s="154"/>
      <c r="AF1258" s="154"/>
      <c r="AH1258" s="7"/>
      <c r="AI1258" s="7"/>
      <c r="AJ1258" s="7"/>
      <c r="AL1258" s="154"/>
      <c r="AM1258" s="7"/>
      <c r="AN1258" s="13"/>
      <c r="AP1258" s="7"/>
      <c r="AQ1258" s="7"/>
      <c r="AR1258" s="7"/>
      <c r="AS1258" s="7"/>
      <c r="AT1258" s="7"/>
      <c r="AU1258" s="7"/>
    </row>
    <row r="1259" spans="7:47" ht="13.5" x14ac:dyDescent="0.25">
      <c r="G1259" s="7"/>
      <c r="P1259" s="7"/>
      <c r="Q1259" s="7"/>
      <c r="V1259" s="7"/>
      <c r="W1259" s="7"/>
      <c r="X1259" s="7"/>
      <c r="Y1259" s="7"/>
      <c r="Z1259" s="7"/>
      <c r="AA1259" s="7"/>
      <c r="AB1259" s="7"/>
      <c r="AC1259" s="7"/>
      <c r="AD1259" s="7"/>
      <c r="AE1259" s="154"/>
      <c r="AF1259" s="154"/>
      <c r="AH1259" s="7"/>
      <c r="AI1259" s="7"/>
      <c r="AJ1259" s="7"/>
      <c r="AL1259" s="154"/>
      <c r="AM1259" s="7"/>
      <c r="AN1259" s="13"/>
      <c r="AP1259" s="7"/>
      <c r="AQ1259" s="7"/>
      <c r="AR1259" s="7"/>
      <c r="AS1259" s="7"/>
      <c r="AT1259" s="7"/>
      <c r="AU1259" s="7"/>
    </row>
    <row r="1260" spans="7:47" ht="13.5" x14ac:dyDescent="0.25">
      <c r="G1260" s="7"/>
      <c r="P1260" s="7"/>
      <c r="Q1260" s="7"/>
      <c r="V1260" s="7"/>
      <c r="W1260" s="7"/>
      <c r="X1260" s="7"/>
      <c r="Y1260" s="7"/>
      <c r="Z1260" s="7"/>
      <c r="AA1260" s="7"/>
      <c r="AB1260" s="7"/>
      <c r="AC1260" s="7"/>
      <c r="AD1260" s="7"/>
      <c r="AE1260" s="154"/>
      <c r="AF1260" s="154"/>
      <c r="AH1260" s="7"/>
      <c r="AI1260" s="7"/>
      <c r="AJ1260" s="7"/>
      <c r="AL1260" s="154"/>
      <c r="AM1260" s="7"/>
      <c r="AN1260" s="13"/>
      <c r="AP1260" s="7"/>
      <c r="AQ1260" s="7"/>
      <c r="AR1260" s="7"/>
      <c r="AS1260" s="7"/>
      <c r="AT1260" s="7"/>
      <c r="AU1260" s="7"/>
    </row>
    <row r="1261" spans="7:47" ht="13.5" x14ac:dyDescent="0.25">
      <c r="G1261" s="7"/>
      <c r="P1261" s="7"/>
      <c r="Q1261" s="7"/>
      <c r="V1261" s="7"/>
      <c r="W1261" s="7"/>
      <c r="X1261" s="7"/>
      <c r="Y1261" s="7"/>
      <c r="Z1261" s="7"/>
      <c r="AA1261" s="7"/>
      <c r="AB1261" s="7"/>
      <c r="AC1261" s="7"/>
      <c r="AD1261" s="7"/>
      <c r="AE1261" s="154"/>
      <c r="AF1261" s="154"/>
      <c r="AH1261" s="7"/>
      <c r="AI1261" s="7"/>
      <c r="AJ1261" s="7"/>
      <c r="AL1261" s="154"/>
      <c r="AM1261" s="7"/>
      <c r="AN1261" s="13"/>
      <c r="AP1261" s="7"/>
      <c r="AQ1261" s="7"/>
      <c r="AR1261" s="7"/>
      <c r="AS1261" s="7"/>
      <c r="AT1261" s="7"/>
      <c r="AU1261" s="7"/>
    </row>
    <row r="1262" spans="7:47" ht="13.5" x14ac:dyDescent="0.25">
      <c r="G1262" s="7"/>
      <c r="P1262" s="7"/>
      <c r="Q1262" s="7"/>
      <c r="V1262" s="7"/>
      <c r="W1262" s="7"/>
      <c r="X1262" s="7"/>
      <c r="Y1262" s="7"/>
      <c r="Z1262" s="7"/>
      <c r="AA1262" s="7"/>
      <c r="AB1262" s="7"/>
      <c r="AC1262" s="7"/>
      <c r="AD1262" s="7"/>
      <c r="AE1262" s="154"/>
      <c r="AF1262" s="154"/>
      <c r="AH1262" s="7"/>
      <c r="AI1262" s="7"/>
      <c r="AJ1262" s="7"/>
      <c r="AL1262" s="154"/>
      <c r="AM1262" s="7"/>
      <c r="AN1262" s="13"/>
      <c r="AP1262" s="7"/>
      <c r="AQ1262" s="7"/>
      <c r="AR1262" s="7"/>
      <c r="AS1262" s="7"/>
      <c r="AT1262" s="7"/>
      <c r="AU1262" s="7"/>
    </row>
    <row r="1263" spans="7:47" ht="13.5" x14ac:dyDescent="0.25">
      <c r="G1263" s="7"/>
      <c r="P1263" s="7"/>
      <c r="Q1263" s="7"/>
      <c r="V1263" s="7"/>
      <c r="W1263" s="7"/>
      <c r="X1263" s="7"/>
      <c r="Y1263" s="7"/>
      <c r="Z1263" s="7"/>
      <c r="AA1263" s="7"/>
      <c r="AB1263" s="7"/>
      <c r="AC1263" s="7"/>
      <c r="AD1263" s="7"/>
      <c r="AE1263" s="154"/>
      <c r="AF1263" s="154"/>
      <c r="AH1263" s="7"/>
      <c r="AI1263" s="7"/>
      <c r="AJ1263" s="7"/>
      <c r="AL1263" s="154"/>
      <c r="AM1263" s="7"/>
      <c r="AN1263" s="13"/>
      <c r="AP1263" s="7"/>
      <c r="AQ1263" s="7"/>
      <c r="AR1263" s="7"/>
      <c r="AS1263" s="7"/>
      <c r="AT1263" s="7"/>
      <c r="AU1263" s="7"/>
    </row>
    <row r="1264" spans="7:47" ht="13.5" x14ac:dyDescent="0.25">
      <c r="G1264" s="7"/>
      <c r="P1264" s="7"/>
      <c r="Q1264" s="7"/>
      <c r="V1264" s="7"/>
      <c r="W1264" s="7"/>
      <c r="X1264" s="7"/>
      <c r="Y1264" s="7"/>
      <c r="Z1264" s="7"/>
      <c r="AA1264" s="7"/>
      <c r="AB1264" s="7"/>
      <c r="AC1264" s="7"/>
      <c r="AD1264" s="7"/>
      <c r="AE1264" s="154"/>
      <c r="AF1264" s="154"/>
      <c r="AH1264" s="7"/>
      <c r="AI1264" s="7"/>
      <c r="AJ1264" s="7"/>
      <c r="AL1264" s="154"/>
      <c r="AM1264" s="7"/>
      <c r="AN1264" s="13"/>
      <c r="AP1264" s="7"/>
      <c r="AQ1264" s="7"/>
      <c r="AR1264" s="7"/>
      <c r="AS1264" s="7"/>
      <c r="AT1264" s="7"/>
      <c r="AU1264" s="7"/>
    </row>
    <row r="1265" spans="7:47" ht="13.5" x14ac:dyDescent="0.25">
      <c r="G1265" s="7"/>
      <c r="P1265" s="7"/>
      <c r="Q1265" s="7"/>
      <c r="V1265" s="7"/>
      <c r="W1265" s="7"/>
      <c r="X1265" s="7"/>
      <c r="Y1265" s="7"/>
      <c r="Z1265" s="7"/>
      <c r="AA1265" s="7"/>
      <c r="AB1265" s="7"/>
      <c r="AC1265" s="7"/>
      <c r="AD1265" s="7"/>
      <c r="AE1265" s="154"/>
      <c r="AF1265" s="154"/>
      <c r="AH1265" s="7"/>
      <c r="AI1265" s="7"/>
      <c r="AJ1265" s="7"/>
      <c r="AL1265" s="154"/>
      <c r="AM1265" s="7"/>
      <c r="AN1265" s="13"/>
      <c r="AP1265" s="7"/>
      <c r="AQ1265" s="7"/>
      <c r="AR1265" s="7"/>
      <c r="AS1265" s="7"/>
      <c r="AT1265" s="7"/>
      <c r="AU1265" s="7"/>
    </row>
    <row r="1266" spans="7:47" ht="13.5" x14ac:dyDescent="0.25">
      <c r="G1266" s="7"/>
      <c r="P1266" s="7"/>
      <c r="Q1266" s="7"/>
      <c r="V1266" s="7"/>
      <c r="W1266" s="7"/>
      <c r="X1266" s="7"/>
      <c r="Y1266" s="7"/>
      <c r="Z1266" s="7"/>
      <c r="AA1266" s="7"/>
      <c r="AB1266" s="7"/>
      <c r="AC1266" s="7"/>
      <c r="AD1266" s="7"/>
      <c r="AE1266" s="154"/>
      <c r="AF1266" s="154"/>
      <c r="AH1266" s="7"/>
      <c r="AI1266" s="7"/>
      <c r="AJ1266" s="7"/>
      <c r="AL1266" s="154"/>
      <c r="AM1266" s="7"/>
      <c r="AN1266" s="13"/>
      <c r="AP1266" s="7"/>
      <c r="AQ1266" s="7"/>
      <c r="AR1266" s="7"/>
      <c r="AS1266" s="7"/>
      <c r="AT1266" s="7"/>
      <c r="AU1266" s="7"/>
    </row>
    <row r="1267" spans="7:47" ht="13.5" x14ac:dyDescent="0.25">
      <c r="G1267" s="7"/>
      <c r="P1267" s="7"/>
      <c r="Q1267" s="7"/>
      <c r="V1267" s="7"/>
      <c r="W1267" s="7"/>
      <c r="X1267" s="7"/>
      <c r="Y1267" s="7"/>
      <c r="Z1267" s="7"/>
      <c r="AA1267" s="7"/>
      <c r="AB1267" s="7"/>
      <c r="AC1267" s="7"/>
      <c r="AD1267" s="7"/>
      <c r="AE1267" s="154"/>
      <c r="AF1267" s="154"/>
      <c r="AH1267" s="7"/>
      <c r="AI1267" s="7"/>
      <c r="AJ1267" s="7"/>
      <c r="AL1267" s="154"/>
      <c r="AM1267" s="7"/>
      <c r="AN1267" s="13"/>
      <c r="AP1267" s="7"/>
      <c r="AQ1267" s="7"/>
      <c r="AR1267" s="7"/>
      <c r="AS1267" s="7"/>
      <c r="AT1267" s="7"/>
      <c r="AU1267" s="7"/>
    </row>
    <row r="1268" spans="7:47" ht="13.5" x14ac:dyDescent="0.25">
      <c r="G1268" s="7"/>
      <c r="P1268" s="7"/>
      <c r="Q1268" s="7"/>
      <c r="V1268" s="7"/>
      <c r="W1268" s="7"/>
      <c r="X1268" s="7"/>
      <c r="Y1268" s="7"/>
      <c r="Z1268" s="7"/>
      <c r="AA1268" s="7"/>
      <c r="AB1268" s="7"/>
      <c r="AC1268" s="7"/>
      <c r="AD1268" s="7"/>
      <c r="AE1268" s="154"/>
      <c r="AF1268" s="154"/>
      <c r="AH1268" s="7"/>
      <c r="AI1268" s="7"/>
      <c r="AJ1268" s="7"/>
      <c r="AL1268" s="154"/>
      <c r="AM1268" s="7"/>
      <c r="AN1268" s="13"/>
      <c r="AP1268" s="7"/>
      <c r="AQ1268" s="7"/>
      <c r="AR1268" s="7"/>
      <c r="AS1268" s="7"/>
      <c r="AT1268" s="7"/>
      <c r="AU1268" s="7"/>
    </row>
    <row r="1269" spans="7:47" ht="13.5" x14ac:dyDescent="0.25">
      <c r="G1269" s="7"/>
      <c r="P1269" s="7"/>
      <c r="Q1269" s="7"/>
      <c r="V1269" s="7"/>
      <c r="W1269" s="7"/>
      <c r="X1269" s="7"/>
      <c r="Y1269" s="7"/>
      <c r="Z1269" s="7"/>
      <c r="AA1269" s="7"/>
      <c r="AB1269" s="7"/>
      <c r="AC1269" s="7"/>
      <c r="AD1269" s="7"/>
      <c r="AE1269" s="154"/>
      <c r="AF1269" s="154"/>
      <c r="AH1269" s="7"/>
      <c r="AI1269" s="7"/>
      <c r="AJ1269" s="7"/>
      <c r="AL1269" s="154"/>
      <c r="AM1269" s="7"/>
      <c r="AN1269" s="13"/>
      <c r="AP1269" s="7"/>
      <c r="AQ1269" s="7"/>
      <c r="AR1269" s="7"/>
      <c r="AS1269" s="7"/>
      <c r="AT1269" s="7"/>
      <c r="AU1269" s="7"/>
    </row>
    <row r="1270" spans="7:47" ht="13.5" x14ac:dyDescent="0.25">
      <c r="G1270" s="7"/>
      <c r="P1270" s="7"/>
      <c r="Q1270" s="7"/>
      <c r="V1270" s="7"/>
      <c r="W1270" s="7"/>
      <c r="X1270" s="7"/>
      <c r="Y1270" s="7"/>
      <c r="Z1270" s="7"/>
      <c r="AA1270" s="7"/>
      <c r="AB1270" s="7"/>
      <c r="AC1270" s="7"/>
      <c r="AD1270" s="7"/>
      <c r="AE1270" s="154"/>
      <c r="AF1270" s="154"/>
      <c r="AH1270" s="7"/>
      <c r="AI1270" s="7"/>
      <c r="AJ1270" s="7"/>
      <c r="AL1270" s="154"/>
      <c r="AM1270" s="7"/>
      <c r="AN1270" s="13"/>
      <c r="AP1270" s="7"/>
      <c r="AQ1270" s="7"/>
      <c r="AR1270" s="7"/>
      <c r="AS1270" s="7"/>
      <c r="AT1270" s="7"/>
      <c r="AU1270" s="7"/>
    </row>
    <row r="1271" spans="7:47" ht="13.5" x14ac:dyDescent="0.25">
      <c r="G1271" s="7"/>
      <c r="P1271" s="7"/>
      <c r="Q1271" s="7"/>
      <c r="V1271" s="7"/>
      <c r="W1271" s="7"/>
      <c r="X1271" s="7"/>
      <c r="Y1271" s="7"/>
      <c r="Z1271" s="7"/>
      <c r="AA1271" s="7"/>
      <c r="AB1271" s="7"/>
      <c r="AC1271" s="7"/>
      <c r="AD1271" s="7"/>
      <c r="AE1271" s="154"/>
      <c r="AF1271" s="154"/>
      <c r="AH1271" s="7"/>
      <c r="AI1271" s="7"/>
      <c r="AJ1271" s="7"/>
      <c r="AL1271" s="154"/>
      <c r="AM1271" s="7"/>
      <c r="AN1271" s="13"/>
      <c r="AP1271" s="7"/>
      <c r="AQ1271" s="7"/>
      <c r="AR1271" s="7"/>
      <c r="AS1271" s="7"/>
      <c r="AT1271" s="7"/>
      <c r="AU1271" s="7"/>
    </row>
    <row r="1272" spans="7:47" ht="13.5" x14ac:dyDescent="0.25">
      <c r="G1272" s="7"/>
      <c r="P1272" s="7"/>
      <c r="Q1272" s="7"/>
      <c r="V1272" s="7"/>
      <c r="W1272" s="7"/>
      <c r="X1272" s="7"/>
      <c r="Y1272" s="7"/>
      <c r="Z1272" s="7"/>
      <c r="AA1272" s="7"/>
      <c r="AB1272" s="7"/>
      <c r="AC1272" s="7"/>
      <c r="AD1272" s="7"/>
      <c r="AE1272" s="154"/>
      <c r="AF1272" s="154"/>
      <c r="AH1272" s="7"/>
      <c r="AI1272" s="7"/>
      <c r="AJ1272" s="7"/>
      <c r="AL1272" s="154"/>
      <c r="AM1272" s="7"/>
      <c r="AN1272" s="13"/>
      <c r="AP1272" s="7"/>
      <c r="AQ1272" s="7"/>
      <c r="AR1272" s="7"/>
      <c r="AS1272" s="7"/>
      <c r="AT1272" s="7"/>
      <c r="AU1272" s="7"/>
    </row>
    <row r="1273" spans="7:47" ht="13.5" x14ac:dyDescent="0.25">
      <c r="G1273" s="7"/>
      <c r="P1273" s="7"/>
      <c r="Q1273" s="7"/>
      <c r="V1273" s="7"/>
      <c r="W1273" s="7"/>
      <c r="X1273" s="7"/>
      <c r="Y1273" s="7"/>
      <c r="Z1273" s="7"/>
      <c r="AA1273" s="7"/>
      <c r="AB1273" s="7"/>
      <c r="AC1273" s="7"/>
      <c r="AD1273" s="7"/>
      <c r="AE1273" s="154"/>
      <c r="AF1273" s="154"/>
      <c r="AH1273" s="7"/>
      <c r="AI1273" s="7"/>
      <c r="AJ1273" s="7"/>
      <c r="AL1273" s="154"/>
      <c r="AM1273" s="7"/>
      <c r="AN1273" s="13"/>
      <c r="AP1273" s="7"/>
      <c r="AQ1273" s="7"/>
      <c r="AR1273" s="7"/>
      <c r="AS1273" s="7"/>
      <c r="AT1273" s="7"/>
      <c r="AU1273" s="7"/>
    </row>
    <row r="1274" spans="7:47" ht="13.5" x14ac:dyDescent="0.25">
      <c r="G1274" s="7"/>
      <c r="P1274" s="7"/>
      <c r="Q1274" s="7"/>
      <c r="V1274" s="7"/>
      <c r="W1274" s="7"/>
      <c r="X1274" s="7"/>
      <c r="Y1274" s="7"/>
      <c r="Z1274" s="7"/>
      <c r="AA1274" s="7"/>
      <c r="AB1274" s="7"/>
      <c r="AC1274" s="7"/>
      <c r="AD1274" s="7"/>
      <c r="AE1274" s="154"/>
      <c r="AF1274" s="154"/>
      <c r="AH1274" s="7"/>
      <c r="AI1274" s="7"/>
      <c r="AJ1274" s="7"/>
      <c r="AL1274" s="154"/>
      <c r="AM1274" s="7"/>
      <c r="AN1274" s="13"/>
      <c r="AP1274" s="7"/>
      <c r="AQ1274" s="7"/>
      <c r="AR1274" s="7"/>
      <c r="AS1274" s="7"/>
      <c r="AT1274" s="7"/>
      <c r="AU1274" s="7"/>
    </row>
    <row r="1275" spans="7:47" ht="13.5" x14ac:dyDescent="0.25">
      <c r="G1275" s="7"/>
      <c r="P1275" s="7"/>
      <c r="Q1275" s="7"/>
      <c r="V1275" s="7"/>
      <c r="W1275" s="7"/>
      <c r="X1275" s="7"/>
      <c r="Y1275" s="7"/>
      <c r="Z1275" s="7"/>
      <c r="AA1275" s="7"/>
      <c r="AB1275" s="7"/>
      <c r="AC1275" s="7"/>
      <c r="AD1275" s="7"/>
      <c r="AE1275" s="154"/>
      <c r="AF1275" s="154"/>
      <c r="AH1275" s="7"/>
      <c r="AI1275" s="7"/>
      <c r="AJ1275" s="7"/>
      <c r="AL1275" s="154"/>
      <c r="AM1275" s="7"/>
      <c r="AN1275" s="13"/>
      <c r="AP1275" s="7"/>
      <c r="AQ1275" s="7"/>
      <c r="AR1275" s="7"/>
      <c r="AS1275" s="7"/>
      <c r="AT1275" s="7"/>
      <c r="AU1275" s="7"/>
    </row>
    <row r="1276" spans="7:47" ht="13.5" x14ac:dyDescent="0.25">
      <c r="G1276" s="7"/>
      <c r="P1276" s="7"/>
      <c r="Q1276" s="7"/>
      <c r="V1276" s="7"/>
      <c r="W1276" s="7"/>
      <c r="X1276" s="7"/>
      <c r="Y1276" s="7"/>
      <c r="Z1276" s="7"/>
      <c r="AA1276" s="7"/>
      <c r="AB1276" s="7"/>
      <c r="AC1276" s="7"/>
      <c r="AD1276" s="7"/>
      <c r="AE1276" s="154"/>
      <c r="AF1276" s="154"/>
      <c r="AH1276" s="7"/>
      <c r="AI1276" s="7"/>
      <c r="AJ1276" s="7"/>
      <c r="AL1276" s="154"/>
      <c r="AM1276" s="7"/>
      <c r="AN1276" s="13"/>
      <c r="AP1276" s="7"/>
      <c r="AQ1276" s="7"/>
      <c r="AR1276" s="7"/>
      <c r="AS1276" s="7"/>
      <c r="AT1276" s="7"/>
      <c r="AU1276" s="7"/>
    </row>
    <row r="1277" spans="7:47" ht="13.5" x14ac:dyDescent="0.25">
      <c r="G1277" s="7"/>
      <c r="P1277" s="7"/>
      <c r="Q1277" s="7"/>
      <c r="V1277" s="7"/>
      <c r="W1277" s="7"/>
      <c r="X1277" s="7"/>
      <c r="Y1277" s="7"/>
      <c r="Z1277" s="7"/>
      <c r="AA1277" s="7"/>
      <c r="AB1277" s="7"/>
      <c r="AC1277" s="7"/>
      <c r="AD1277" s="7"/>
      <c r="AE1277" s="154"/>
      <c r="AF1277" s="154"/>
      <c r="AH1277" s="7"/>
      <c r="AI1277" s="7"/>
      <c r="AJ1277" s="7"/>
      <c r="AL1277" s="154"/>
      <c r="AM1277" s="7"/>
      <c r="AN1277" s="13"/>
      <c r="AP1277" s="7"/>
      <c r="AQ1277" s="7"/>
      <c r="AR1277" s="7"/>
      <c r="AS1277" s="7"/>
      <c r="AT1277" s="7"/>
      <c r="AU1277" s="7"/>
    </row>
    <row r="1278" spans="7:47" ht="13.5" x14ac:dyDescent="0.25">
      <c r="G1278" s="7"/>
      <c r="P1278" s="7"/>
      <c r="Q1278" s="7"/>
      <c r="V1278" s="7"/>
      <c r="W1278" s="7"/>
      <c r="X1278" s="7"/>
      <c r="Y1278" s="7"/>
      <c r="Z1278" s="7"/>
      <c r="AA1278" s="7"/>
      <c r="AB1278" s="7"/>
      <c r="AC1278" s="7"/>
      <c r="AD1278" s="7"/>
      <c r="AE1278" s="154"/>
      <c r="AF1278" s="154"/>
      <c r="AH1278" s="7"/>
      <c r="AI1278" s="7"/>
      <c r="AJ1278" s="7"/>
      <c r="AL1278" s="154"/>
      <c r="AM1278" s="7"/>
      <c r="AN1278" s="13"/>
      <c r="AP1278" s="7"/>
      <c r="AQ1278" s="7"/>
      <c r="AR1278" s="7"/>
      <c r="AS1278" s="7"/>
      <c r="AT1278" s="7"/>
      <c r="AU1278" s="7"/>
    </row>
    <row r="1279" spans="7:47" ht="13.5" x14ac:dyDescent="0.25">
      <c r="G1279" s="7"/>
      <c r="P1279" s="7"/>
      <c r="Q1279" s="7"/>
      <c r="V1279" s="7"/>
      <c r="W1279" s="7"/>
      <c r="X1279" s="7"/>
      <c r="Y1279" s="7"/>
      <c r="Z1279" s="7"/>
      <c r="AA1279" s="7"/>
      <c r="AB1279" s="7"/>
      <c r="AC1279" s="7"/>
      <c r="AD1279" s="7"/>
      <c r="AE1279" s="154"/>
      <c r="AF1279" s="154"/>
      <c r="AH1279" s="7"/>
      <c r="AI1279" s="7"/>
      <c r="AJ1279" s="7"/>
      <c r="AL1279" s="154"/>
      <c r="AM1279" s="7"/>
      <c r="AN1279" s="13"/>
      <c r="AP1279" s="7"/>
      <c r="AQ1279" s="7"/>
      <c r="AR1279" s="7"/>
      <c r="AS1279" s="7"/>
      <c r="AT1279" s="7"/>
      <c r="AU1279" s="7"/>
    </row>
    <row r="1280" spans="7:47" ht="13.5" x14ac:dyDescent="0.25">
      <c r="G1280" s="7"/>
      <c r="P1280" s="7"/>
      <c r="Q1280" s="7"/>
      <c r="V1280" s="7"/>
      <c r="W1280" s="7"/>
      <c r="X1280" s="7"/>
      <c r="Y1280" s="7"/>
      <c r="Z1280" s="7"/>
      <c r="AA1280" s="7"/>
      <c r="AB1280" s="7"/>
      <c r="AC1280" s="7"/>
      <c r="AD1280" s="7"/>
      <c r="AE1280" s="154"/>
      <c r="AF1280" s="154"/>
      <c r="AH1280" s="7"/>
      <c r="AI1280" s="7"/>
      <c r="AJ1280" s="7"/>
      <c r="AL1280" s="154"/>
      <c r="AM1280" s="7"/>
      <c r="AN1280" s="13"/>
      <c r="AP1280" s="7"/>
      <c r="AQ1280" s="7"/>
      <c r="AR1280" s="7"/>
      <c r="AS1280" s="7"/>
      <c r="AT1280" s="7"/>
      <c r="AU1280" s="7"/>
    </row>
    <row r="1281" spans="7:47" ht="13.5" x14ac:dyDescent="0.25">
      <c r="G1281" s="7"/>
      <c r="P1281" s="7"/>
      <c r="Q1281" s="7"/>
      <c r="V1281" s="7"/>
      <c r="W1281" s="7"/>
      <c r="X1281" s="7"/>
      <c r="Y1281" s="7"/>
      <c r="Z1281" s="7"/>
      <c r="AA1281" s="7"/>
      <c r="AB1281" s="7"/>
      <c r="AC1281" s="7"/>
      <c r="AD1281" s="7"/>
      <c r="AE1281" s="154"/>
      <c r="AF1281" s="154"/>
      <c r="AH1281" s="7"/>
      <c r="AI1281" s="7"/>
      <c r="AJ1281" s="7"/>
      <c r="AL1281" s="154"/>
      <c r="AM1281" s="7"/>
      <c r="AN1281" s="13"/>
      <c r="AP1281" s="7"/>
      <c r="AQ1281" s="7"/>
      <c r="AR1281" s="7"/>
      <c r="AS1281" s="7"/>
      <c r="AT1281" s="7"/>
      <c r="AU1281" s="7"/>
    </row>
    <row r="1282" spans="7:47" ht="13.5" x14ac:dyDescent="0.25">
      <c r="G1282" s="7"/>
      <c r="P1282" s="7"/>
      <c r="Q1282" s="7"/>
      <c r="V1282" s="7"/>
      <c r="W1282" s="7"/>
      <c r="X1282" s="7"/>
      <c r="Y1282" s="7"/>
      <c r="Z1282" s="7"/>
      <c r="AA1282" s="7"/>
      <c r="AB1282" s="7"/>
      <c r="AC1282" s="7"/>
      <c r="AD1282" s="7"/>
      <c r="AE1282" s="154"/>
      <c r="AF1282" s="154"/>
      <c r="AH1282" s="7"/>
      <c r="AI1282" s="7"/>
      <c r="AJ1282" s="7"/>
      <c r="AL1282" s="154"/>
      <c r="AM1282" s="7"/>
      <c r="AN1282" s="13"/>
      <c r="AP1282" s="7"/>
      <c r="AQ1282" s="7"/>
      <c r="AR1282" s="7"/>
      <c r="AS1282" s="7"/>
      <c r="AT1282" s="7"/>
      <c r="AU1282" s="7"/>
    </row>
    <row r="1283" spans="7:47" ht="13.5" x14ac:dyDescent="0.25">
      <c r="G1283" s="7"/>
      <c r="P1283" s="7"/>
      <c r="Q1283" s="7"/>
      <c r="V1283" s="7"/>
      <c r="W1283" s="7"/>
      <c r="X1283" s="7"/>
      <c r="Y1283" s="7"/>
      <c r="Z1283" s="7"/>
      <c r="AA1283" s="7"/>
      <c r="AB1283" s="7"/>
      <c r="AC1283" s="7"/>
      <c r="AD1283" s="7"/>
      <c r="AE1283" s="154"/>
      <c r="AF1283" s="154"/>
      <c r="AH1283" s="7"/>
      <c r="AI1283" s="7"/>
      <c r="AJ1283" s="7"/>
      <c r="AL1283" s="154"/>
      <c r="AM1283" s="7"/>
      <c r="AN1283" s="13"/>
      <c r="AP1283" s="7"/>
      <c r="AQ1283" s="7"/>
      <c r="AR1283" s="7"/>
      <c r="AS1283" s="7"/>
      <c r="AT1283" s="7"/>
      <c r="AU1283" s="7"/>
    </row>
    <row r="1284" spans="7:47" ht="13.5" x14ac:dyDescent="0.25">
      <c r="G1284" s="7"/>
      <c r="P1284" s="7"/>
      <c r="Q1284" s="7"/>
      <c r="V1284" s="7"/>
      <c r="W1284" s="7"/>
      <c r="X1284" s="7"/>
      <c r="Y1284" s="7"/>
      <c r="Z1284" s="7"/>
      <c r="AA1284" s="7"/>
      <c r="AB1284" s="7"/>
      <c r="AC1284" s="7"/>
      <c r="AD1284" s="7"/>
      <c r="AE1284" s="154"/>
      <c r="AF1284" s="154"/>
      <c r="AH1284" s="7"/>
      <c r="AI1284" s="7"/>
      <c r="AJ1284" s="7"/>
      <c r="AL1284" s="154"/>
      <c r="AM1284" s="7"/>
      <c r="AN1284" s="13"/>
      <c r="AP1284" s="7"/>
      <c r="AQ1284" s="7"/>
      <c r="AR1284" s="7"/>
      <c r="AS1284" s="7"/>
      <c r="AT1284" s="7"/>
      <c r="AU1284" s="7"/>
    </row>
    <row r="1285" spans="7:47" ht="13.5" x14ac:dyDescent="0.25">
      <c r="G1285" s="7"/>
      <c r="P1285" s="7"/>
      <c r="Q1285" s="7"/>
      <c r="V1285" s="7"/>
      <c r="W1285" s="7"/>
      <c r="X1285" s="7"/>
      <c r="Y1285" s="7"/>
      <c r="Z1285" s="7"/>
      <c r="AA1285" s="7"/>
      <c r="AB1285" s="7"/>
      <c r="AC1285" s="7"/>
      <c r="AD1285" s="7"/>
      <c r="AE1285" s="154"/>
      <c r="AF1285" s="154"/>
      <c r="AH1285" s="7"/>
      <c r="AI1285" s="7"/>
      <c r="AJ1285" s="7"/>
      <c r="AL1285" s="154"/>
      <c r="AM1285" s="7"/>
      <c r="AN1285" s="13"/>
      <c r="AP1285" s="7"/>
      <c r="AQ1285" s="7"/>
      <c r="AR1285" s="7"/>
      <c r="AS1285" s="7"/>
      <c r="AT1285" s="7"/>
      <c r="AU1285" s="7"/>
    </row>
    <row r="1286" spans="7:47" ht="13.5" x14ac:dyDescent="0.25">
      <c r="G1286" s="7"/>
      <c r="P1286" s="7"/>
      <c r="Q1286" s="7"/>
      <c r="V1286" s="7"/>
      <c r="W1286" s="7"/>
      <c r="X1286" s="7"/>
      <c r="Y1286" s="7"/>
      <c r="Z1286" s="7"/>
      <c r="AA1286" s="7"/>
      <c r="AB1286" s="7"/>
      <c r="AC1286" s="7"/>
      <c r="AD1286" s="7"/>
      <c r="AE1286" s="154"/>
      <c r="AF1286" s="154"/>
      <c r="AH1286" s="7"/>
      <c r="AI1286" s="7"/>
      <c r="AJ1286" s="7"/>
      <c r="AL1286" s="154"/>
      <c r="AM1286" s="7"/>
      <c r="AN1286" s="13"/>
      <c r="AP1286" s="7"/>
      <c r="AQ1286" s="7"/>
      <c r="AR1286" s="7"/>
      <c r="AS1286" s="7"/>
      <c r="AT1286" s="7"/>
      <c r="AU1286" s="7"/>
    </row>
    <row r="1287" spans="7:47" ht="13.5" x14ac:dyDescent="0.25">
      <c r="G1287" s="7"/>
      <c r="P1287" s="7"/>
      <c r="Q1287" s="7"/>
      <c r="V1287" s="7"/>
      <c r="W1287" s="7"/>
      <c r="X1287" s="7"/>
      <c r="Y1287" s="7"/>
      <c r="Z1287" s="7"/>
      <c r="AA1287" s="7"/>
      <c r="AB1287" s="7"/>
      <c r="AC1287" s="7"/>
      <c r="AD1287" s="7"/>
      <c r="AE1287" s="154"/>
      <c r="AF1287" s="154"/>
      <c r="AH1287" s="7"/>
      <c r="AI1287" s="7"/>
      <c r="AJ1287" s="7"/>
      <c r="AL1287" s="154"/>
      <c r="AM1287" s="7"/>
      <c r="AN1287" s="13"/>
      <c r="AP1287" s="7"/>
      <c r="AQ1287" s="7"/>
      <c r="AR1287" s="7"/>
      <c r="AS1287" s="7"/>
      <c r="AT1287" s="7"/>
      <c r="AU1287" s="7"/>
    </row>
    <row r="1288" spans="7:47" ht="13.5" x14ac:dyDescent="0.25">
      <c r="G1288" s="7"/>
      <c r="P1288" s="7"/>
      <c r="Q1288" s="7"/>
      <c r="V1288" s="7"/>
      <c r="W1288" s="7"/>
      <c r="X1288" s="7"/>
      <c r="Y1288" s="7"/>
      <c r="Z1288" s="7"/>
      <c r="AA1288" s="7"/>
      <c r="AB1288" s="7"/>
      <c r="AC1288" s="7"/>
      <c r="AD1288" s="7"/>
      <c r="AE1288" s="154"/>
      <c r="AF1288" s="154"/>
      <c r="AH1288" s="7"/>
      <c r="AI1288" s="7"/>
      <c r="AJ1288" s="7"/>
      <c r="AL1288" s="154"/>
      <c r="AM1288" s="7"/>
      <c r="AN1288" s="13"/>
      <c r="AP1288" s="7"/>
      <c r="AQ1288" s="7"/>
      <c r="AR1288" s="7"/>
      <c r="AS1288" s="7"/>
      <c r="AT1288" s="7"/>
      <c r="AU1288" s="7"/>
    </row>
    <row r="1289" spans="7:47" ht="13.5" x14ac:dyDescent="0.25">
      <c r="G1289" s="7"/>
      <c r="P1289" s="7"/>
      <c r="Q1289" s="7"/>
      <c r="V1289" s="7"/>
      <c r="W1289" s="7"/>
      <c r="X1289" s="7"/>
      <c r="Y1289" s="7"/>
      <c r="Z1289" s="7"/>
      <c r="AA1289" s="7"/>
      <c r="AB1289" s="7"/>
      <c r="AC1289" s="7"/>
      <c r="AD1289" s="7"/>
      <c r="AE1289" s="154"/>
      <c r="AF1289" s="154"/>
      <c r="AH1289" s="7"/>
      <c r="AI1289" s="7"/>
      <c r="AJ1289" s="7"/>
      <c r="AL1289" s="154"/>
      <c r="AM1289" s="7"/>
      <c r="AN1289" s="13"/>
      <c r="AP1289" s="7"/>
      <c r="AQ1289" s="7"/>
      <c r="AR1289" s="7"/>
      <c r="AS1289" s="7"/>
      <c r="AT1289" s="7"/>
      <c r="AU1289" s="7"/>
    </row>
    <row r="1290" spans="7:47" ht="13.5" x14ac:dyDescent="0.25">
      <c r="G1290" s="7"/>
      <c r="P1290" s="7"/>
      <c r="Q1290" s="7"/>
      <c r="V1290" s="7"/>
      <c r="W1290" s="7"/>
      <c r="X1290" s="7"/>
      <c r="Y1290" s="7"/>
      <c r="Z1290" s="7"/>
      <c r="AA1290" s="7"/>
      <c r="AB1290" s="7"/>
      <c r="AC1290" s="7"/>
      <c r="AD1290" s="7"/>
      <c r="AE1290" s="154"/>
      <c r="AF1290" s="154"/>
      <c r="AH1290" s="7"/>
      <c r="AI1290" s="7"/>
      <c r="AJ1290" s="7"/>
      <c r="AL1290" s="154"/>
      <c r="AM1290" s="7"/>
      <c r="AN1290" s="13"/>
      <c r="AP1290" s="7"/>
      <c r="AQ1290" s="7"/>
      <c r="AR1290" s="7"/>
      <c r="AS1290" s="7"/>
      <c r="AT1290" s="7"/>
      <c r="AU1290" s="7"/>
    </row>
    <row r="1291" spans="7:47" ht="13.5" x14ac:dyDescent="0.25">
      <c r="G1291" s="7"/>
      <c r="P1291" s="7"/>
      <c r="Q1291" s="7"/>
      <c r="V1291" s="7"/>
      <c r="W1291" s="7"/>
      <c r="X1291" s="7"/>
      <c r="Y1291" s="7"/>
      <c r="Z1291" s="7"/>
      <c r="AA1291" s="7"/>
      <c r="AB1291" s="7"/>
      <c r="AC1291" s="7"/>
      <c r="AD1291" s="7"/>
      <c r="AE1291" s="154"/>
      <c r="AF1291" s="154"/>
      <c r="AH1291" s="7"/>
      <c r="AI1291" s="7"/>
      <c r="AJ1291" s="7"/>
      <c r="AL1291" s="154"/>
      <c r="AM1291" s="7"/>
      <c r="AN1291" s="13"/>
      <c r="AP1291" s="7"/>
      <c r="AQ1291" s="7"/>
      <c r="AR1291" s="7"/>
      <c r="AS1291" s="7"/>
      <c r="AT1291" s="7"/>
      <c r="AU1291" s="7"/>
    </row>
    <row r="1292" spans="7:47" ht="13.5" x14ac:dyDescent="0.25">
      <c r="G1292" s="7"/>
      <c r="P1292" s="7"/>
      <c r="Q1292" s="7"/>
      <c r="V1292" s="7"/>
      <c r="W1292" s="7"/>
      <c r="X1292" s="7"/>
      <c r="Y1292" s="7"/>
      <c r="Z1292" s="7"/>
      <c r="AA1292" s="7"/>
      <c r="AB1292" s="7"/>
      <c r="AC1292" s="7"/>
      <c r="AD1292" s="7"/>
      <c r="AE1292" s="154"/>
      <c r="AF1292" s="154"/>
      <c r="AH1292" s="7"/>
      <c r="AI1292" s="7"/>
      <c r="AJ1292" s="7"/>
      <c r="AL1292" s="154"/>
      <c r="AM1292" s="7"/>
      <c r="AN1292" s="13"/>
      <c r="AP1292" s="7"/>
      <c r="AQ1292" s="7"/>
      <c r="AR1292" s="7"/>
      <c r="AS1292" s="7"/>
      <c r="AT1292" s="7"/>
      <c r="AU1292" s="7"/>
    </row>
    <row r="1293" spans="7:47" ht="13.5" x14ac:dyDescent="0.25">
      <c r="G1293" s="7"/>
      <c r="P1293" s="7"/>
      <c r="Q1293" s="7"/>
      <c r="V1293" s="7"/>
      <c r="W1293" s="7"/>
      <c r="X1293" s="7"/>
      <c r="Y1293" s="7"/>
      <c r="Z1293" s="7"/>
      <c r="AA1293" s="7"/>
      <c r="AB1293" s="7"/>
      <c r="AC1293" s="7"/>
      <c r="AD1293" s="7"/>
      <c r="AE1293" s="154"/>
      <c r="AF1293" s="154"/>
      <c r="AH1293" s="7"/>
      <c r="AI1293" s="7"/>
      <c r="AJ1293" s="7"/>
      <c r="AL1293" s="154"/>
      <c r="AM1293" s="7"/>
      <c r="AN1293" s="13"/>
      <c r="AP1293" s="7"/>
      <c r="AQ1293" s="7"/>
      <c r="AR1293" s="7"/>
      <c r="AS1293" s="7"/>
      <c r="AT1293" s="7"/>
      <c r="AU1293" s="7"/>
    </row>
    <row r="1294" spans="7:47" ht="13.5" x14ac:dyDescent="0.25">
      <c r="G1294" s="7"/>
      <c r="P1294" s="7"/>
      <c r="Q1294" s="7"/>
      <c r="V1294" s="7"/>
      <c r="W1294" s="7"/>
      <c r="X1294" s="7"/>
      <c r="Y1294" s="7"/>
      <c r="Z1294" s="7"/>
      <c r="AA1294" s="7"/>
      <c r="AB1294" s="7"/>
      <c r="AC1294" s="7"/>
      <c r="AD1294" s="7"/>
      <c r="AE1294" s="154"/>
      <c r="AF1294" s="154"/>
      <c r="AH1294" s="7"/>
      <c r="AI1294" s="7"/>
      <c r="AJ1294" s="7"/>
      <c r="AL1294" s="154"/>
      <c r="AM1294" s="7"/>
      <c r="AN1294" s="13"/>
      <c r="AP1294" s="7"/>
      <c r="AQ1294" s="7"/>
      <c r="AR1294" s="7"/>
      <c r="AS1294" s="7"/>
      <c r="AT1294" s="7"/>
      <c r="AU1294" s="7"/>
    </row>
    <row r="1295" spans="7:47" ht="13.5" x14ac:dyDescent="0.25">
      <c r="G1295" s="7"/>
      <c r="P1295" s="7"/>
      <c r="Q1295" s="7"/>
      <c r="V1295" s="7"/>
      <c r="W1295" s="7"/>
      <c r="X1295" s="7"/>
      <c r="Y1295" s="7"/>
      <c r="Z1295" s="7"/>
      <c r="AA1295" s="7"/>
      <c r="AB1295" s="7"/>
      <c r="AC1295" s="7"/>
      <c r="AD1295" s="7"/>
      <c r="AE1295" s="154"/>
      <c r="AF1295" s="154"/>
      <c r="AH1295" s="7"/>
      <c r="AI1295" s="7"/>
      <c r="AJ1295" s="7"/>
      <c r="AL1295" s="154"/>
      <c r="AM1295" s="7"/>
      <c r="AN1295" s="13"/>
      <c r="AP1295" s="7"/>
      <c r="AQ1295" s="7"/>
      <c r="AR1295" s="7"/>
      <c r="AS1295" s="7"/>
      <c r="AT1295" s="7"/>
      <c r="AU1295" s="7"/>
    </row>
    <row r="1296" spans="7:47" ht="13.5" x14ac:dyDescent="0.25">
      <c r="G1296" s="7"/>
      <c r="P1296" s="7"/>
      <c r="Q1296" s="7"/>
      <c r="V1296" s="7"/>
      <c r="W1296" s="7"/>
      <c r="X1296" s="7"/>
      <c r="Y1296" s="7"/>
      <c r="Z1296" s="7"/>
      <c r="AA1296" s="7"/>
      <c r="AB1296" s="7"/>
      <c r="AC1296" s="7"/>
      <c r="AD1296" s="7"/>
      <c r="AE1296" s="154"/>
      <c r="AF1296" s="154"/>
      <c r="AH1296" s="7"/>
      <c r="AI1296" s="7"/>
      <c r="AJ1296" s="7"/>
      <c r="AL1296" s="154"/>
      <c r="AM1296" s="7"/>
      <c r="AN1296" s="13"/>
      <c r="AP1296" s="7"/>
      <c r="AQ1296" s="7"/>
      <c r="AR1296" s="7"/>
      <c r="AS1296" s="7"/>
      <c r="AT1296" s="7"/>
      <c r="AU1296" s="7"/>
    </row>
    <row r="1297" spans="7:47" ht="13.5" x14ac:dyDescent="0.25">
      <c r="G1297" s="7"/>
      <c r="P1297" s="7"/>
      <c r="Q1297" s="7"/>
      <c r="V1297" s="7"/>
      <c r="W1297" s="7"/>
      <c r="X1297" s="7"/>
      <c r="Y1297" s="7"/>
      <c r="Z1297" s="7"/>
      <c r="AA1297" s="7"/>
      <c r="AB1297" s="7"/>
      <c r="AC1297" s="7"/>
      <c r="AD1297" s="7"/>
      <c r="AE1297" s="154"/>
      <c r="AF1297" s="154"/>
      <c r="AH1297" s="7"/>
      <c r="AI1297" s="7"/>
      <c r="AJ1297" s="7"/>
      <c r="AL1297" s="154"/>
      <c r="AM1297" s="7"/>
      <c r="AN1297" s="13"/>
      <c r="AP1297" s="7"/>
      <c r="AQ1297" s="7"/>
      <c r="AR1297" s="7"/>
      <c r="AS1297" s="7"/>
      <c r="AT1297" s="7"/>
      <c r="AU1297" s="7"/>
    </row>
    <row r="1298" spans="7:47" ht="13.5" x14ac:dyDescent="0.25">
      <c r="G1298" s="7"/>
      <c r="P1298" s="7"/>
      <c r="Q1298" s="7"/>
      <c r="V1298" s="7"/>
      <c r="W1298" s="7"/>
      <c r="X1298" s="7"/>
      <c r="Y1298" s="7"/>
      <c r="Z1298" s="7"/>
      <c r="AA1298" s="7"/>
      <c r="AB1298" s="7"/>
      <c r="AC1298" s="7"/>
      <c r="AD1298" s="7"/>
      <c r="AE1298" s="154"/>
      <c r="AF1298" s="154"/>
      <c r="AH1298" s="7"/>
      <c r="AI1298" s="7"/>
      <c r="AJ1298" s="7"/>
      <c r="AL1298" s="154"/>
      <c r="AM1298" s="7"/>
      <c r="AN1298" s="13"/>
      <c r="AP1298" s="7"/>
      <c r="AQ1298" s="7"/>
      <c r="AR1298" s="7"/>
      <c r="AS1298" s="7"/>
      <c r="AT1298" s="7"/>
      <c r="AU1298" s="7"/>
    </row>
    <row r="1299" spans="7:47" ht="13.5" x14ac:dyDescent="0.25">
      <c r="G1299" s="7"/>
      <c r="P1299" s="7"/>
      <c r="Q1299" s="7"/>
      <c r="V1299" s="7"/>
      <c r="W1299" s="7"/>
      <c r="X1299" s="7"/>
      <c r="Y1299" s="7"/>
      <c r="Z1299" s="7"/>
      <c r="AA1299" s="7"/>
      <c r="AB1299" s="7"/>
      <c r="AC1299" s="7"/>
      <c r="AD1299" s="7"/>
      <c r="AE1299" s="154"/>
      <c r="AF1299" s="154"/>
      <c r="AH1299" s="7"/>
      <c r="AI1299" s="7"/>
      <c r="AJ1299" s="7"/>
      <c r="AL1299" s="154"/>
      <c r="AM1299" s="7"/>
      <c r="AN1299" s="13"/>
      <c r="AP1299" s="7"/>
      <c r="AQ1299" s="7"/>
      <c r="AR1299" s="7"/>
      <c r="AS1299" s="7"/>
      <c r="AT1299" s="7"/>
      <c r="AU1299" s="7"/>
    </row>
    <row r="1300" spans="7:47" ht="13.5" x14ac:dyDescent="0.25">
      <c r="G1300" s="7"/>
      <c r="P1300" s="7"/>
      <c r="Q1300" s="7"/>
      <c r="V1300" s="7"/>
      <c r="W1300" s="7"/>
      <c r="X1300" s="7"/>
      <c r="Y1300" s="7"/>
      <c r="Z1300" s="7"/>
      <c r="AA1300" s="7"/>
      <c r="AB1300" s="7"/>
      <c r="AC1300" s="7"/>
      <c r="AD1300" s="7"/>
      <c r="AE1300" s="154"/>
      <c r="AF1300" s="154"/>
      <c r="AH1300" s="7"/>
      <c r="AI1300" s="7"/>
      <c r="AJ1300" s="7"/>
      <c r="AL1300" s="154"/>
      <c r="AM1300" s="7"/>
      <c r="AN1300" s="13"/>
      <c r="AP1300" s="7"/>
      <c r="AQ1300" s="7"/>
      <c r="AR1300" s="7"/>
      <c r="AS1300" s="7"/>
      <c r="AT1300" s="7"/>
      <c r="AU1300" s="7"/>
    </row>
    <row r="1301" spans="7:47" ht="13.5" x14ac:dyDescent="0.25">
      <c r="G1301" s="7"/>
      <c r="P1301" s="7"/>
      <c r="Q1301" s="7"/>
      <c r="V1301" s="7"/>
      <c r="W1301" s="7"/>
      <c r="X1301" s="7"/>
      <c r="Y1301" s="7"/>
      <c r="Z1301" s="7"/>
      <c r="AA1301" s="7"/>
      <c r="AB1301" s="7"/>
      <c r="AC1301" s="7"/>
      <c r="AD1301" s="7"/>
      <c r="AE1301" s="154"/>
      <c r="AF1301" s="154"/>
      <c r="AH1301" s="7"/>
      <c r="AI1301" s="7"/>
      <c r="AJ1301" s="7"/>
      <c r="AL1301" s="154"/>
      <c r="AM1301" s="7"/>
      <c r="AN1301" s="13"/>
      <c r="AP1301" s="7"/>
      <c r="AQ1301" s="7"/>
      <c r="AR1301" s="7"/>
      <c r="AS1301" s="7"/>
      <c r="AT1301" s="7"/>
      <c r="AU1301" s="7"/>
    </row>
    <row r="1302" spans="7:47" ht="13.5" x14ac:dyDescent="0.25">
      <c r="G1302" s="7"/>
      <c r="P1302" s="7"/>
      <c r="Q1302" s="7"/>
      <c r="V1302" s="7"/>
      <c r="W1302" s="7"/>
      <c r="X1302" s="7"/>
      <c r="Y1302" s="7"/>
      <c r="Z1302" s="7"/>
      <c r="AA1302" s="7"/>
      <c r="AB1302" s="7"/>
      <c r="AC1302" s="7"/>
      <c r="AD1302" s="7"/>
      <c r="AE1302" s="154"/>
      <c r="AF1302" s="154"/>
      <c r="AH1302" s="7"/>
      <c r="AI1302" s="7"/>
      <c r="AJ1302" s="7"/>
      <c r="AL1302" s="154"/>
      <c r="AM1302" s="7"/>
      <c r="AN1302" s="13"/>
      <c r="AP1302" s="7"/>
      <c r="AQ1302" s="7"/>
      <c r="AR1302" s="7"/>
      <c r="AS1302" s="7"/>
      <c r="AT1302" s="7"/>
      <c r="AU1302" s="7"/>
    </row>
    <row r="1303" spans="7:47" ht="13.5" x14ac:dyDescent="0.25">
      <c r="G1303" s="7"/>
      <c r="P1303" s="7"/>
      <c r="Q1303" s="7"/>
      <c r="V1303" s="7"/>
      <c r="W1303" s="7"/>
      <c r="X1303" s="7"/>
      <c r="Y1303" s="7"/>
      <c r="Z1303" s="7"/>
      <c r="AA1303" s="7"/>
      <c r="AB1303" s="7"/>
      <c r="AC1303" s="7"/>
      <c r="AD1303" s="7"/>
      <c r="AE1303" s="154"/>
      <c r="AF1303" s="154"/>
      <c r="AH1303" s="7"/>
      <c r="AI1303" s="7"/>
      <c r="AJ1303" s="7"/>
      <c r="AL1303" s="154"/>
      <c r="AM1303" s="7"/>
      <c r="AN1303" s="13"/>
      <c r="AP1303" s="7"/>
      <c r="AQ1303" s="7"/>
      <c r="AR1303" s="7"/>
      <c r="AS1303" s="7"/>
      <c r="AT1303" s="7"/>
      <c r="AU1303" s="7"/>
    </row>
    <row r="1304" spans="7:47" ht="13.5" x14ac:dyDescent="0.25">
      <c r="G1304" s="7"/>
      <c r="P1304" s="7"/>
      <c r="Q1304" s="7"/>
      <c r="V1304" s="7"/>
      <c r="W1304" s="7"/>
      <c r="X1304" s="7"/>
      <c r="Y1304" s="7"/>
      <c r="Z1304" s="7"/>
      <c r="AA1304" s="7"/>
      <c r="AB1304" s="7"/>
      <c r="AC1304" s="7"/>
      <c r="AD1304" s="7"/>
      <c r="AE1304" s="154"/>
      <c r="AF1304" s="154"/>
      <c r="AH1304" s="7"/>
      <c r="AI1304" s="7"/>
      <c r="AJ1304" s="7"/>
      <c r="AL1304" s="154"/>
      <c r="AM1304" s="7"/>
      <c r="AN1304" s="13"/>
      <c r="AP1304" s="7"/>
      <c r="AQ1304" s="7"/>
      <c r="AR1304" s="7"/>
      <c r="AS1304" s="7"/>
      <c r="AT1304" s="7"/>
      <c r="AU1304" s="7"/>
    </row>
    <row r="1305" spans="7:47" ht="13.5" x14ac:dyDescent="0.25">
      <c r="G1305" s="7"/>
      <c r="P1305" s="7"/>
      <c r="Q1305" s="7"/>
      <c r="V1305" s="7"/>
      <c r="W1305" s="7"/>
      <c r="X1305" s="7"/>
      <c r="Y1305" s="7"/>
      <c r="Z1305" s="7"/>
      <c r="AA1305" s="7"/>
      <c r="AB1305" s="7"/>
      <c r="AC1305" s="7"/>
      <c r="AD1305" s="7"/>
      <c r="AE1305" s="154"/>
      <c r="AF1305" s="154"/>
      <c r="AH1305" s="7"/>
      <c r="AI1305" s="7"/>
      <c r="AJ1305" s="7"/>
      <c r="AL1305" s="154"/>
      <c r="AM1305" s="7"/>
      <c r="AN1305" s="13"/>
      <c r="AP1305" s="7"/>
      <c r="AQ1305" s="7"/>
      <c r="AR1305" s="7"/>
      <c r="AS1305" s="7"/>
      <c r="AT1305" s="7"/>
      <c r="AU1305" s="7"/>
    </row>
    <row r="1306" spans="7:47" ht="13.5" x14ac:dyDescent="0.25">
      <c r="G1306" s="7"/>
      <c r="P1306" s="7"/>
      <c r="Q1306" s="7"/>
      <c r="V1306" s="7"/>
      <c r="W1306" s="7"/>
      <c r="X1306" s="7"/>
      <c r="Y1306" s="7"/>
      <c r="Z1306" s="7"/>
      <c r="AA1306" s="7"/>
      <c r="AB1306" s="7"/>
      <c r="AC1306" s="7"/>
      <c r="AD1306" s="7"/>
      <c r="AE1306" s="154"/>
      <c r="AF1306" s="154"/>
      <c r="AH1306" s="7"/>
      <c r="AI1306" s="7"/>
      <c r="AJ1306" s="7"/>
      <c r="AL1306" s="154"/>
      <c r="AM1306" s="7"/>
      <c r="AN1306" s="13"/>
      <c r="AP1306" s="7"/>
      <c r="AQ1306" s="7"/>
      <c r="AR1306" s="7"/>
      <c r="AS1306" s="7"/>
      <c r="AT1306" s="7"/>
      <c r="AU1306" s="7"/>
    </row>
    <row r="1307" spans="7:47" ht="13.5" x14ac:dyDescent="0.25">
      <c r="G1307" s="7"/>
      <c r="P1307" s="7"/>
      <c r="Q1307" s="7"/>
      <c r="V1307" s="7"/>
      <c r="W1307" s="7"/>
      <c r="X1307" s="7"/>
      <c r="Y1307" s="7"/>
      <c r="Z1307" s="7"/>
      <c r="AA1307" s="7"/>
      <c r="AB1307" s="7"/>
      <c r="AC1307" s="7"/>
      <c r="AD1307" s="7"/>
      <c r="AE1307" s="154"/>
      <c r="AF1307" s="154"/>
      <c r="AH1307" s="7"/>
      <c r="AI1307" s="7"/>
      <c r="AJ1307" s="7"/>
      <c r="AL1307" s="154"/>
      <c r="AM1307" s="7"/>
      <c r="AN1307" s="13"/>
      <c r="AP1307" s="7"/>
      <c r="AQ1307" s="7"/>
      <c r="AR1307" s="7"/>
      <c r="AS1307" s="7"/>
      <c r="AT1307" s="7"/>
      <c r="AU1307" s="7"/>
    </row>
    <row r="1308" spans="7:47" ht="13.5" x14ac:dyDescent="0.25">
      <c r="G1308" s="7"/>
      <c r="P1308" s="7"/>
      <c r="Q1308" s="7"/>
      <c r="V1308" s="7"/>
      <c r="W1308" s="7"/>
      <c r="X1308" s="7"/>
      <c r="Y1308" s="7"/>
      <c r="Z1308" s="7"/>
      <c r="AA1308" s="7"/>
      <c r="AB1308" s="7"/>
      <c r="AC1308" s="7"/>
      <c r="AD1308" s="7"/>
      <c r="AE1308" s="154"/>
      <c r="AF1308" s="154"/>
      <c r="AH1308" s="7"/>
      <c r="AI1308" s="7"/>
      <c r="AJ1308" s="7"/>
      <c r="AL1308" s="154"/>
      <c r="AM1308" s="7"/>
      <c r="AN1308" s="13"/>
      <c r="AP1308" s="7"/>
      <c r="AQ1308" s="7"/>
      <c r="AR1308" s="7"/>
      <c r="AS1308" s="7"/>
      <c r="AT1308" s="7"/>
      <c r="AU1308" s="7"/>
    </row>
    <row r="1309" spans="7:47" ht="13.5" x14ac:dyDescent="0.25">
      <c r="G1309" s="7"/>
      <c r="P1309" s="7"/>
      <c r="Q1309" s="7"/>
      <c r="V1309" s="7"/>
      <c r="W1309" s="7"/>
      <c r="X1309" s="7"/>
      <c r="Y1309" s="7"/>
      <c r="Z1309" s="7"/>
      <c r="AA1309" s="7"/>
      <c r="AB1309" s="7"/>
      <c r="AC1309" s="7"/>
      <c r="AD1309" s="7"/>
      <c r="AE1309" s="154"/>
      <c r="AF1309" s="154"/>
      <c r="AH1309" s="7"/>
      <c r="AI1309" s="7"/>
      <c r="AJ1309" s="7"/>
      <c r="AL1309" s="154"/>
      <c r="AM1309" s="7"/>
      <c r="AN1309" s="13"/>
      <c r="AP1309" s="7"/>
      <c r="AQ1309" s="7"/>
      <c r="AR1309" s="7"/>
      <c r="AS1309" s="7"/>
      <c r="AT1309" s="7"/>
      <c r="AU1309" s="7"/>
    </row>
    <row r="1310" spans="7:47" ht="13.5" x14ac:dyDescent="0.25">
      <c r="G1310" s="7"/>
      <c r="P1310" s="7"/>
      <c r="Q1310" s="7"/>
      <c r="V1310" s="7"/>
      <c r="W1310" s="7"/>
      <c r="X1310" s="7"/>
      <c r="Y1310" s="7"/>
      <c r="Z1310" s="7"/>
      <c r="AA1310" s="7"/>
      <c r="AB1310" s="7"/>
      <c r="AC1310" s="7"/>
      <c r="AD1310" s="7"/>
      <c r="AE1310" s="154"/>
      <c r="AF1310" s="154"/>
      <c r="AH1310" s="7"/>
      <c r="AI1310" s="7"/>
      <c r="AJ1310" s="7"/>
      <c r="AL1310" s="154"/>
      <c r="AM1310" s="7"/>
      <c r="AN1310" s="13"/>
      <c r="AP1310" s="7"/>
      <c r="AQ1310" s="7"/>
      <c r="AR1310" s="7"/>
      <c r="AS1310" s="7"/>
      <c r="AT1310" s="7"/>
      <c r="AU1310" s="7"/>
    </row>
    <row r="1311" spans="7:47" ht="13.5" x14ac:dyDescent="0.25">
      <c r="G1311" s="7"/>
      <c r="P1311" s="7"/>
      <c r="Q1311" s="7"/>
      <c r="V1311" s="7"/>
      <c r="W1311" s="7"/>
      <c r="X1311" s="7"/>
      <c r="Y1311" s="7"/>
      <c r="Z1311" s="7"/>
      <c r="AA1311" s="7"/>
      <c r="AB1311" s="7"/>
      <c r="AC1311" s="7"/>
      <c r="AD1311" s="7"/>
      <c r="AE1311" s="154"/>
      <c r="AF1311" s="154"/>
      <c r="AH1311" s="7"/>
      <c r="AI1311" s="7"/>
      <c r="AJ1311" s="7"/>
      <c r="AL1311" s="154"/>
      <c r="AM1311" s="7"/>
      <c r="AN1311" s="13"/>
      <c r="AP1311" s="7"/>
      <c r="AQ1311" s="7"/>
      <c r="AR1311" s="7"/>
      <c r="AS1311" s="7"/>
      <c r="AT1311" s="7"/>
      <c r="AU1311" s="7"/>
    </row>
    <row r="1312" spans="7:47" ht="13.5" x14ac:dyDescent="0.25">
      <c r="G1312" s="7"/>
      <c r="P1312" s="7"/>
      <c r="Q1312" s="7"/>
      <c r="V1312" s="7"/>
      <c r="W1312" s="7"/>
      <c r="X1312" s="7"/>
      <c r="Y1312" s="7"/>
      <c r="Z1312" s="7"/>
      <c r="AA1312" s="7"/>
      <c r="AB1312" s="7"/>
      <c r="AC1312" s="7"/>
      <c r="AD1312" s="7"/>
      <c r="AE1312" s="154"/>
      <c r="AF1312" s="154"/>
      <c r="AH1312" s="7"/>
      <c r="AI1312" s="7"/>
      <c r="AJ1312" s="7"/>
      <c r="AL1312" s="154"/>
      <c r="AM1312" s="7"/>
      <c r="AN1312" s="13"/>
      <c r="AP1312" s="7"/>
      <c r="AQ1312" s="7"/>
      <c r="AR1312" s="7"/>
      <c r="AS1312" s="7"/>
      <c r="AT1312" s="7"/>
      <c r="AU1312" s="7"/>
    </row>
    <row r="1313" spans="7:47" ht="13.5" x14ac:dyDescent="0.25">
      <c r="G1313" s="7"/>
      <c r="P1313" s="7"/>
      <c r="Q1313" s="7"/>
      <c r="V1313" s="7"/>
      <c r="W1313" s="7"/>
      <c r="X1313" s="7"/>
      <c r="Y1313" s="7"/>
      <c r="Z1313" s="7"/>
      <c r="AA1313" s="7"/>
      <c r="AB1313" s="7"/>
      <c r="AC1313" s="7"/>
      <c r="AD1313" s="7"/>
      <c r="AE1313" s="154"/>
      <c r="AF1313" s="154"/>
      <c r="AH1313" s="7"/>
      <c r="AI1313" s="7"/>
      <c r="AJ1313" s="7"/>
      <c r="AL1313" s="154"/>
      <c r="AM1313" s="7"/>
      <c r="AN1313" s="13"/>
      <c r="AP1313" s="7"/>
      <c r="AQ1313" s="7"/>
      <c r="AR1313" s="7"/>
      <c r="AS1313" s="7"/>
      <c r="AT1313" s="7"/>
      <c r="AU1313" s="7"/>
    </row>
    <row r="1314" spans="7:47" ht="13.5" x14ac:dyDescent="0.25">
      <c r="G1314" s="7"/>
      <c r="P1314" s="7"/>
      <c r="Q1314" s="7"/>
      <c r="V1314" s="7"/>
      <c r="W1314" s="7"/>
      <c r="X1314" s="7"/>
      <c r="Y1314" s="7"/>
      <c r="Z1314" s="7"/>
      <c r="AA1314" s="7"/>
      <c r="AB1314" s="7"/>
      <c r="AC1314" s="7"/>
      <c r="AD1314" s="7"/>
      <c r="AE1314" s="154"/>
      <c r="AF1314" s="154"/>
      <c r="AH1314" s="7"/>
      <c r="AI1314" s="7"/>
      <c r="AJ1314" s="7"/>
      <c r="AL1314" s="154"/>
      <c r="AM1314" s="7"/>
      <c r="AN1314" s="13"/>
      <c r="AP1314" s="7"/>
      <c r="AQ1314" s="7"/>
      <c r="AR1314" s="7"/>
      <c r="AS1314" s="7"/>
      <c r="AT1314" s="7"/>
      <c r="AU1314" s="7"/>
    </row>
    <row r="1315" spans="7:47" ht="13.5" x14ac:dyDescent="0.25">
      <c r="G1315" s="7"/>
      <c r="P1315" s="7"/>
      <c r="Q1315" s="7"/>
      <c r="V1315" s="7"/>
      <c r="W1315" s="7"/>
      <c r="X1315" s="7"/>
      <c r="Y1315" s="7"/>
      <c r="Z1315" s="7"/>
      <c r="AA1315" s="7"/>
      <c r="AB1315" s="7"/>
      <c r="AC1315" s="7"/>
      <c r="AD1315" s="7"/>
      <c r="AE1315" s="154"/>
      <c r="AF1315" s="154"/>
      <c r="AH1315" s="7"/>
      <c r="AI1315" s="7"/>
      <c r="AJ1315" s="7"/>
      <c r="AL1315" s="154"/>
      <c r="AM1315" s="7"/>
      <c r="AN1315" s="13"/>
      <c r="AP1315" s="7"/>
      <c r="AQ1315" s="7"/>
      <c r="AR1315" s="7"/>
      <c r="AS1315" s="7"/>
      <c r="AT1315" s="7"/>
      <c r="AU1315" s="7"/>
    </row>
    <row r="1316" spans="7:47" ht="13.5" x14ac:dyDescent="0.25">
      <c r="G1316" s="7"/>
      <c r="P1316" s="7"/>
      <c r="Q1316" s="7"/>
      <c r="V1316" s="7"/>
      <c r="W1316" s="7"/>
      <c r="X1316" s="7"/>
      <c r="Y1316" s="7"/>
      <c r="Z1316" s="7"/>
      <c r="AA1316" s="7"/>
      <c r="AB1316" s="7"/>
      <c r="AC1316" s="7"/>
      <c r="AD1316" s="7"/>
      <c r="AE1316" s="154"/>
      <c r="AF1316" s="154"/>
      <c r="AH1316" s="7"/>
      <c r="AI1316" s="7"/>
      <c r="AJ1316" s="7"/>
      <c r="AL1316" s="154"/>
      <c r="AM1316" s="7"/>
      <c r="AN1316" s="13"/>
      <c r="AP1316" s="7"/>
      <c r="AQ1316" s="7"/>
      <c r="AR1316" s="7"/>
      <c r="AS1316" s="7"/>
      <c r="AT1316" s="7"/>
      <c r="AU1316" s="7"/>
    </row>
    <row r="1317" spans="7:47" ht="13.5" x14ac:dyDescent="0.25">
      <c r="G1317" s="7"/>
      <c r="P1317" s="7"/>
      <c r="Q1317" s="7"/>
      <c r="V1317" s="7"/>
      <c r="W1317" s="7"/>
      <c r="X1317" s="7"/>
      <c r="Y1317" s="7"/>
      <c r="Z1317" s="7"/>
      <c r="AA1317" s="7"/>
      <c r="AB1317" s="7"/>
      <c r="AC1317" s="7"/>
      <c r="AD1317" s="7"/>
      <c r="AE1317" s="154"/>
      <c r="AF1317" s="154"/>
      <c r="AH1317" s="7"/>
      <c r="AI1317" s="7"/>
      <c r="AJ1317" s="7"/>
      <c r="AL1317" s="154"/>
      <c r="AM1317" s="7"/>
      <c r="AN1317" s="13"/>
      <c r="AP1317" s="7"/>
      <c r="AQ1317" s="7"/>
      <c r="AR1317" s="7"/>
      <c r="AS1317" s="7"/>
      <c r="AT1317" s="7"/>
      <c r="AU1317" s="7"/>
    </row>
    <row r="1318" spans="7:47" ht="13.5" x14ac:dyDescent="0.25">
      <c r="G1318" s="7"/>
      <c r="P1318" s="7"/>
      <c r="Q1318" s="7"/>
      <c r="V1318" s="7"/>
      <c r="W1318" s="7"/>
      <c r="X1318" s="7"/>
      <c r="Y1318" s="7"/>
      <c r="Z1318" s="7"/>
      <c r="AA1318" s="7"/>
      <c r="AB1318" s="7"/>
      <c r="AC1318" s="7"/>
      <c r="AD1318" s="7"/>
      <c r="AE1318" s="154"/>
      <c r="AF1318" s="154"/>
      <c r="AH1318" s="7"/>
      <c r="AI1318" s="7"/>
      <c r="AJ1318" s="7"/>
      <c r="AL1318" s="154"/>
      <c r="AM1318" s="7"/>
      <c r="AN1318" s="13"/>
      <c r="AP1318" s="7"/>
      <c r="AQ1318" s="7"/>
      <c r="AR1318" s="7"/>
      <c r="AS1318" s="7"/>
      <c r="AT1318" s="7"/>
      <c r="AU1318" s="7"/>
    </row>
    <row r="1319" spans="7:47" ht="13.5" x14ac:dyDescent="0.25">
      <c r="G1319" s="7"/>
      <c r="P1319" s="7"/>
      <c r="Q1319" s="7"/>
      <c r="V1319" s="7"/>
      <c r="W1319" s="7"/>
      <c r="X1319" s="7"/>
      <c r="Y1319" s="7"/>
      <c r="Z1319" s="7"/>
      <c r="AA1319" s="7"/>
      <c r="AB1319" s="7"/>
      <c r="AC1319" s="7"/>
      <c r="AD1319" s="7"/>
      <c r="AE1319" s="154"/>
      <c r="AF1319" s="154"/>
      <c r="AH1319" s="7"/>
      <c r="AI1319" s="7"/>
      <c r="AJ1319" s="7"/>
      <c r="AL1319" s="154"/>
      <c r="AM1319" s="7"/>
      <c r="AN1319" s="13"/>
      <c r="AP1319" s="7"/>
      <c r="AQ1319" s="7"/>
      <c r="AR1319" s="7"/>
      <c r="AS1319" s="7"/>
      <c r="AT1319" s="7"/>
      <c r="AU1319" s="7"/>
    </row>
    <row r="1320" spans="7:47" ht="13.5" x14ac:dyDescent="0.25">
      <c r="G1320" s="7"/>
      <c r="P1320" s="7"/>
      <c r="Q1320" s="7"/>
      <c r="V1320" s="7"/>
      <c r="W1320" s="7"/>
      <c r="X1320" s="7"/>
      <c r="Y1320" s="7"/>
      <c r="Z1320" s="7"/>
      <c r="AA1320" s="7"/>
      <c r="AB1320" s="7"/>
      <c r="AC1320" s="7"/>
      <c r="AD1320" s="7"/>
      <c r="AE1320" s="154"/>
      <c r="AF1320" s="154"/>
      <c r="AH1320" s="7"/>
      <c r="AI1320" s="7"/>
      <c r="AJ1320" s="7"/>
      <c r="AL1320" s="154"/>
      <c r="AM1320" s="7"/>
      <c r="AN1320" s="13"/>
      <c r="AP1320" s="7"/>
      <c r="AQ1320" s="7"/>
      <c r="AR1320" s="7"/>
      <c r="AS1320" s="7"/>
      <c r="AT1320" s="7"/>
      <c r="AU1320" s="7"/>
    </row>
    <row r="1321" spans="7:47" ht="13.5" x14ac:dyDescent="0.25">
      <c r="G1321" s="7"/>
      <c r="P1321" s="7"/>
      <c r="Q1321" s="7"/>
      <c r="V1321" s="7"/>
      <c r="W1321" s="7"/>
      <c r="X1321" s="7"/>
      <c r="Y1321" s="7"/>
      <c r="Z1321" s="7"/>
      <c r="AA1321" s="7"/>
      <c r="AB1321" s="7"/>
      <c r="AC1321" s="7"/>
      <c r="AD1321" s="7"/>
      <c r="AE1321" s="154"/>
      <c r="AF1321" s="154"/>
      <c r="AH1321" s="7"/>
      <c r="AI1321" s="7"/>
      <c r="AJ1321" s="7"/>
      <c r="AL1321" s="154"/>
      <c r="AM1321" s="7"/>
      <c r="AN1321" s="13"/>
      <c r="AP1321" s="7"/>
      <c r="AQ1321" s="7"/>
      <c r="AR1321" s="7"/>
      <c r="AS1321" s="7"/>
      <c r="AT1321" s="7"/>
      <c r="AU1321" s="7"/>
    </row>
    <row r="1322" spans="7:47" ht="13.5" x14ac:dyDescent="0.25">
      <c r="G1322" s="7"/>
      <c r="P1322" s="7"/>
      <c r="Q1322" s="7"/>
      <c r="V1322" s="7"/>
      <c r="W1322" s="7"/>
      <c r="X1322" s="7"/>
      <c r="Y1322" s="7"/>
      <c r="Z1322" s="7"/>
      <c r="AA1322" s="7"/>
      <c r="AB1322" s="7"/>
      <c r="AC1322" s="7"/>
      <c r="AD1322" s="7"/>
      <c r="AE1322" s="154"/>
      <c r="AF1322" s="154"/>
      <c r="AH1322" s="7"/>
      <c r="AI1322" s="7"/>
      <c r="AJ1322" s="7"/>
      <c r="AL1322" s="154"/>
      <c r="AM1322" s="7"/>
      <c r="AN1322" s="13"/>
      <c r="AP1322" s="7"/>
      <c r="AQ1322" s="7"/>
      <c r="AR1322" s="7"/>
      <c r="AS1322" s="7"/>
      <c r="AT1322" s="7"/>
      <c r="AU1322" s="7"/>
    </row>
    <row r="1323" spans="7:47" ht="13.5" x14ac:dyDescent="0.25">
      <c r="G1323" s="7"/>
      <c r="P1323" s="7"/>
      <c r="Q1323" s="7"/>
      <c r="V1323" s="7"/>
      <c r="W1323" s="7"/>
      <c r="X1323" s="7"/>
      <c r="Y1323" s="7"/>
      <c r="Z1323" s="7"/>
      <c r="AA1323" s="7"/>
      <c r="AB1323" s="7"/>
      <c r="AC1323" s="7"/>
      <c r="AD1323" s="7"/>
      <c r="AE1323" s="154"/>
      <c r="AF1323" s="154"/>
      <c r="AH1323" s="7"/>
      <c r="AI1323" s="7"/>
      <c r="AJ1323" s="7"/>
      <c r="AL1323" s="154"/>
      <c r="AM1323" s="7"/>
      <c r="AN1323" s="13"/>
      <c r="AP1323" s="7"/>
      <c r="AQ1323" s="7"/>
      <c r="AR1323" s="7"/>
      <c r="AS1323" s="7"/>
      <c r="AT1323" s="7"/>
      <c r="AU1323" s="7"/>
    </row>
    <row r="1324" spans="7:47" ht="13.5" x14ac:dyDescent="0.25">
      <c r="G1324" s="7"/>
      <c r="P1324" s="7"/>
      <c r="Q1324" s="7"/>
      <c r="V1324" s="7"/>
      <c r="W1324" s="7"/>
      <c r="X1324" s="7"/>
      <c r="Y1324" s="7"/>
      <c r="Z1324" s="7"/>
      <c r="AA1324" s="7"/>
      <c r="AB1324" s="7"/>
      <c r="AC1324" s="7"/>
      <c r="AD1324" s="7"/>
      <c r="AE1324" s="154"/>
      <c r="AF1324" s="154"/>
      <c r="AH1324" s="7"/>
      <c r="AI1324" s="7"/>
      <c r="AJ1324" s="7"/>
      <c r="AL1324" s="154"/>
      <c r="AM1324" s="7"/>
      <c r="AN1324" s="13"/>
      <c r="AP1324" s="7"/>
      <c r="AQ1324" s="7"/>
      <c r="AR1324" s="7"/>
      <c r="AS1324" s="7"/>
      <c r="AT1324" s="7"/>
      <c r="AU1324" s="7"/>
    </row>
    <row r="1325" spans="7:47" ht="13.5" x14ac:dyDescent="0.25">
      <c r="G1325" s="7"/>
      <c r="P1325" s="7"/>
      <c r="Q1325" s="7"/>
      <c r="V1325" s="7"/>
      <c r="W1325" s="7"/>
      <c r="X1325" s="7"/>
      <c r="Y1325" s="7"/>
      <c r="Z1325" s="7"/>
      <c r="AA1325" s="7"/>
      <c r="AB1325" s="7"/>
      <c r="AC1325" s="7"/>
      <c r="AD1325" s="7"/>
      <c r="AE1325" s="154"/>
      <c r="AF1325" s="154"/>
      <c r="AH1325" s="7"/>
      <c r="AI1325" s="7"/>
      <c r="AJ1325" s="7"/>
      <c r="AL1325" s="154"/>
      <c r="AM1325" s="7"/>
      <c r="AN1325" s="13"/>
      <c r="AP1325" s="7"/>
      <c r="AQ1325" s="7"/>
      <c r="AR1325" s="7"/>
      <c r="AS1325" s="7"/>
      <c r="AT1325" s="7"/>
      <c r="AU1325" s="7"/>
    </row>
    <row r="1326" spans="7:47" ht="13.5" x14ac:dyDescent="0.25">
      <c r="G1326" s="7"/>
      <c r="P1326" s="7"/>
      <c r="Q1326" s="7"/>
      <c r="V1326" s="7"/>
      <c r="W1326" s="7"/>
      <c r="X1326" s="7"/>
      <c r="Y1326" s="7"/>
      <c r="Z1326" s="7"/>
      <c r="AA1326" s="7"/>
      <c r="AB1326" s="7"/>
      <c r="AC1326" s="7"/>
      <c r="AD1326" s="7"/>
      <c r="AE1326" s="154"/>
      <c r="AF1326" s="154"/>
      <c r="AH1326" s="7"/>
      <c r="AI1326" s="7"/>
      <c r="AJ1326" s="7"/>
      <c r="AL1326" s="154"/>
      <c r="AM1326" s="7"/>
      <c r="AN1326" s="13"/>
      <c r="AP1326" s="7"/>
      <c r="AQ1326" s="7"/>
      <c r="AR1326" s="7"/>
      <c r="AS1326" s="7"/>
      <c r="AT1326" s="7"/>
      <c r="AU1326" s="7"/>
    </row>
    <row r="1327" spans="7:47" ht="13.5" x14ac:dyDescent="0.25">
      <c r="G1327" s="7"/>
      <c r="P1327" s="7"/>
      <c r="Q1327" s="7"/>
      <c r="V1327" s="7"/>
      <c r="W1327" s="7"/>
      <c r="X1327" s="7"/>
      <c r="Y1327" s="7"/>
      <c r="Z1327" s="7"/>
      <c r="AA1327" s="7"/>
      <c r="AB1327" s="7"/>
      <c r="AC1327" s="7"/>
      <c r="AD1327" s="7"/>
      <c r="AE1327" s="154"/>
      <c r="AF1327" s="154"/>
      <c r="AH1327" s="7"/>
      <c r="AI1327" s="7"/>
      <c r="AJ1327" s="7"/>
      <c r="AL1327" s="154"/>
      <c r="AM1327" s="7"/>
      <c r="AN1327" s="13"/>
      <c r="AP1327" s="7"/>
      <c r="AQ1327" s="7"/>
      <c r="AR1327" s="7"/>
      <c r="AS1327" s="7"/>
      <c r="AT1327" s="7"/>
      <c r="AU1327" s="7"/>
    </row>
    <row r="1328" spans="7:47" ht="13.5" x14ac:dyDescent="0.25">
      <c r="G1328" s="7"/>
      <c r="P1328" s="7"/>
      <c r="Q1328" s="7"/>
      <c r="V1328" s="7"/>
      <c r="W1328" s="7"/>
      <c r="X1328" s="7"/>
      <c r="Y1328" s="7"/>
      <c r="Z1328" s="7"/>
      <c r="AA1328" s="7"/>
      <c r="AB1328" s="7"/>
      <c r="AC1328" s="7"/>
      <c r="AD1328" s="7"/>
      <c r="AE1328" s="154"/>
      <c r="AF1328" s="154"/>
      <c r="AH1328" s="7"/>
      <c r="AI1328" s="7"/>
      <c r="AJ1328" s="7"/>
      <c r="AL1328" s="154"/>
      <c r="AM1328" s="7"/>
      <c r="AN1328" s="13"/>
      <c r="AP1328" s="7"/>
      <c r="AQ1328" s="7"/>
      <c r="AR1328" s="7"/>
      <c r="AS1328" s="7"/>
      <c r="AT1328" s="7"/>
      <c r="AU1328" s="7"/>
    </row>
    <row r="1329" spans="7:47" ht="13.5" x14ac:dyDescent="0.25">
      <c r="G1329" s="7"/>
      <c r="P1329" s="7"/>
      <c r="Q1329" s="7"/>
      <c r="V1329" s="7"/>
      <c r="W1329" s="7"/>
      <c r="X1329" s="7"/>
      <c r="Y1329" s="7"/>
      <c r="Z1329" s="7"/>
      <c r="AA1329" s="7"/>
      <c r="AB1329" s="7"/>
      <c r="AC1329" s="7"/>
      <c r="AD1329" s="7"/>
      <c r="AE1329" s="154"/>
      <c r="AF1329" s="154"/>
      <c r="AH1329" s="7"/>
      <c r="AI1329" s="7"/>
      <c r="AJ1329" s="7"/>
      <c r="AL1329" s="154"/>
      <c r="AM1329" s="7"/>
      <c r="AN1329" s="13"/>
      <c r="AP1329" s="7"/>
      <c r="AQ1329" s="7"/>
      <c r="AR1329" s="7"/>
      <c r="AS1329" s="7"/>
      <c r="AT1329" s="7"/>
      <c r="AU1329" s="7"/>
    </row>
    <row r="1330" spans="7:47" ht="13.5" x14ac:dyDescent="0.25">
      <c r="G1330" s="7"/>
      <c r="P1330" s="7"/>
      <c r="Q1330" s="7"/>
      <c r="V1330" s="7"/>
      <c r="W1330" s="7"/>
      <c r="X1330" s="7"/>
      <c r="Y1330" s="7"/>
      <c r="Z1330" s="7"/>
      <c r="AA1330" s="7"/>
      <c r="AB1330" s="7"/>
      <c r="AC1330" s="7"/>
      <c r="AD1330" s="7"/>
      <c r="AE1330" s="154"/>
      <c r="AF1330" s="154"/>
      <c r="AH1330" s="7"/>
      <c r="AI1330" s="7"/>
      <c r="AJ1330" s="7"/>
      <c r="AL1330" s="154"/>
      <c r="AM1330" s="7"/>
      <c r="AN1330" s="13"/>
      <c r="AP1330" s="7"/>
      <c r="AQ1330" s="7"/>
      <c r="AR1330" s="7"/>
      <c r="AS1330" s="7"/>
      <c r="AT1330" s="7"/>
      <c r="AU1330" s="7"/>
    </row>
    <row r="1331" spans="7:47" ht="13.5" x14ac:dyDescent="0.25">
      <c r="G1331" s="7"/>
      <c r="P1331" s="7"/>
      <c r="Q1331" s="7"/>
      <c r="V1331" s="7"/>
      <c r="W1331" s="7"/>
      <c r="X1331" s="7"/>
      <c r="Y1331" s="7"/>
      <c r="Z1331" s="7"/>
      <c r="AA1331" s="7"/>
      <c r="AB1331" s="7"/>
      <c r="AC1331" s="7"/>
      <c r="AD1331" s="7"/>
      <c r="AE1331" s="154"/>
      <c r="AF1331" s="154"/>
      <c r="AH1331" s="7"/>
      <c r="AI1331" s="7"/>
      <c r="AJ1331" s="7"/>
      <c r="AL1331" s="154"/>
      <c r="AM1331" s="7"/>
      <c r="AN1331" s="13"/>
      <c r="AP1331" s="7"/>
      <c r="AQ1331" s="7"/>
      <c r="AR1331" s="7"/>
      <c r="AS1331" s="7"/>
      <c r="AT1331" s="7"/>
      <c r="AU1331" s="7"/>
    </row>
    <row r="1332" spans="7:47" ht="13.5" x14ac:dyDescent="0.25">
      <c r="G1332" s="7"/>
      <c r="P1332" s="7"/>
      <c r="Q1332" s="7"/>
      <c r="V1332" s="7"/>
      <c r="W1332" s="7"/>
      <c r="X1332" s="7"/>
      <c r="Y1332" s="7"/>
      <c r="Z1332" s="7"/>
      <c r="AA1332" s="7"/>
      <c r="AB1332" s="7"/>
      <c r="AC1332" s="7"/>
      <c r="AD1332" s="7"/>
      <c r="AE1332" s="154"/>
      <c r="AF1332" s="154"/>
      <c r="AH1332" s="7"/>
      <c r="AI1332" s="7"/>
      <c r="AJ1332" s="7"/>
      <c r="AL1332" s="154"/>
      <c r="AM1332" s="7"/>
      <c r="AN1332" s="13"/>
      <c r="AP1332" s="7"/>
      <c r="AQ1332" s="7"/>
      <c r="AR1332" s="7"/>
      <c r="AS1332" s="7"/>
      <c r="AT1332" s="7"/>
      <c r="AU1332" s="7"/>
    </row>
    <row r="1333" spans="7:47" ht="13.5" x14ac:dyDescent="0.25">
      <c r="G1333" s="7"/>
      <c r="P1333" s="7"/>
      <c r="Q1333" s="7"/>
      <c r="V1333" s="7"/>
      <c r="W1333" s="7"/>
      <c r="X1333" s="7"/>
      <c r="Y1333" s="7"/>
      <c r="Z1333" s="7"/>
      <c r="AA1333" s="7"/>
      <c r="AB1333" s="7"/>
      <c r="AC1333" s="7"/>
      <c r="AD1333" s="7"/>
      <c r="AE1333" s="154"/>
      <c r="AF1333" s="154"/>
      <c r="AH1333" s="7"/>
      <c r="AI1333" s="7"/>
      <c r="AJ1333" s="7"/>
      <c r="AL1333" s="154"/>
      <c r="AM1333" s="7"/>
      <c r="AN1333" s="13"/>
      <c r="AP1333" s="7"/>
      <c r="AQ1333" s="7"/>
      <c r="AR1333" s="7"/>
      <c r="AS1333" s="7"/>
      <c r="AT1333" s="7"/>
      <c r="AU1333" s="7"/>
    </row>
    <row r="1334" spans="7:47" ht="13.5" x14ac:dyDescent="0.25">
      <c r="G1334" s="7"/>
      <c r="P1334" s="7"/>
      <c r="Q1334" s="7"/>
      <c r="V1334" s="7"/>
      <c r="W1334" s="7"/>
      <c r="X1334" s="7"/>
      <c r="Y1334" s="7"/>
      <c r="Z1334" s="7"/>
      <c r="AA1334" s="7"/>
      <c r="AB1334" s="7"/>
      <c r="AC1334" s="7"/>
      <c r="AD1334" s="7"/>
      <c r="AE1334" s="154"/>
      <c r="AF1334" s="154"/>
      <c r="AH1334" s="7"/>
      <c r="AI1334" s="7"/>
      <c r="AJ1334" s="7"/>
      <c r="AL1334" s="154"/>
      <c r="AM1334" s="7"/>
      <c r="AN1334" s="13"/>
      <c r="AP1334" s="7"/>
      <c r="AQ1334" s="7"/>
      <c r="AR1334" s="7"/>
      <c r="AS1334" s="7"/>
      <c r="AT1334" s="7"/>
      <c r="AU1334" s="7"/>
    </row>
    <row r="1335" spans="7:47" ht="13.5" x14ac:dyDescent="0.25">
      <c r="G1335" s="7"/>
      <c r="P1335" s="7"/>
      <c r="Q1335" s="7"/>
      <c r="V1335" s="7"/>
      <c r="W1335" s="7"/>
      <c r="X1335" s="7"/>
      <c r="Y1335" s="7"/>
      <c r="Z1335" s="7"/>
      <c r="AA1335" s="7"/>
      <c r="AB1335" s="7"/>
      <c r="AC1335" s="7"/>
      <c r="AD1335" s="7"/>
      <c r="AE1335" s="154"/>
      <c r="AF1335" s="154"/>
      <c r="AH1335" s="7"/>
      <c r="AI1335" s="7"/>
      <c r="AJ1335" s="7"/>
      <c r="AL1335" s="154"/>
      <c r="AM1335" s="7"/>
      <c r="AN1335" s="13"/>
      <c r="AP1335" s="7"/>
      <c r="AQ1335" s="7"/>
      <c r="AR1335" s="7"/>
      <c r="AS1335" s="7"/>
      <c r="AT1335" s="7"/>
      <c r="AU1335" s="7"/>
    </row>
    <row r="1336" spans="7:47" ht="13.5" x14ac:dyDescent="0.25">
      <c r="G1336" s="7"/>
      <c r="P1336" s="7"/>
      <c r="Q1336" s="7"/>
      <c r="V1336" s="7"/>
      <c r="W1336" s="7"/>
      <c r="X1336" s="7"/>
      <c r="Y1336" s="7"/>
      <c r="Z1336" s="7"/>
      <c r="AA1336" s="7"/>
      <c r="AB1336" s="7"/>
      <c r="AC1336" s="7"/>
      <c r="AD1336" s="7"/>
      <c r="AE1336" s="154"/>
      <c r="AF1336" s="154"/>
      <c r="AH1336" s="7"/>
      <c r="AI1336" s="7"/>
      <c r="AJ1336" s="7"/>
      <c r="AL1336" s="154"/>
      <c r="AM1336" s="7"/>
      <c r="AN1336" s="13"/>
      <c r="AP1336" s="7"/>
      <c r="AQ1336" s="7"/>
      <c r="AR1336" s="7"/>
      <c r="AS1336" s="7"/>
      <c r="AT1336" s="7"/>
      <c r="AU1336" s="7"/>
    </row>
    <row r="1337" spans="7:47" ht="13.5" x14ac:dyDescent="0.25">
      <c r="G1337" s="7"/>
      <c r="P1337" s="7"/>
      <c r="Q1337" s="7"/>
      <c r="V1337" s="7"/>
      <c r="W1337" s="7"/>
      <c r="X1337" s="7"/>
      <c r="Y1337" s="7"/>
      <c r="Z1337" s="7"/>
      <c r="AA1337" s="7"/>
      <c r="AB1337" s="7"/>
      <c r="AC1337" s="7"/>
      <c r="AD1337" s="7"/>
      <c r="AE1337" s="154"/>
      <c r="AF1337" s="154"/>
      <c r="AH1337" s="7"/>
      <c r="AI1337" s="7"/>
      <c r="AJ1337" s="7"/>
      <c r="AL1337" s="154"/>
      <c r="AM1337" s="7"/>
      <c r="AN1337" s="13"/>
      <c r="AP1337" s="7"/>
      <c r="AQ1337" s="7"/>
      <c r="AR1337" s="7"/>
      <c r="AS1337" s="7"/>
      <c r="AT1337" s="7"/>
      <c r="AU1337" s="7"/>
    </row>
    <row r="1338" spans="7:47" ht="13.5" x14ac:dyDescent="0.25">
      <c r="G1338" s="7"/>
      <c r="P1338" s="7"/>
      <c r="Q1338" s="7"/>
      <c r="V1338" s="7"/>
      <c r="W1338" s="7"/>
      <c r="X1338" s="7"/>
      <c r="Y1338" s="7"/>
      <c r="Z1338" s="7"/>
      <c r="AA1338" s="7"/>
      <c r="AB1338" s="7"/>
      <c r="AC1338" s="7"/>
      <c r="AD1338" s="7"/>
      <c r="AE1338" s="154"/>
      <c r="AF1338" s="154"/>
      <c r="AH1338" s="7"/>
      <c r="AI1338" s="7"/>
      <c r="AJ1338" s="7"/>
      <c r="AL1338" s="154"/>
      <c r="AM1338" s="7"/>
      <c r="AN1338" s="13"/>
      <c r="AP1338" s="7"/>
      <c r="AQ1338" s="7"/>
      <c r="AR1338" s="7"/>
      <c r="AS1338" s="7"/>
      <c r="AT1338" s="7"/>
      <c r="AU1338" s="7"/>
    </row>
    <row r="1339" spans="7:47" ht="13.5" x14ac:dyDescent="0.25">
      <c r="G1339" s="7"/>
      <c r="P1339" s="7"/>
      <c r="Q1339" s="7"/>
      <c r="V1339" s="7"/>
      <c r="W1339" s="7"/>
      <c r="X1339" s="7"/>
      <c r="Y1339" s="7"/>
      <c r="Z1339" s="7"/>
      <c r="AA1339" s="7"/>
      <c r="AB1339" s="7"/>
      <c r="AC1339" s="7"/>
      <c r="AD1339" s="7"/>
      <c r="AE1339" s="154"/>
      <c r="AF1339" s="154"/>
      <c r="AH1339" s="7"/>
      <c r="AI1339" s="7"/>
      <c r="AJ1339" s="7"/>
      <c r="AL1339" s="154"/>
      <c r="AM1339" s="7"/>
      <c r="AN1339" s="13"/>
      <c r="AP1339" s="7"/>
      <c r="AQ1339" s="7"/>
      <c r="AR1339" s="7"/>
      <c r="AS1339" s="7"/>
      <c r="AT1339" s="7"/>
      <c r="AU1339" s="7"/>
    </row>
    <row r="1340" spans="7:47" ht="13.5" x14ac:dyDescent="0.25">
      <c r="G1340" s="7"/>
      <c r="P1340" s="7"/>
      <c r="Q1340" s="7"/>
      <c r="V1340" s="7"/>
      <c r="W1340" s="7"/>
      <c r="X1340" s="7"/>
      <c r="Y1340" s="7"/>
      <c r="Z1340" s="7"/>
      <c r="AA1340" s="7"/>
      <c r="AB1340" s="7"/>
      <c r="AC1340" s="7"/>
      <c r="AD1340" s="7"/>
      <c r="AE1340" s="154"/>
      <c r="AF1340" s="154"/>
      <c r="AH1340" s="7"/>
      <c r="AI1340" s="7"/>
      <c r="AJ1340" s="7"/>
      <c r="AL1340" s="154"/>
      <c r="AM1340" s="7"/>
      <c r="AN1340" s="13"/>
      <c r="AP1340" s="7"/>
      <c r="AQ1340" s="7"/>
      <c r="AR1340" s="7"/>
      <c r="AS1340" s="7"/>
      <c r="AT1340" s="7"/>
      <c r="AU1340" s="7"/>
    </row>
    <row r="1341" spans="7:47" ht="13.5" x14ac:dyDescent="0.25">
      <c r="G1341" s="7"/>
      <c r="P1341" s="7"/>
      <c r="Q1341" s="7"/>
      <c r="V1341" s="7"/>
      <c r="W1341" s="7"/>
      <c r="X1341" s="7"/>
      <c r="Y1341" s="7"/>
      <c r="Z1341" s="7"/>
      <c r="AA1341" s="7"/>
      <c r="AB1341" s="7"/>
      <c r="AC1341" s="7"/>
      <c r="AD1341" s="7"/>
      <c r="AE1341" s="154"/>
      <c r="AF1341" s="154"/>
      <c r="AH1341" s="7"/>
      <c r="AI1341" s="7"/>
      <c r="AJ1341" s="7"/>
      <c r="AL1341" s="154"/>
      <c r="AM1341" s="7"/>
      <c r="AN1341" s="13"/>
      <c r="AP1341" s="7"/>
      <c r="AQ1341" s="7"/>
      <c r="AR1341" s="7"/>
      <c r="AS1341" s="7"/>
      <c r="AT1341" s="7"/>
      <c r="AU1341" s="7"/>
    </row>
    <row r="1342" spans="7:47" ht="13.5" x14ac:dyDescent="0.25">
      <c r="G1342" s="7"/>
      <c r="P1342" s="7"/>
      <c r="Q1342" s="7"/>
      <c r="V1342" s="7"/>
      <c r="W1342" s="7"/>
      <c r="X1342" s="7"/>
      <c r="Y1342" s="7"/>
      <c r="Z1342" s="7"/>
      <c r="AA1342" s="7"/>
      <c r="AB1342" s="7"/>
      <c r="AC1342" s="7"/>
      <c r="AD1342" s="7"/>
      <c r="AE1342" s="154"/>
      <c r="AF1342" s="154"/>
      <c r="AH1342" s="7"/>
      <c r="AI1342" s="7"/>
      <c r="AJ1342" s="7"/>
      <c r="AL1342" s="154"/>
      <c r="AM1342" s="7"/>
      <c r="AN1342" s="13"/>
      <c r="AP1342" s="7"/>
      <c r="AQ1342" s="7"/>
      <c r="AR1342" s="7"/>
      <c r="AS1342" s="7"/>
      <c r="AT1342" s="7"/>
      <c r="AU1342" s="7"/>
    </row>
    <row r="1343" spans="7:47" ht="13.5" x14ac:dyDescent="0.25">
      <c r="G1343" s="7"/>
      <c r="P1343" s="7"/>
      <c r="Q1343" s="7"/>
      <c r="V1343" s="7"/>
      <c r="W1343" s="7"/>
      <c r="X1343" s="7"/>
      <c r="Y1343" s="7"/>
      <c r="Z1343" s="7"/>
      <c r="AA1343" s="7"/>
      <c r="AB1343" s="7"/>
      <c r="AC1343" s="7"/>
      <c r="AD1343" s="7"/>
      <c r="AE1343" s="154"/>
      <c r="AF1343" s="154"/>
      <c r="AH1343" s="7"/>
      <c r="AI1343" s="7"/>
      <c r="AJ1343" s="7"/>
      <c r="AL1343" s="154"/>
      <c r="AM1343" s="7"/>
      <c r="AN1343" s="13"/>
      <c r="AP1343" s="7"/>
      <c r="AQ1343" s="7"/>
      <c r="AR1343" s="7"/>
      <c r="AS1343" s="7"/>
      <c r="AT1343" s="7"/>
      <c r="AU1343" s="7"/>
    </row>
    <row r="1344" spans="7:47" ht="13.5" x14ac:dyDescent="0.25">
      <c r="G1344" s="7"/>
      <c r="P1344" s="7"/>
      <c r="Q1344" s="7"/>
      <c r="V1344" s="7"/>
      <c r="W1344" s="7"/>
      <c r="X1344" s="7"/>
      <c r="Y1344" s="7"/>
      <c r="Z1344" s="7"/>
      <c r="AA1344" s="7"/>
      <c r="AB1344" s="7"/>
      <c r="AC1344" s="7"/>
      <c r="AD1344" s="7"/>
      <c r="AE1344" s="154"/>
      <c r="AF1344" s="154"/>
      <c r="AH1344" s="7"/>
      <c r="AI1344" s="7"/>
      <c r="AJ1344" s="7"/>
      <c r="AL1344" s="154"/>
      <c r="AM1344" s="7"/>
      <c r="AN1344" s="13"/>
      <c r="AP1344" s="7"/>
      <c r="AQ1344" s="7"/>
      <c r="AR1344" s="7"/>
      <c r="AS1344" s="7"/>
      <c r="AT1344" s="7"/>
      <c r="AU1344" s="7"/>
    </row>
    <row r="1345" spans="7:47" ht="13.5" x14ac:dyDescent="0.25">
      <c r="G1345" s="7"/>
      <c r="P1345" s="7"/>
      <c r="Q1345" s="7"/>
      <c r="V1345" s="7"/>
      <c r="W1345" s="7"/>
      <c r="X1345" s="7"/>
      <c r="Y1345" s="7"/>
      <c r="Z1345" s="7"/>
      <c r="AA1345" s="7"/>
      <c r="AB1345" s="7"/>
      <c r="AC1345" s="7"/>
      <c r="AD1345" s="7"/>
      <c r="AE1345" s="154"/>
      <c r="AF1345" s="154"/>
      <c r="AH1345" s="7"/>
      <c r="AI1345" s="7"/>
      <c r="AJ1345" s="7"/>
      <c r="AL1345" s="154"/>
      <c r="AM1345" s="7"/>
      <c r="AN1345" s="13"/>
      <c r="AP1345" s="7"/>
      <c r="AQ1345" s="7"/>
      <c r="AR1345" s="7"/>
      <c r="AS1345" s="7"/>
      <c r="AT1345" s="7"/>
      <c r="AU1345" s="7"/>
    </row>
    <row r="1346" spans="7:47" ht="13.5" x14ac:dyDescent="0.25">
      <c r="G1346" s="7"/>
      <c r="P1346" s="7"/>
      <c r="Q1346" s="7"/>
      <c r="V1346" s="7"/>
      <c r="W1346" s="7"/>
      <c r="X1346" s="7"/>
      <c r="Y1346" s="7"/>
      <c r="Z1346" s="7"/>
      <c r="AA1346" s="7"/>
      <c r="AB1346" s="7"/>
      <c r="AC1346" s="7"/>
      <c r="AD1346" s="7"/>
      <c r="AE1346" s="154"/>
      <c r="AF1346" s="154"/>
      <c r="AH1346" s="7"/>
      <c r="AI1346" s="7"/>
      <c r="AJ1346" s="7"/>
      <c r="AL1346" s="154"/>
      <c r="AM1346" s="7"/>
      <c r="AN1346" s="13"/>
      <c r="AP1346" s="7"/>
      <c r="AQ1346" s="7"/>
      <c r="AR1346" s="7"/>
      <c r="AS1346" s="7"/>
      <c r="AT1346" s="7"/>
      <c r="AU1346" s="7"/>
    </row>
    <row r="1347" spans="7:47" ht="13.5" x14ac:dyDescent="0.25">
      <c r="G1347" s="7"/>
      <c r="P1347" s="7"/>
      <c r="Q1347" s="7"/>
      <c r="V1347" s="7"/>
      <c r="W1347" s="7"/>
      <c r="X1347" s="7"/>
      <c r="Y1347" s="7"/>
      <c r="Z1347" s="7"/>
      <c r="AA1347" s="7"/>
      <c r="AB1347" s="7"/>
      <c r="AC1347" s="7"/>
      <c r="AD1347" s="7"/>
      <c r="AE1347" s="154"/>
      <c r="AF1347" s="154"/>
      <c r="AH1347" s="7"/>
      <c r="AI1347" s="7"/>
      <c r="AJ1347" s="7"/>
      <c r="AL1347" s="154"/>
      <c r="AM1347" s="7"/>
      <c r="AN1347" s="13"/>
      <c r="AP1347" s="7"/>
      <c r="AQ1347" s="7"/>
      <c r="AR1347" s="7"/>
      <c r="AS1347" s="7"/>
      <c r="AT1347" s="7"/>
      <c r="AU1347" s="7"/>
    </row>
    <row r="1348" spans="7:47" ht="13.5" x14ac:dyDescent="0.25">
      <c r="G1348" s="7"/>
      <c r="P1348" s="7"/>
      <c r="Q1348" s="7"/>
      <c r="V1348" s="7"/>
      <c r="W1348" s="7"/>
      <c r="X1348" s="7"/>
      <c r="Y1348" s="7"/>
      <c r="Z1348" s="7"/>
      <c r="AA1348" s="7"/>
      <c r="AB1348" s="7"/>
      <c r="AC1348" s="7"/>
      <c r="AD1348" s="7"/>
      <c r="AE1348" s="154"/>
      <c r="AF1348" s="154"/>
      <c r="AH1348" s="7"/>
      <c r="AI1348" s="7"/>
      <c r="AJ1348" s="7"/>
      <c r="AL1348" s="154"/>
      <c r="AM1348" s="7"/>
      <c r="AN1348" s="13"/>
      <c r="AP1348" s="7"/>
      <c r="AQ1348" s="7"/>
      <c r="AR1348" s="7"/>
      <c r="AS1348" s="7"/>
      <c r="AT1348" s="7"/>
      <c r="AU1348" s="7"/>
    </row>
    <row r="1349" spans="7:47" ht="13.5" x14ac:dyDescent="0.25">
      <c r="G1349" s="7"/>
      <c r="P1349" s="7"/>
      <c r="Q1349" s="7"/>
      <c r="V1349" s="7"/>
      <c r="W1349" s="7"/>
      <c r="X1349" s="7"/>
      <c r="Y1349" s="7"/>
      <c r="Z1349" s="7"/>
      <c r="AA1349" s="7"/>
      <c r="AB1349" s="7"/>
      <c r="AC1349" s="7"/>
      <c r="AD1349" s="7"/>
      <c r="AE1349" s="154"/>
      <c r="AF1349" s="154"/>
      <c r="AH1349" s="7"/>
      <c r="AI1349" s="7"/>
      <c r="AJ1349" s="7"/>
      <c r="AL1349" s="154"/>
      <c r="AM1349" s="7"/>
      <c r="AN1349" s="13"/>
      <c r="AP1349" s="7"/>
      <c r="AQ1349" s="7"/>
      <c r="AR1349" s="7"/>
      <c r="AS1349" s="7"/>
      <c r="AT1349" s="7"/>
      <c r="AU1349" s="7"/>
    </row>
    <row r="1350" spans="7:47" ht="13.5" x14ac:dyDescent="0.25">
      <c r="G1350" s="7"/>
      <c r="P1350" s="7"/>
      <c r="Q1350" s="7"/>
      <c r="V1350" s="7"/>
      <c r="W1350" s="7"/>
      <c r="X1350" s="7"/>
      <c r="Y1350" s="7"/>
      <c r="Z1350" s="7"/>
      <c r="AA1350" s="7"/>
      <c r="AB1350" s="7"/>
      <c r="AC1350" s="7"/>
      <c r="AD1350" s="7"/>
      <c r="AE1350" s="154"/>
      <c r="AF1350" s="154"/>
      <c r="AH1350" s="7"/>
      <c r="AI1350" s="7"/>
      <c r="AJ1350" s="7"/>
      <c r="AL1350" s="154"/>
      <c r="AM1350" s="7"/>
      <c r="AN1350" s="13"/>
      <c r="AP1350" s="7"/>
      <c r="AQ1350" s="7"/>
      <c r="AR1350" s="7"/>
      <c r="AS1350" s="7"/>
      <c r="AT1350" s="7"/>
      <c r="AU1350" s="7"/>
    </row>
    <row r="1351" spans="7:47" ht="13.5" x14ac:dyDescent="0.25">
      <c r="G1351" s="7"/>
      <c r="P1351" s="7"/>
      <c r="Q1351" s="7"/>
      <c r="V1351" s="7"/>
      <c r="W1351" s="7"/>
      <c r="X1351" s="7"/>
      <c r="Y1351" s="7"/>
      <c r="Z1351" s="7"/>
      <c r="AA1351" s="7"/>
      <c r="AB1351" s="7"/>
      <c r="AC1351" s="7"/>
      <c r="AD1351" s="7"/>
      <c r="AE1351" s="154"/>
      <c r="AF1351" s="154"/>
      <c r="AH1351" s="7"/>
      <c r="AI1351" s="7"/>
      <c r="AJ1351" s="7"/>
      <c r="AL1351" s="154"/>
      <c r="AM1351" s="7"/>
      <c r="AN1351" s="13"/>
      <c r="AP1351" s="7"/>
      <c r="AQ1351" s="7"/>
      <c r="AR1351" s="7"/>
      <c r="AS1351" s="7"/>
      <c r="AT1351" s="7"/>
      <c r="AU1351" s="7"/>
    </row>
    <row r="1352" spans="7:47" ht="13.5" x14ac:dyDescent="0.25">
      <c r="G1352" s="7"/>
      <c r="P1352" s="7"/>
      <c r="Q1352" s="7"/>
      <c r="V1352" s="7"/>
      <c r="W1352" s="7"/>
      <c r="X1352" s="7"/>
      <c r="Y1352" s="7"/>
      <c r="Z1352" s="7"/>
      <c r="AA1352" s="7"/>
      <c r="AB1352" s="7"/>
      <c r="AC1352" s="7"/>
      <c r="AD1352" s="7"/>
      <c r="AE1352" s="154"/>
      <c r="AF1352" s="154"/>
      <c r="AH1352" s="7"/>
      <c r="AI1352" s="7"/>
      <c r="AJ1352" s="7"/>
      <c r="AL1352" s="154"/>
      <c r="AM1352" s="7"/>
      <c r="AN1352" s="13"/>
      <c r="AP1352" s="7"/>
      <c r="AQ1352" s="7"/>
      <c r="AR1352" s="7"/>
      <c r="AS1352" s="7"/>
      <c r="AT1352" s="7"/>
      <c r="AU1352" s="7"/>
    </row>
    <row r="1353" spans="7:47" ht="13.5" x14ac:dyDescent="0.25">
      <c r="G1353" s="7"/>
      <c r="P1353" s="7"/>
      <c r="Q1353" s="7"/>
      <c r="V1353" s="7"/>
      <c r="W1353" s="7"/>
      <c r="X1353" s="7"/>
      <c r="Y1353" s="7"/>
      <c r="Z1353" s="7"/>
      <c r="AA1353" s="7"/>
      <c r="AB1353" s="7"/>
      <c r="AC1353" s="7"/>
      <c r="AD1353" s="7"/>
      <c r="AE1353" s="154"/>
      <c r="AF1353" s="154"/>
      <c r="AH1353" s="7"/>
      <c r="AI1353" s="7"/>
      <c r="AJ1353" s="7"/>
      <c r="AL1353" s="154"/>
      <c r="AM1353" s="7"/>
      <c r="AN1353" s="13"/>
      <c r="AP1353" s="7"/>
      <c r="AQ1353" s="7"/>
      <c r="AR1353" s="7"/>
      <c r="AS1353" s="7"/>
      <c r="AT1353" s="7"/>
      <c r="AU1353" s="7"/>
    </row>
    <row r="1354" spans="7:47" ht="13.5" x14ac:dyDescent="0.25">
      <c r="G1354" s="7"/>
      <c r="P1354" s="7"/>
      <c r="Q1354" s="7"/>
      <c r="V1354" s="7"/>
      <c r="W1354" s="7"/>
      <c r="X1354" s="7"/>
      <c r="Y1354" s="7"/>
      <c r="Z1354" s="7"/>
      <c r="AA1354" s="7"/>
      <c r="AB1354" s="7"/>
      <c r="AC1354" s="7"/>
      <c r="AD1354" s="7"/>
      <c r="AE1354" s="154"/>
      <c r="AF1354" s="154"/>
      <c r="AH1354" s="7"/>
      <c r="AI1354" s="7"/>
      <c r="AJ1354" s="7"/>
      <c r="AL1354" s="154"/>
      <c r="AM1354" s="7"/>
      <c r="AN1354" s="13"/>
      <c r="AP1354" s="7"/>
      <c r="AQ1354" s="7"/>
      <c r="AR1354" s="7"/>
      <c r="AS1354" s="7"/>
      <c r="AT1354" s="7"/>
      <c r="AU1354" s="7"/>
    </row>
    <row r="1355" spans="7:47" ht="13.5" x14ac:dyDescent="0.25">
      <c r="G1355" s="7"/>
      <c r="P1355" s="7"/>
      <c r="Q1355" s="7"/>
      <c r="V1355" s="7"/>
      <c r="W1355" s="7"/>
      <c r="X1355" s="7"/>
      <c r="Y1355" s="7"/>
      <c r="Z1355" s="7"/>
      <c r="AA1355" s="7"/>
      <c r="AB1355" s="7"/>
      <c r="AC1355" s="7"/>
      <c r="AD1355" s="7"/>
      <c r="AE1355" s="154"/>
      <c r="AF1355" s="154"/>
      <c r="AH1355" s="7"/>
      <c r="AI1355" s="7"/>
      <c r="AJ1355" s="7"/>
      <c r="AL1355" s="154"/>
      <c r="AM1355" s="7"/>
      <c r="AN1355" s="13"/>
      <c r="AP1355" s="7"/>
      <c r="AQ1355" s="7"/>
      <c r="AR1355" s="7"/>
      <c r="AS1355" s="7"/>
      <c r="AT1355" s="7"/>
      <c r="AU1355" s="7"/>
    </row>
    <row r="1356" spans="7:47" ht="13.5" x14ac:dyDescent="0.25">
      <c r="G1356" s="7"/>
      <c r="P1356" s="7"/>
      <c r="Q1356" s="7"/>
      <c r="V1356" s="7"/>
      <c r="W1356" s="7"/>
      <c r="X1356" s="7"/>
      <c r="Y1356" s="7"/>
      <c r="Z1356" s="7"/>
      <c r="AA1356" s="7"/>
      <c r="AB1356" s="7"/>
      <c r="AC1356" s="7"/>
      <c r="AD1356" s="7"/>
      <c r="AE1356" s="154"/>
      <c r="AF1356" s="154"/>
      <c r="AH1356" s="7"/>
      <c r="AI1356" s="7"/>
      <c r="AJ1356" s="7"/>
      <c r="AL1356" s="154"/>
      <c r="AM1356" s="7"/>
      <c r="AN1356" s="13"/>
      <c r="AP1356" s="7"/>
      <c r="AQ1356" s="7"/>
      <c r="AR1356" s="7"/>
      <c r="AS1356" s="7"/>
      <c r="AT1356" s="7"/>
      <c r="AU1356" s="7"/>
    </row>
    <row r="1357" spans="7:47" ht="13.5" x14ac:dyDescent="0.25">
      <c r="G1357" s="7"/>
      <c r="P1357" s="7"/>
      <c r="Q1357" s="7"/>
      <c r="V1357" s="7"/>
      <c r="W1357" s="7"/>
      <c r="X1357" s="7"/>
      <c r="Y1357" s="7"/>
      <c r="Z1357" s="7"/>
      <c r="AA1357" s="7"/>
      <c r="AB1357" s="7"/>
      <c r="AC1357" s="7"/>
      <c r="AD1357" s="7"/>
      <c r="AE1357" s="154"/>
      <c r="AF1357" s="154"/>
      <c r="AH1357" s="7"/>
      <c r="AI1357" s="7"/>
      <c r="AJ1357" s="7"/>
      <c r="AL1357" s="154"/>
      <c r="AM1357" s="7"/>
      <c r="AN1357" s="13"/>
      <c r="AP1357" s="7"/>
      <c r="AQ1357" s="7"/>
      <c r="AR1357" s="7"/>
      <c r="AS1357" s="7"/>
      <c r="AT1357" s="7"/>
      <c r="AU1357" s="7"/>
    </row>
    <row r="1358" spans="7:47" ht="13.5" x14ac:dyDescent="0.25">
      <c r="G1358" s="7"/>
      <c r="P1358" s="7"/>
      <c r="Q1358" s="7"/>
      <c r="V1358" s="7"/>
      <c r="W1358" s="7"/>
      <c r="X1358" s="7"/>
      <c r="Y1358" s="7"/>
      <c r="Z1358" s="7"/>
      <c r="AA1358" s="7"/>
      <c r="AB1358" s="7"/>
      <c r="AC1358" s="7"/>
      <c r="AD1358" s="7"/>
      <c r="AE1358" s="154"/>
      <c r="AF1358" s="154"/>
      <c r="AH1358" s="7"/>
      <c r="AI1358" s="7"/>
      <c r="AJ1358" s="7"/>
      <c r="AL1358" s="154"/>
      <c r="AM1358" s="7"/>
      <c r="AN1358" s="13"/>
      <c r="AP1358" s="7"/>
      <c r="AQ1358" s="7"/>
      <c r="AR1358" s="7"/>
      <c r="AS1358" s="7"/>
      <c r="AT1358" s="7"/>
      <c r="AU1358" s="7"/>
    </row>
    <row r="1359" spans="7:47" ht="13.5" x14ac:dyDescent="0.25">
      <c r="G1359" s="7"/>
      <c r="P1359" s="7"/>
      <c r="Q1359" s="7"/>
      <c r="V1359" s="7"/>
      <c r="W1359" s="7"/>
      <c r="X1359" s="7"/>
      <c r="Y1359" s="7"/>
      <c r="Z1359" s="7"/>
      <c r="AA1359" s="7"/>
      <c r="AB1359" s="7"/>
      <c r="AC1359" s="7"/>
      <c r="AD1359" s="7"/>
      <c r="AE1359" s="154"/>
      <c r="AF1359" s="154"/>
      <c r="AH1359" s="7"/>
      <c r="AI1359" s="7"/>
      <c r="AJ1359" s="7"/>
      <c r="AL1359" s="154"/>
      <c r="AM1359" s="7"/>
      <c r="AN1359" s="13"/>
      <c r="AP1359" s="7"/>
      <c r="AQ1359" s="7"/>
      <c r="AR1359" s="7"/>
      <c r="AS1359" s="7"/>
      <c r="AT1359" s="7"/>
      <c r="AU1359" s="7"/>
    </row>
    <row r="1360" spans="7:47" ht="13.5" x14ac:dyDescent="0.25">
      <c r="G1360" s="7"/>
      <c r="P1360" s="7"/>
      <c r="Q1360" s="7"/>
      <c r="V1360" s="7"/>
      <c r="W1360" s="7"/>
      <c r="X1360" s="7"/>
      <c r="Y1360" s="7"/>
      <c r="Z1360" s="7"/>
      <c r="AA1360" s="7"/>
      <c r="AB1360" s="7"/>
      <c r="AC1360" s="7"/>
      <c r="AD1360" s="7"/>
      <c r="AE1360" s="154"/>
      <c r="AF1360" s="154"/>
      <c r="AH1360" s="7"/>
      <c r="AI1360" s="7"/>
      <c r="AJ1360" s="7"/>
      <c r="AL1360" s="154"/>
      <c r="AM1360" s="7"/>
      <c r="AN1360" s="13"/>
      <c r="AP1360" s="7"/>
      <c r="AQ1360" s="7"/>
      <c r="AR1360" s="7"/>
      <c r="AS1360" s="7"/>
      <c r="AT1360" s="7"/>
      <c r="AU1360" s="7"/>
    </row>
    <row r="1361" spans="7:47" ht="13.5" x14ac:dyDescent="0.25">
      <c r="G1361" s="7"/>
      <c r="P1361" s="7"/>
      <c r="Q1361" s="7"/>
      <c r="V1361" s="7"/>
      <c r="W1361" s="7"/>
      <c r="X1361" s="7"/>
      <c r="Y1361" s="7"/>
      <c r="Z1361" s="7"/>
      <c r="AA1361" s="7"/>
      <c r="AB1361" s="7"/>
      <c r="AC1361" s="7"/>
      <c r="AD1361" s="7"/>
      <c r="AE1361" s="154"/>
      <c r="AF1361" s="154"/>
      <c r="AH1361" s="7"/>
      <c r="AI1361" s="7"/>
      <c r="AJ1361" s="7"/>
      <c r="AL1361" s="154"/>
      <c r="AM1361" s="7"/>
      <c r="AN1361" s="13"/>
      <c r="AP1361" s="7"/>
      <c r="AQ1361" s="7"/>
      <c r="AR1361" s="7"/>
      <c r="AS1361" s="7"/>
      <c r="AT1361" s="7"/>
      <c r="AU1361" s="7"/>
    </row>
    <row r="1362" spans="7:47" ht="13.5" x14ac:dyDescent="0.25">
      <c r="G1362" s="7"/>
      <c r="P1362" s="7"/>
      <c r="Q1362" s="7"/>
      <c r="V1362" s="7"/>
      <c r="W1362" s="7"/>
      <c r="X1362" s="7"/>
      <c r="Y1362" s="7"/>
      <c r="Z1362" s="7"/>
      <c r="AA1362" s="7"/>
      <c r="AB1362" s="7"/>
      <c r="AC1362" s="7"/>
      <c r="AD1362" s="7"/>
      <c r="AE1362" s="154"/>
      <c r="AF1362" s="154"/>
      <c r="AH1362" s="7"/>
      <c r="AI1362" s="7"/>
      <c r="AJ1362" s="7"/>
      <c r="AL1362" s="154"/>
      <c r="AM1362" s="7"/>
      <c r="AN1362" s="13"/>
      <c r="AP1362" s="7"/>
      <c r="AQ1362" s="7"/>
      <c r="AR1362" s="7"/>
      <c r="AS1362" s="7"/>
      <c r="AT1362" s="7"/>
      <c r="AU1362" s="7"/>
    </row>
    <row r="1363" spans="7:47" ht="13.5" x14ac:dyDescent="0.25">
      <c r="G1363" s="7"/>
      <c r="P1363" s="7"/>
      <c r="Q1363" s="7"/>
      <c r="V1363" s="7"/>
      <c r="W1363" s="7"/>
      <c r="X1363" s="7"/>
      <c r="Y1363" s="7"/>
      <c r="Z1363" s="7"/>
      <c r="AA1363" s="7"/>
      <c r="AB1363" s="7"/>
      <c r="AC1363" s="7"/>
      <c r="AD1363" s="7"/>
      <c r="AE1363" s="154"/>
      <c r="AF1363" s="154"/>
      <c r="AH1363" s="7"/>
      <c r="AI1363" s="7"/>
      <c r="AJ1363" s="7"/>
      <c r="AL1363" s="154"/>
      <c r="AM1363" s="7"/>
      <c r="AN1363" s="13"/>
      <c r="AP1363" s="7"/>
      <c r="AQ1363" s="7"/>
      <c r="AR1363" s="7"/>
      <c r="AS1363" s="7"/>
      <c r="AT1363" s="7"/>
      <c r="AU1363" s="7"/>
    </row>
    <row r="1364" spans="7:47" ht="13.5" x14ac:dyDescent="0.25">
      <c r="G1364" s="7"/>
      <c r="P1364" s="7"/>
      <c r="Q1364" s="7"/>
      <c r="V1364" s="7"/>
      <c r="W1364" s="7"/>
      <c r="X1364" s="7"/>
      <c r="Y1364" s="7"/>
      <c r="Z1364" s="7"/>
      <c r="AA1364" s="7"/>
      <c r="AB1364" s="7"/>
      <c r="AC1364" s="7"/>
      <c r="AD1364" s="7"/>
      <c r="AE1364" s="154"/>
      <c r="AF1364" s="154"/>
      <c r="AH1364" s="7"/>
      <c r="AI1364" s="7"/>
      <c r="AJ1364" s="7"/>
      <c r="AL1364" s="154"/>
      <c r="AM1364" s="7"/>
      <c r="AN1364" s="13"/>
      <c r="AP1364" s="7"/>
      <c r="AQ1364" s="7"/>
      <c r="AR1364" s="7"/>
      <c r="AS1364" s="7"/>
      <c r="AT1364" s="7"/>
      <c r="AU1364" s="7"/>
    </row>
    <row r="1365" spans="7:47" ht="13.5" x14ac:dyDescent="0.25">
      <c r="G1365" s="7"/>
      <c r="P1365" s="7"/>
      <c r="Q1365" s="7"/>
      <c r="V1365" s="7"/>
      <c r="W1365" s="7"/>
      <c r="X1365" s="7"/>
      <c r="Y1365" s="7"/>
      <c r="Z1365" s="7"/>
      <c r="AA1365" s="7"/>
      <c r="AB1365" s="7"/>
      <c r="AC1365" s="7"/>
      <c r="AD1365" s="7"/>
      <c r="AE1365" s="154"/>
      <c r="AF1365" s="154"/>
      <c r="AH1365" s="7"/>
      <c r="AI1365" s="7"/>
      <c r="AJ1365" s="7"/>
      <c r="AL1365" s="154"/>
      <c r="AM1365" s="7"/>
      <c r="AN1365" s="13"/>
      <c r="AP1365" s="7"/>
      <c r="AQ1365" s="7"/>
      <c r="AR1365" s="7"/>
      <c r="AS1365" s="7"/>
      <c r="AT1365" s="7"/>
      <c r="AU1365" s="7"/>
    </row>
    <row r="1366" spans="7:47" ht="13.5" x14ac:dyDescent="0.25">
      <c r="G1366" s="7"/>
      <c r="P1366" s="7"/>
      <c r="Q1366" s="7"/>
      <c r="V1366" s="7"/>
      <c r="W1366" s="7"/>
      <c r="X1366" s="7"/>
      <c r="Y1366" s="7"/>
      <c r="Z1366" s="7"/>
      <c r="AA1366" s="7"/>
      <c r="AB1366" s="7"/>
      <c r="AC1366" s="7"/>
      <c r="AD1366" s="7"/>
      <c r="AE1366" s="154"/>
      <c r="AF1366" s="154"/>
      <c r="AH1366" s="7"/>
      <c r="AI1366" s="7"/>
      <c r="AJ1366" s="7"/>
      <c r="AL1366" s="154"/>
      <c r="AM1366" s="7"/>
      <c r="AN1366" s="13"/>
      <c r="AP1366" s="7"/>
      <c r="AQ1366" s="7"/>
      <c r="AR1366" s="7"/>
      <c r="AS1366" s="7"/>
      <c r="AT1366" s="7"/>
      <c r="AU1366" s="7"/>
    </row>
    <row r="1367" spans="7:47" ht="13.5" x14ac:dyDescent="0.25">
      <c r="G1367" s="7"/>
      <c r="P1367" s="7"/>
      <c r="Q1367" s="7"/>
      <c r="V1367" s="7"/>
      <c r="W1367" s="7"/>
      <c r="X1367" s="7"/>
      <c r="Y1367" s="7"/>
      <c r="Z1367" s="7"/>
      <c r="AA1367" s="7"/>
      <c r="AB1367" s="7"/>
      <c r="AC1367" s="7"/>
      <c r="AD1367" s="7"/>
      <c r="AE1367" s="154"/>
      <c r="AF1367" s="154"/>
      <c r="AH1367" s="7"/>
      <c r="AI1367" s="7"/>
      <c r="AJ1367" s="7"/>
      <c r="AL1367" s="154"/>
      <c r="AM1367" s="7"/>
      <c r="AN1367" s="13"/>
      <c r="AP1367" s="7"/>
      <c r="AQ1367" s="7"/>
      <c r="AR1367" s="7"/>
      <c r="AS1367" s="7"/>
      <c r="AT1367" s="7"/>
      <c r="AU1367" s="7"/>
    </row>
    <row r="1368" spans="7:47" ht="13.5" x14ac:dyDescent="0.25">
      <c r="G1368" s="7"/>
      <c r="P1368" s="7"/>
      <c r="Q1368" s="7"/>
      <c r="V1368" s="7"/>
      <c r="W1368" s="7"/>
      <c r="X1368" s="7"/>
      <c r="Y1368" s="7"/>
      <c r="Z1368" s="7"/>
      <c r="AA1368" s="7"/>
      <c r="AB1368" s="7"/>
      <c r="AC1368" s="7"/>
      <c r="AD1368" s="7"/>
      <c r="AE1368" s="154"/>
      <c r="AF1368" s="154"/>
      <c r="AH1368" s="7"/>
      <c r="AI1368" s="7"/>
      <c r="AJ1368" s="7"/>
      <c r="AL1368" s="154"/>
      <c r="AM1368" s="7"/>
      <c r="AN1368" s="13"/>
      <c r="AP1368" s="7"/>
      <c r="AQ1368" s="7"/>
      <c r="AR1368" s="7"/>
      <c r="AS1368" s="7"/>
      <c r="AT1368" s="7"/>
      <c r="AU1368" s="7"/>
    </row>
    <row r="1369" spans="7:47" ht="13.5" x14ac:dyDescent="0.25">
      <c r="G1369" s="7"/>
      <c r="P1369" s="7"/>
      <c r="Q1369" s="7"/>
      <c r="V1369" s="7"/>
      <c r="W1369" s="7"/>
      <c r="X1369" s="7"/>
      <c r="Y1369" s="7"/>
      <c r="Z1369" s="7"/>
      <c r="AA1369" s="7"/>
      <c r="AB1369" s="7"/>
      <c r="AC1369" s="7"/>
      <c r="AD1369" s="7"/>
      <c r="AE1369" s="154"/>
      <c r="AF1369" s="154"/>
      <c r="AH1369" s="7"/>
      <c r="AI1369" s="7"/>
      <c r="AJ1369" s="7"/>
      <c r="AL1369" s="154"/>
      <c r="AM1369" s="7"/>
      <c r="AN1369" s="13"/>
      <c r="AP1369" s="7"/>
      <c r="AQ1369" s="7"/>
      <c r="AR1369" s="7"/>
      <c r="AS1369" s="7"/>
      <c r="AT1369" s="7"/>
      <c r="AU1369" s="7"/>
    </row>
    <row r="1370" spans="7:47" ht="13.5" x14ac:dyDescent="0.25">
      <c r="G1370" s="7"/>
      <c r="P1370" s="7"/>
      <c r="Q1370" s="7"/>
      <c r="V1370" s="7"/>
      <c r="W1370" s="7"/>
      <c r="X1370" s="7"/>
      <c r="Y1370" s="7"/>
      <c r="Z1370" s="7"/>
      <c r="AA1370" s="7"/>
      <c r="AB1370" s="7"/>
      <c r="AC1370" s="7"/>
      <c r="AD1370" s="7"/>
      <c r="AE1370" s="154"/>
      <c r="AF1370" s="154"/>
      <c r="AH1370" s="7"/>
      <c r="AI1370" s="7"/>
      <c r="AJ1370" s="7"/>
      <c r="AL1370" s="154"/>
      <c r="AM1370" s="7"/>
      <c r="AN1370" s="13"/>
      <c r="AP1370" s="7"/>
      <c r="AQ1370" s="7"/>
      <c r="AR1370" s="7"/>
      <c r="AS1370" s="7"/>
      <c r="AT1370" s="7"/>
      <c r="AU1370" s="7"/>
    </row>
    <row r="1371" spans="7:47" ht="13.5" x14ac:dyDescent="0.25">
      <c r="G1371" s="7"/>
      <c r="P1371" s="7"/>
      <c r="Q1371" s="7"/>
      <c r="V1371" s="7"/>
      <c r="W1371" s="7"/>
      <c r="X1371" s="7"/>
      <c r="Y1371" s="7"/>
      <c r="Z1371" s="7"/>
      <c r="AA1371" s="7"/>
      <c r="AB1371" s="7"/>
      <c r="AC1371" s="7"/>
      <c r="AD1371" s="7"/>
      <c r="AE1371" s="154"/>
      <c r="AF1371" s="154"/>
      <c r="AH1371" s="7"/>
      <c r="AI1371" s="7"/>
      <c r="AJ1371" s="7"/>
      <c r="AL1371" s="154"/>
      <c r="AM1371" s="7"/>
      <c r="AN1371" s="13"/>
      <c r="AP1371" s="7"/>
      <c r="AQ1371" s="7"/>
      <c r="AR1371" s="7"/>
      <c r="AS1371" s="7"/>
      <c r="AT1371" s="7"/>
      <c r="AU1371" s="7"/>
    </row>
    <row r="1372" spans="7:47" ht="13.5" x14ac:dyDescent="0.25">
      <c r="G1372" s="7"/>
      <c r="P1372" s="7"/>
      <c r="Q1372" s="7"/>
      <c r="V1372" s="7"/>
      <c r="W1372" s="7"/>
      <c r="X1372" s="7"/>
      <c r="Y1372" s="7"/>
      <c r="Z1372" s="7"/>
      <c r="AA1372" s="7"/>
      <c r="AB1372" s="7"/>
      <c r="AC1372" s="7"/>
      <c r="AD1372" s="7"/>
      <c r="AE1372" s="154"/>
      <c r="AF1372" s="154"/>
      <c r="AH1372" s="7"/>
      <c r="AI1372" s="7"/>
      <c r="AJ1372" s="7"/>
      <c r="AL1372" s="154"/>
      <c r="AM1372" s="7"/>
      <c r="AN1372" s="13"/>
      <c r="AP1372" s="7"/>
      <c r="AQ1372" s="7"/>
      <c r="AR1372" s="7"/>
      <c r="AS1372" s="7"/>
      <c r="AT1372" s="7"/>
      <c r="AU1372" s="7"/>
    </row>
    <row r="1373" spans="7:47" ht="13.5" x14ac:dyDescent="0.25">
      <c r="G1373" s="7"/>
      <c r="P1373" s="7"/>
      <c r="Q1373" s="7"/>
      <c r="V1373" s="7"/>
      <c r="W1373" s="7"/>
      <c r="X1373" s="7"/>
      <c r="Y1373" s="7"/>
      <c r="Z1373" s="7"/>
      <c r="AA1373" s="7"/>
      <c r="AB1373" s="7"/>
      <c r="AC1373" s="7"/>
      <c r="AD1373" s="7"/>
      <c r="AE1373" s="154"/>
      <c r="AF1373" s="154"/>
      <c r="AH1373" s="7"/>
      <c r="AI1373" s="7"/>
      <c r="AJ1373" s="7"/>
      <c r="AL1373" s="154"/>
      <c r="AM1373" s="7"/>
      <c r="AN1373" s="13"/>
      <c r="AP1373" s="7"/>
      <c r="AQ1373" s="7"/>
      <c r="AR1373" s="7"/>
      <c r="AS1373" s="7"/>
      <c r="AT1373" s="7"/>
      <c r="AU1373" s="7"/>
    </row>
    <row r="1374" spans="7:47" ht="13.5" x14ac:dyDescent="0.25">
      <c r="G1374" s="7"/>
      <c r="P1374" s="7"/>
      <c r="Q1374" s="7"/>
      <c r="V1374" s="7"/>
      <c r="W1374" s="7"/>
      <c r="X1374" s="7"/>
      <c r="Y1374" s="7"/>
      <c r="Z1374" s="7"/>
      <c r="AA1374" s="7"/>
      <c r="AB1374" s="7"/>
      <c r="AC1374" s="7"/>
      <c r="AD1374" s="7"/>
      <c r="AE1374" s="154"/>
      <c r="AF1374" s="154"/>
      <c r="AH1374" s="7"/>
      <c r="AI1374" s="7"/>
      <c r="AJ1374" s="7"/>
      <c r="AL1374" s="154"/>
      <c r="AM1374" s="7"/>
      <c r="AN1374" s="13"/>
      <c r="AP1374" s="7"/>
      <c r="AQ1374" s="7"/>
      <c r="AR1374" s="7"/>
      <c r="AS1374" s="7"/>
      <c r="AT1374" s="7"/>
      <c r="AU1374" s="7"/>
    </row>
    <row r="1375" spans="7:47" ht="13.5" x14ac:dyDescent="0.25">
      <c r="G1375" s="7"/>
      <c r="P1375" s="7"/>
      <c r="Q1375" s="7"/>
      <c r="V1375" s="7"/>
      <c r="W1375" s="7"/>
      <c r="X1375" s="7"/>
      <c r="Y1375" s="7"/>
      <c r="Z1375" s="7"/>
      <c r="AA1375" s="7"/>
      <c r="AB1375" s="7"/>
      <c r="AC1375" s="7"/>
      <c r="AD1375" s="7"/>
      <c r="AE1375" s="154"/>
      <c r="AF1375" s="154"/>
      <c r="AH1375" s="7"/>
      <c r="AI1375" s="7"/>
      <c r="AJ1375" s="7"/>
      <c r="AL1375" s="154"/>
      <c r="AM1375" s="7"/>
      <c r="AN1375" s="13"/>
      <c r="AP1375" s="7"/>
      <c r="AQ1375" s="7"/>
      <c r="AR1375" s="7"/>
      <c r="AS1375" s="7"/>
      <c r="AT1375" s="7"/>
      <c r="AU1375" s="7"/>
    </row>
    <row r="1376" spans="7:47" ht="13.5" x14ac:dyDescent="0.25">
      <c r="G1376" s="7"/>
      <c r="P1376" s="7"/>
      <c r="Q1376" s="7"/>
      <c r="V1376" s="7"/>
      <c r="W1376" s="7"/>
      <c r="X1376" s="7"/>
      <c r="Y1376" s="7"/>
      <c r="Z1376" s="7"/>
      <c r="AA1376" s="7"/>
      <c r="AB1376" s="7"/>
      <c r="AC1376" s="7"/>
      <c r="AD1376" s="7"/>
      <c r="AE1376" s="154"/>
      <c r="AF1376" s="154"/>
      <c r="AH1376" s="7"/>
      <c r="AI1376" s="7"/>
      <c r="AJ1376" s="7"/>
      <c r="AL1376" s="154"/>
      <c r="AM1376" s="7"/>
      <c r="AN1376" s="13"/>
      <c r="AP1376" s="7"/>
      <c r="AQ1376" s="7"/>
      <c r="AR1376" s="7"/>
      <c r="AS1376" s="7"/>
      <c r="AT1376" s="7"/>
      <c r="AU1376" s="7"/>
    </row>
    <row r="1377" spans="7:47" ht="13.5" x14ac:dyDescent="0.25">
      <c r="G1377" s="7"/>
      <c r="P1377" s="7"/>
      <c r="Q1377" s="7"/>
      <c r="V1377" s="7"/>
      <c r="W1377" s="7"/>
      <c r="X1377" s="7"/>
      <c r="Y1377" s="7"/>
      <c r="Z1377" s="7"/>
      <c r="AA1377" s="7"/>
      <c r="AB1377" s="7"/>
      <c r="AC1377" s="7"/>
      <c r="AD1377" s="7"/>
      <c r="AE1377" s="154"/>
      <c r="AF1377" s="154"/>
      <c r="AH1377" s="7"/>
      <c r="AI1377" s="7"/>
      <c r="AJ1377" s="7"/>
      <c r="AL1377" s="154"/>
      <c r="AM1377" s="7"/>
      <c r="AN1377" s="13"/>
      <c r="AP1377" s="7"/>
      <c r="AQ1377" s="7"/>
      <c r="AR1377" s="7"/>
      <c r="AS1377" s="7"/>
      <c r="AT1377" s="7"/>
      <c r="AU1377" s="7"/>
    </row>
    <row r="1378" spans="7:47" ht="13.5" x14ac:dyDescent="0.25">
      <c r="G1378" s="7"/>
      <c r="P1378" s="7"/>
      <c r="Q1378" s="7"/>
      <c r="V1378" s="7"/>
      <c r="W1378" s="7"/>
      <c r="X1378" s="7"/>
      <c r="Y1378" s="7"/>
      <c r="Z1378" s="7"/>
      <c r="AA1378" s="7"/>
      <c r="AB1378" s="7"/>
      <c r="AC1378" s="7"/>
      <c r="AD1378" s="7"/>
      <c r="AE1378" s="154"/>
      <c r="AF1378" s="154"/>
      <c r="AH1378" s="7"/>
      <c r="AI1378" s="7"/>
      <c r="AJ1378" s="7"/>
      <c r="AL1378" s="154"/>
      <c r="AM1378" s="7"/>
      <c r="AN1378" s="13"/>
      <c r="AP1378" s="7"/>
      <c r="AQ1378" s="7"/>
      <c r="AR1378" s="7"/>
      <c r="AS1378" s="7"/>
      <c r="AT1378" s="7"/>
      <c r="AU1378" s="7"/>
    </row>
    <row r="1379" spans="7:47" ht="13.5" x14ac:dyDescent="0.25">
      <c r="G1379" s="7"/>
      <c r="P1379" s="7"/>
      <c r="Q1379" s="7"/>
      <c r="V1379" s="7"/>
      <c r="W1379" s="7"/>
      <c r="X1379" s="7"/>
      <c r="Y1379" s="7"/>
      <c r="Z1379" s="7"/>
      <c r="AA1379" s="7"/>
      <c r="AB1379" s="7"/>
      <c r="AC1379" s="7"/>
      <c r="AD1379" s="7"/>
      <c r="AE1379" s="154"/>
      <c r="AF1379" s="154"/>
      <c r="AH1379" s="7"/>
      <c r="AI1379" s="7"/>
      <c r="AJ1379" s="7"/>
      <c r="AL1379" s="154"/>
      <c r="AM1379" s="7"/>
      <c r="AN1379" s="13"/>
      <c r="AP1379" s="7"/>
      <c r="AQ1379" s="7"/>
      <c r="AR1379" s="7"/>
      <c r="AS1379" s="7"/>
      <c r="AT1379" s="7"/>
      <c r="AU1379" s="7"/>
    </row>
    <row r="1380" spans="7:47" ht="13.5" x14ac:dyDescent="0.25">
      <c r="G1380" s="7"/>
      <c r="P1380" s="7"/>
      <c r="Q1380" s="7"/>
      <c r="V1380" s="7"/>
      <c r="W1380" s="7"/>
      <c r="X1380" s="7"/>
      <c r="Y1380" s="7"/>
      <c r="Z1380" s="7"/>
      <c r="AA1380" s="7"/>
      <c r="AB1380" s="7"/>
      <c r="AC1380" s="7"/>
      <c r="AD1380" s="7"/>
      <c r="AE1380" s="154"/>
      <c r="AF1380" s="154"/>
      <c r="AH1380" s="7"/>
      <c r="AI1380" s="7"/>
      <c r="AJ1380" s="7"/>
      <c r="AL1380" s="154"/>
      <c r="AM1380" s="7"/>
      <c r="AN1380" s="13"/>
      <c r="AP1380" s="7"/>
      <c r="AQ1380" s="7"/>
      <c r="AR1380" s="7"/>
      <c r="AS1380" s="7"/>
      <c r="AT1380" s="7"/>
      <c r="AU1380" s="7"/>
    </row>
    <row r="1381" spans="7:47" ht="13.5" x14ac:dyDescent="0.25">
      <c r="G1381" s="7"/>
      <c r="P1381" s="7"/>
      <c r="Q1381" s="7"/>
      <c r="V1381" s="7"/>
      <c r="W1381" s="7"/>
      <c r="X1381" s="7"/>
      <c r="Y1381" s="7"/>
      <c r="Z1381" s="7"/>
      <c r="AA1381" s="7"/>
      <c r="AB1381" s="7"/>
      <c r="AC1381" s="7"/>
      <c r="AD1381" s="7"/>
      <c r="AE1381" s="154"/>
      <c r="AF1381" s="154"/>
      <c r="AH1381" s="7"/>
      <c r="AI1381" s="7"/>
      <c r="AJ1381" s="7"/>
      <c r="AL1381" s="154"/>
      <c r="AM1381" s="7"/>
      <c r="AN1381" s="13"/>
      <c r="AP1381" s="7"/>
      <c r="AQ1381" s="7"/>
      <c r="AR1381" s="7"/>
      <c r="AS1381" s="7"/>
      <c r="AT1381" s="7"/>
      <c r="AU1381" s="7"/>
    </row>
    <row r="1382" spans="7:47" ht="13.5" x14ac:dyDescent="0.25">
      <c r="G1382" s="7"/>
      <c r="P1382" s="7"/>
      <c r="Q1382" s="7"/>
      <c r="V1382" s="7"/>
      <c r="W1382" s="7"/>
      <c r="X1382" s="7"/>
      <c r="Y1382" s="7"/>
      <c r="Z1382" s="7"/>
      <c r="AA1382" s="7"/>
      <c r="AB1382" s="7"/>
      <c r="AC1382" s="7"/>
      <c r="AD1382" s="7"/>
      <c r="AE1382" s="154"/>
      <c r="AF1382" s="154"/>
      <c r="AH1382" s="7"/>
      <c r="AI1382" s="7"/>
      <c r="AJ1382" s="7"/>
      <c r="AL1382" s="154"/>
      <c r="AM1382" s="7"/>
      <c r="AN1382" s="13"/>
      <c r="AP1382" s="7"/>
      <c r="AQ1382" s="7"/>
      <c r="AR1382" s="7"/>
      <c r="AS1382" s="7"/>
      <c r="AT1382" s="7"/>
      <c r="AU1382" s="7"/>
    </row>
    <row r="1383" spans="7:47" ht="13.5" x14ac:dyDescent="0.25">
      <c r="G1383" s="7"/>
      <c r="P1383" s="7"/>
      <c r="Q1383" s="7"/>
      <c r="V1383" s="7"/>
      <c r="W1383" s="7"/>
      <c r="X1383" s="7"/>
      <c r="Y1383" s="7"/>
      <c r="Z1383" s="7"/>
      <c r="AA1383" s="7"/>
      <c r="AB1383" s="7"/>
      <c r="AC1383" s="7"/>
      <c r="AD1383" s="7"/>
      <c r="AE1383" s="154"/>
      <c r="AF1383" s="154"/>
      <c r="AH1383" s="7"/>
      <c r="AI1383" s="7"/>
      <c r="AJ1383" s="7"/>
      <c r="AL1383" s="154"/>
      <c r="AM1383" s="7"/>
      <c r="AN1383" s="13"/>
      <c r="AP1383" s="7"/>
      <c r="AQ1383" s="7"/>
      <c r="AR1383" s="7"/>
      <c r="AS1383" s="7"/>
      <c r="AT1383" s="7"/>
      <c r="AU1383" s="7"/>
    </row>
    <row r="1384" spans="7:47" ht="13.5" x14ac:dyDescent="0.25">
      <c r="G1384" s="7"/>
      <c r="P1384" s="7"/>
      <c r="Q1384" s="7"/>
      <c r="V1384" s="7"/>
      <c r="W1384" s="7"/>
      <c r="X1384" s="7"/>
      <c r="Y1384" s="7"/>
      <c r="Z1384" s="7"/>
      <c r="AA1384" s="7"/>
      <c r="AB1384" s="7"/>
      <c r="AC1384" s="7"/>
      <c r="AD1384" s="7"/>
      <c r="AE1384" s="154"/>
      <c r="AF1384" s="154"/>
      <c r="AH1384" s="7"/>
      <c r="AI1384" s="7"/>
      <c r="AJ1384" s="7"/>
      <c r="AL1384" s="154"/>
      <c r="AM1384" s="7"/>
      <c r="AN1384" s="13"/>
      <c r="AP1384" s="7"/>
      <c r="AQ1384" s="7"/>
      <c r="AR1384" s="7"/>
      <c r="AS1384" s="7"/>
      <c r="AT1384" s="7"/>
      <c r="AU1384" s="7"/>
    </row>
    <row r="1385" spans="7:47" ht="13.5" x14ac:dyDescent="0.25">
      <c r="G1385" s="7"/>
      <c r="P1385" s="7"/>
      <c r="Q1385" s="7"/>
      <c r="V1385" s="7"/>
      <c r="W1385" s="7"/>
      <c r="X1385" s="7"/>
      <c r="Y1385" s="7"/>
      <c r="Z1385" s="7"/>
      <c r="AA1385" s="7"/>
      <c r="AB1385" s="7"/>
      <c r="AC1385" s="7"/>
      <c r="AD1385" s="7"/>
      <c r="AE1385" s="154"/>
      <c r="AF1385" s="154"/>
      <c r="AH1385" s="7"/>
      <c r="AI1385" s="7"/>
      <c r="AJ1385" s="7"/>
      <c r="AL1385" s="154"/>
      <c r="AM1385" s="7"/>
      <c r="AN1385" s="13"/>
      <c r="AP1385" s="7"/>
      <c r="AQ1385" s="7"/>
      <c r="AR1385" s="7"/>
      <c r="AS1385" s="7"/>
      <c r="AT1385" s="7"/>
      <c r="AU1385" s="7"/>
    </row>
    <row r="1386" spans="7:47" ht="13.5" x14ac:dyDescent="0.25">
      <c r="G1386" s="7"/>
      <c r="P1386" s="7"/>
      <c r="Q1386" s="7"/>
      <c r="V1386" s="7"/>
      <c r="W1386" s="7"/>
      <c r="X1386" s="7"/>
      <c r="Y1386" s="7"/>
      <c r="Z1386" s="7"/>
      <c r="AA1386" s="7"/>
      <c r="AB1386" s="7"/>
      <c r="AC1386" s="7"/>
      <c r="AD1386" s="7"/>
      <c r="AE1386" s="154"/>
      <c r="AF1386" s="154"/>
      <c r="AH1386" s="7"/>
      <c r="AI1386" s="7"/>
      <c r="AJ1386" s="7"/>
      <c r="AL1386" s="154"/>
      <c r="AM1386" s="7"/>
      <c r="AN1386" s="13"/>
      <c r="AP1386" s="7"/>
      <c r="AQ1386" s="7"/>
      <c r="AR1386" s="7"/>
      <c r="AS1386" s="7"/>
      <c r="AT1386" s="7"/>
      <c r="AU1386" s="7"/>
    </row>
    <row r="1387" spans="7:47" ht="13.5" x14ac:dyDescent="0.25">
      <c r="G1387" s="7"/>
      <c r="P1387" s="7"/>
      <c r="Q1387" s="7"/>
      <c r="V1387" s="7"/>
      <c r="W1387" s="7"/>
      <c r="X1387" s="7"/>
      <c r="Y1387" s="7"/>
      <c r="Z1387" s="7"/>
      <c r="AA1387" s="7"/>
      <c r="AB1387" s="7"/>
      <c r="AC1387" s="7"/>
      <c r="AD1387" s="7"/>
      <c r="AE1387" s="154"/>
      <c r="AF1387" s="154"/>
      <c r="AH1387" s="7"/>
      <c r="AI1387" s="7"/>
      <c r="AJ1387" s="7"/>
      <c r="AL1387" s="154"/>
      <c r="AM1387" s="7"/>
      <c r="AN1387" s="13"/>
      <c r="AP1387" s="7"/>
      <c r="AQ1387" s="7"/>
      <c r="AR1387" s="7"/>
      <c r="AS1387" s="7"/>
      <c r="AT1387" s="7"/>
      <c r="AU1387" s="7"/>
    </row>
    <row r="1388" spans="7:47" ht="13.5" x14ac:dyDescent="0.25">
      <c r="G1388" s="7"/>
      <c r="P1388" s="7"/>
      <c r="Q1388" s="7"/>
      <c r="V1388" s="7"/>
      <c r="W1388" s="7"/>
      <c r="X1388" s="7"/>
      <c r="Y1388" s="7"/>
      <c r="Z1388" s="7"/>
      <c r="AA1388" s="7"/>
      <c r="AB1388" s="7"/>
      <c r="AC1388" s="7"/>
      <c r="AD1388" s="7"/>
      <c r="AE1388" s="154"/>
      <c r="AF1388" s="154"/>
      <c r="AH1388" s="7"/>
      <c r="AI1388" s="7"/>
      <c r="AJ1388" s="7"/>
      <c r="AL1388" s="154"/>
      <c r="AM1388" s="7"/>
      <c r="AN1388" s="13"/>
      <c r="AP1388" s="7"/>
      <c r="AQ1388" s="7"/>
      <c r="AR1388" s="7"/>
      <c r="AS1388" s="7"/>
      <c r="AT1388" s="7"/>
      <c r="AU1388" s="7"/>
    </row>
    <row r="1389" spans="7:47" ht="13.5" x14ac:dyDescent="0.25">
      <c r="G1389" s="7"/>
      <c r="P1389" s="7"/>
      <c r="Q1389" s="7"/>
      <c r="V1389" s="7"/>
      <c r="W1389" s="7"/>
      <c r="X1389" s="7"/>
      <c r="Y1389" s="7"/>
      <c r="Z1389" s="7"/>
      <c r="AA1389" s="7"/>
      <c r="AB1389" s="7"/>
      <c r="AC1389" s="7"/>
      <c r="AD1389" s="7"/>
      <c r="AE1389" s="154"/>
      <c r="AF1389" s="154"/>
      <c r="AH1389" s="7"/>
      <c r="AI1389" s="7"/>
      <c r="AJ1389" s="7"/>
      <c r="AL1389" s="154"/>
      <c r="AM1389" s="7"/>
      <c r="AN1389" s="13"/>
      <c r="AP1389" s="7"/>
      <c r="AQ1389" s="7"/>
      <c r="AR1389" s="7"/>
      <c r="AS1389" s="7"/>
      <c r="AT1389" s="7"/>
      <c r="AU1389" s="7"/>
    </row>
    <row r="1390" spans="7:47" ht="13.5" x14ac:dyDescent="0.25">
      <c r="G1390" s="7"/>
      <c r="P1390" s="7"/>
      <c r="Q1390" s="7"/>
      <c r="V1390" s="7"/>
      <c r="W1390" s="7"/>
      <c r="X1390" s="7"/>
      <c r="Y1390" s="7"/>
      <c r="Z1390" s="7"/>
      <c r="AA1390" s="7"/>
      <c r="AB1390" s="7"/>
      <c r="AC1390" s="7"/>
      <c r="AD1390" s="7"/>
      <c r="AE1390" s="154"/>
      <c r="AF1390" s="154"/>
      <c r="AH1390" s="7"/>
      <c r="AI1390" s="7"/>
      <c r="AJ1390" s="7"/>
      <c r="AL1390" s="154"/>
      <c r="AM1390" s="7"/>
      <c r="AN1390" s="13"/>
      <c r="AP1390" s="7"/>
      <c r="AQ1390" s="7"/>
      <c r="AR1390" s="7"/>
      <c r="AS1390" s="7"/>
      <c r="AT1390" s="7"/>
      <c r="AU1390" s="7"/>
    </row>
    <row r="1391" spans="7:47" ht="13.5" x14ac:dyDescent="0.25">
      <c r="G1391" s="7"/>
      <c r="P1391" s="7"/>
      <c r="Q1391" s="7"/>
      <c r="V1391" s="7"/>
      <c r="W1391" s="7"/>
      <c r="X1391" s="7"/>
      <c r="Y1391" s="7"/>
      <c r="Z1391" s="7"/>
      <c r="AA1391" s="7"/>
      <c r="AB1391" s="7"/>
      <c r="AC1391" s="7"/>
      <c r="AD1391" s="7"/>
      <c r="AE1391" s="154"/>
      <c r="AF1391" s="154"/>
      <c r="AH1391" s="7"/>
      <c r="AI1391" s="7"/>
      <c r="AJ1391" s="7"/>
      <c r="AL1391" s="154"/>
      <c r="AM1391" s="7"/>
      <c r="AN1391" s="13"/>
      <c r="AP1391" s="7"/>
      <c r="AQ1391" s="7"/>
      <c r="AR1391" s="7"/>
      <c r="AS1391" s="7"/>
      <c r="AT1391" s="7"/>
      <c r="AU1391" s="7"/>
    </row>
    <row r="1392" spans="7:47" ht="13.5" x14ac:dyDescent="0.25">
      <c r="G1392" s="7"/>
      <c r="P1392" s="7"/>
      <c r="Q1392" s="7"/>
      <c r="V1392" s="7"/>
      <c r="W1392" s="7"/>
      <c r="X1392" s="7"/>
      <c r="Y1392" s="7"/>
      <c r="Z1392" s="7"/>
      <c r="AA1392" s="7"/>
      <c r="AB1392" s="7"/>
      <c r="AC1392" s="7"/>
      <c r="AD1392" s="7"/>
      <c r="AE1392" s="154"/>
      <c r="AF1392" s="154"/>
      <c r="AH1392" s="7"/>
      <c r="AI1392" s="7"/>
      <c r="AJ1392" s="7"/>
      <c r="AL1392" s="154"/>
      <c r="AM1392" s="7"/>
      <c r="AN1392" s="13"/>
      <c r="AP1392" s="7"/>
      <c r="AQ1392" s="7"/>
      <c r="AR1392" s="7"/>
      <c r="AS1392" s="7"/>
      <c r="AT1392" s="7"/>
      <c r="AU1392" s="7"/>
    </row>
    <row r="1393" spans="7:47" ht="13.5" x14ac:dyDescent="0.25">
      <c r="G1393" s="7"/>
      <c r="P1393" s="7"/>
      <c r="Q1393" s="7"/>
      <c r="V1393" s="7"/>
      <c r="W1393" s="7"/>
      <c r="X1393" s="7"/>
      <c r="Y1393" s="7"/>
      <c r="Z1393" s="7"/>
      <c r="AA1393" s="7"/>
      <c r="AB1393" s="7"/>
      <c r="AC1393" s="7"/>
      <c r="AD1393" s="7"/>
      <c r="AE1393" s="154"/>
      <c r="AF1393" s="154"/>
      <c r="AH1393" s="7"/>
      <c r="AI1393" s="7"/>
      <c r="AJ1393" s="7"/>
      <c r="AL1393" s="154"/>
      <c r="AM1393" s="7"/>
      <c r="AN1393" s="13"/>
      <c r="AP1393" s="7"/>
      <c r="AQ1393" s="7"/>
      <c r="AR1393" s="7"/>
      <c r="AS1393" s="7"/>
      <c r="AT1393" s="7"/>
      <c r="AU1393" s="7"/>
    </row>
    <row r="1394" spans="7:47" ht="13.5" x14ac:dyDescent="0.25">
      <c r="G1394" s="7"/>
      <c r="P1394" s="7"/>
      <c r="Q1394" s="7"/>
      <c r="V1394" s="7"/>
      <c r="W1394" s="7"/>
      <c r="X1394" s="7"/>
      <c r="Y1394" s="7"/>
      <c r="Z1394" s="7"/>
      <c r="AA1394" s="7"/>
      <c r="AB1394" s="7"/>
      <c r="AC1394" s="7"/>
      <c r="AD1394" s="7"/>
      <c r="AE1394" s="154"/>
      <c r="AF1394" s="154"/>
      <c r="AH1394" s="7"/>
      <c r="AI1394" s="7"/>
      <c r="AJ1394" s="7"/>
      <c r="AL1394" s="154"/>
      <c r="AM1394" s="7"/>
      <c r="AN1394" s="13"/>
      <c r="AP1394" s="7"/>
      <c r="AQ1394" s="7"/>
      <c r="AR1394" s="7"/>
      <c r="AS1394" s="7"/>
      <c r="AT1394" s="7"/>
      <c r="AU1394" s="7"/>
    </row>
    <row r="1395" spans="7:47" ht="13.5" x14ac:dyDescent="0.25">
      <c r="G1395" s="7"/>
      <c r="P1395" s="7"/>
      <c r="Q1395" s="7"/>
      <c r="V1395" s="7"/>
      <c r="W1395" s="7"/>
      <c r="X1395" s="7"/>
      <c r="Y1395" s="7"/>
      <c r="Z1395" s="7"/>
      <c r="AA1395" s="7"/>
      <c r="AB1395" s="7"/>
      <c r="AC1395" s="7"/>
      <c r="AD1395" s="7"/>
      <c r="AE1395" s="154"/>
      <c r="AF1395" s="154"/>
      <c r="AH1395" s="7"/>
      <c r="AI1395" s="7"/>
      <c r="AJ1395" s="7"/>
      <c r="AL1395" s="154"/>
      <c r="AM1395" s="7"/>
      <c r="AN1395" s="13"/>
      <c r="AP1395" s="7"/>
      <c r="AQ1395" s="7"/>
      <c r="AR1395" s="7"/>
      <c r="AS1395" s="7"/>
      <c r="AT1395" s="7"/>
      <c r="AU1395" s="7"/>
    </row>
    <row r="1396" spans="7:47" ht="13.5" x14ac:dyDescent="0.25">
      <c r="G1396" s="7"/>
      <c r="P1396" s="7"/>
      <c r="Q1396" s="7"/>
      <c r="V1396" s="7"/>
      <c r="W1396" s="7"/>
      <c r="X1396" s="7"/>
      <c r="Y1396" s="7"/>
      <c r="Z1396" s="7"/>
      <c r="AA1396" s="7"/>
      <c r="AB1396" s="7"/>
      <c r="AC1396" s="7"/>
      <c r="AD1396" s="7"/>
      <c r="AE1396" s="154"/>
      <c r="AF1396" s="154"/>
      <c r="AH1396" s="7"/>
      <c r="AI1396" s="7"/>
      <c r="AJ1396" s="7"/>
      <c r="AL1396" s="154"/>
      <c r="AM1396" s="7"/>
      <c r="AN1396" s="13"/>
      <c r="AP1396" s="7"/>
      <c r="AQ1396" s="7"/>
      <c r="AR1396" s="7"/>
      <c r="AS1396" s="7"/>
      <c r="AT1396" s="7"/>
      <c r="AU1396" s="7"/>
    </row>
    <row r="1397" spans="7:47" ht="13.5" x14ac:dyDescent="0.25">
      <c r="G1397" s="7"/>
      <c r="P1397" s="7"/>
      <c r="Q1397" s="7"/>
      <c r="V1397" s="7"/>
      <c r="W1397" s="7"/>
      <c r="X1397" s="7"/>
      <c r="Y1397" s="7"/>
      <c r="Z1397" s="7"/>
      <c r="AA1397" s="7"/>
      <c r="AB1397" s="7"/>
      <c r="AC1397" s="7"/>
      <c r="AD1397" s="7"/>
      <c r="AE1397" s="154"/>
      <c r="AF1397" s="154"/>
      <c r="AH1397" s="7"/>
      <c r="AI1397" s="7"/>
      <c r="AJ1397" s="7"/>
      <c r="AL1397" s="154"/>
      <c r="AM1397" s="7"/>
      <c r="AN1397" s="13"/>
      <c r="AP1397" s="7"/>
      <c r="AQ1397" s="7"/>
      <c r="AR1397" s="7"/>
      <c r="AS1397" s="7"/>
      <c r="AT1397" s="7"/>
      <c r="AU1397" s="7"/>
    </row>
    <row r="1398" spans="7:47" ht="13.5" x14ac:dyDescent="0.25">
      <c r="G1398" s="7"/>
      <c r="P1398" s="7"/>
      <c r="Q1398" s="7"/>
      <c r="V1398" s="7"/>
      <c r="W1398" s="7"/>
      <c r="X1398" s="7"/>
      <c r="Y1398" s="7"/>
      <c r="Z1398" s="7"/>
      <c r="AA1398" s="7"/>
      <c r="AB1398" s="7"/>
      <c r="AC1398" s="7"/>
      <c r="AD1398" s="7"/>
      <c r="AE1398" s="154"/>
      <c r="AF1398" s="154"/>
      <c r="AH1398" s="7"/>
      <c r="AI1398" s="7"/>
      <c r="AJ1398" s="7"/>
      <c r="AL1398" s="154"/>
      <c r="AM1398" s="7"/>
      <c r="AN1398" s="13"/>
      <c r="AP1398" s="7"/>
      <c r="AQ1398" s="7"/>
      <c r="AR1398" s="7"/>
      <c r="AS1398" s="7"/>
      <c r="AT1398" s="7"/>
      <c r="AU1398" s="7"/>
    </row>
    <row r="1399" spans="7:47" ht="13.5" x14ac:dyDescent="0.25">
      <c r="G1399" s="7"/>
      <c r="P1399" s="7"/>
      <c r="Q1399" s="7"/>
      <c r="V1399" s="7"/>
      <c r="W1399" s="7"/>
      <c r="X1399" s="7"/>
      <c r="Y1399" s="7"/>
      <c r="Z1399" s="7"/>
      <c r="AA1399" s="7"/>
      <c r="AB1399" s="7"/>
      <c r="AC1399" s="7"/>
      <c r="AD1399" s="7"/>
      <c r="AE1399" s="154"/>
      <c r="AF1399" s="154"/>
      <c r="AH1399" s="7"/>
      <c r="AI1399" s="7"/>
      <c r="AJ1399" s="7"/>
      <c r="AL1399" s="154"/>
      <c r="AM1399" s="7"/>
      <c r="AN1399" s="13"/>
      <c r="AP1399" s="7"/>
      <c r="AQ1399" s="7"/>
      <c r="AR1399" s="7"/>
      <c r="AS1399" s="7"/>
      <c r="AT1399" s="7"/>
      <c r="AU1399" s="7"/>
    </row>
    <row r="1400" spans="7:47" ht="13.5" x14ac:dyDescent="0.25">
      <c r="G1400" s="7"/>
      <c r="P1400" s="7"/>
      <c r="Q1400" s="7"/>
      <c r="V1400" s="7"/>
      <c r="W1400" s="7"/>
      <c r="X1400" s="7"/>
      <c r="Y1400" s="7"/>
      <c r="Z1400" s="7"/>
      <c r="AA1400" s="7"/>
      <c r="AB1400" s="7"/>
      <c r="AC1400" s="7"/>
      <c r="AD1400" s="7"/>
      <c r="AE1400" s="154"/>
      <c r="AF1400" s="154"/>
      <c r="AH1400" s="7"/>
      <c r="AI1400" s="7"/>
      <c r="AJ1400" s="7"/>
      <c r="AL1400" s="154"/>
      <c r="AM1400" s="7"/>
      <c r="AN1400" s="13"/>
      <c r="AP1400" s="7"/>
      <c r="AQ1400" s="7"/>
      <c r="AR1400" s="7"/>
      <c r="AS1400" s="7"/>
      <c r="AT1400" s="7"/>
      <c r="AU1400" s="7"/>
    </row>
    <row r="1401" spans="7:47" ht="13.5" x14ac:dyDescent="0.25">
      <c r="G1401" s="7"/>
      <c r="P1401" s="7"/>
      <c r="Q1401" s="7"/>
      <c r="V1401" s="7"/>
      <c r="W1401" s="7"/>
      <c r="X1401" s="7"/>
      <c r="Y1401" s="7"/>
      <c r="Z1401" s="7"/>
      <c r="AA1401" s="7"/>
      <c r="AB1401" s="7"/>
      <c r="AC1401" s="7"/>
      <c r="AD1401" s="7"/>
      <c r="AE1401" s="154"/>
      <c r="AF1401" s="154"/>
      <c r="AH1401" s="7"/>
      <c r="AI1401" s="7"/>
      <c r="AJ1401" s="7"/>
      <c r="AL1401" s="154"/>
      <c r="AM1401" s="7"/>
      <c r="AN1401" s="13"/>
      <c r="AP1401" s="7"/>
      <c r="AQ1401" s="7"/>
      <c r="AR1401" s="7"/>
      <c r="AS1401" s="7"/>
      <c r="AT1401" s="7"/>
      <c r="AU1401" s="7"/>
    </row>
    <row r="1402" spans="7:47" ht="13.5" x14ac:dyDescent="0.25">
      <c r="G1402" s="7"/>
      <c r="P1402" s="7"/>
      <c r="Q1402" s="7"/>
      <c r="V1402" s="7"/>
      <c r="W1402" s="7"/>
      <c r="X1402" s="7"/>
      <c r="Y1402" s="7"/>
      <c r="Z1402" s="7"/>
      <c r="AA1402" s="7"/>
      <c r="AB1402" s="7"/>
      <c r="AC1402" s="7"/>
      <c r="AD1402" s="7"/>
      <c r="AE1402" s="154"/>
      <c r="AF1402" s="154"/>
      <c r="AH1402" s="7"/>
      <c r="AI1402" s="7"/>
      <c r="AJ1402" s="7"/>
      <c r="AL1402" s="154"/>
      <c r="AM1402" s="7"/>
      <c r="AN1402" s="13"/>
      <c r="AP1402" s="7"/>
      <c r="AQ1402" s="7"/>
      <c r="AR1402" s="7"/>
      <c r="AS1402" s="7"/>
      <c r="AT1402" s="7"/>
      <c r="AU1402" s="7"/>
    </row>
    <row r="1403" spans="7:47" ht="13.5" x14ac:dyDescent="0.25">
      <c r="G1403" s="7"/>
      <c r="P1403" s="7"/>
      <c r="Q1403" s="7"/>
      <c r="V1403" s="7"/>
      <c r="W1403" s="7"/>
      <c r="X1403" s="7"/>
      <c r="Y1403" s="7"/>
      <c r="Z1403" s="7"/>
      <c r="AA1403" s="7"/>
      <c r="AB1403" s="7"/>
      <c r="AC1403" s="7"/>
      <c r="AD1403" s="7"/>
      <c r="AE1403" s="154"/>
      <c r="AF1403" s="154"/>
      <c r="AH1403" s="7"/>
      <c r="AI1403" s="7"/>
      <c r="AJ1403" s="7"/>
      <c r="AL1403" s="154"/>
      <c r="AM1403" s="7"/>
      <c r="AN1403" s="13"/>
      <c r="AP1403" s="7"/>
      <c r="AQ1403" s="7"/>
      <c r="AR1403" s="7"/>
      <c r="AS1403" s="7"/>
      <c r="AT1403" s="7"/>
      <c r="AU1403" s="7"/>
    </row>
    <row r="1404" spans="7:47" ht="13.5" x14ac:dyDescent="0.25">
      <c r="G1404" s="7"/>
      <c r="P1404" s="7"/>
      <c r="Q1404" s="7"/>
      <c r="V1404" s="7"/>
      <c r="W1404" s="7"/>
      <c r="X1404" s="7"/>
      <c r="Y1404" s="7"/>
      <c r="Z1404" s="7"/>
      <c r="AA1404" s="7"/>
      <c r="AB1404" s="7"/>
      <c r="AC1404" s="7"/>
      <c r="AD1404" s="7"/>
      <c r="AE1404" s="154"/>
      <c r="AF1404" s="154"/>
      <c r="AH1404" s="7"/>
      <c r="AI1404" s="7"/>
      <c r="AJ1404" s="7"/>
      <c r="AL1404" s="154"/>
      <c r="AM1404" s="7"/>
      <c r="AN1404" s="13"/>
      <c r="AP1404" s="7"/>
      <c r="AQ1404" s="7"/>
      <c r="AR1404" s="7"/>
      <c r="AS1404" s="7"/>
      <c r="AT1404" s="7"/>
      <c r="AU1404" s="7"/>
    </row>
    <row r="1405" spans="7:47" ht="13.5" x14ac:dyDescent="0.25">
      <c r="G1405" s="7"/>
      <c r="P1405" s="7"/>
      <c r="Q1405" s="7"/>
      <c r="V1405" s="7"/>
      <c r="W1405" s="7"/>
      <c r="X1405" s="7"/>
      <c r="Y1405" s="7"/>
      <c r="Z1405" s="7"/>
      <c r="AA1405" s="7"/>
      <c r="AB1405" s="7"/>
      <c r="AC1405" s="7"/>
      <c r="AD1405" s="7"/>
      <c r="AE1405" s="154"/>
      <c r="AF1405" s="154"/>
      <c r="AH1405" s="7"/>
      <c r="AI1405" s="7"/>
      <c r="AJ1405" s="7"/>
      <c r="AL1405" s="154"/>
      <c r="AM1405" s="7"/>
      <c r="AN1405" s="13"/>
      <c r="AP1405" s="7"/>
      <c r="AQ1405" s="7"/>
      <c r="AR1405" s="7"/>
      <c r="AS1405" s="7"/>
      <c r="AT1405" s="7"/>
      <c r="AU1405" s="7"/>
    </row>
    <row r="1406" spans="7:47" ht="13.5" x14ac:dyDescent="0.25">
      <c r="G1406" s="7"/>
      <c r="P1406" s="7"/>
      <c r="Q1406" s="7"/>
      <c r="V1406" s="7"/>
      <c r="W1406" s="7"/>
      <c r="X1406" s="7"/>
      <c r="Y1406" s="7"/>
      <c r="Z1406" s="7"/>
      <c r="AA1406" s="7"/>
      <c r="AB1406" s="7"/>
      <c r="AC1406" s="7"/>
      <c r="AD1406" s="7"/>
      <c r="AE1406" s="154"/>
      <c r="AF1406" s="154"/>
      <c r="AH1406" s="7"/>
      <c r="AI1406" s="7"/>
      <c r="AJ1406" s="7"/>
      <c r="AL1406" s="154"/>
      <c r="AM1406" s="7"/>
      <c r="AN1406" s="13"/>
      <c r="AP1406" s="7"/>
      <c r="AQ1406" s="7"/>
      <c r="AR1406" s="7"/>
      <c r="AS1406" s="7"/>
      <c r="AT1406" s="7"/>
      <c r="AU1406" s="7"/>
    </row>
    <row r="1407" spans="7:47" ht="13.5" x14ac:dyDescent="0.25">
      <c r="G1407" s="7"/>
      <c r="P1407" s="7"/>
      <c r="Q1407" s="7"/>
      <c r="V1407" s="7"/>
      <c r="W1407" s="7"/>
      <c r="X1407" s="7"/>
      <c r="Y1407" s="7"/>
      <c r="Z1407" s="7"/>
      <c r="AA1407" s="7"/>
      <c r="AB1407" s="7"/>
      <c r="AC1407" s="7"/>
      <c r="AD1407" s="7"/>
      <c r="AE1407" s="154"/>
      <c r="AF1407" s="154"/>
      <c r="AH1407" s="7"/>
      <c r="AI1407" s="7"/>
      <c r="AJ1407" s="7"/>
      <c r="AL1407" s="154"/>
      <c r="AM1407" s="7"/>
      <c r="AN1407" s="13"/>
      <c r="AP1407" s="7"/>
      <c r="AQ1407" s="7"/>
      <c r="AR1407" s="7"/>
      <c r="AS1407" s="7"/>
      <c r="AT1407" s="7"/>
      <c r="AU1407" s="7"/>
    </row>
    <row r="1408" spans="7:47" ht="13.5" x14ac:dyDescent="0.25">
      <c r="G1408" s="7"/>
      <c r="P1408" s="7"/>
      <c r="Q1408" s="7"/>
      <c r="V1408" s="7"/>
      <c r="W1408" s="7"/>
      <c r="X1408" s="7"/>
      <c r="Y1408" s="7"/>
      <c r="Z1408" s="7"/>
      <c r="AA1408" s="7"/>
      <c r="AB1408" s="7"/>
      <c r="AC1408" s="7"/>
      <c r="AD1408" s="7"/>
      <c r="AE1408" s="154"/>
      <c r="AF1408" s="154"/>
      <c r="AH1408" s="7"/>
      <c r="AI1408" s="7"/>
      <c r="AJ1408" s="7"/>
      <c r="AL1408" s="154"/>
      <c r="AM1408" s="7"/>
      <c r="AN1408" s="13"/>
      <c r="AP1408" s="7"/>
      <c r="AQ1408" s="7"/>
      <c r="AR1408" s="7"/>
      <c r="AS1408" s="7"/>
      <c r="AT1408" s="7"/>
      <c r="AU1408" s="7"/>
    </row>
    <row r="1409" spans="7:47" ht="13.5" x14ac:dyDescent="0.25">
      <c r="G1409" s="7"/>
      <c r="P1409" s="7"/>
      <c r="Q1409" s="7"/>
      <c r="V1409" s="7"/>
      <c r="W1409" s="7"/>
      <c r="X1409" s="7"/>
      <c r="Y1409" s="7"/>
      <c r="Z1409" s="7"/>
      <c r="AA1409" s="7"/>
      <c r="AB1409" s="7"/>
      <c r="AC1409" s="7"/>
      <c r="AD1409" s="7"/>
      <c r="AE1409" s="154"/>
      <c r="AF1409" s="154"/>
      <c r="AH1409" s="7"/>
      <c r="AI1409" s="7"/>
      <c r="AJ1409" s="7"/>
      <c r="AL1409" s="154"/>
      <c r="AM1409" s="7"/>
      <c r="AN1409" s="13"/>
      <c r="AP1409" s="7"/>
      <c r="AQ1409" s="7"/>
      <c r="AR1409" s="7"/>
      <c r="AS1409" s="7"/>
      <c r="AT1409" s="7"/>
      <c r="AU1409" s="7"/>
    </row>
    <row r="1410" spans="7:47" ht="13.5" x14ac:dyDescent="0.25">
      <c r="G1410" s="7"/>
      <c r="P1410" s="7"/>
      <c r="Q1410" s="7"/>
      <c r="V1410" s="7"/>
      <c r="W1410" s="7"/>
      <c r="X1410" s="7"/>
      <c r="Y1410" s="7"/>
      <c r="Z1410" s="7"/>
      <c r="AA1410" s="7"/>
      <c r="AB1410" s="7"/>
      <c r="AC1410" s="7"/>
      <c r="AD1410" s="7"/>
      <c r="AE1410" s="154"/>
      <c r="AF1410" s="154"/>
      <c r="AH1410" s="7"/>
      <c r="AI1410" s="7"/>
      <c r="AJ1410" s="7"/>
      <c r="AL1410" s="154"/>
      <c r="AM1410" s="7"/>
      <c r="AN1410" s="13"/>
      <c r="AP1410" s="7"/>
      <c r="AQ1410" s="7"/>
      <c r="AR1410" s="7"/>
      <c r="AS1410" s="7"/>
      <c r="AT1410" s="7"/>
      <c r="AU1410" s="7"/>
    </row>
    <row r="1411" spans="7:47" ht="13.5" x14ac:dyDescent="0.25">
      <c r="G1411" s="7"/>
      <c r="P1411" s="7"/>
      <c r="Q1411" s="7"/>
      <c r="V1411" s="7"/>
      <c r="W1411" s="7"/>
      <c r="X1411" s="7"/>
      <c r="Y1411" s="7"/>
      <c r="Z1411" s="7"/>
      <c r="AA1411" s="7"/>
      <c r="AB1411" s="7"/>
      <c r="AC1411" s="7"/>
      <c r="AD1411" s="7"/>
      <c r="AE1411" s="154"/>
      <c r="AF1411" s="154"/>
      <c r="AH1411" s="7"/>
      <c r="AI1411" s="7"/>
      <c r="AJ1411" s="7"/>
      <c r="AL1411" s="154"/>
      <c r="AM1411" s="7"/>
      <c r="AN1411" s="13"/>
      <c r="AP1411" s="7"/>
      <c r="AQ1411" s="7"/>
      <c r="AR1411" s="7"/>
      <c r="AS1411" s="7"/>
      <c r="AT1411" s="7"/>
      <c r="AU1411" s="7"/>
    </row>
    <row r="1412" spans="7:47" ht="13.5" x14ac:dyDescent="0.25">
      <c r="G1412" s="7"/>
      <c r="P1412" s="7"/>
      <c r="Q1412" s="7"/>
      <c r="V1412" s="7"/>
      <c r="W1412" s="7"/>
      <c r="X1412" s="7"/>
      <c r="Y1412" s="7"/>
      <c r="Z1412" s="7"/>
      <c r="AA1412" s="7"/>
      <c r="AB1412" s="7"/>
      <c r="AC1412" s="7"/>
      <c r="AD1412" s="7"/>
      <c r="AE1412" s="154"/>
      <c r="AF1412" s="154"/>
      <c r="AH1412" s="7"/>
      <c r="AI1412" s="7"/>
      <c r="AJ1412" s="7"/>
      <c r="AL1412" s="154"/>
      <c r="AM1412" s="7"/>
      <c r="AN1412" s="13"/>
      <c r="AP1412" s="7"/>
      <c r="AQ1412" s="7"/>
      <c r="AR1412" s="7"/>
      <c r="AS1412" s="7"/>
      <c r="AT1412" s="7"/>
      <c r="AU1412" s="7"/>
    </row>
    <row r="1413" spans="7:47" ht="13.5" x14ac:dyDescent="0.25">
      <c r="G1413" s="7"/>
      <c r="P1413" s="7"/>
      <c r="Q1413" s="7"/>
      <c r="V1413" s="7"/>
      <c r="W1413" s="7"/>
      <c r="X1413" s="7"/>
      <c r="Y1413" s="7"/>
      <c r="Z1413" s="7"/>
      <c r="AA1413" s="7"/>
      <c r="AB1413" s="7"/>
      <c r="AC1413" s="7"/>
      <c r="AD1413" s="7"/>
      <c r="AE1413" s="154"/>
      <c r="AF1413" s="154"/>
      <c r="AH1413" s="7"/>
      <c r="AI1413" s="7"/>
      <c r="AJ1413" s="7"/>
      <c r="AL1413" s="154"/>
      <c r="AM1413" s="7"/>
      <c r="AN1413" s="13"/>
      <c r="AP1413" s="7"/>
      <c r="AQ1413" s="7"/>
      <c r="AR1413" s="7"/>
      <c r="AS1413" s="7"/>
      <c r="AT1413" s="7"/>
      <c r="AU1413" s="7"/>
    </row>
    <row r="1414" spans="7:47" ht="13.5" x14ac:dyDescent="0.25">
      <c r="G1414" s="7"/>
      <c r="P1414" s="7"/>
      <c r="Q1414" s="7"/>
      <c r="V1414" s="7"/>
      <c r="W1414" s="7"/>
      <c r="X1414" s="7"/>
      <c r="Y1414" s="7"/>
      <c r="Z1414" s="7"/>
      <c r="AA1414" s="7"/>
      <c r="AB1414" s="7"/>
      <c r="AC1414" s="7"/>
      <c r="AD1414" s="7"/>
      <c r="AE1414" s="154"/>
      <c r="AF1414" s="154"/>
      <c r="AH1414" s="7"/>
      <c r="AI1414" s="7"/>
      <c r="AJ1414" s="7"/>
      <c r="AL1414" s="154"/>
      <c r="AM1414" s="7"/>
      <c r="AN1414" s="13"/>
      <c r="AP1414" s="7"/>
      <c r="AQ1414" s="7"/>
      <c r="AR1414" s="7"/>
      <c r="AS1414" s="7"/>
      <c r="AT1414" s="7"/>
      <c r="AU1414" s="7"/>
    </row>
    <row r="1415" spans="7:47" ht="13.5" x14ac:dyDescent="0.25">
      <c r="G1415" s="7"/>
      <c r="P1415" s="7"/>
      <c r="Q1415" s="7"/>
      <c r="V1415" s="7"/>
      <c r="W1415" s="7"/>
      <c r="X1415" s="7"/>
      <c r="Y1415" s="7"/>
      <c r="Z1415" s="7"/>
      <c r="AA1415" s="7"/>
      <c r="AB1415" s="7"/>
      <c r="AC1415" s="7"/>
      <c r="AD1415" s="7"/>
      <c r="AE1415" s="154"/>
      <c r="AF1415" s="154"/>
      <c r="AH1415" s="7"/>
      <c r="AI1415" s="7"/>
      <c r="AJ1415" s="7"/>
      <c r="AL1415" s="154"/>
      <c r="AM1415" s="7"/>
      <c r="AN1415" s="13"/>
      <c r="AP1415" s="7"/>
      <c r="AQ1415" s="7"/>
      <c r="AR1415" s="7"/>
      <c r="AS1415" s="7"/>
      <c r="AT1415" s="7"/>
      <c r="AU1415" s="7"/>
    </row>
    <row r="1416" spans="7:47" ht="13.5" x14ac:dyDescent="0.25">
      <c r="G1416" s="7"/>
      <c r="P1416" s="7"/>
      <c r="Q1416" s="7"/>
      <c r="V1416" s="7"/>
      <c r="W1416" s="7"/>
      <c r="X1416" s="7"/>
      <c r="Y1416" s="7"/>
      <c r="Z1416" s="7"/>
      <c r="AA1416" s="7"/>
      <c r="AB1416" s="7"/>
      <c r="AC1416" s="7"/>
      <c r="AD1416" s="7"/>
      <c r="AE1416" s="154"/>
      <c r="AF1416" s="154"/>
      <c r="AH1416" s="7"/>
      <c r="AI1416" s="7"/>
      <c r="AJ1416" s="7"/>
      <c r="AL1416" s="154"/>
      <c r="AM1416" s="7"/>
      <c r="AN1416" s="13"/>
      <c r="AP1416" s="7"/>
      <c r="AQ1416" s="7"/>
      <c r="AR1416" s="7"/>
      <c r="AS1416" s="7"/>
      <c r="AT1416" s="7"/>
      <c r="AU1416" s="7"/>
    </row>
    <row r="1417" spans="7:47" ht="13.5" x14ac:dyDescent="0.25">
      <c r="G1417" s="7"/>
      <c r="P1417" s="7"/>
      <c r="Q1417" s="7"/>
      <c r="V1417" s="7"/>
      <c r="W1417" s="7"/>
      <c r="X1417" s="7"/>
      <c r="Y1417" s="7"/>
      <c r="Z1417" s="7"/>
      <c r="AA1417" s="7"/>
      <c r="AB1417" s="7"/>
      <c r="AC1417" s="7"/>
      <c r="AD1417" s="7"/>
      <c r="AE1417" s="154"/>
      <c r="AF1417" s="154"/>
      <c r="AH1417" s="7"/>
      <c r="AI1417" s="7"/>
      <c r="AJ1417" s="7"/>
      <c r="AL1417" s="154"/>
      <c r="AM1417" s="7"/>
      <c r="AN1417" s="13"/>
      <c r="AP1417" s="7"/>
      <c r="AQ1417" s="7"/>
      <c r="AR1417" s="7"/>
      <c r="AS1417" s="7"/>
      <c r="AT1417" s="7"/>
      <c r="AU1417" s="7"/>
    </row>
    <row r="1418" spans="7:47" ht="13.5" x14ac:dyDescent="0.25">
      <c r="G1418" s="7"/>
      <c r="P1418" s="7"/>
      <c r="Q1418" s="7"/>
      <c r="V1418" s="7"/>
      <c r="W1418" s="7"/>
      <c r="X1418" s="7"/>
      <c r="Y1418" s="7"/>
      <c r="Z1418" s="7"/>
      <c r="AA1418" s="7"/>
      <c r="AB1418" s="7"/>
      <c r="AC1418" s="7"/>
      <c r="AD1418" s="7"/>
      <c r="AE1418" s="154"/>
      <c r="AF1418" s="154"/>
      <c r="AH1418" s="7"/>
      <c r="AI1418" s="7"/>
      <c r="AJ1418" s="7"/>
      <c r="AL1418" s="154"/>
      <c r="AM1418" s="7"/>
      <c r="AN1418" s="13"/>
      <c r="AP1418" s="7"/>
      <c r="AQ1418" s="7"/>
      <c r="AR1418" s="7"/>
      <c r="AS1418" s="7"/>
      <c r="AT1418" s="7"/>
      <c r="AU1418" s="7"/>
    </row>
    <row r="1419" spans="7:47" ht="13.5" x14ac:dyDescent="0.25">
      <c r="G1419" s="7"/>
      <c r="P1419" s="7"/>
      <c r="Q1419" s="7"/>
      <c r="V1419" s="7"/>
      <c r="W1419" s="7"/>
      <c r="X1419" s="7"/>
      <c r="Y1419" s="7"/>
      <c r="Z1419" s="7"/>
      <c r="AA1419" s="7"/>
      <c r="AB1419" s="7"/>
      <c r="AC1419" s="7"/>
      <c r="AD1419" s="7"/>
      <c r="AE1419" s="154"/>
      <c r="AF1419" s="154"/>
      <c r="AH1419" s="7"/>
      <c r="AI1419" s="7"/>
      <c r="AJ1419" s="7"/>
      <c r="AL1419" s="154"/>
      <c r="AM1419" s="7"/>
      <c r="AN1419" s="13"/>
      <c r="AP1419" s="7"/>
      <c r="AQ1419" s="7"/>
      <c r="AR1419" s="7"/>
      <c r="AS1419" s="7"/>
      <c r="AT1419" s="7"/>
      <c r="AU1419" s="7"/>
    </row>
    <row r="1420" spans="7:47" ht="13.5" x14ac:dyDescent="0.25">
      <c r="G1420" s="7"/>
      <c r="P1420" s="7"/>
      <c r="Q1420" s="7"/>
      <c r="V1420" s="7"/>
      <c r="W1420" s="7"/>
      <c r="X1420" s="7"/>
      <c r="Y1420" s="7"/>
      <c r="Z1420" s="7"/>
      <c r="AA1420" s="7"/>
      <c r="AB1420" s="7"/>
      <c r="AC1420" s="7"/>
      <c r="AD1420" s="7"/>
      <c r="AE1420" s="154"/>
      <c r="AF1420" s="154"/>
      <c r="AH1420" s="7"/>
      <c r="AI1420" s="7"/>
      <c r="AJ1420" s="7"/>
      <c r="AL1420" s="154"/>
      <c r="AM1420" s="7"/>
      <c r="AN1420" s="13"/>
      <c r="AP1420" s="7"/>
      <c r="AQ1420" s="7"/>
      <c r="AR1420" s="7"/>
      <c r="AS1420" s="7"/>
      <c r="AT1420" s="7"/>
      <c r="AU1420" s="7"/>
    </row>
    <row r="1421" spans="7:47" ht="13.5" x14ac:dyDescent="0.25">
      <c r="G1421" s="7"/>
      <c r="P1421" s="7"/>
      <c r="Q1421" s="7"/>
      <c r="V1421" s="7"/>
      <c r="W1421" s="7"/>
      <c r="X1421" s="7"/>
      <c r="Y1421" s="7"/>
      <c r="Z1421" s="7"/>
      <c r="AA1421" s="7"/>
      <c r="AB1421" s="7"/>
      <c r="AC1421" s="7"/>
      <c r="AD1421" s="7"/>
      <c r="AE1421" s="154"/>
      <c r="AF1421" s="154"/>
      <c r="AH1421" s="7"/>
      <c r="AI1421" s="7"/>
      <c r="AJ1421" s="7"/>
      <c r="AL1421" s="154"/>
      <c r="AM1421" s="7"/>
      <c r="AN1421" s="13"/>
      <c r="AP1421" s="7"/>
      <c r="AQ1421" s="7"/>
      <c r="AR1421" s="7"/>
      <c r="AS1421" s="7"/>
      <c r="AT1421" s="7"/>
      <c r="AU1421" s="7"/>
    </row>
    <row r="1422" spans="7:47" ht="13.5" x14ac:dyDescent="0.25">
      <c r="G1422" s="7"/>
      <c r="P1422" s="7"/>
      <c r="Q1422" s="7"/>
      <c r="V1422" s="7"/>
      <c r="W1422" s="7"/>
      <c r="X1422" s="7"/>
      <c r="Y1422" s="7"/>
      <c r="Z1422" s="7"/>
      <c r="AA1422" s="7"/>
      <c r="AB1422" s="7"/>
      <c r="AC1422" s="7"/>
      <c r="AD1422" s="7"/>
      <c r="AE1422" s="154"/>
      <c r="AF1422" s="154"/>
      <c r="AH1422" s="7"/>
      <c r="AI1422" s="7"/>
      <c r="AJ1422" s="7"/>
      <c r="AL1422" s="154"/>
      <c r="AM1422" s="7"/>
      <c r="AN1422" s="13"/>
      <c r="AP1422" s="7"/>
      <c r="AQ1422" s="7"/>
      <c r="AR1422" s="7"/>
      <c r="AS1422" s="7"/>
      <c r="AT1422" s="7"/>
      <c r="AU1422" s="7"/>
    </row>
    <row r="1423" spans="7:47" ht="13.5" x14ac:dyDescent="0.25">
      <c r="G1423" s="7"/>
      <c r="P1423" s="7"/>
      <c r="Q1423" s="7"/>
      <c r="V1423" s="7"/>
      <c r="W1423" s="7"/>
      <c r="X1423" s="7"/>
      <c r="Y1423" s="7"/>
      <c r="Z1423" s="7"/>
      <c r="AA1423" s="7"/>
      <c r="AB1423" s="7"/>
      <c r="AC1423" s="7"/>
      <c r="AD1423" s="7"/>
      <c r="AE1423" s="154"/>
      <c r="AF1423" s="154"/>
      <c r="AH1423" s="7"/>
      <c r="AI1423" s="7"/>
      <c r="AJ1423" s="7"/>
      <c r="AL1423" s="154"/>
      <c r="AM1423" s="7"/>
      <c r="AN1423" s="13"/>
      <c r="AP1423" s="7"/>
      <c r="AQ1423" s="7"/>
      <c r="AR1423" s="7"/>
      <c r="AS1423" s="7"/>
      <c r="AT1423" s="7"/>
      <c r="AU1423" s="7"/>
    </row>
    <row r="1424" spans="7:47" ht="13.5" x14ac:dyDescent="0.25">
      <c r="G1424" s="7"/>
      <c r="P1424" s="7"/>
      <c r="Q1424" s="7"/>
      <c r="V1424" s="7"/>
      <c r="W1424" s="7"/>
      <c r="X1424" s="7"/>
      <c r="Y1424" s="7"/>
      <c r="Z1424" s="7"/>
      <c r="AA1424" s="7"/>
      <c r="AB1424" s="7"/>
      <c r="AC1424" s="7"/>
      <c r="AD1424" s="7"/>
      <c r="AE1424" s="154"/>
      <c r="AF1424" s="154"/>
      <c r="AH1424" s="7"/>
      <c r="AI1424" s="7"/>
      <c r="AJ1424" s="7"/>
      <c r="AL1424" s="154"/>
      <c r="AM1424" s="7"/>
      <c r="AN1424" s="13"/>
      <c r="AP1424" s="7"/>
      <c r="AQ1424" s="7"/>
      <c r="AR1424" s="7"/>
      <c r="AS1424" s="7"/>
      <c r="AT1424" s="7"/>
      <c r="AU1424" s="7"/>
    </row>
    <row r="1425" spans="7:47" ht="13.5" x14ac:dyDescent="0.25">
      <c r="G1425" s="7"/>
      <c r="P1425" s="7"/>
      <c r="Q1425" s="7"/>
      <c r="V1425" s="7"/>
      <c r="W1425" s="7"/>
      <c r="X1425" s="7"/>
      <c r="Y1425" s="7"/>
      <c r="Z1425" s="7"/>
      <c r="AA1425" s="7"/>
      <c r="AB1425" s="7"/>
      <c r="AC1425" s="7"/>
      <c r="AD1425" s="7"/>
      <c r="AE1425" s="154"/>
      <c r="AF1425" s="154"/>
      <c r="AH1425" s="7"/>
      <c r="AI1425" s="7"/>
      <c r="AJ1425" s="7"/>
      <c r="AL1425" s="154"/>
      <c r="AM1425" s="7"/>
      <c r="AN1425" s="13"/>
      <c r="AP1425" s="7"/>
      <c r="AQ1425" s="7"/>
      <c r="AR1425" s="7"/>
      <c r="AS1425" s="7"/>
      <c r="AT1425" s="7"/>
      <c r="AU1425" s="7"/>
    </row>
    <row r="1426" spans="7:47" ht="13.5" x14ac:dyDescent="0.25">
      <c r="G1426" s="7"/>
      <c r="P1426" s="7"/>
      <c r="Q1426" s="7"/>
      <c r="V1426" s="7"/>
      <c r="W1426" s="7"/>
      <c r="X1426" s="7"/>
      <c r="Y1426" s="7"/>
      <c r="Z1426" s="7"/>
      <c r="AA1426" s="7"/>
      <c r="AB1426" s="7"/>
      <c r="AC1426" s="7"/>
      <c r="AD1426" s="7"/>
      <c r="AE1426" s="154"/>
      <c r="AF1426" s="154"/>
      <c r="AH1426" s="7"/>
      <c r="AI1426" s="7"/>
      <c r="AJ1426" s="7"/>
      <c r="AL1426" s="154"/>
      <c r="AM1426" s="7"/>
      <c r="AN1426" s="13"/>
      <c r="AP1426" s="7"/>
      <c r="AQ1426" s="7"/>
      <c r="AR1426" s="7"/>
      <c r="AS1426" s="7"/>
      <c r="AT1426" s="7"/>
      <c r="AU1426" s="7"/>
    </row>
    <row r="1427" spans="7:47" ht="13.5" x14ac:dyDescent="0.25">
      <c r="G1427" s="7"/>
      <c r="P1427" s="7"/>
      <c r="Q1427" s="7"/>
      <c r="V1427" s="7"/>
      <c r="W1427" s="7"/>
      <c r="X1427" s="7"/>
      <c r="Y1427" s="7"/>
      <c r="Z1427" s="7"/>
      <c r="AA1427" s="7"/>
      <c r="AB1427" s="7"/>
      <c r="AC1427" s="7"/>
      <c r="AD1427" s="7"/>
      <c r="AE1427" s="154"/>
      <c r="AF1427" s="154"/>
      <c r="AH1427" s="7"/>
      <c r="AI1427" s="7"/>
      <c r="AJ1427" s="7"/>
      <c r="AL1427" s="154"/>
      <c r="AM1427" s="7"/>
      <c r="AN1427" s="13"/>
      <c r="AP1427" s="7"/>
      <c r="AQ1427" s="7"/>
      <c r="AR1427" s="7"/>
      <c r="AS1427" s="7"/>
      <c r="AT1427" s="7"/>
      <c r="AU1427" s="7"/>
    </row>
    <row r="1428" spans="7:47" ht="13.5" x14ac:dyDescent="0.25">
      <c r="G1428" s="7"/>
      <c r="P1428" s="7"/>
      <c r="Q1428" s="7"/>
      <c r="V1428" s="7"/>
      <c r="W1428" s="7"/>
      <c r="X1428" s="7"/>
      <c r="Y1428" s="7"/>
      <c r="Z1428" s="7"/>
      <c r="AA1428" s="7"/>
      <c r="AB1428" s="7"/>
      <c r="AC1428" s="7"/>
      <c r="AD1428" s="7"/>
      <c r="AE1428" s="154"/>
      <c r="AF1428" s="154"/>
      <c r="AH1428" s="7"/>
      <c r="AI1428" s="7"/>
      <c r="AJ1428" s="7"/>
      <c r="AL1428" s="154"/>
      <c r="AM1428" s="7"/>
      <c r="AN1428" s="13"/>
      <c r="AP1428" s="7"/>
      <c r="AQ1428" s="7"/>
      <c r="AR1428" s="7"/>
      <c r="AS1428" s="7"/>
      <c r="AT1428" s="7"/>
      <c r="AU1428" s="7"/>
    </row>
    <row r="1429" spans="7:47" ht="13.5" x14ac:dyDescent="0.25">
      <c r="G1429" s="7"/>
      <c r="P1429" s="7"/>
      <c r="Q1429" s="7"/>
      <c r="V1429" s="7"/>
      <c r="W1429" s="7"/>
      <c r="X1429" s="7"/>
      <c r="Y1429" s="7"/>
      <c r="Z1429" s="7"/>
      <c r="AA1429" s="7"/>
      <c r="AB1429" s="7"/>
      <c r="AC1429" s="7"/>
      <c r="AD1429" s="7"/>
      <c r="AE1429" s="154"/>
      <c r="AF1429" s="154"/>
      <c r="AH1429" s="7"/>
      <c r="AI1429" s="7"/>
      <c r="AJ1429" s="7"/>
      <c r="AL1429" s="154"/>
      <c r="AM1429" s="7"/>
      <c r="AN1429" s="13"/>
      <c r="AP1429" s="7"/>
      <c r="AQ1429" s="7"/>
      <c r="AR1429" s="7"/>
      <c r="AS1429" s="7"/>
      <c r="AT1429" s="7"/>
      <c r="AU1429" s="7"/>
    </row>
    <row r="1430" spans="7:47" ht="13.5" x14ac:dyDescent="0.25">
      <c r="G1430" s="7"/>
      <c r="P1430" s="7"/>
      <c r="Q1430" s="7"/>
      <c r="V1430" s="7"/>
      <c r="W1430" s="7"/>
      <c r="X1430" s="7"/>
      <c r="Y1430" s="7"/>
      <c r="Z1430" s="7"/>
      <c r="AA1430" s="7"/>
      <c r="AB1430" s="7"/>
      <c r="AC1430" s="7"/>
      <c r="AD1430" s="7"/>
      <c r="AE1430" s="154"/>
      <c r="AF1430" s="154"/>
      <c r="AH1430" s="7"/>
      <c r="AI1430" s="7"/>
      <c r="AJ1430" s="7"/>
      <c r="AL1430" s="154"/>
      <c r="AM1430" s="7"/>
      <c r="AN1430" s="13"/>
      <c r="AP1430" s="7"/>
      <c r="AQ1430" s="7"/>
      <c r="AR1430" s="7"/>
      <c r="AS1430" s="7"/>
      <c r="AT1430" s="7"/>
      <c r="AU1430" s="7"/>
    </row>
    <row r="1431" spans="7:47" ht="13.5" x14ac:dyDescent="0.25">
      <c r="G1431" s="7"/>
      <c r="P1431" s="7"/>
      <c r="Q1431" s="7"/>
      <c r="V1431" s="7"/>
      <c r="W1431" s="7"/>
      <c r="X1431" s="7"/>
      <c r="Y1431" s="7"/>
      <c r="Z1431" s="7"/>
      <c r="AA1431" s="7"/>
      <c r="AB1431" s="7"/>
      <c r="AC1431" s="7"/>
      <c r="AD1431" s="7"/>
      <c r="AE1431" s="154"/>
      <c r="AF1431" s="154"/>
      <c r="AH1431" s="7"/>
      <c r="AI1431" s="7"/>
      <c r="AJ1431" s="7"/>
      <c r="AL1431" s="154"/>
      <c r="AM1431" s="7"/>
      <c r="AN1431" s="13"/>
      <c r="AP1431" s="7"/>
      <c r="AQ1431" s="7"/>
      <c r="AR1431" s="7"/>
      <c r="AS1431" s="7"/>
      <c r="AT1431" s="7"/>
      <c r="AU1431" s="7"/>
    </row>
    <row r="1432" spans="7:47" ht="13.5" x14ac:dyDescent="0.25">
      <c r="G1432" s="7"/>
      <c r="P1432" s="7"/>
      <c r="Q1432" s="7"/>
      <c r="V1432" s="7"/>
      <c r="W1432" s="7"/>
      <c r="X1432" s="7"/>
      <c r="Y1432" s="7"/>
      <c r="Z1432" s="7"/>
      <c r="AA1432" s="7"/>
      <c r="AB1432" s="7"/>
      <c r="AC1432" s="7"/>
      <c r="AD1432" s="7"/>
      <c r="AE1432" s="154"/>
      <c r="AF1432" s="154"/>
      <c r="AH1432" s="7"/>
      <c r="AI1432" s="7"/>
      <c r="AJ1432" s="7"/>
      <c r="AL1432" s="154"/>
      <c r="AM1432" s="7"/>
      <c r="AN1432" s="13"/>
      <c r="AP1432" s="7"/>
      <c r="AQ1432" s="7"/>
      <c r="AR1432" s="7"/>
      <c r="AS1432" s="7"/>
      <c r="AT1432" s="7"/>
      <c r="AU1432" s="7"/>
    </row>
    <row r="1433" spans="7:47" ht="13.5" x14ac:dyDescent="0.25">
      <c r="G1433" s="7"/>
      <c r="P1433" s="7"/>
      <c r="Q1433" s="7"/>
      <c r="V1433" s="7"/>
      <c r="W1433" s="7"/>
      <c r="X1433" s="7"/>
      <c r="Y1433" s="7"/>
      <c r="Z1433" s="7"/>
      <c r="AA1433" s="7"/>
      <c r="AB1433" s="7"/>
      <c r="AC1433" s="7"/>
      <c r="AD1433" s="7"/>
      <c r="AE1433" s="154"/>
      <c r="AF1433" s="154"/>
      <c r="AH1433" s="7"/>
      <c r="AI1433" s="7"/>
      <c r="AJ1433" s="7"/>
      <c r="AL1433" s="154"/>
      <c r="AM1433" s="7"/>
      <c r="AN1433" s="13"/>
      <c r="AP1433" s="7"/>
      <c r="AQ1433" s="7"/>
      <c r="AR1433" s="7"/>
      <c r="AS1433" s="7"/>
      <c r="AT1433" s="7"/>
      <c r="AU1433" s="7"/>
    </row>
    <row r="1434" spans="7:47" ht="13.5" x14ac:dyDescent="0.25">
      <c r="G1434" s="7"/>
      <c r="P1434" s="7"/>
      <c r="Q1434" s="7"/>
      <c r="V1434" s="7"/>
      <c r="W1434" s="7"/>
      <c r="X1434" s="7"/>
      <c r="Y1434" s="7"/>
      <c r="Z1434" s="7"/>
      <c r="AA1434" s="7"/>
      <c r="AB1434" s="7"/>
      <c r="AC1434" s="7"/>
      <c r="AD1434" s="7"/>
      <c r="AE1434" s="154"/>
      <c r="AF1434" s="154"/>
      <c r="AH1434" s="7"/>
      <c r="AI1434" s="7"/>
      <c r="AJ1434" s="7"/>
      <c r="AL1434" s="154"/>
      <c r="AM1434" s="7"/>
      <c r="AN1434" s="13"/>
      <c r="AP1434" s="7"/>
      <c r="AQ1434" s="7"/>
      <c r="AR1434" s="7"/>
      <c r="AS1434" s="7"/>
      <c r="AT1434" s="7"/>
      <c r="AU1434" s="7"/>
    </row>
    <row r="1435" spans="7:47" ht="13.5" x14ac:dyDescent="0.25">
      <c r="G1435" s="7"/>
      <c r="P1435" s="7"/>
      <c r="Q1435" s="7"/>
      <c r="V1435" s="7"/>
      <c r="W1435" s="7"/>
      <c r="X1435" s="7"/>
      <c r="Y1435" s="7"/>
      <c r="Z1435" s="7"/>
      <c r="AA1435" s="7"/>
      <c r="AB1435" s="7"/>
      <c r="AC1435" s="7"/>
      <c r="AD1435" s="7"/>
      <c r="AE1435" s="154"/>
      <c r="AF1435" s="154"/>
      <c r="AH1435" s="7"/>
      <c r="AI1435" s="7"/>
      <c r="AJ1435" s="7"/>
      <c r="AL1435" s="154"/>
      <c r="AM1435" s="7"/>
      <c r="AN1435" s="13"/>
      <c r="AP1435" s="7"/>
      <c r="AQ1435" s="7"/>
      <c r="AR1435" s="7"/>
      <c r="AS1435" s="7"/>
      <c r="AT1435" s="7"/>
      <c r="AU1435" s="7"/>
    </row>
    <row r="1436" spans="7:47" ht="13.5" x14ac:dyDescent="0.25">
      <c r="G1436" s="7"/>
      <c r="P1436" s="7"/>
      <c r="Q1436" s="7"/>
      <c r="V1436" s="7"/>
      <c r="W1436" s="7"/>
      <c r="X1436" s="7"/>
      <c r="Y1436" s="7"/>
      <c r="Z1436" s="7"/>
      <c r="AA1436" s="7"/>
      <c r="AB1436" s="7"/>
      <c r="AC1436" s="7"/>
      <c r="AD1436" s="7"/>
      <c r="AE1436" s="154"/>
      <c r="AF1436" s="154"/>
      <c r="AH1436" s="7"/>
      <c r="AI1436" s="7"/>
      <c r="AJ1436" s="7"/>
      <c r="AL1436" s="154"/>
      <c r="AM1436" s="7"/>
      <c r="AN1436" s="13"/>
      <c r="AP1436" s="7"/>
      <c r="AQ1436" s="7"/>
      <c r="AR1436" s="7"/>
      <c r="AS1436" s="7"/>
      <c r="AT1436" s="7"/>
      <c r="AU1436" s="7"/>
    </row>
    <row r="1437" spans="7:47" ht="13.5" x14ac:dyDescent="0.25">
      <c r="G1437" s="7"/>
      <c r="P1437" s="7"/>
      <c r="Q1437" s="7"/>
      <c r="V1437" s="7"/>
      <c r="W1437" s="7"/>
      <c r="X1437" s="7"/>
      <c r="Y1437" s="7"/>
      <c r="Z1437" s="7"/>
      <c r="AA1437" s="7"/>
      <c r="AB1437" s="7"/>
      <c r="AC1437" s="7"/>
      <c r="AD1437" s="7"/>
      <c r="AE1437" s="154"/>
      <c r="AF1437" s="154"/>
      <c r="AH1437" s="7"/>
      <c r="AI1437" s="7"/>
      <c r="AJ1437" s="7"/>
      <c r="AL1437" s="154"/>
      <c r="AM1437" s="7"/>
      <c r="AN1437" s="13"/>
      <c r="AP1437" s="7"/>
      <c r="AQ1437" s="7"/>
      <c r="AR1437" s="7"/>
      <c r="AS1437" s="7"/>
      <c r="AT1437" s="7"/>
      <c r="AU1437" s="7"/>
    </row>
    <row r="1438" spans="7:47" ht="13.5" x14ac:dyDescent="0.25">
      <c r="G1438" s="7"/>
      <c r="P1438" s="7"/>
      <c r="Q1438" s="7"/>
      <c r="V1438" s="7"/>
      <c r="W1438" s="7"/>
      <c r="X1438" s="7"/>
      <c r="Y1438" s="7"/>
      <c r="Z1438" s="7"/>
      <c r="AA1438" s="7"/>
      <c r="AB1438" s="7"/>
      <c r="AC1438" s="7"/>
      <c r="AD1438" s="7"/>
      <c r="AE1438" s="154"/>
      <c r="AF1438" s="154"/>
      <c r="AH1438" s="7"/>
      <c r="AI1438" s="7"/>
      <c r="AJ1438" s="7"/>
      <c r="AL1438" s="154"/>
      <c r="AM1438" s="7"/>
      <c r="AN1438" s="13"/>
      <c r="AP1438" s="7"/>
      <c r="AQ1438" s="7"/>
      <c r="AR1438" s="7"/>
      <c r="AS1438" s="7"/>
      <c r="AT1438" s="7"/>
      <c r="AU1438" s="7"/>
    </row>
    <row r="1439" spans="7:47" ht="13.5" x14ac:dyDescent="0.25">
      <c r="G1439" s="7"/>
      <c r="P1439" s="7"/>
      <c r="Q1439" s="7"/>
      <c r="V1439" s="7"/>
      <c r="W1439" s="7"/>
      <c r="X1439" s="7"/>
      <c r="Y1439" s="7"/>
      <c r="Z1439" s="7"/>
      <c r="AA1439" s="7"/>
      <c r="AB1439" s="7"/>
      <c r="AC1439" s="7"/>
      <c r="AD1439" s="7"/>
      <c r="AE1439" s="154"/>
      <c r="AF1439" s="154"/>
      <c r="AH1439" s="7"/>
      <c r="AI1439" s="7"/>
      <c r="AJ1439" s="7"/>
      <c r="AL1439" s="154"/>
      <c r="AM1439" s="7"/>
      <c r="AN1439" s="13"/>
      <c r="AP1439" s="7"/>
      <c r="AQ1439" s="7"/>
      <c r="AR1439" s="7"/>
      <c r="AS1439" s="7"/>
      <c r="AT1439" s="7"/>
      <c r="AU1439" s="7"/>
    </row>
    <row r="1440" spans="7:47" ht="13.5" x14ac:dyDescent="0.25">
      <c r="G1440" s="7"/>
      <c r="P1440" s="7"/>
      <c r="Q1440" s="7"/>
      <c r="V1440" s="7"/>
      <c r="W1440" s="7"/>
      <c r="X1440" s="7"/>
      <c r="Y1440" s="7"/>
      <c r="Z1440" s="7"/>
      <c r="AA1440" s="7"/>
      <c r="AB1440" s="7"/>
      <c r="AC1440" s="7"/>
      <c r="AD1440" s="7"/>
      <c r="AE1440" s="154"/>
      <c r="AF1440" s="154"/>
      <c r="AH1440" s="7"/>
      <c r="AI1440" s="7"/>
      <c r="AJ1440" s="7"/>
      <c r="AL1440" s="154"/>
      <c r="AM1440" s="7"/>
      <c r="AN1440" s="13"/>
      <c r="AP1440" s="7"/>
      <c r="AQ1440" s="7"/>
      <c r="AR1440" s="7"/>
      <c r="AS1440" s="7"/>
      <c r="AT1440" s="7"/>
      <c r="AU1440" s="7"/>
    </row>
    <row r="1441" spans="7:47" ht="13.5" x14ac:dyDescent="0.25">
      <c r="G1441" s="7"/>
      <c r="P1441" s="7"/>
      <c r="Q1441" s="7"/>
      <c r="V1441" s="7"/>
      <c r="W1441" s="7"/>
      <c r="X1441" s="7"/>
      <c r="Y1441" s="7"/>
      <c r="Z1441" s="7"/>
      <c r="AA1441" s="7"/>
      <c r="AB1441" s="7"/>
      <c r="AC1441" s="7"/>
      <c r="AD1441" s="7"/>
      <c r="AE1441" s="154"/>
      <c r="AF1441" s="154"/>
      <c r="AH1441" s="7"/>
      <c r="AI1441" s="7"/>
      <c r="AJ1441" s="7"/>
      <c r="AL1441" s="154"/>
      <c r="AM1441" s="7"/>
      <c r="AN1441" s="13"/>
      <c r="AP1441" s="7"/>
      <c r="AQ1441" s="7"/>
      <c r="AR1441" s="7"/>
      <c r="AS1441" s="7"/>
      <c r="AT1441" s="7"/>
      <c r="AU1441" s="7"/>
    </row>
    <row r="1442" spans="7:47" ht="13.5" x14ac:dyDescent="0.25">
      <c r="G1442" s="7"/>
      <c r="P1442" s="7"/>
      <c r="Q1442" s="7"/>
      <c r="V1442" s="7"/>
      <c r="W1442" s="7"/>
      <c r="X1442" s="7"/>
      <c r="Y1442" s="7"/>
      <c r="Z1442" s="7"/>
      <c r="AA1442" s="7"/>
      <c r="AB1442" s="7"/>
      <c r="AC1442" s="7"/>
      <c r="AD1442" s="7"/>
      <c r="AE1442" s="154"/>
      <c r="AF1442" s="154"/>
      <c r="AH1442" s="7"/>
      <c r="AI1442" s="7"/>
      <c r="AJ1442" s="7"/>
      <c r="AL1442" s="154"/>
      <c r="AM1442" s="7"/>
      <c r="AN1442" s="13"/>
      <c r="AP1442" s="7"/>
      <c r="AQ1442" s="7"/>
      <c r="AR1442" s="7"/>
      <c r="AS1442" s="7"/>
      <c r="AT1442" s="7"/>
      <c r="AU1442" s="7"/>
    </row>
    <row r="1443" spans="7:47" ht="13.5" x14ac:dyDescent="0.25">
      <c r="G1443" s="7"/>
      <c r="P1443" s="7"/>
      <c r="Q1443" s="7"/>
      <c r="V1443" s="7"/>
      <c r="W1443" s="7"/>
      <c r="X1443" s="7"/>
      <c r="Y1443" s="7"/>
      <c r="Z1443" s="7"/>
      <c r="AA1443" s="7"/>
      <c r="AB1443" s="7"/>
      <c r="AC1443" s="7"/>
      <c r="AD1443" s="7"/>
      <c r="AE1443" s="154"/>
      <c r="AF1443" s="154"/>
      <c r="AH1443" s="7"/>
      <c r="AI1443" s="7"/>
      <c r="AJ1443" s="7"/>
      <c r="AL1443" s="154"/>
      <c r="AM1443" s="7"/>
      <c r="AN1443" s="13"/>
      <c r="AP1443" s="7"/>
      <c r="AQ1443" s="7"/>
      <c r="AR1443" s="7"/>
      <c r="AS1443" s="7"/>
      <c r="AT1443" s="7"/>
      <c r="AU1443" s="7"/>
    </row>
    <row r="1444" spans="7:47" ht="13.5" x14ac:dyDescent="0.25">
      <c r="G1444" s="7"/>
      <c r="P1444" s="7"/>
      <c r="Q1444" s="7"/>
      <c r="V1444" s="7"/>
      <c r="W1444" s="7"/>
      <c r="X1444" s="7"/>
      <c r="Y1444" s="7"/>
      <c r="Z1444" s="7"/>
      <c r="AA1444" s="7"/>
      <c r="AB1444" s="7"/>
      <c r="AC1444" s="7"/>
      <c r="AD1444" s="7"/>
      <c r="AE1444" s="154"/>
      <c r="AF1444" s="154"/>
      <c r="AH1444" s="7"/>
      <c r="AI1444" s="7"/>
      <c r="AJ1444" s="7"/>
      <c r="AL1444" s="154"/>
      <c r="AM1444" s="7"/>
      <c r="AN1444" s="13"/>
      <c r="AP1444" s="7"/>
      <c r="AQ1444" s="7"/>
      <c r="AR1444" s="7"/>
      <c r="AS1444" s="7"/>
      <c r="AT1444" s="7"/>
      <c r="AU1444" s="7"/>
    </row>
    <row r="1445" spans="7:47" ht="13.5" x14ac:dyDescent="0.25">
      <c r="G1445" s="7"/>
      <c r="P1445" s="7"/>
      <c r="Q1445" s="7"/>
      <c r="V1445" s="7"/>
      <c r="W1445" s="7"/>
      <c r="X1445" s="7"/>
      <c r="Y1445" s="7"/>
      <c r="Z1445" s="7"/>
      <c r="AA1445" s="7"/>
      <c r="AB1445" s="7"/>
      <c r="AC1445" s="7"/>
      <c r="AD1445" s="7"/>
      <c r="AE1445" s="154"/>
      <c r="AF1445" s="154"/>
      <c r="AH1445" s="7"/>
      <c r="AI1445" s="7"/>
      <c r="AJ1445" s="7"/>
      <c r="AL1445" s="154"/>
      <c r="AM1445" s="7"/>
      <c r="AN1445" s="13"/>
      <c r="AP1445" s="7"/>
      <c r="AQ1445" s="7"/>
      <c r="AR1445" s="7"/>
      <c r="AS1445" s="7"/>
      <c r="AT1445" s="7"/>
      <c r="AU1445" s="7"/>
    </row>
    <row r="1446" spans="7:47" ht="13.5" x14ac:dyDescent="0.25">
      <c r="G1446" s="7"/>
      <c r="P1446" s="7"/>
      <c r="Q1446" s="7"/>
      <c r="V1446" s="7"/>
      <c r="W1446" s="7"/>
      <c r="X1446" s="7"/>
      <c r="Y1446" s="7"/>
      <c r="Z1446" s="7"/>
      <c r="AA1446" s="7"/>
      <c r="AB1446" s="7"/>
      <c r="AC1446" s="7"/>
      <c r="AD1446" s="7"/>
      <c r="AE1446" s="154"/>
      <c r="AF1446" s="154"/>
      <c r="AH1446" s="7"/>
      <c r="AI1446" s="7"/>
      <c r="AJ1446" s="7"/>
      <c r="AL1446" s="154"/>
      <c r="AM1446" s="7"/>
      <c r="AN1446" s="13"/>
      <c r="AP1446" s="7"/>
      <c r="AQ1446" s="7"/>
      <c r="AR1446" s="7"/>
      <c r="AS1446" s="7"/>
      <c r="AT1446" s="7"/>
      <c r="AU1446" s="7"/>
    </row>
    <row r="1447" spans="7:47" ht="13.5" x14ac:dyDescent="0.25">
      <c r="G1447" s="7"/>
      <c r="P1447" s="7"/>
      <c r="Q1447" s="7"/>
      <c r="V1447" s="7"/>
      <c r="W1447" s="7"/>
      <c r="X1447" s="7"/>
      <c r="Y1447" s="7"/>
      <c r="Z1447" s="7"/>
      <c r="AA1447" s="7"/>
      <c r="AB1447" s="7"/>
      <c r="AC1447" s="7"/>
      <c r="AD1447" s="7"/>
      <c r="AE1447" s="154"/>
      <c r="AF1447" s="154"/>
      <c r="AH1447" s="7"/>
      <c r="AI1447" s="7"/>
      <c r="AJ1447" s="7"/>
      <c r="AL1447" s="154"/>
      <c r="AM1447" s="7"/>
      <c r="AN1447" s="13"/>
      <c r="AP1447" s="7"/>
      <c r="AQ1447" s="7"/>
      <c r="AR1447" s="7"/>
      <c r="AS1447" s="7"/>
      <c r="AT1447" s="7"/>
      <c r="AU1447" s="7"/>
    </row>
    <row r="1448" spans="7:47" ht="13.5" x14ac:dyDescent="0.25">
      <c r="G1448" s="7"/>
      <c r="P1448" s="7"/>
      <c r="Q1448" s="7"/>
      <c r="V1448" s="7"/>
      <c r="W1448" s="7"/>
      <c r="X1448" s="7"/>
      <c r="Y1448" s="7"/>
      <c r="Z1448" s="7"/>
      <c r="AA1448" s="7"/>
      <c r="AB1448" s="7"/>
      <c r="AC1448" s="7"/>
      <c r="AD1448" s="7"/>
      <c r="AE1448" s="154"/>
      <c r="AF1448" s="154"/>
      <c r="AH1448" s="7"/>
      <c r="AI1448" s="7"/>
      <c r="AJ1448" s="7"/>
      <c r="AL1448" s="154"/>
      <c r="AM1448" s="7"/>
      <c r="AN1448" s="13"/>
      <c r="AP1448" s="7"/>
      <c r="AQ1448" s="7"/>
      <c r="AR1448" s="7"/>
      <c r="AS1448" s="7"/>
      <c r="AT1448" s="7"/>
      <c r="AU1448" s="7"/>
    </row>
    <row r="1449" spans="7:47" ht="13.5" x14ac:dyDescent="0.25">
      <c r="G1449" s="7"/>
      <c r="P1449" s="7"/>
      <c r="Q1449" s="7"/>
      <c r="V1449" s="7"/>
      <c r="W1449" s="7"/>
      <c r="X1449" s="7"/>
      <c r="Y1449" s="7"/>
      <c r="Z1449" s="7"/>
      <c r="AA1449" s="7"/>
      <c r="AB1449" s="7"/>
      <c r="AC1449" s="7"/>
      <c r="AD1449" s="7"/>
      <c r="AE1449" s="154"/>
      <c r="AF1449" s="154"/>
      <c r="AH1449" s="7"/>
      <c r="AI1449" s="7"/>
      <c r="AJ1449" s="7"/>
      <c r="AL1449" s="154"/>
      <c r="AM1449" s="7"/>
      <c r="AN1449" s="13"/>
      <c r="AP1449" s="7"/>
      <c r="AQ1449" s="7"/>
      <c r="AR1449" s="7"/>
      <c r="AS1449" s="7"/>
      <c r="AT1449" s="7"/>
      <c r="AU1449" s="7"/>
    </row>
    <row r="1450" spans="7:47" ht="13.5" x14ac:dyDescent="0.25">
      <c r="G1450" s="7"/>
      <c r="P1450" s="7"/>
      <c r="Q1450" s="7"/>
      <c r="V1450" s="7"/>
      <c r="W1450" s="7"/>
      <c r="X1450" s="7"/>
      <c r="Y1450" s="7"/>
      <c r="Z1450" s="7"/>
      <c r="AA1450" s="7"/>
      <c r="AB1450" s="7"/>
      <c r="AC1450" s="7"/>
      <c r="AD1450" s="7"/>
      <c r="AE1450" s="154"/>
      <c r="AF1450" s="154"/>
      <c r="AH1450" s="7"/>
      <c r="AI1450" s="7"/>
      <c r="AJ1450" s="7"/>
      <c r="AL1450" s="154"/>
      <c r="AM1450" s="7"/>
      <c r="AN1450" s="13"/>
      <c r="AP1450" s="7"/>
      <c r="AQ1450" s="7"/>
      <c r="AR1450" s="7"/>
      <c r="AS1450" s="7"/>
      <c r="AT1450" s="7"/>
      <c r="AU1450" s="7"/>
    </row>
    <row r="1451" spans="7:47" ht="13.5" x14ac:dyDescent="0.25">
      <c r="G1451" s="7"/>
      <c r="P1451" s="7"/>
      <c r="Q1451" s="7"/>
      <c r="V1451" s="7"/>
      <c r="W1451" s="7"/>
      <c r="X1451" s="7"/>
      <c r="Y1451" s="7"/>
      <c r="Z1451" s="7"/>
      <c r="AA1451" s="7"/>
      <c r="AB1451" s="7"/>
      <c r="AC1451" s="7"/>
      <c r="AD1451" s="7"/>
      <c r="AE1451" s="154"/>
      <c r="AF1451" s="154"/>
      <c r="AH1451" s="7"/>
      <c r="AI1451" s="7"/>
      <c r="AJ1451" s="7"/>
      <c r="AL1451" s="154"/>
      <c r="AM1451" s="7"/>
      <c r="AN1451" s="13"/>
      <c r="AP1451" s="7"/>
      <c r="AQ1451" s="7"/>
      <c r="AR1451" s="7"/>
      <c r="AS1451" s="7"/>
      <c r="AT1451" s="7"/>
      <c r="AU1451" s="7"/>
    </row>
    <row r="1452" spans="7:47" ht="13.5" x14ac:dyDescent="0.25">
      <c r="G1452" s="7"/>
      <c r="P1452" s="7"/>
      <c r="Q1452" s="7"/>
      <c r="V1452" s="7"/>
      <c r="W1452" s="7"/>
      <c r="X1452" s="7"/>
      <c r="Y1452" s="7"/>
      <c r="Z1452" s="7"/>
      <c r="AA1452" s="7"/>
      <c r="AB1452" s="7"/>
      <c r="AC1452" s="7"/>
      <c r="AD1452" s="7"/>
      <c r="AE1452" s="154"/>
      <c r="AF1452" s="154"/>
      <c r="AH1452" s="7"/>
      <c r="AI1452" s="7"/>
      <c r="AJ1452" s="7"/>
      <c r="AL1452" s="154"/>
      <c r="AM1452" s="7"/>
      <c r="AN1452" s="13"/>
      <c r="AP1452" s="7"/>
      <c r="AQ1452" s="7"/>
      <c r="AR1452" s="7"/>
      <c r="AS1452" s="7"/>
      <c r="AT1452" s="7"/>
      <c r="AU1452" s="7"/>
    </row>
    <row r="1453" spans="7:47" ht="13.5" x14ac:dyDescent="0.25">
      <c r="G1453" s="7"/>
      <c r="P1453" s="7"/>
      <c r="Q1453" s="7"/>
      <c r="V1453" s="7"/>
      <c r="W1453" s="7"/>
      <c r="X1453" s="7"/>
      <c r="Y1453" s="7"/>
      <c r="Z1453" s="7"/>
      <c r="AA1453" s="7"/>
      <c r="AB1453" s="7"/>
      <c r="AC1453" s="7"/>
      <c r="AD1453" s="7"/>
      <c r="AE1453" s="154"/>
      <c r="AF1453" s="154"/>
      <c r="AH1453" s="7"/>
      <c r="AI1453" s="7"/>
      <c r="AJ1453" s="7"/>
      <c r="AL1453" s="154"/>
      <c r="AM1453" s="7"/>
      <c r="AN1453" s="13"/>
      <c r="AP1453" s="7"/>
      <c r="AQ1453" s="7"/>
      <c r="AR1453" s="7"/>
      <c r="AS1453" s="7"/>
      <c r="AT1453" s="7"/>
      <c r="AU1453" s="7"/>
    </row>
    <row r="1454" spans="7:47" ht="13.5" x14ac:dyDescent="0.25">
      <c r="G1454" s="7"/>
      <c r="P1454" s="7"/>
      <c r="Q1454" s="7"/>
      <c r="V1454" s="7"/>
      <c r="W1454" s="7"/>
      <c r="X1454" s="7"/>
      <c r="Y1454" s="7"/>
      <c r="Z1454" s="7"/>
      <c r="AA1454" s="7"/>
      <c r="AB1454" s="7"/>
      <c r="AC1454" s="7"/>
      <c r="AD1454" s="7"/>
      <c r="AE1454" s="154"/>
      <c r="AF1454" s="154"/>
      <c r="AH1454" s="7"/>
      <c r="AI1454" s="7"/>
      <c r="AJ1454" s="7"/>
      <c r="AL1454" s="154"/>
      <c r="AM1454" s="7"/>
      <c r="AN1454" s="13"/>
      <c r="AP1454" s="7"/>
      <c r="AQ1454" s="7"/>
      <c r="AR1454" s="7"/>
      <c r="AS1454" s="7"/>
      <c r="AT1454" s="7"/>
      <c r="AU1454" s="7"/>
    </row>
    <row r="1455" spans="7:47" ht="13.5" x14ac:dyDescent="0.25">
      <c r="G1455" s="7"/>
      <c r="P1455" s="7"/>
      <c r="Q1455" s="7"/>
      <c r="V1455" s="7"/>
      <c r="W1455" s="7"/>
      <c r="X1455" s="7"/>
      <c r="Y1455" s="7"/>
      <c r="Z1455" s="7"/>
      <c r="AA1455" s="7"/>
      <c r="AB1455" s="7"/>
      <c r="AC1455" s="7"/>
      <c r="AD1455" s="7"/>
      <c r="AE1455" s="154"/>
      <c r="AF1455" s="154"/>
      <c r="AH1455" s="7"/>
      <c r="AI1455" s="7"/>
      <c r="AJ1455" s="7"/>
      <c r="AL1455" s="154"/>
      <c r="AM1455" s="7"/>
      <c r="AN1455" s="13"/>
      <c r="AP1455" s="7"/>
      <c r="AQ1455" s="7"/>
      <c r="AR1455" s="7"/>
      <c r="AS1455" s="7"/>
      <c r="AT1455" s="7"/>
      <c r="AU1455" s="7"/>
    </row>
    <row r="1456" spans="7:47" ht="13.5" x14ac:dyDescent="0.25">
      <c r="G1456" s="7"/>
      <c r="P1456" s="7"/>
      <c r="Q1456" s="7"/>
      <c r="V1456" s="7"/>
      <c r="W1456" s="7"/>
      <c r="X1456" s="7"/>
      <c r="Y1456" s="7"/>
      <c r="Z1456" s="7"/>
      <c r="AA1456" s="7"/>
      <c r="AB1456" s="7"/>
      <c r="AC1456" s="7"/>
      <c r="AD1456" s="7"/>
      <c r="AE1456" s="154"/>
      <c r="AF1456" s="154"/>
      <c r="AH1456" s="7"/>
      <c r="AI1456" s="7"/>
      <c r="AJ1456" s="7"/>
      <c r="AL1456" s="154"/>
      <c r="AM1456" s="7"/>
      <c r="AN1456" s="13"/>
      <c r="AP1456" s="7"/>
      <c r="AQ1456" s="7"/>
      <c r="AR1456" s="7"/>
      <c r="AS1456" s="7"/>
      <c r="AT1456" s="7"/>
      <c r="AU1456" s="7"/>
    </row>
    <row r="1457" spans="7:47" ht="13.5" x14ac:dyDescent="0.25">
      <c r="G1457" s="7"/>
      <c r="P1457" s="7"/>
      <c r="Q1457" s="7"/>
      <c r="V1457" s="7"/>
      <c r="W1457" s="7"/>
      <c r="X1457" s="7"/>
      <c r="Y1457" s="7"/>
      <c r="Z1457" s="7"/>
      <c r="AA1457" s="7"/>
      <c r="AB1457" s="7"/>
      <c r="AC1457" s="7"/>
      <c r="AD1457" s="7"/>
      <c r="AE1457" s="154"/>
      <c r="AF1457" s="154"/>
      <c r="AH1457" s="7"/>
      <c r="AI1457" s="7"/>
      <c r="AJ1457" s="7"/>
      <c r="AL1457" s="154"/>
      <c r="AM1457" s="7"/>
      <c r="AN1457" s="13"/>
      <c r="AP1457" s="7"/>
      <c r="AQ1457" s="7"/>
      <c r="AR1457" s="7"/>
      <c r="AS1457" s="7"/>
      <c r="AT1457" s="7"/>
      <c r="AU1457" s="7"/>
    </row>
    <row r="1458" spans="7:47" ht="13.5" x14ac:dyDescent="0.25">
      <c r="G1458" s="7"/>
      <c r="P1458" s="7"/>
      <c r="Q1458" s="7"/>
      <c r="V1458" s="7"/>
      <c r="W1458" s="7"/>
      <c r="X1458" s="7"/>
      <c r="Y1458" s="7"/>
      <c r="Z1458" s="7"/>
      <c r="AA1458" s="7"/>
      <c r="AB1458" s="7"/>
      <c r="AC1458" s="7"/>
      <c r="AD1458" s="7"/>
      <c r="AE1458" s="154"/>
      <c r="AF1458" s="154"/>
      <c r="AH1458" s="7"/>
      <c r="AI1458" s="7"/>
      <c r="AJ1458" s="7"/>
      <c r="AL1458" s="154"/>
      <c r="AM1458" s="7"/>
      <c r="AN1458" s="13"/>
      <c r="AP1458" s="7"/>
      <c r="AQ1458" s="7"/>
      <c r="AR1458" s="7"/>
      <c r="AS1458" s="7"/>
      <c r="AT1458" s="7"/>
      <c r="AU1458" s="7"/>
    </row>
    <row r="1459" spans="7:47" ht="13.5" x14ac:dyDescent="0.25">
      <c r="G1459" s="7"/>
      <c r="P1459" s="7"/>
      <c r="Q1459" s="7"/>
      <c r="V1459" s="7"/>
      <c r="W1459" s="7"/>
      <c r="X1459" s="7"/>
      <c r="Y1459" s="7"/>
      <c r="Z1459" s="7"/>
      <c r="AA1459" s="7"/>
      <c r="AB1459" s="7"/>
      <c r="AC1459" s="7"/>
      <c r="AD1459" s="7"/>
      <c r="AE1459" s="154"/>
      <c r="AF1459" s="154"/>
      <c r="AH1459" s="7"/>
      <c r="AI1459" s="7"/>
      <c r="AJ1459" s="7"/>
      <c r="AL1459" s="154"/>
      <c r="AM1459" s="7"/>
      <c r="AN1459" s="13"/>
      <c r="AP1459" s="7"/>
      <c r="AQ1459" s="7"/>
      <c r="AR1459" s="7"/>
      <c r="AS1459" s="7"/>
      <c r="AT1459" s="7"/>
      <c r="AU1459" s="7"/>
    </row>
    <row r="1460" spans="7:47" ht="13.5" x14ac:dyDescent="0.25">
      <c r="G1460" s="7"/>
      <c r="P1460" s="7"/>
      <c r="Q1460" s="7"/>
      <c r="V1460" s="7"/>
      <c r="W1460" s="7"/>
      <c r="X1460" s="7"/>
      <c r="Y1460" s="7"/>
      <c r="Z1460" s="7"/>
      <c r="AA1460" s="7"/>
      <c r="AB1460" s="7"/>
      <c r="AC1460" s="7"/>
      <c r="AD1460" s="7"/>
      <c r="AE1460" s="154"/>
      <c r="AF1460" s="154"/>
      <c r="AH1460" s="7"/>
      <c r="AI1460" s="7"/>
      <c r="AJ1460" s="7"/>
      <c r="AL1460" s="154"/>
      <c r="AM1460" s="7"/>
      <c r="AN1460" s="13"/>
      <c r="AP1460" s="7"/>
      <c r="AQ1460" s="7"/>
      <c r="AR1460" s="7"/>
      <c r="AS1460" s="7"/>
      <c r="AT1460" s="7"/>
      <c r="AU1460" s="7"/>
    </row>
    <row r="1461" spans="7:47" ht="13.5" x14ac:dyDescent="0.25">
      <c r="G1461" s="7"/>
      <c r="P1461" s="7"/>
      <c r="Q1461" s="7"/>
      <c r="V1461" s="7"/>
      <c r="W1461" s="7"/>
      <c r="X1461" s="7"/>
      <c r="Y1461" s="7"/>
      <c r="Z1461" s="7"/>
      <c r="AA1461" s="7"/>
      <c r="AB1461" s="7"/>
      <c r="AC1461" s="7"/>
      <c r="AD1461" s="7"/>
      <c r="AE1461" s="154"/>
      <c r="AF1461" s="154"/>
      <c r="AH1461" s="7"/>
      <c r="AI1461" s="7"/>
      <c r="AJ1461" s="7"/>
      <c r="AL1461" s="154"/>
      <c r="AM1461" s="7"/>
      <c r="AN1461" s="13"/>
      <c r="AP1461" s="7"/>
      <c r="AQ1461" s="7"/>
      <c r="AR1461" s="7"/>
      <c r="AS1461" s="7"/>
      <c r="AT1461" s="7"/>
      <c r="AU1461" s="7"/>
    </row>
    <row r="1462" spans="7:47" ht="13.5" x14ac:dyDescent="0.25">
      <c r="G1462" s="7"/>
      <c r="P1462" s="7"/>
      <c r="Q1462" s="7"/>
      <c r="V1462" s="7"/>
      <c r="W1462" s="7"/>
      <c r="X1462" s="7"/>
      <c r="Y1462" s="7"/>
      <c r="Z1462" s="7"/>
      <c r="AA1462" s="7"/>
      <c r="AB1462" s="7"/>
      <c r="AC1462" s="7"/>
      <c r="AD1462" s="7"/>
      <c r="AE1462" s="154"/>
      <c r="AF1462" s="154"/>
      <c r="AH1462" s="7"/>
      <c r="AI1462" s="7"/>
      <c r="AJ1462" s="7"/>
      <c r="AL1462" s="154"/>
      <c r="AM1462" s="7"/>
      <c r="AN1462" s="13"/>
      <c r="AP1462" s="7"/>
      <c r="AQ1462" s="7"/>
      <c r="AR1462" s="7"/>
      <c r="AS1462" s="7"/>
      <c r="AT1462" s="7"/>
      <c r="AU1462" s="7"/>
    </row>
    <row r="1463" spans="7:47" ht="13.5" x14ac:dyDescent="0.25">
      <c r="G1463" s="7"/>
      <c r="P1463" s="7"/>
      <c r="Q1463" s="7"/>
      <c r="V1463" s="7"/>
      <c r="W1463" s="7"/>
      <c r="X1463" s="7"/>
      <c r="Y1463" s="7"/>
      <c r="Z1463" s="7"/>
      <c r="AA1463" s="7"/>
      <c r="AB1463" s="7"/>
      <c r="AC1463" s="7"/>
      <c r="AD1463" s="7"/>
      <c r="AE1463" s="154"/>
      <c r="AF1463" s="154"/>
      <c r="AH1463" s="7"/>
      <c r="AI1463" s="7"/>
      <c r="AJ1463" s="7"/>
      <c r="AL1463" s="154"/>
      <c r="AM1463" s="7"/>
      <c r="AN1463" s="13"/>
      <c r="AP1463" s="7"/>
      <c r="AQ1463" s="7"/>
      <c r="AR1463" s="7"/>
      <c r="AS1463" s="7"/>
      <c r="AT1463" s="7"/>
      <c r="AU1463" s="7"/>
    </row>
    <row r="1464" spans="7:47" ht="13.5" x14ac:dyDescent="0.25">
      <c r="G1464" s="7"/>
      <c r="P1464" s="7"/>
      <c r="Q1464" s="7"/>
      <c r="V1464" s="7"/>
      <c r="W1464" s="7"/>
      <c r="X1464" s="7"/>
      <c r="Y1464" s="7"/>
      <c r="Z1464" s="7"/>
      <c r="AA1464" s="7"/>
      <c r="AB1464" s="7"/>
      <c r="AC1464" s="7"/>
      <c r="AD1464" s="7"/>
      <c r="AE1464" s="154"/>
      <c r="AF1464" s="154"/>
      <c r="AH1464" s="7"/>
      <c r="AI1464" s="7"/>
      <c r="AJ1464" s="7"/>
      <c r="AL1464" s="154"/>
      <c r="AM1464" s="7"/>
      <c r="AN1464" s="13"/>
      <c r="AP1464" s="7"/>
      <c r="AQ1464" s="7"/>
      <c r="AR1464" s="7"/>
      <c r="AS1464" s="7"/>
      <c r="AT1464" s="7"/>
      <c r="AU1464" s="7"/>
    </row>
    <row r="1465" spans="7:47" ht="13.5" x14ac:dyDescent="0.25">
      <c r="G1465" s="7"/>
      <c r="P1465" s="7"/>
      <c r="Q1465" s="7"/>
      <c r="V1465" s="7"/>
      <c r="W1465" s="7"/>
      <c r="X1465" s="7"/>
      <c r="Y1465" s="7"/>
      <c r="Z1465" s="7"/>
      <c r="AA1465" s="7"/>
      <c r="AB1465" s="7"/>
      <c r="AC1465" s="7"/>
      <c r="AD1465" s="7"/>
      <c r="AE1465" s="154"/>
      <c r="AF1465" s="154"/>
      <c r="AH1465" s="7"/>
      <c r="AI1465" s="7"/>
      <c r="AJ1465" s="7"/>
      <c r="AL1465" s="154"/>
      <c r="AM1465" s="7"/>
      <c r="AN1465" s="13"/>
      <c r="AP1465" s="7"/>
      <c r="AQ1465" s="7"/>
      <c r="AR1465" s="7"/>
      <c r="AS1465" s="7"/>
      <c r="AT1465" s="7"/>
      <c r="AU1465" s="7"/>
    </row>
    <row r="1466" spans="7:47" ht="13.5" x14ac:dyDescent="0.25">
      <c r="G1466" s="7"/>
      <c r="P1466" s="7"/>
      <c r="Q1466" s="7"/>
      <c r="V1466" s="7"/>
      <c r="W1466" s="7"/>
      <c r="X1466" s="7"/>
      <c r="Y1466" s="7"/>
      <c r="Z1466" s="7"/>
      <c r="AA1466" s="7"/>
      <c r="AB1466" s="7"/>
      <c r="AC1466" s="7"/>
      <c r="AD1466" s="7"/>
      <c r="AE1466" s="154"/>
      <c r="AF1466" s="154"/>
      <c r="AH1466" s="7"/>
      <c r="AI1466" s="7"/>
      <c r="AJ1466" s="7"/>
      <c r="AL1466" s="154"/>
      <c r="AM1466" s="7"/>
      <c r="AN1466" s="13"/>
      <c r="AP1466" s="7"/>
      <c r="AQ1466" s="7"/>
      <c r="AR1466" s="7"/>
      <c r="AS1466" s="7"/>
      <c r="AT1466" s="7"/>
      <c r="AU1466" s="7"/>
    </row>
    <row r="1467" spans="7:47" ht="13.5" x14ac:dyDescent="0.25">
      <c r="G1467" s="7"/>
      <c r="P1467" s="7"/>
      <c r="Q1467" s="7"/>
      <c r="V1467" s="7"/>
      <c r="W1467" s="7"/>
      <c r="X1467" s="7"/>
      <c r="Y1467" s="7"/>
      <c r="Z1467" s="7"/>
      <c r="AA1467" s="7"/>
      <c r="AB1467" s="7"/>
      <c r="AC1467" s="7"/>
      <c r="AD1467" s="7"/>
      <c r="AE1467" s="154"/>
      <c r="AF1467" s="154"/>
      <c r="AH1467" s="7"/>
      <c r="AI1467" s="7"/>
      <c r="AJ1467" s="7"/>
      <c r="AL1467" s="154"/>
      <c r="AM1467" s="7"/>
      <c r="AN1467" s="13"/>
      <c r="AP1467" s="7"/>
      <c r="AQ1467" s="7"/>
      <c r="AR1467" s="7"/>
      <c r="AS1467" s="7"/>
      <c r="AT1467" s="7"/>
      <c r="AU1467" s="7"/>
    </row>
    <row r="1468" spans="7:47" ht="13.5" x14ac:dyDescent="0.25">
      <c r="G1468" s="7"/>
      <c r="P1468" s="7"/>
      <c r="Q1468" s="7"/>
      <c r="V1468" s="7"/>
      <c r="W1468" s="7"/>
      <c r="X1468" s="7"/>
      <c r="Y1468" s="7"/>
      <c r="Z1468" s="7"/>
      <c r="AA1468" s="7"/>
      <c r="AB1468" s="7"/>
      <c r="AC1468" s="7"/>
      <c r="AD1468" s="7"/>
      <c r="AE1468" s="154"/>
      <c r="AF1468" s="154"/>
      <c r="AH1468" s="7"/>
      <c r="AI1468" s="7"/>
      <c r="AJ1468" s="7"/>
      <c r="AL1468" s="154"/>
      <c r="AM1468" s="7"/>
      <c r="AN1468" s="13"/>
      <c r="AP1468" s="7"/>
      <c r="AQ1468" s="7"/>
      <c r="AR1468" s="7"/>
      <c r="AS1468" s="7"/>
      <c r="AT1468" s="7"/>
      <c r="AU1468" s="7"/>
    </row>
    <row r="1469" spans="7:47" ht="13.5" x14ac:dyDescent="0.25">
      <c r="G1469" s="7"/>
      <c r="P1469" s="7"/>
      <c r="Q1469" s="7"/>
      <c r="V1469" s="7"/>
      <c r="W1469" s="7"/>
      <c r="X1469" s="7"/>
      <c r="Y1469" s="7"/>
      <c r="Z1469" s="7"/>
      <c r="AA1469" s="7"/>
      <c r="AB1469" s="7"/>
      <c r="AC1469" s="7"/>
      <c r="AD1469" s="7"/>
      <c r="AE1469" s="154"/>
      <c r="AF1469" s="154"/>
      <c r="AH1469" s="7"/>
      <c r="AI1469" s="7"/>
      <c r="AJ1469" s="7"/>
      <c r="AL1469" s="154"/>
      <c r="AM1469" s="7"/>
      <c r="AN1469" s="13"/>
      <c r="AP1469" s="7"/>
      <c r="AQ1469" s="7"/>
      <c r="AR1469" s="7"/>
      <c r="AS1469" s="7"/>
      <c r="AT1469" s="7"/>
      <c r="AU1469" s="7"/>
    </row>
    <row r="1470" spans="7:47" ht="13.5" x14ac:dyDescent="0.25">
      <c r="G1470" s="7"/>
      <c r="P1470" s="7"/>
      <c r="Q1470" s="7"/>
      <c r="V1470" s="7"/>
      <c r="W1470" s="7"/>
      <c r="X1470" s="7"/>
      <c r="Y1470" s="7"/>
      <c r="Z1470" s="7"/>
      <c r="AA1470" s="7"/>
      <c r="AB1470" s="7"/>
      <c r="AC1470" s="7"/>
      <c r="AD1470" s="7"/>
      <c r="AE1470" s="154"/>
      <c r="AF1470" s="154"/>
      <c r="AH1470" s="7"/>
      <c r="AI1470" s="7"/>
      <c r="AJ1470" s="7"/>
      <c r="AL1470" s="154"/>
      <c r="AM1470" s="7"/>
      <c r="AN1470" s="13"/>
      <c r="AP1470" s="7"/>
      <c r="AQ1470" s="7"/>
      <c r="AR1470" s="7"/>
      <c r="AS1470" s="7"/>
      <c r="AT1470" s="7"/>
      <c r="AU1470" s="7"/>
    </row>
    <row r="1471" spans="7:47" ht="13.5" x14ac:dyDescent="0.25">
      <c r="G1471" s="7"/>
      <c r="P1471" s="7"/>
      <c r="Q1471" s="7"/>
      <c r="V1471" s="7"/>
      <c r="W1471" s="7"/>
      <c r="X1471" s="7"/>
      <c r="Y1471" s="7"/>
      <c r="Z1471" s="7"/>
      <c r="AA1471" s="7"/>
      <c r="AB1471" s="7"/>
      <c r="AC1471" s="7"/>
      <c r="AD1471" s="7"/>
      <c r="AE1471" s="154"/>
      <c r="AF1471" s="154"/>
      <c r="AH1471" s="7"/>
      <c r="AI1471" s="7"/>
      <c r="AJ1471" s="7"/>
      <c r="AL1471" s="154"/>
      <c r="AM1471" s="7"/>
      <c r="AN1471" s="13"/>
      <c r="AP1471" s="7"/>
      <c r="AQ1471" s="7"/>
      <c r="AR1471" s="7"/>
      <c r="AS1471" s="7"/>
      <c r="AT1471" s="7"/>
      <c r="AU1471" s="7"/>
    </row>
    <row r="1472" spans="7:47" ht="13.5" x14ac:dyDescent="0.25">
      <c r="G1472" s="7"/>
      <c r="P1472" s="7"/>
      <c r="Q1472" s="7"/>
      <c r="V1472" s="7"/>
      <c r="W1472" s="7"/>
      <c r="X1472" s="7"/>
      <c r="Y1472" s="7"/>
      <c r="Z1472" s="7"/>
      <c r="AA1472" s="7"/>
      <c r="AB1472" s="7"/>
      <c r="AC1472" s="7"/>
      <c r="AD1472" s="7"/>
      <c r="AE1472" s="154"/>
      <c r="AF1472" s="154"/>
      <c r="AH1472" s="7"/>
      <c r="AI1472" s="7"/>
      <c r="AJ1472" s="7"/>
      <c r="AL1472" s="154"/>
      <c r="AM1472" s="7"/>
      <c r="AN1472" s="13"/>
      <c r="AP1472" s="7"/>
      <c r="AQ1472" s="7"/>
      <c r="AR1472" s="7"/>
      <c r="AS1472" s="7"/>
      <c r="AT1472" s="7"/>
      <c r="AU1472" s="7"/>
    </row>
    <row r="1473" spans="7:47" ht="13.5" x14ac:dyDescent="0.25">
      <c r="G1473" s="7"/>
      <c r="P1473" s="7"/>
      <c r="Q1473" s="7"/>
      <c r="V1473" s="7"/>
      <c r="W1473" s="7"/>
      <c r="X1473" s="7"/>
      <c r="Y1473" s="7"/>
      <c r="Z1473" s="7"/>
      <c r="AA1473" s="7"/>
      <c r="AB1473" s="7"/>
      <c r="AC1473" s="7"/>
      <c r="AD1473" s="7"/>
      <c r="AE1473" s="154"/>
      <c r="AF1473" s="154"/>
      <c r="AH1473" s="7"/>
      <c r="AI1473" s="7"/>
      <c r="AJ1473" s="7"/>
      <c r="AL1473" s="154"/>
      <c r="AM1473" s="7"/>
      <c r="AN1473" s="13"/>
      <c r="AP1473" s="7"/>
      <c r="AQ1473" s="7"/>
      <c r="AR1473" s="7"/>
      <c r="AS1473" s="7"/>
      <c r="AT1473" s="7"/>
      <c r="AU1473" s="7"/>
    </row>
    <row r="1474" spans="7:47" ht="13.5" x14ac:dyDescent="0.25">
      <c r="G1474" s="7"/>
      <c r="P1474" s="7"/>
      <c r="Q1474" s="7"/>
      <c r="V1474" s="7"/>
      <c r="W1474" s="7"/>
      <c r="X1474" s="7"/>
      <c r="Y1474" s="7"/>
      <c r="Z1474" s="7"/>
      <c r="AA1474" s="7"/>
      <c r="AB1474" s="7"/>
      <c r="AC1474" s="7"/>
      <c r="AD1474" s="7"/>
      <c r="AE1474" s="154"/>
      <c r="AF1474" s="154"/>
      <c r="AH1474" s="7"/>
      <c r="AI1474" s="7"/>
      <c r="AJ1474" s="7"/>
      <c r="AL1474" s="154"/>
      <c r="AM1474" s="7"/>
      <c r="AN1474" s="13"/>
      <c r="AP1474" s="7"/>
      <c r="AQ1474" s="7"/>
      <c r="AR1474" s="7"/>
      <c r="AS1474" s="7"/>
      <c r="AT1474" s="7"/>
      <c r="AU1474" s="7"/>
    </row>
    <row r="1475" spans="7:47" ht="13.5" x14ac:dyDescent="0.25">
      <c r="G1475" s="7"/>
      <c r="P1475" s="7"/>
      <c r="Q1475" s="7"/>
      <c r="V1475" s="7"/>
      <c r="W1475" s="7"/>
      <c r="X1475" s="7"/>
      <c r="Y1475" s="7"/>
      <c r="Z1475" s="7"/>
      <c r="AA1475" s="7"/>
      <c r="AB1475" s="7"/>
      <c r="AC1475" s="7"/>
      <c r="AD1475" s="7"/>
      <c r="AE1475" s="154"/>
      <c r="AF1475" s="154"/>
      <c r="AH1475" s="7"/>
      <c r="AI1475" s="7"/>
      <c r="AJ1475" s="7"/>
      <c r="AL1475" s="154"/>
      <c r="AM1475" s="7"/>
      <c r="AN1475" s="13"/>
      <c r="AP1475" s="7"/>
      <c r="AQ1475" s="7"/>
      <c r="AR1475" s="7"/>
      <c r="AS1475" s="7"/>
      <c r="AT1475" s="7"/>
      <c r="AU1475" s="7"/>
    </row>
    <row r="1476" spans="7:47" ht="13.5" x14ac:dyDescent="0.25">
      <c r="G1476" s="7"/>
      <c r="P1476" s="7"/>
      <c r="Q1476" s="7"/>
      <c r="V1476" s="7"/>
      <c r="W1476" s="7"/>
      <c r="X1476" s="7"/>
      <c r="Y1476" s="7"/>
      <c r="Z1476" s="7"/>
      <c r="AA1476" s="7"/>
      <c r="AB1476" s="7"/>
      <c r="AC1476" s="7"/>
      <c r="AD1476" s="7"/>
      <c r="AE1476" s="154"/>
      <c r="AF1476" s="154"/>
      <c r="AH1476" s="7"/>
      <c r="AI1476" s="7"/>
      <c r="AJ1476" s="7"/>
      <c r="AL1476" s="154"/>
      <c r="AM1476" s="7"/>
      <c r="AN1476" s="13"/>
      <c r="AP1476" s="7"/>
      <c r="AQ1476" s="7"/>
      <c r="AR1476" s="7"/>
      <c r="AS1476" s="7"/>
      <c r="AT1476" s="7"/>
      <c r="AU1476" s="7"/>
    </row>
    <row r="1477" spans="7:47" ht="13.5" x14ac:dyDescent="0.25">
      <c r="G1477" s="7"/>
      <c r="P1477" s="7"/>
      <c r="Q1477" s="7"/>
      <c r="V1477" s="7"/>
      <c r="W1477" s="7"/>
      <c r="X1477" s="7"/>
      <c r="Y1477" s="7"/>
      <c r="Z1477" s="7"/>
      <c r="AA1477" s="7"/>
      <c r="AB1477" s="7"/>
      <c r="AC1477" s="7"/>
      <c r="AD1477" s="7"/>
      <c r="AE1477" s="154"/>
      <c r="AF1477" s="154"/>
      <c r="AH1477" s="7"/>
      <c r="AI1477" s="7"/>
      <c r="AJ1477" s="7"/>
      <c r="AL1477" s="154"/>
      <c r="AM1477" s="7"/>
      <c r="AN1477" s="13"/>
      <c r="AP1477" s="7"/>
      <c r="AQ1477" s="7"/>
      <c r="AR1477" s="7"/>
      <c r="AS1477" s="7"/>
      <c r="AT1477" s="7"/>
      <c r="AU1477" s="7"/>
    </row>
    <row r="1478" spans="7:47" ht="13.5" x14ac:dyDescent="0.25">
      <c r="G1478" s="7"/>
      <c r="P1478" s="7"/>
      <c r="Q1478" s="7"/>
      <c r="V1478" s="7"/>
      <c r="W1478" s="7"/>
      <c r="X1478" s="7"/>
      <c r="Y1478" s="7"/>
      <c r="Z1478" s="7"/>
      <c r="AA1478" s="7"/>
      <c r="AB1478" s="7"/>
      <c r="AC1478" s="7"/>
      <c r="AD1478" s="7"/>
      <c r="AE1478" s="154"/>
      <c r="AF1478" s="154"/>
      <c r="AH1478" s="7"/>
      <c r="AI1478" s="7"/>
      <c r="AJ1478" s="7"/>
      <c r="AL1478" s="154"/>
      <c r="AM1478" s="7"/>
      <c r="AN1478" s="13"/>
      <c r="AP1478" s="7"/>
      <c r="AQ1478" s="7"/>
      <c r="AR1478" s="7"/>
      <c r="AS1478" s="7"/>
      <c r="AT1478" s="7"/>
      <c r="AU1478" s="7"/>
    </row>
    <row r="1479" spans="7:47" ht="13.5" x14ac:dyDescent="0.25">
      <c r="G1479" s="7"/>
      <c r="P1479" s="7"/>
      <c r="Q1479" s="7"/>
      <c r="V1479" s="7"/>
      <c r="W1479" s="7"/>
      <c r="X1479" s="7"/>
      <c r="Y1479" s="7"/>
      <c r="Z1479" s="7"/>
      <c r="AA1479" s="7"/>
      <c r="AB1479" s="7"/>
      <c r="AC1479" s="7"/>
      <c r="AD1479" s="7"/>
      <c r="AE1479" s="154"/>
      <c r="AF1479" s="154"/>
      <c r="AH1479" s="7"/>
      <c r="AI1479" s="7"/>
      <c r="AJ1479" s="7"/>
      <c r="AL1479" s="154"/>
      <c r="AM1479" s="7"/>
      <c r="AN1479" s="13"/>
      <c r="AP1479" s="7"/>
      <c r="AQ1479" s="7"/>
      <c r="AR1479" s="7"/>
      <c r="AS1479" s="7"/>
      <c r="AT1479" s="7"/>
      <c r="AU1479" s="7"/>
    </row>
    <row r="1480" spans="7:47" ht="13.5" x14ac:dyDescent="0.25">
      <c r="G1480" s="7"/>
      <c r="P1480" s="7"/>
      <c r="Q1480" s="7"/>
      <c r="V1480" s="7"/>
      <c r="W1480" s="7"/>
      <c r="X1480" s="7"/>
      <c r="Y1480" s="7"/>
      <c r="Z1480" s="7"/>
      <c r="AA1480" s="7"/>
      <c r="AB1480" s="7"/>
      <c r="AC1480" s="7"/>
      <c r="AD1480" s="7"/>
      <c r="AE1480" s="154"/>
      <c r="AF1480" s="154"/>
      <c r="AH1480" s="7"/>
      <c r="AI1480" s="7"/>
      <c r="AJ1480" s="7"/>
      <c r="AL1480" s="154"/>
      <c r="AM1480" s="7"/>
      <c r="AN1480" s="13"/>
      <c r="AP1480" s="7"/>
      <c r="AQ1480" s="7"/>
      <c r="AR1480" s="7"/>
      <c r="AS1480" s="7"/>
      <c r="AT1480" s="7"/>
      <c r="AU1480" s="7"/>
    </row>
    <row r="1481" spans="7:47" ht="13.5" x14ac:dyDescent="0.25">
      <c r="G1481" s="7"/>
      <c r="P1481" s="7"/>
      <c r="Q1481" s="7"/>
      <c r="V1481" s="7"/>
      <c r="W1481" s="7"/>
      <c r="X1481" s="7"/>
      <c r="Y1481" s="7"/>
      <c r="Z1481" s="7"/>
      <c r="AA1481" s="7"/>
      <c r="AB1481" s="7"/>
      <c r="AC1481" s="7"/>
      <c r="AD1481" s="7"/>
      <c r="AE1481" s="154"/>
      <c r="AF1481" s="154"/>
      <c r="AH1481" s="7"/>
      <c r="AI1481" s="7"/>
      <c r="AJ1481" s="7"/>
      <c r="AL1481" s="154"/>
      <c r="AM1481" s="7"/>
      <c r="AN1481" s="13"/>
      <c r="AP1481" s="7"/>
      <c r="AQ1481" s="7"/>
      <c r="AR1481" s="7"/>
      <c r="AS1481" s="7"/>
      <c r="AT1481" s="7"/>
      <c r="AU1481" s="7"/>
    </row>
    <row r="1482" spans="7:47" ht="13.5" x14ac:dyDescent="0.25">
      <c r="G1482" s="7"/>
      <c r="P1482" s="7"/>
      <c r="Q1482" s="7"/>
      <c r="V1482" s="7"/>
      <c r="W1482" s="7"/>
      <c r="X1482" s="7"/>
      <c r="Y1482" s="7"/>
      <c r="Z1482" s="7"/>
      <c r="AA1482" s="7"/>
      <c r="AB1482" s="7"/>
      <c r="AC1482" s="7"/>
      <c r="AD1482" s="7"/>
      <c r="AE1482" s="154"/>
      <c r="AF1482" s="154"/>
      <c r="AH1482" s="7"/>
      <c r="AI1482" s="7"/>
      <c r="AJ1482" s="7"/>
      <c r="AL1482" s="154"/>
      <c r="AM1482" s="7"/>
      <c r="AN1482" s="13"/>
      <c r="AP1482" s="7"/>
      <c r="AQ1482" s="7"/>
      <c r="AR1482" s="7"/>
      <c r="AS1482" s="7"/>
      <c r="AT1482" s="7"/>
      <c r="AU1482" s="7"/>
    </row>
    <row r="1483" spans="7:47" ht="13.5" x14ac:dyDescent="0.25">
      <c r="G1483" s="7"/>
      <c r="P1483" s="7"/>
      <c r="Q1483" s="7"/>
      <c r="V1483" s="7"/>
      <c r="W1483" s="7"/>
      <c r="X1483" s="7"/>
      <c r="Y1483" s="7"/>
      <c r="Z1483" s="7"/>
      <c r="AA1483" s="7"/>
      <c r="AB1483" s="7"/>
      <c r="AC1483" s="7"/>
      <c r="AD1483" s="7"/>
      <c r="AE1483" s="154"/>
      <c r="AF1483" s="154"/>
      <c r="AH1483" s="7"/>
      <c r="AI1483" s="7"/>
      <c r="AJ1483" s="7"/>
      <c r="AL1483" s="154"/>
      <c r="AM1483" s="7"/>
      <c r="AN1483" s="13"/>
      <c r="AP1483" s="7"/>
      <c r="AQ1483" s="7"/>
      <c r="AR1483" s="7"/>
      <c r="AS1483" s="7"/>
      <c r="AT1483" s="7"/>
      <c r="AU1483" s="7"/>
    </row>
    <row r="1484" spans="7:47" ht="13.5" x14ac:dyDescent="0.25">
      <c r="G1484" s="7"/>
      <c r="P1484" s="7"/>
      <c r="Q1484" s="7"/>
      <c r="V1484" s="7"/>
      <c r="W1484" s="7"/>
      <c r="X1484" s="7"/>
      <c r="Y1484" s="7"/>
      <c r="Z1484" s="7"/>
      <c r="AA1484" s="7"/>
      <c r="AB1484" s="7"/>
      <c r="AC1484" s="7"/>
      <c r="AD1484" s="7"/>
      <c r="AE1484" s="154"/>
      <c r="AF1484" s="154"/>
      <c r="AH1484" s="7"/>
      <c r="AI1484" s="7"/>
      <c r="AJ1484" s="7"/>
      <c r="AL1484" s="154"/>
      <c r="AM1484" s="7"/>
      <c r="AN1484" s="13"/>
      <c r="AP1484" s="7"/>
      <c r="AQ1484" s="7"/>
      <c r="AR1484" s="7"/>
      <c r="AS1484" s="7"/>
      <c r="AT1484" s="7"/>
      <c r="AU1484" s="7"/>
    </row>
    <row r="1485" spans="7:47" ht="13.5" x14ac:dyDescent="0.25">
      <c r="G1485" s="7"/>
      <c r="P1485" s="7"/>
      <c r="Q1485" s="7"/>
      <c r="V1485" s="7"/>
      <c r="W1485" s="7"/>
      <c r="X1485" s="7"/>
      <c r="Y1485" s="7"/>
      <c r="Z1485" s="7"/>
      <c r="AA1485" s="7"/>
      <c r="AB1485" s="7"/>
      <c r="AC1485" s="7"/>
      <c r="AD1485" s="7"/>
      <c r="AE1485" s="154"/>
      <c r="AF1485" s="154"/>
      <c r="AH1485" s="7"/>
      <c r="AI1485" s="7"/>
      <c r="AJ1485" s="7"/>
      <c r="AL1485" s="154"/>
      <c r="AM1485" s="7"/>
      <c r="AN1485" s="13"/>
      <c r="AP1485" s="7"/>
      <c r="AQ1485" s="7"/>
      <c r="AR1485" s="7"/>
      <c r="AS1485" s="7"/>
      <c r="AT1485" s="7"/>
      <c r="AU1485" s="7"/>
    </row>
    <row r="1486" spans="7:47" x14ac:dyDescent="0.3">
      <c r="G1486" s="7"/>
      <c r="P1486" s="7"/>
      <c r="Q1486" s="7"/>
      <c r="V1486" s="7"/>
      <c r="W1486" s="7"/>
      <c r="X1486" s="7"/>
      <c r="Y1486" s="7"/>
      <c r="Z1486" s="7"/>
      <c r="AA1486" s="7"/>
      <c r="AB1486" s="7"/>
      <c r="AC1486" s="7"/>
      <c r="AD1486" s="7"/>
      <c r="AE1486" s="154"/>
      <c r="AF1486" s="154"/>
      <c r="AH1486" s="7"/>
      <c r="AI1486" s="7"/>
      <c r="AJ1486" s="7"/>
      <c r="AL1486" s="154"/>
      <c r="AM1486" s="7"/>
      <c r="AN1486" s="13"/>
      <c r="AP1486" s="7"/>
      <c r="AR1486" s="7"/>
      <c r="AS1486" s="7"/>
      <c r="AT1486" s="7"/>
      <c r="AU1486" s="7"/>
    </row>
    <row r="1487" spans="7:47" x14ac:dyDescent="0.3">
      <c r="G1487" s="7"/>
      <c r="P1487" s="7"/>
      <c r="Q1487" s="7"/>
      <c r="V1487" s="7"/>
      <c r="W1487" s="7"/>
      <c r="X1487" s="7"/>
      <c r="Y1487" s="7"/>
      <c r="Z1487" s="7"/>
      <c r="AA1487" s="7"/>
      <c r="AB1487" s="7"/>
      <c r="AC1487" s="7"/>
      <c r="AD1487" s="7"/>
      <c r="AE1487" s="154"/>
      <c r="AF1487" s="154"/>
      <c r="AH1487" s="7"/>
      <c r="AI1487" s="7"/>
      <c r="AJ1487" s="7"/>
      <c r="AL1487" s="154"/>
      <c r="AM1487" s="7"/>
      <c r="AN1487" s="13"/>
      <c r="AP1487" s="7"/>
      <c r="AR1487" s="7"/>
      <c r="AS1487" s="7"/>
      <c r="AT1487" s="7"/>
      <c r="AU1487" s="7"/>
    </row>
    <row r="1488" spans="7:47" x14ac:dyDescent="0.3">
      <c r="G1488" s="7"/>
      <c r="P1488" s="7"/>
      <c r="Q1488" s="7"/>
      <c r="V1488" s="7"/>
      <c r="W1488" s="7"/>
      <c r="X1488" s="7"/>
      <c r="Y1488" s="7"/>
      <c r="Z1488" s="7"/>
      <c r="AA1488" s="7"/>
      <c r="AB1488" s="7"/>
      <c r="AC1488" s="7"/>
      <c r="AD1488" s="7"/>
      <c r="AE1488" s="154"/>
      <c r="AF1488" s="154"/>
      <c r="AH1488" s="7"/>
      <c r="AI1488" s="7"/>
      <c r="AJ1488" s="7"/>
      <c r="AL1488" s="154"/>
      <c r="AM1488" s="7"/>
      <c r="AN1488" s="13"/>
      <c r="AP1488" s="7"/>
      <c r="AR1488" s="7"/>
      <c r="AS1488" s="7"/>
      <c r="AT1488" s="7"/>
      <c r="AU1488" s="7"/>
    </row>
    <row r="1489" spans="7:47" x14ac:dyDescent="0.3">
      <c r="G1489" s="7"/>
      <c r="P1489" s="7"/>
      <c r="Q1489" s="7"/>
      <c r="V1489" s="7"/>
      <c r="W1489" s="7"/>
      <c r="X1489" s="7"/>
      <c r="Y1489" s="7"/>
      <c r="Z1489" s="7"/>
      <c r="AA1489" s="7"/>
      <c r="AB1489" s="7"/>
      <c r="AC1489" s="7"/>
      <c r="AD1489" s="7"/>
      <c r="AE1489" s="154"/>
      <c r="AF1489" s="154"/>
      <c r="AH1489" s="7"/>
      <c r="AI1489" s="7"/>
      <c r="AJ1489" s="7"/>
      <c r="AL1489" s="154"/>
      <c r="AM1489" s="7"/>
      <c r="AN1489" s="13"/>
      <c r="AP1489" s="7"/>
      <c r="AR1489" s="7"/>
      <c r="AS1489" s="7"/>
      <c r="AT1489" s="7"/>
      <c r="AU1489" s="7"/>
    </row>
    <row r="1490" spans="7:47" x14ac:dyDescent="0.3">
      <c r="G1490" s="7"/>
      <c r="P1490" s="7"/>
      <c r="Q1490" s="7"/>
      <c r="V1490" s="7"/>
      <c r="W1490" s="7"/>
      <c r="X1490" s="7"/>
      <c r="Y1490" s="7"/>
      <c r="Z1490" s="7"/>
      <c r="AA1490" s="7"/>
      <c r="AB1490" s="7"/>
      <c r="AC1490" s="7"/>
      <c r="AD1490" s="7"/>
      <c r="AE1490" s="154"/>
      <c r="AF1490" s="154"/>
      <c r="AH1490" s="7"/>
      <c r="AI1490" s="7"/>
      <c r="AJ1490" s="7"/>
      <c r="AL1490" s="154"/>
      <c r="AM1490" s="7"/>
      <c r="AN1490" s="13"/>
      <c r="AP1490" s="7"/>
      <c r="AR1490" s="7"/>
      <c r="AS1490" s="7"/>
      <c r="AT1490" s="7"/>
      <c r="AU1490" s="7"/>
    </row>
    <row r="1491" spans="7:47" x14ac:dyDescent="0.3">
      <c r="G1491" s="7"/>
      <c r="P1491" s="7"/>
      <c r="Q1491" s="7"/>
      <c r="V1491" s="7"/>
      <c r="W1491" s="7"/>
      <c r="X1491" s="7"/>
      <c r="Y1491" s="7"/>
      <c r="Z1491" s="7"/>
      <c r="AA1491" s="7"/>
      <c r="AB1491" s="7"/>
      <c r="AC1491" s="7"/>
      <c r="AD1491" s="7"/>
      <c r="AE1491" s="154"/>
      <c r="AF1491" s="154"/>
      <c r="AH1491" s="7"/>
      <c r="AI1491" s="7"/>
      <c r="AJ1491" s="7"/>
      <c r="AL1491" s="154"/>
      <c r="AM1491" s="7"/>
      <c r="AN1491" s="13"/>
      <c r="AP1491" s="7"/>
      <c r="AR1491" s="7"/>
      <c r="AS1491" s="7"/>
      <c r="AT1491" s="7"/>
      <c r="AU1491" s="7"/>
    </row>
    <row r="1492" spans="7:47" x14ac:dyDescent="0.3">
      <c r="G1492" s="7"/>
      <c r="P1492" s="7"/>
      <c r="Q1492" s="7"/>
      <c r="V1492" s="7"/>
      <c r="W1492" s="7"/>
      <c r="X1492" s="7"/>
      <c r="Y1492" s="7"/>
      <c r="Z1492" s="7"/>
      <c r="AA1492" s="7"/>
      <c r="AB1492" s="7"/>
      <c r="AC1492" s="7"/>
      <c r="AD1492" s="7"/>
      <c r="AE1492" s="154"/>
      <c r="AF1492" s="154"/>
      <c r="AH1492" s="7"/>
      <c r="AI1492" s="7"/>
      <c r="AJ1492" s="7"/>
      <c r="AL1492" s="154"/>
      <c r="AM1492" s="7"/>
      <c r="AN1492" s="13"/>
      <c r="AP1492" s="7"/>
      <c r="AR1492" s="7"/>
      <c r="AS1492" s="7"/>
      <c r="AT1492" s="7"/>
      <c r="AU1492" s="7"/>
    </row>
    <row r="1493" spans="7:47" x14ac:dyDescent="0.3">
      <c r="G1493" s="7"/>
      <c r="P1493" s="7"/>
      <c r="Q1493" s="7"/>
      <c r="V1493" s="7"/>
      <c r="W1493" s="7"/>
      <c r="X1493" s="7"/>
      <c r="Y1493" s="7"/>
      <c r="Z1493" s="7"/>
      <c r="AA1493" s="7"/>
      <c r="AB1493" s="7"/>
      <c r="AC1493" s="7"/>
      <c r="AD1493" s="7"/>
      <c r="AE1493" s="154"/>
      <c r="AF1493" s="154"/>
      <c r="AH1493" s="7"/>
      <c r="AI1493" s="7"/>
      <c r="AJ1493" s="7"/>
      <c r="AL1493" s="154"/>
      <c r="AM1493" s="7"/>
      <c r="AN1493" s="13"/>
      <c r="AP1493" s="7"/>
      <c r="AR1493" s="7"/>
      <c r="AS1493" s="7"/>
      <c r="AT1493" s="7"/>
      <c r="AU1493" s="7"/>
    </row>
    <row r="1494" spans="7:47" x14ac:dyDescent="0.3">
      <c r="G1494" s="7"/>
      <c r="P1494" s="7"/>
      <c r="Q1494" s="7"/>
      <c r="V1494" s="7"/>
      <c r="W1494" s="7"/>
      <c r="X1494" s="7"/>
      <c r="Y1494" s="7"/>
      <c r="Z1494" s="7"/>
      <c r="AA1494" s="7"/>
      <c r="AB1494" s="7"/>
      <c r="AC1494" s="7"/>
      <c r="AD1494" s="7"/>
      <c r="AE1494" s="154"/>
      <c r="AF1494" s="154"/>
      <c r="AH1494" s="7"/>
      <c r="AI1494" s="7"/>
      <c r="AJ1494" s="7"/>
      <c r="AL1494" s="154"/>
      <c r="AM1494" s="7"/>
      <c r="AN1494" s="13"/>
      <c r="AP1494" s="7"/>
      <c r="AR1494" s="7"/>
      <c r="AS1494" s="7"/>
      <c r="AT1494" s="7"/>
      <c r="AU1494" s="7"/>
    </row>
    <row r="1495" spans="7:47" x14ac:dyDescent="0.3">
      <c r="G1495" s="7"/>
      <c r="P1495" s="7"/>
      <c r="Q1495" s="7"/>
      <c r="V1495" s="7"/>
      <c r="W1495" s="7"/>
      <c r="X1495" s="7"/>
      <c r="Y1495" s="7"/>
      <c r="Z1495" s="7"/>
      <c r="AA1495" s="7"/>
      <c r="AB1495" s="7"/>
      <c r="AC1495" s="7"/>
      <c r="AD1495" s="7"/>
      <c r="AE1495" s="154"/>
      <c r="AF1495" s="154"/>
      <c r="AH1495" s="7"/>
      <c r="AI1495" s="7"/>
      <c r="AJ1495" s="7"/>
      <c r="AL1495" s="154"/>
      <c r="AM1495" s="7"/>
      <c r="AN1495" s="13"/>
      <c r="AP1495" s="7"/>
      <c r="AR1495" s="7"/>
      <c r="AS1495" s="7"/>
      <c r="AT1495" s="7"/>
      <c r="AU1495" s="7"/>
    </row>
    <row r="1496" spans="7:47" x14ac:dyDescent="0.3">
      <c r="G1496" s="7"/>
      <c r="P1496" s="7"/>
      <c r="Q1496" s="7"/>
      <c r="V1496" s="7"/>
      <c r="W1496" s="7"/>
      <c r="X1496" s="7"/>
      <c r="Y1496" s="7"/>
      <c r="Z1496" s="7"/>
      <c r="AA1496" s="7"/>
      <c r="AB1496" s="7"/>
      <c r="AC1496" s="7"/>
      <c r="AD1496" s="7"/>
      <c r="AE1496" s="154"/>
      <c r="AF1496" s="154"/>
      <c r="AH1496" s="7"/>
      <c r="AI1496" s="7"/>
      <c r="AJ1496" s="7"/>
      <c r="AL1496" s="154"/>
      <c r="AM1496" s="7"/>
      <c r="AN1496" s="13"/>
      <c r="AP1496" s="7"/>
      <c r="AR1496" s="7"/>
      <c r="AS1496" s="7"/>
      <c r="AT1496" s="7"/>
      <c r="AU1496" s="7"/>
    </row>
    <row r="1497" spans="7:47" x14ac:dyDescent="0.3">
      <c r="G1497" s="7"/>
      <c r="P1497" s="7"/>
      <c r="Q1497" s="7"/>
      <c r="V1497" s="7"/>
      <c r="W1497" s="7"/>
      <c r="X1497" s="7"/>
      <c r="Y1497" s="7"/>
      <c r="Z1497" s="7"/>
      <c r="AA1497" s="7"/>
      <c r="AB1497" s="7"/>
      <c r="AC1497" s="7"/>
      <c r="AD1497" s="7"/>
      <c r="AE1497" s="154"/>
      <c r="AF1497" s="154"/>
      <c r="AH1497" s="7"/>
      <c r="AI1497" s="7"/>
      <c r="AJ1497" s="7"/>
      <c r="AL1497" s="154"/>
      <c r="AM1497" s="7"/>
      <c r="AN1497" s="13"/>
      <c r="AP1497" s="7"/>
      <c r="AR1497" s="7"/>
      <c r="AS1497" s="7"/>
      <c r="AT1497" s="7"/>
      <c r="AU1497" s="7"/>
    </row>
    <row r="1498" spans="7:47" ht="13.5" x14ac:dyDescent="0.25">
      <c r="G1498" s="7"/>
      <c r="P1498" s="7"/>
      <c r="Q1498" s="7"/>
      <c r="V1498" s="7"/>
      <c r="W1498" s="7"/>
      <c r="X1498" s="7"/>
      <c r="Y1498" s="7"/>
      <c r="Z1498" s="7"/>
      <c r="AA1498" s="7"/>
      <c r="AB1498" s="7"/>
      <c r="AC1498" s="7"/>
      <c r="AD1498" s="7"/>
      <c r="AE1498" s="154"/>
      <c r="AF1498" s="154"/>
      <c r="AH1498" s="7"/>
      <c r="AI1498" s="7"/>
      <c r="AJ1498" s="7"/>
      <c r="AL1498" s="154"/>
      <c r="AM1498" s="7"/>
      <c r="AN1498" s="13"/>
      <c r="AP1498" s="7"/>
      <c r="AQ1498" s="7"/>
      <c r="AR1498" s="7"/>
      <c r="AS1498" s="7"/>
      <c r="AT1498" s="7"/>
      <c r="AU1498" s="7"/>
    </row>
    <row r="1499" spans="7:47" ht="13.5" x14ac:dyDescent="0.25">
      <c r="G1499" s="7"/>
      <c r="P1499" s="7"/>
      <c r="Q1499" s="7"/>
      <c r="V1499" s="7"/>
      <c r="W1499" s="7"/>
      <c r="X1499" s="7"/>
      <c r="Y1499" s="7"/>
      <c r="Z1499" s="7"/>
      <c r="AA1499" s="7"/>
      <c r="AB1499" s="7"/>
      <c r="AC1499" s="7"/>
      <c r="AD1499" s="7"/>
      <c r="AE1499" s="154"/>
      <c r="AF1499" s="154"/>
      <c r="AH1499" s="7"/>
      <c r="AI1499" s="7"/>
      <c r="AJ1499" s="7"/>
      <c r="AL1499" s="154"/>
      <c r="AM1499" s="7"/>
      <c r="AN1499" s="13"/>
      <c r="AP1499" s="7"/>
      <c r="AQ1499" s="7"/>
      <c r="AR1499" s="7"/>
      <c r="AS1499" s="7"/>
      <c r="AT1499" s="7"/>
      <c r="AU1499" s="7"/>
    </row>
    <row r="1500" spans="7:47" ht="13.5" x14ac:dyDescent="0.25">
      <c r="G1500" s="7"/>
      <c r="P1500" s="7"/>
      <c r="Q1500" s="7"/>
      <c r="V1500" s="7"/>
      <c r="W1500" s="7"/>
      <c r="X1500" s="7"/>
      <c r="Y1500" s="7"/>
      <c r="Z1500" s="7"/>
      <c r="AA1500" s="7"/>
      <c r="AB1500" s="7"/>
      <c r="AC1500" s="7"/>
      <c r="AD1500" s="7"/>
      <c r="AE1500" s="154"/>
      <c r="AF1500" s="154"/>
      <c r="AH1500" s="7"/>
      <c r="AI1500" s="7"/>
      <c r="AJ1500" s="7"/>
      <c r="AL1500" s="154"/>
      <c r="AM1500" s="7"/>
      <c r="AN1500" s="13"/>
      <c r="AP1500" s="7"/>
      <c r="AQ1500" s="7"/>
      <c r="AR1500" s="7"/>
      <c r="AS1500" s="7"/>
      <c r="AT1500" s="7"/>
      <c r="AU1500" s="7"/>
    </row>
    <row r="1501" spans="7:47" ht="13.5" x14ac:dyDescent="0.25">
      <c r="G1501" s="7"/>
      <c r="P1501" s="7"/>
      <c r="Q1501" s="7"/>
      <c r="V1501" s="7"/>
      <c r="W1501" s="7"/>
      <c r="X1501" s="7"/>
      <c r="Y1501" s="7"/>
      <c r="Z1501" s="7"/>
      <c r="AA1501" s="7"/>
      <c r="AB1501" s="7"/>
      <c r="AC1501" s="7"/>
      <c r="AD1501" s="7"/>
      <c r="AE1501" s="154"/>
      <c r="AF1501" s="154"/>
      <c r="AH1501" s="7"/>
      <c r="AI1501" s="7"/>
      <c r="AJ1501" s="7"/>
      <c r="AL1501" s="154"/>
      <c r="AM1501" s="7"/>
      <c r="AN1501" s="13"/>
      <c r="AP1501" s="7"/>
      <c r="AQ1501" s="7"/>
      <c r="AR1501" s="7"/>
      <c r="AS1501" s="7"/>
      <c r="AT1501" s="7"/>
      <c r="AU1501" s="7"/>
    </row>
    <row r="1502" spans="7:47" ht="13.5" x14ac:dyDescent="0.25">
      <c r="G1502" s="7"/>
      <c r="P1502" s="7"/>
      <c r="Q1502" s="7"/>
      <c r="V1502" s="7"/>
      <c r="W1502" s="7"/>
      <c r="X1502" s="7"/>
      <c r="Y1502" s="7"/>
      <c r="Z1502" s="7"/>
      <c r="AA1502" s="7"/>
      <c r="AB1502" s="7"/>
      <c r="AC1502" s="7"/>
      <c r="AD1502" s="7"/>
      <c r="AE1502" s="154"/>
      <c r="AF1502" s="154"/>
      <c r="AH1502" s="7"/>
      <c r="AI1502" s="7"/>
      <c r="AJ1502" s="7"/>
      <c r="AL1502" s="154"/>
      <c r="AM1502" s="7"/>
      <c r="AN1502" s="13"/>
      <c r="AP1502" s="7"/>
      <c r="AQ1502" s="7"/>
      <c r="AR1502" s="7"/>
      <c r="AS1502" s="7"/>
      <c r="AT1502" s="7"/>
      <c r="AU1502" s="7"/>
    </row>
    <row r="1503" spans="7:47" ht="13.5" x14ac:dyDescent="0.25">
      <c r="G1503" s="7"/>
      <c r="P1503" s="7"/>
      <c r="Q1503" s="7"/>
      <c r="V1503" s="7"/>
      <c r="W1503" s="7"/>
      <c r="X1503" s="7"/>
      <c r="Y1503" s="7"/>
      <c r="Z1503" s="7"/>
      <c r="AA1503" s="7"/>
      <c r="AB1503" s="7"/>
      <c r="AC1503" s="7"/>
      <c r="AD1503" s="7"/>
      <c r="AE1503" s="154"/>
      <c r="AF1503" s="154"/>
      <c r="AH1503" s="7"/>
      <c r="AI1503" s="7"/>
      <c r="AJ1503" s="7"/>
      <c r="AL1503" s="154"/>
      <c r="AM1503" s="7"/>
      <c r="AN1503" s="13"/>
      <c r="AP1503" s="7"/>
      <c r="AQ1503" s="7"/>
      <c r="AR1503" s="7"/>
      <c r="AS1503" s="7"/>
      <c r="AT1503" s="7"/>
      <c r="AU1503" s="7"/>
    </row>
    <row r="1504" spans="7:47" ht="13.5" x14ac:dyDescent="0.25">
      <c r="G1504" s="7"/>
      <c r="P1504" s="7"/>
      <c r="Q1504" s="7"/>
      <c r="V1504" s="7"/>
      <c r="W1504" s="7"/>
      <c r="X1504" s="7"/>
      <c r="Y1504" s="7"/>
      <c r="Z1504" s="7"/>
      <c r="AA1504" s="7"/>
      <c r="AB1504" s="7"/>
      <c r="AC1504" s="7"/>
      <c r="AD1504" s="7"/>
      <c r="AE1504" s="154"/>
      <c r="AF1504" s="154"/>
      <c r="AH1504" s="7"/>
      <c r="AI1504" s="7"/>
      <c r="AJ1504" s="7"/>
      <c r="AL1504" s="154"/>
      <c r="AM1504" s="7"/>
      <c r="AN1504" s="13"/>
      <c r="AP1504" s="7"/>
      <c r="AQ1504" s="7"/>
      <c r="AR1504" s="7"/>
      <c r="AS1504" s="7"/>
      <c r="AT1504" s="7"/>
      <c r="AU1504" s="7"/>
    </row>
    <row r="1505" spans="7:47" ht="13.5" x14ac:dyDescent="0.25">
      <c r="G1505" s="7"/>
      <c r="P1505" s="7"/>
      <c r="Q1505" s="7"/>
      <c r="V1505" s="7"/>
      <c r="W1505" s="7"/>
      <c r="X1505" s="7"/>
      <c r="Y1505" s="7"/>
      <c r="Z1505" s="7"/>
      <c r="AA1505" s="7"/>
      <c r="AB1505" s="7"/>
      <c r="AC1505" s="7"/>
      <c r="AD1505" s="7"/>
      <c r="AE1505" s="154"/>
      <c r="AF1505" s="154"/>
      <c r="AH1505" s="7"/>
      <c r="AI1505" s="7"/>
      <c r="AJ1505" s="7"/>
      <c r="AL1505" s="154"/>
      <c r="AM1505" s="7"/>
      <c r="AN1505" s="13"/>
      <c r="AP1505" s="7"/>
      <c r="AQ1505" s="7"/>
      <c r="AR1505" s="7"/>
      <c r="AS1505" s="7"/>
      <c r="AT1505" s="7"/>
      <c r="AU1505" s="7"/>
    </row>
    <row r="1506" spans="7:47" ht="13.5" x14ac:dyDescent="0.25">
      <c r="G1506" s="7"/>
      <c r="P1506" s="7"/>
      <c r="Q1506" s="7"/>
      <c r="V1506" s="7"/>
      <c r="W1506" s="7"/>
      <c r="X1506" s="7"/>
      <c r="Y1506" s="7"/>
      <c r="Z1506" s="7"/>
      <c r="AA1506" s="7"/>
      <c r="AB1506" s="7"/>
      <c r="AC1506" s="7"/>
      <c r="AD1506" s="7"/>
      <c r="AE1506" s="154"/>
      <c r="AF1506" s="154"/>
      <c r="AH1506" s="7"/>
      <c r="AI1506" s="7"/>
      <c r="AJ1506" s="7"/>
      <c r="AL1506" s="154"/>
      <c r="AM1506" s="7"/>
      <c r="AN1506" s="13"/>
      <c r="AP1506" s="7"/>
      <c r="AQ1506" s="7"/>
      <c r="AR1506" s="7"/>
      <c r="AS1506" s="7"/>
      <c r="AT1506" s="7"/>
      <c r="AU1506" s="7"/>
    </row>
    <row r="1507" spans="7:47" ht="13.5" x14ac:dyDescent="0.25">
      <c r="G1507" s="7"/>
      <c r="P1507" s="7"/>
      <c r="Q1507" s="7"/>
      <c r="V1507" s="7"/>
      <c r="W1507" s="7"/>
      <c r="X1507" s="7"/>
      <c r="Y1507" s="7"/>
      <c r="Z1507" s="7"/>
      <c r="AA1507" s="7"/>
      <c r="AB1507" s="7"/>
      <c r="AC1507" s="7"/>
      <c r="AD1507" s="7"/>
      <c r="AE1507" s="154"/>
      <c r="AF1507" s="154"/>
      <c r="AH1507" s="7"/>
      <c r="AI1507" s="7"/>
      <c r="AJ1507" s="7"/>
      <c r="AL1507" s="154"/>
      <c r="AM1507" s="7"/>
      <c r="AN1507" s="13"/>
      <c r="AP1507" s="7"/>
      <c r="AQ1507" s="7"/>
      <c r="AR1507" s="7"/>
      <c r="AS1507" s="7"/>
      <c r="AT1507" s="7"/>
      <c r="AU1507" s="7"/>
    </row>
    <row r="1508" spans="7:47" ht="13.5" x14ac:dyDescent="0.25">
      <c r="G1508" s="7"/>
      <c r="P1508" s="7"/>
      <c r="Q1508" s="7"/>
      <c r="V1508" s="7"/>
      <c r="W1508" s="7"/>
      <c r="X1508" s="7"/>
      <c r="Y1508" s="7"/>
      <c r="Z1508" s="7"/>
      <c r="AA1508" s="7"/>
      <c r="AB1508" s="7"/>
      <c r="AC1508" s="7"/>
      <c r="AD1508" s="7"/>
      <c r="AE1508" s="154"/>
      <c r="AF1508" s="154"/>
      <c r="AH1508" s="7"/>
      <c r="AI1508" s="7"/>
      <c r="AJ1508" s="7"/>
      <c r="AL1508" s="154"/>
      <c r="AM1508" s="7"/>
      <c r="AN1508" s="13"/>
      <c r="AP1508" s="7"/>
      <c r="AQ1508" s="7"/>
      <c r="AR1508" s="7"/>
      <c r="AS1508" s="7"/>
      <c r="AT1508" s="7"/>
      <c r="AU1508" s="7"/>
    </row>
    <row r="1509" spans="7:47" ht="13.5" x14ac:dyDescent="0.25">
      <c r="G1509" s="7"/>
      <c r="P1509" s="7"/>
      <c r="Q1509" s="7"/>
      <c r="V1509" s="7"/>
      <c r="W1509" s="7"/>
      <c r="X1509" s="7"/>
      <c r="Y1509" s="7"/>
      <c r="Z1509" s="7"/>
      <c r="AA1509" s="7"/>
      <c r="AB1509" s="7"/>
      <c r="AC1509" s="7"/>
      <c r="AD1509" s="7"/>
      <c r="AE1509" s="154"/>
      <c r="AF1509" s="154"/>
      <c r="AH1509" s="7"/>
      <c r="AI1509" s="7"/>
      <c r="AJ1509" s="7"/>
      <c r="AL1509" s="154"/>
      <c r="AM1509" s="7"/>
      <c r="AN1509" s="13"/>
      <c r="AP1509" s="7"/>
      <c r="AQ1509" s="7"/>
      <c r="AR1509" s="7"/>
      <c r="AS1509" s="7"/>
      <c r="AT1509" s="7"/>
      <c r="AU1509" s="7"/>
    </row>
    <row r="1510" spans="7:47" ht="13.5" x14ac:dyDescent="0.25">
      <c r="G1510" s="7"/>
      <c r="P1510" s="7"/>
      <c r="Q1510" s="7"/>
      <c r="V1510" s="7"/>
      <c r="W1510" s="7"/>
      <c r="X1510" s="7"/>
      <c r="Y1510" s="7"/>
      <c r="Z1510" s="7"/>
      <c r="AA1510" s="7"/>
      <c r="AB1510" s="7"/>
      <c r="AC1510" s="7"/>
      <c r="AD1510" s="7"/>
      <c r="AE1510" s="154"/>
      <c r="AF1510" s="154"/>
      <c r="AH1510" s="7"/>
      <c r="AI1510" s="7"/>
      <c r="AJ1510" s="7"/>
      <c r="AL1510" s="154"/>
      <c r="AM1510" s="7"/>
      <c r="AN1510" s="13"/>
      <c r="AP1510" s="7"/>
      <c r="AQ1510" s="7"/>
      <c r="AR1510" s="7"/>
      <c r="AS1510" s="7"/>
      <c r="AT1510" s="7"/>
      <c r="AU1510" s="7"/>
    </row>
    <row r="1511" spans="7:47" ht="13.5" x14ac:dyDescent="0.25">
      <c r="G1511" s="7"/>
      <c r="P1511" s="7"/>
      <c r="Q1511" s="7"/>
      <c r="V1511" s="7"/>
      <c r="W1511" s="7"/>
      <c r="X1511" s="7"/>
      <c r="Y1511" s="7"/>
      <c r="Z1511" s="7"/>
      <c r="AA1511" s="7"/>
      <c r="AB1511" s="7"/>
      <c r="AC1511" s="7"/>
      <c r="AD1511" s="7"/>
      <c r="AE1511" s="154"/>
      <c r="AF1511" s="154"/>
      <c r="AH1511" s="7"/>
      <c r="AI1511" s="7"/>
      <c r="AJ1511" s="7"/>
      <c r="AL1511" s="154"/>
      <c r="AM1511" s="7"/>
      <c r="AN1511" s="13"/>
      <c r="AP1511" s="7"/>
      <c r="AQ1511" s="7"/>
      <c r="AR1511" s="7"/>
      <c r="AS1511" s="7"/>
      <c r="AT1511" s="7"/>
      <c r="AU1511" s="7"/>
    </row>
    <row r="1512" spans="7:47" ht="13.5" x14ac:dyDescent="0.25">
      <c r="G1512" s="7"/>
      <c r="P1512" s="7"/>
      <c r="Q1512" s="7"/>
      <c r="V1512" s="7"/>
      <c r="W1512" s="7"/>
      <c r="X1512" s="7"/>
      <c r="Y1512" s="7"/>
      <c r="Z1512" s="7"/>
      <c r="AA1512" s="7"/>
      <c r="AB1512" s="7"/>
      <c r="AC1512" s="7"/>
      <c r="AD1512" s="7"/>
      <c r="AE1512" s="154"/>
      <c r="AF1512" s="154"/>
      <c r="AH1512" s="7"/>
      <c r="AI1512" s="7"/>
      <c r="AJ1512" s="7"/>
      <c r="AL1512" s="154"/>
      <c r="AM1512" s="7"/>
      <c r="AN1512" s="13"/>
      <c r="AP1512" s="7"/>
      <c r="AQ1512" s="7"/>
      <c r="AR1512" s="7"/>
      <c r="AS1512" s="7"/>
      <c r="AT1512" s="7"/>
      <c r="AU1512" s="7"/>
    </row>
    <row r="1513" spans="7:47" ht="13.5" x14ac:dyDescent="0.25">
      <c r="G1513" s="7"/>
      <c r="P1513" s="7"/>
      <c r="Q1513" s="7"/>
      <c r="V1513" s="7"/>
      <c r="W1513" s="7"/>
      <c r="X1513" s="7"/>
      <c r="Y1513" s="7"/>
      <c r="Z1513" s="7"/>
      <c r="AA1513" s="7"/>
      <c r="AB1513" s="7"/>
      <c r="AC1513" s="7"/>
      <c r="AD1513" s="7"/>
      <c r="AE1513" s="154"/>
      <c r="AF1513" s="154"/>
      <c r="AH1513" s="7"/>
      <c r="AI1513" s="7"/>
      <c r="AJ1513" s="7"/>
      <c r="AL1513" s="154"/>
      <c r="AM1513" s="7"/>
      <c r="AN1513" s="13"/>
      <c r="AP1513" s="7"/>
      <c r="AQ1513" s="7"/>
      <c r="AR1513" s="7"/>
      <c r="AS1513" s="7"/>
      <c r="AT1513" s="7"/>
      <c r="AU1513" s="7"/>
    </row>
    <row r="1514" spans="7:47" ht="13.5" x14ac:dyDescent="0.25">
      <c r="G1514" s="7"/>
      <c r="P1514" s="7"/>
      <c r="Q1514" s="7"/>
      <c r="V1514" s="7"/>
      <c r="W1514" s="7"/>
      <c r="X1514" s="7"/>
      <c r="Y1514" s="7"/>
      <c r="Z1514" s="7"/>
      <c r="AA1514" s="7"/>
      <c r="AB1514" s="7"/>
      <c r="AC1514" s="7"/>
      <c r="AD1514" s="7"/>
      <c r="AE1514" s="154"/>
      <c r="AF1514" s="154"/>
      <c r="AH1514" s="7"/>
      <c r="AI1514" s="7"/>
      <c r="AJ1514" s="7"/>
      <c r="AL1514" s="154"/>
      <c r="AM1514" s="7"/>
      <c r="AN1514" s="13"/>
      <c r="AP1514" s="7"/>
      <c r="AQ1514" s="7"/>
      <c r="AR1514" s="7"/>
      <c r="AS1514" s="7"/>
      <c r="AT1514" s="7"/>
      <c r="AU1514" s="7"/>
    </row>
    <row r="1515" spans="7:47" ht="13.5" x14ac:dyDescent="0.25">
      <c r="G1515" s="7"/>
      <c r="P1515" s="7"/>
      <c r="Q1515" s="7"/>
      <c r="V1515" s="7"/>
      <c r="W1515" s="7"/>
      <c r="X1515" s="7"/>
      <c r="Y1515" s="7"/>
      <c r="Z1515" s="7"/>
      <c r="AA1515" s="7"/>
      <c r="AB1515" s="7"/>
      <c r="AC1515" s="7"/>
      <c r="AD1515" s="7"/>
      <c r="AE1515" s="154"/>
      <c r="AF1515" s="154"/>
      <c r="AH1515" s="7"/>
      <c r="AI1515" s="7"/>
      <c r="AJ1515" s="7"/>
      <c r="AL1515" s="154"/>
      <c r="AM1515" s="7"/>
      <c r="AN1515" s="13"/>
      <c r="AP1515" s="7"/>
      <c r="AQ1515" s="7"/>
      <c r="AR1515" s="7"/>
      <c r="AS1515" s="7"/>
      <c r="AT1515" s="7"/>
      <c r="AU1515" s="7"/>
    </row>
    <row r="1516" spans="7:47" ht="13.5" x14ac:dyDescent="0.25">
      <c r="G1516" s="7"/>
      <c r="P1516" s="7"/>
      <c r="Q1516" s="7"/>
      <c r="V1516" s="7"/>
      <c r="W1516" s="7"/>
      <c r="X1516" s="7"/>
      <c r="Y1516" s="7"/>
      <c r="Z1516" s="7"/>
      <c r="AA1516" s="7"/>
      <c r="AB1516" s="7"/>
      <c r="AC1516" s="7"/>
      <c r="AD1516" s="7"/>
      <c r="AE1516" s="154"/>
      <c r="AF1516" s="154"/>
      <c r="AH1516" s="7"/>
      <c r="AI1516" s="7"/>
      <c r="AJ1516" s="7"/>
      <c r="AL1516" s="154"/>
      <c r="AM1516" s="7"/>
      <c r="AN1516" s="13"/>
      <c r="AP1516" s="7"/>
      <c r="AQ1516" s="7"/>
      <c r="AR1516" s="7"/>
      <c r="AS1516" s="7"/>
      <c r="AT1516" s="7"/>
      <c r="AU1516" s="7"/>
    </row>
    <row r="1517" spans="7:47" ht="13.5" x14ac:dyDescent="0.25">
      <c r="G1517" s="7"/>
      <c r="P1517" s="7"/>
      <c r="Q1517" s="7"/>
      <c r="V1517" s="7"/>
      <c r="W1517" s="7"/>
      <c r="X1517" s="7"/>
      <c r="Y1517" s="7"/>
      <c r="Z1517" s="7"/>
      <c r="AA1517" s="7"/>
      <c r="AB1517" s="7"/>
      <c r="AC1517" s="7"/>
      <c r="AD1517" s="7"/>
      <c r="AE1517" s="154"/>
      <c r="AF1517" s="154"/>
      <c r="AH1517" s="7"/>
      <c r="AI1517" s="7"/>
      <c r="AJ1517" s="7"/>
      <c r="AL1517" s="154"/>
      <c r="AM1517" s="7"/>
      <c r="AN1517" s="13"/>
      <c r="AP1517" s="7"/>
      <c r="AQ1517" s="7"/>
      <c r="AR1517" s="7"/>
      <c r="AS1517" s="7"/>
      <c r="AT1517" s="7"/>
      <c r="AU1517" s="7"/>
    </row>
    <row r="1518" spans="7:47" ht="13.5" x14ac:dyDescent="0.25">
      <c r="G1518" s="7"/>
      <c r="P1518" s="7"/>
      <c r="Q1518" s="7"/>
      <c r="V1518" s="7"/>
      <c r="W1518" s="7"/>
      <c r="X1518" s="7"/>
      <c r="Y1518" s="7"/>
      <c r="Z1518" s="7"/>
      <c r="AA1518" s="7"/>
      <c r="AB1518" s="7"/>
      <c r="AC1518" s="7"/>
      <c r="AD1518" s="7"/>
      <c r="AE1518" s="154"/>
      <c r="AF1518" s="154"/>
      <c r="AH1518" s="7"/>
      <c r="AI1518" s="7"/>
      <c r="AJ1518" s="7"/>
      <c r="AL1518" s="154"/>
      <c r="AM1518" s="7"/>
      <c r="AN1518" s="13"/>
      <c r="AP1518" s="7"/>
      <c r="AQ1518" s="7"/>
      <c r="AR1518" s="7"/>
      <c r="AS1518" s="7"/>
      <c r="AT1518" s="7"/>
      <c r="AU1518" s="7"/>
    </row>
    <row r="1519" spans="7:47" ht="13.5" x14ac:dyDescent="0.25">
      <c r="G1519" s="7"/>
      <c r="P1519" s="7"/>
      <c r="Q1519" s="7"/>
      <c r="V1519" s="7"/>
      <c r="W1519" s="7"/>
      <c r="X1519" s="7"/>
      <c r="Y1519" s="7"/>
      <c r="Z1519" s="7"/>
      <c r="AA1519" s="7"/>
      <c r="AB1519" s="7"/>
      <c r="AC1519" s="7"/>
      <c r="AD1519" s="7"/>
      <c r="AE1519" s="154"/>
      <c r="AF1519" s="154"/>
      <c r="AH1519" s="7"/>
      <c r="AI1519" s="7"/>
      <c r="AJ1519" s="7"/>
      <c r="AL1519" s="154"/>
      <c r="AM1519" s="7"/>
      <c r="AN1519" s="13"/>
      <c r="AP1519" s="7"/>
      <c r="AQ1519" s="7"/>
      <c r="AR1519" s="7"/>
      <c r="AS1519" s="7"/>
      <c r="AT1519" s="7"/>
      <c r="AU1519" s="7"/>
    </row>
    <row r="1520" spans="7:47" ht="13.5" x14ac:dyDescent="0.25">
      <c r="G1520" s="7"/>
      <c r="P1520" s="7"/>
      <c r="Q1520" s="7"/>
      <c r="V1520" s="7"/>
      <c r="W1520" s="7"/>
      <c r="X1520" s="7"/>
      <c r="Y1520" s="7"/>
      <c r="Z1520" s="7"/>
      <c r="AA1520" s="7"/>
      <c r="AB1520" s="7"/>
      <c r="AC1520" s="7"/>
      <c r="AD1520" s="7"/>
      <c r="AE1520" s="154"/>
      <c r="AF1520" s="154"/>
      <c r="AH1520" s="7"/>
      <c r="AI1520" s="7"/>
      <c r="AJ1520" s="7"/>
      <c r="AL1520" s="154"/>
      <c r="AM1520" s="7"/>
      <c r="AN1520" s="13"/>
      <c r="AP1520" s="7"/>
      <c r="AQ1520" s="7"/>
      <c r="AR1520" s="7"/>
      <c r="AS1520" s="7"/>
      <c r="AT1520" s="7"/>
      <c r="AU1520" s="7"/>
    </row>
    <row r="1521" spans="7:47" ht="13.5" x14ac:dyDescent="0.25">
      <c r="G1521" s="7"/>
      <c r="P1521" s="7"/>
      <c r="Q1521" s="7"/>
      <c r="V1521" s="7"/>
      <c r="W1521" s="7"/>
      <c r="X1521" s="7"/>
      <c r="Y1521" s="7"/>
      <c r="Z1521" s="7"/>
      <c r="AA1521" s="7"/>
      <c r="AB1521" s="7"/>
      <c r="AC1521" s="7"/>
      <c r="AD1521" s="7"/>
      <c r="AE1521" s="154"/>
      <c r="AF1521" s="154"/>
      <c r="AH1521" s="7"/>
      <c r="AI1521" s="7"/>
      <c r="AJ1521" s="7"/>
      <c r="AL1521" s="154"/>
      <c r="AM1521" s="7"/>
      <c r="AN1521" s="13"/>
      <c r="AP1521" s="7"/>
      <c r="AQ1521" s="7"/>
      <c r="AR1521" s="7"/>
      <c r="AS1521" s="7"/>
      <c r="AT1521" s="7"/>
      <c r="AU1521" s="7"/>
    </row>
    <row r="1522" spans="7:47" ht="13.5" x14ac:dyDescent="0.25">
      <c r="G1522" s="7"/>
      <c r="P1522" s="7"/>
      <c r="Q1522" s="7"/>
      <c r="V1522" s="7"/>
      <c r="W1522" s="7"/>
      <c r="X1522" s="7"/>
      <c r="Y1522" s="7"/>
      <c r="Z1522" s="7"/>
      <c r="AA1522" s="7"/>
      <c r="AB1522" s="7"/>
      <c r="AC1522" s="7"/>
      <c r="AD1522" s="7"/>
      <c r="AE1522" s="154"/>
      <c r="AF1522" s="154"/>
      <c r="AH1522" s="7"/>
      <c r="AI1522" s="7"/>
      <c r="AJ1522" s="7"/>
      <c r="AL1522" s="154"/>
      <c r="AM1522" s="7"/>
      <c r="AN1522" s="13"/>
      <c r="AP1522" s="7"/>
      <c r="AQ1522" s="7"/>
      <c r="AR1522" s="7"/>
      <c r="AS1522" s="7"/>
      <c r="AT1522" s="7"/>
      <c r="AU1522" s="7"/>
    </row>
    <row r="1523" spans="7:47" ht="13.5" x14ac:dyDescent="0.25">
      <c r="G1523" s="7"/>
      <c r="P1523" s="7"/>
      <c r="Q1523" s="7"/>
      <c r="V1523" s="7"/>
      <c r="W1523" s="7"/>
      <c r="X1523" s="7"/>
      <c r="Y1523" s="7"/>
      <c r="Z1523" s="7"/>
      <c r="AA1523" s="7"/>
      <c r="AB1523" s="7"/>
      <c r="AC1523" s="7"/>
      <c r="AD1523" s="7"/>
      <c r="AE1523" s="154"/>
      <c r="AF1523" s="154"/>
      <c r="AH1523" s="7"/>
      <c r="AI1523" s="7"/>
      <c r="AJ1523" s="7"/>
      <c r="AL1523" s="154"/>
      <c r="AM1523" s="7"/>
      <c r="AN1523" s="13"/>
      <c r="AP1523" s="7"/>
      <c r="AQ1523" s="7"/>
      <c r="AR1523" s="7"/>
      <c r="AS1523" s="7"/>
      <c r="AT1523" s="7"/>
      <c r="AU1523" s="7"/>
    </row>
    <row r="1524" spans="7:47" ht="13.5" x14ac:dyDescent="0.25">
      <c r="G1524" s="7"/>
      <c r="P1524" s="7"/>
      <c r="Q1524" s="7"/>
      <c r="V1524" s="7"/>
      <c r="W1524" s="7"/>
      <c r="X1524" s="7"/>
      <c r="Y1524" s="7"/>
      <c r="Z1524" s="7"/>
      <c r="AA1524" s="7"/>
      <c r="AB1524" s="7"/>
      <c r="AC1524" s="7"/>
      <c r="AD1524" s="7"/>
      <c r="AE1524" s="154"/>
      <c r="AF1524" s="154"/>
      <c r="AH1524" s="7"/>
      <c r="AI1524" s="7"/>
      <c r="AJ1524" s="7"/>
      <c r="AL1524" s="154"/>
      <c r="AM1524" s="7"/>
      <c r="AN1524" s="13"/>
      <c r="AP1524" s="7"/>
      <c r="AQ1524" s="7"/>
      <c r="AR1524" s="7"/>
      <c r="AS1524" s="7"/>
      <c r="AT1524" s="7"/>
      <c r="AU1524" s="7"/>
    </row>
    <row r="1525" spans="7:47" ht="13.5" x14ac:dyDescent="0.25">
      <c r="G1525" s="7"/>
      <c r="P1525" s="7"/>
      <c r="Q1525" s="7"/>
      <c r="V1525" s="7"/>
      <c r="W1525" s="7"/>
      <c r="X1525" s="7"/>
      <c r="Y1525" s="7"/>
      <c r="Z1525" s="7"/>
      <c r="AA1525" s="7"/>
      <c r="AB1525" s="7"/>
      <c r="AC1525" s="7"/>
      <c r="AD1525" s="7"/>
      <c r="AE1525" s="154"/>
      <c r="AF1525" s="154"/>
      <c r="AH1525" s="7"/>
      <c r="AI1525" s="7"/>
      <c r="AJ1525" s="7"/>
      <c r="AL1525" s="154"/>
      <c r="AM1525" s="7"/>
      <c r="AN1525" s="13"/>
      <c r="AP1525" s="7"/>
      <c r="AQ1525" s="7"/>
      <c r="AR1525" s="7"/>
      <c r="AS1525" s="7"/>
      <c r="AT1525" s="7"/>
      <c r="AU1525" s="7"/>
    </row>
    <row r="1526" spans="7:47" ht="13.5" x14ac:dyDescent="0.25">
      <c r="G1526" s="7"/>
      <c r="P1526" s="7"/>
      <c r="Q1526" s="7"/>
      <c r="V1526" s="7"/>
      <c r="W1526" s="7"/>
      <c r="X1526" s="7"/>
      <c r="Y1526" s="7"/>
      <c r="Z1526" s="7"/>
      <c r="AA1526" s="7"/>
      <c r="AB1526" s="7"/>
      <c r="AC1526" s="7"/>
      <c r="AD1526" s="7"/>
      <c r="AE1526" s="154"/>
      <c r="AF1526" s="154"/>
      <c r="AH1526" s="7"/>
      <c r="AI1526" s="7"/>
      <c r="AJ1526" s="7"/>
      <c r="AL1526" s="154"/>
      <c r="AM1526" s="7"/>
      <c r="AN1526" s="13"/>
      <c r="AP1526" s="7"/>
      <c r="AQ1526" s="7"/>
      <c r="AR1526" s="7"/>
      <c r="AS1526" s="7"/>
      <c r="AT1526" s="7"/>
      <c r="AU1526" s="7"/>
    </row>
    <row r="1527" spans="7:47" ht="13.5" x14ac:dyDescent="0.25">
      <c r="G1527" s="7"/>
      <c r="P1527" s="7"/>
      <c r="Q1527" s="7"/>
      <c r="V1527" s="7"/>
      <c r="W1527" s="7"/>
      <c r="X1527" s="7"/>
      <c r="Y1527" s="7"/>
      <c r="Z1527" s="7"/>
      <c r="AA1527" s="7"/>
      <c r="AB1527" s="7"/>
      <c r="AC1527" s="7"/>
      <c r="AD1527" s="7"/>
      <c r="AE1527" s="154"/>
      <c r="AF1527" s="154"/>
      <c r="AH1527" s="7"/>
      <c r="AI1527" s="7"/>
      <c r="AJ1527" s="7"/>
      <c r="AL1527" s="154"/>
      <c r="AM1527" s="7"/>
      <c r="AN1527" s="13"/>
      <c r="AP1527" s="7"/>
      <c r="AQ1527" s="7"/>
      <c r="AR1527" s="7"/>
      <c r="AS1527" s="7"/>
      <c r="AT1527" s="7"/>
      <c r="AU1527" s="7"/>
    </row>
    <row r="1528" spans="7:47" ht="13.5" x14ac:dyDescent="0.25">
      <c r="G1528" s="7"/>
      <c r="P1528" s="7"/>
      <c r="Q1528" s="7"/>
      <c r="V1528" s="7"/>
      <c r="W1528" s="7"/>
      <c r="X1528" s="7"/>
      <c r="Y1528" s="7"/>
      <c r="Z1528" s="7"/>
      <c r="AA1528" s="7"/>
      <c r="AB1528" s="7"/>
      <c r="AC1528" s="7"/>
      <c r="AD1528" s="7"/>
      <c r="AE1528" s="154"/>
      <c r="AF1528" s="154"/>
      <c r="AH1528" s="7"/>
      <c r="AI1528" s="7"/>
      <c r="AJ1528" s="7"/>
      <c r="AL1528" s="154"/>
      <c r="AM1528" s="7"/>
      <c r="AN1528" s="13"/>
      <c r="AP1528" s="7"/>
      <c r="AQ1528" s="7"/>
      <c r="AR1528" s="7"/>
      <c r="AS1528" s="7"/>
      <c r="AT1528" s="7"/>
      <c r="AU1528" s="7"/>
    </row>
    <row r="1529" spans="7:47" ht="13.5" x14ac:dyDescent="0.25">
      <c r="G1529" s="7"/>
      <c r="P1529" s="7"/>
      <c r="Q1529" s="7"/>
      <c r="V1529" s="7"/>
      <c r="W1529" s="7"/>
      <c r="X1529" s="7"/>
      <c r="Y1529" s="7"/>
      <c r="Z1529" s="7"/>
      <c r="AA1529" s="7"/>
      <c r="AB1529" s="7"/>
      <c r="AC1529" s="7"/>
      <c r="AD1529" s="7"/>
      <c r="AE1529" s="154"/>
      <c r="AF1529" s="154"/>
      <c r="AH1529" s="7"/>
      <c r="AI1529" s="7"/>
      <c r="AJ1529" s="7"/>
      <c r="AL1529" s="154"/>
      <c r="AM1529" s="7"/>
      <c r="AN1529" s="13"/>
      <c r="AP1529" s="7"/>
      <c r="AQ1529" s="7"/>
      <c r="AR1529" s="7"/>
      <c r="AS1529" s="7"/>
      <c r="AT1529" s="7"/>
      <c r="AU1529" s="7"/>
    </row>
    <row r="1530" spans="7:47" ht="13.5" x14ac:dyDescent="0.25">
      <c r="G1530" s="7"/>
      <c r="P1530" s="7"/>
      <c r="Q1530" s="7"/>
      <c r="V1530" s="7"/>
      <c r="W1530" s="7"/>
      <c r="X1530" s="7"/>
      <c r="Y1530" s="7"/>
      <c r="Z1530" s="7"/>
      <c r="AA1530" s="7"/>
      <c r="AB1530" s="7"/>
      <c r="AC1530" s="7"/>
      <c r="AD1530" s="7"/>
      <c r="AE1530" s="154"/>
      <c r="AF1530" s="154"/>
      <c r="AH1530" s="7"/>
      <c r="AI1530" s="7"/>
      <c r="AJ1530" s="7"/>
      <c r="AL1530" s="154"/>
      <c r="AM1530" s="7"/>
      <c r="AN1530" s="13"/>
      <c r="AP1530" s="7"/>
      <c r="AQ1530" s="7"/>
      <c r="AR1530" s="7"/>
      <c r="AS1530" s="7"/>
      <c r="AT1530" s="7"/>
      <c r="AU1530" s="7"/>
    </row>
    <row r="1531" spans="7:47" ht="13.5" x14ac:dyDescent="0.25">
      <c r="G1531" s="7"/>
      <c r="P1531" s="7"/>
      <c r="Q1531" s="7"/>
      <c r="V1531" s="7"/>
      <c r="W1531" s="7"/>
      <c r="X1531" s="7"/>
      <c r="Y1531" s="7"/>
      <c r="Z1531" s="7"/>
      <c r="AA1531" s="7"/>
      <c r="AB1531" s="7"/>
      <c r="AC1531" s="7"/>
      <c r="AD1531" s="7"/>
      <c r="AE1531" s="154"/>
      <c r="AF1531" s="154"/>
      <c r="AH1531" s="7"/>
      <c r="AI1531" s="7"/>
      <c r="AJ1531" s="7"/>
      <c r="AL1531" s="154"/>
      <c r="AM1531" s="7"/>
      <c r="AN1531" s="13"/>
      <c r="AP1531" s="7"/>
      <c r="AQ1531" s="7"/>
      <c r="AR1531" s="7"/>
      <c r="AS1531" s="7"/>
      <c r="AT1531" s="7"/>
      <c r="AU1531" s="7"/>
    </row>
    <row r="1532" spans="7:47" ht="13.5" x14ac:dyDescent="0.25">
      <c r="G1532" s="7"/>
      <c r="P1532" s="7"/>
      <c r="Q1532" s="7"/>
      <c r="V1532" s="7"/>
      <c r="W1532" s="7"/>
      <c r="X1532" s="7"/>
      <c r="Y1532" s="7"/>
      <c r="Z1532" s="7"/>
      <c r="AA1532" s="7"/>
      <c r="AB1532" s="7"/>
      <c r="AC1532" s="7"/>
      <c r="AD1532" s="7"/>
      <c r="AE1532" s="154"/>
      <c r="AF1532" s="154"/>
      <c r="AH1532" s="7"/>
      <c r="AI1532" s="7"/>
      <c r="AJ1532" s="7"/>
      <c r="AL1532" s="154"/>
      <c r="AM1532" s="7"/>
      <c r="AN1532" s="13"/>
      <c r="AP1532" s="7"/>
      <c r="AQ1532" s="7"/>
      <c r="AR1532" s="7"/>
      <c r="AS1532" s="7"/>
      <c r="AT1532" s="7"/>
      <c r="AU1532" s="7"/>
    </row>
    <row r="1533" spans="7:47" ht="13.5" x14ac:dyDescent="0.25">
      <c r="G1533" s="7"/>
      <c r="P1533" s="7"/>
      <c r="Q1533" s="7"/>
      <c r="V1533" s="7"/>
      <c r="W1533" s="7"/>
      <c r="X1533" s="7"/>
      <c r="Y1533" s="7"/>
      <c r="Z1533" s="7"/>
      <c r="AA1533" s="7"/>
      <c r="AB1533" s="7"/>
      <c r="AC1533" s="7"/>
      <c r="AD1533" s="7"/>
      <c r="AE1533" s="154"/>
      <c r="AF1533" s="154"/>
      <c r="AH1533" s="7"/>
      <c r="AI1533" s="7"/>
      <c r="AJ1533" s="7"/>
      <c r="AL1533" s="154"/>
      <c r="AM1533" s="7"/>
      <c r="AN1533" s="13"/>
      <c r="AP1533" s="7"/>
      <c r="AQ1533" s="7"/>
      <c r="AR1533" s="7"/>
      <c r="AS1533" s="7"/>
      <c r="AT1533" s="7"/>
      <c r="AU1533" s="7"/>
    </row>
    <row r="1534" spans="7:47" ht="13.5" x14ac:dyDescent="0.25">
      <c r="G1534" s="7"/>
      <c r="P1534" s="7"/>
      <c r="Q1534" s="7"/>
      <c r="V1534" s="7"/>
      <c r="W1534" s="7"/>
      <c r="X1534" s="7"/>
      <c r="Y1534" s="7"/>
      <c r="Z1534" s="7"/>
      <c r="AA1534" s="7"/>
      <c r="AB1534" s="7"/>
      <c r="AC1534" s="7"/>
      <c r="AD1534" s="7"/>
      <c r="AE1534" s="154"/>
      <c r="AF1534" s="154"/>
      <c r="AH1534" s="7"/>
      <c r="AI1534" s="7"/>
      <c r="AJ1534" s="7"/>
      <c r="AL1534" s="154"/>
      <c r="AM1534" s="7"/>
      <c r="AN1534" s="13"/>
      <c r="AP1534" s="7"/>
      <c r="AQ1534" s="7"/>
      <c r="AR1534" s="7"/>
      <c r="AS1534" s="7"/>
      <c r="AT1534" s="7"/>
      <c r="AU1534" s="7"/>
    </row>
    <row r="1535" spans="7:47" ht="13.5" x14ac:dyDescent="0.25">
      <c r="G1535" s="7"/>
      <c r="P1535" s="7"/>
      <c r="Q1535" s="7"/>
      <c r="V1535" s="7"/>
      <c r="W1535" s="7"/>
      <c r="X1535" s="7"/>
      <c r="Y1535" s="7"/>
      <c r="Z1535" s="7"/>
      <c r="AA1535" s="7"/>
      <c r="AB1535" s="7"/>
      <c r="AC1535" s="7"/>
      <c r="AD1535" s="7"/>
      <c r="AE1535" s="154"/>
      <c r="AF1535" s="154"/>
      <c r="AH1535" s="7"/>
      <c r="AI1535" s="7"/>
      <c r="AJ1535" s="7"/>
      <c r="AL1535" s="154"/>
      <c r="AM1535" s="7"/>
      <c r="AN1535" s="13"/>
      <c r="AP1535" s="7"/>
      <c r="AQ1535" s="7"/>
      <c r="AR1535" s="7"/>
      <c r="AS1535" s="7"/>
      <c r="AT1535" s="7"/>
      <c r="AU1535" s="7"/>
    </row>
    <row r="1536" spans="7:47" ht="13.5" x14ac:dyDescent="0.25">
      <c r="G1536" s="7"/>
      <c r="P1536" s="7"/>
      <c r="Q1536" s="7"/>
      <c r="V1536" s="7"/>
      <c r="W1536" s="7"/>
      <c r="X1536" s="7"/>
      <c r="Y1536" s="7"/>
      <c r="Z1536" s="7"/>
      <c r="AA1536" s="7"/>
      <c r="AB1536" s="7"/>
      <c r="AC1536" s="7"/>
      <c r="AD1536" s="7"/>
      <c r="AE1536" s="154"/>
      <c r="AF1536" s="154"/>
      <c r="AH1536" s="7"/>
      <c r="AI1536" s="7"/>
      <c r="AJ1536" s="7"/>
      <c r="AL1536" s="154"/>
      <c r="AM1536" s="7"/>
      <c r="AN1536" s="13"/>
      <c r="AP1536" s="7"/>
      <c r="AQ1536" s="7"/>
      <c r="AR1536" s="7"/>
      <c r="AS1536" s="7"/>
      <c r="AT1536" s="7"/>
      <c r="AU1536" s="7"/>
    </row>
    <row r="1537" spans="7:47" ht="13.5" x14ac:dyDescent="0.25">
      <c r="G1537" s="7"/>
      <c r="P1537" s="7"/>
      <c r="Q1537" s="7"/>
      <c r="V1537" s="7"/>
      <c r="W1537" s="7"/>
      <c r="X1537" s="7"/>
      <c r="Y1537" s="7"/>
      <c r="Z1537" s="7"/>
      <c r="AA1537" s="7"/>
      <c r="AB1537" s="7"/>
      <c r="AC1537" s="7"/>
      <c r="AD1537" s="7"/>
      <c r="AE1537" s="154"/>
      <c r="AF1537" s="154"/>
      <c r="AH1537" s="7"/>
      <c r="AI1537" s="7"/>
      <c r="AJ1537" s="7"/>
      <c r="AL1537" s="154"/>
      <c r="AM1537" s="7"/>
      <c r="AN1537" s="13"/>
      <c r="AP1537" s="7"/>
      <c r="AQ1537" s="7"/>
      <c r="AR1537" s="7"/>
      <c r="AS1537" s="7"/>
      <c r="AT1537" s="7"/>
      <c r="AU1537" s="7"/>
    </row>
    <row r="1538" spans="7:47" ht="13.5" x14ac:dyDescent="0.25">
      <c r="G1538" s="7"/>
      <c r="P1538" s="7"/>
      <c r="Q1538" s="7"/>
      <c r="V1538" s="7"/>
      <c r="W1538" s="7"/>
      <c r="X1538" s="7"/>
      <c r="Y1538" s="7"/>
      <c r="Z1538" s="7"/>
      <c r="AA1538" s="7"/>
      <c r="AB1538" s="7"/>
      <c r="AC1538" s="7"/>
      <c r="AD1538" s="7"/>
      <c r="AE1538" s="154"/>
      <c r="AF1538" s="154"/>
      <c r="AH1538" s="7"/>
      <c r="AI1538" s="7"/>
      <c r="AJ1538" s="7"/>
      <c r="AL1538" s="154"/>
      <c r="AM1538" s="7"/>
      <c r="AN1538" s="13"/>
      <c r="AP1538" s="7"/>
      <c r="AQ1538" s="7"/>
      <c r="AR1538" s="7"/>
      <c r="AS1538" s="7"/>
      <c r="AT1538" s="7"/>
      <c r="AU1538" s="7"/>
    </row>
    <row r="1539" spans="7:47" ht="13.5" x14ac:dyDescent="0.25">
      <c r="G1539" s="7"/>
      <c r="P1539" s="7"/>
      <c r="Q1539" s="7"/>
      <c r="V1539" s="7"/>
      <c r="W1539" s="7"/>
      <c r="X1539" s="7"/>
      <c r="Y1539" s="7"/>
      <c r="Z1539" s="7"/>
      <c r="AA1539" s="7"/>
      <c r="AB1539" s="7"/>
      <c r="AC1539" s="7"/>
      <c r="AD1539" s="7"/>
      <c r="AE1539" s="154"/>
      <c r="AF1539" s="154"/>
      <c r="AH1539" s="7"/>
      <c r="AI1539" s="7"/>
      <c r="AJ1539" s="7"/>
      <c r="AL1539" s="154"/>
      <c r="AM1539" s="7"/>
      <c r="AN1539" s="13"/>
      <c r="AP1539" s="7"/>
      <c r="AQ1539" s="7"/>
      <c r="AR1539" s="7"/>
      <c r="AS1539" s="7"/>
      <c r="AT1539" s="7"/>
      <c r="AU1539" s="7"/>
    </row>
    <row r="1540" spans="7:47" ht="13.5" x14ac:dyDescent="0.25">
      <c r="G1540" s="7"/>
      <c r="P1540" s="7"/>
      <c r="Q1540" s="7"/>
      <c r="V1540" s="7"/>
      <c r="W1540" s="7"/>
      <c r="X1540" s="7"/>
      <c r="Y1540" s="7"/>
      <c r="Z1540" s="7"/>
      <c r="AA1540" s="7"/>
      <c r="AB1540" s="7"/>
      <c r="AC1540" s="7"/>
      <c r="AD1540" s="7"/>
      <c r="AE1540" s="154"/>
      <c r="AF1540" s="154"/>
      <c r="AH1540" s="7"/>
      <c r="AI1540" s="7"/>
      <c r="AJ1540" s="7"/>
      <c r="AL1540" s="154"/>
      <c r="AM1540" s="7"/>
      <c r="AN1540" s="13"/>
      <c r="AP1540" s="7"/>
      <c r="AQ1540" s="7"/>
      <c r="AR1540" s="7"/>
      <c r="AS1540" s="7"/>
      <c r="AT1540" s="7"/>
      <c r="AU1540" s="7"/>
    </row>
    <row r="1541" spans="7:47" ht="13.5" x14ac:dyDescent="0.25">
      <c r="G1541" s="7"/>
      <c r="P1541" s="7"/>
      <c r="Q1541" s="7"/>
      <c r="V1541" s="7"/>
      <c r="W1541" s="7"/>
      <c r="X1541" s="7"/>
      <c r="Y1541" s="7"/>
      <c r="Z1541" s="7"/>
      <c r="AA1541" s="7"/>
      <c r="AB1541" s="7"/>
      <c r="AC1541" s="7"/>
      <c r="AD1541" s="7"/>
      <c r="AE1541" s="154"/>
      <c r="AF1541" s="154"/>
      <c r="AH1541" s="7"/>
      <c r="AI1541" s="7"/>
      <c r="AJ1541" s="7"/>
      <c r="AL1541" s="154"/>
      <c r="AM1541" s="7"/>
      <c r="AN1541" s="13"/>
      <c r="AP1541" s="7"/>
      <c r="AQ1541" s="7"/>
      <c r="AR1541" s="7"/>
      <c r="AS1541" s="7"/>
      <c r="AT1541" s="7"/>
      <c r="AU1541" s="7"/>
    </row>
    <row r="1542" spans="7:47" ht="13.5" x14ac:dyDescent="0.25">
      <c r="G1542" s="7"/>
      <c r="P1542" s="7"/>
      <c r="Q1542" s="7"/>
      <c r="V1542" s="7"/>
      <c r="W1542" s="7"/>
      <c r="X1542" s="7"/>
      <c r="Y1542" s="7"/>
      <c r="Z1542" s="7"/>
      <c r="AA1542" s="7"/>
      <c r="AB1542" s="7"/>
      <c r="AC1542" s="7"/>
      <c r="AD1542" s="7"/>
      <c r="AE1542" s="154"/>
      <c r="AF1542" s="154"/>
      <c r="AH1542" s="7"/>
      <c r="AI1542" s="7"/>
      <c r="AJ1542" s="7"/>
      <c r="AL1542" s="154"/>
      <c r="AM1542" s="7"/>
      <c r="AN1542" s="13"/>
      <c r="AP1542" s="7"/>
      <c r="AQ1542" s="7"/>
      <c r="AR1542" s="7"/>
      <c r="AS1542" s="7"/>
      <c r="AT1542" s="7"/>
      <c r="AU1542" s="7"/>
    </row>
    <row r="1543" spans="7:47" ht="13.5" x14ac:dyDescent="0.25">
      <c r="G1543" s="7"/>
      <c r="P1543" s="7"/>
      <c r="Q1543" s="7"/>
      <c r="V1543" s="7"/>
      <c r="W1543" s="7"/>
      <c r="X1543" s="7"/>
      <c r="Y1543" s="7"/>
      <c r="Z1543" s="7"/>
      <c r="AA1543" s="7"/>
      <c r="AB1543" s="7"/>
      <c r="AC1543" s="7"/>
      <c r="AD1543" s="7"/>
      <c r="AE1543" s="154"/>
      <c r="AF1543" s="154"/>
      <c r="AH1543" s="7"/>
      <c r="AI1543" s="7"/>
      <c r="AJ1543" s="7"/>
      <c r="AL1543" s="154"/>
      <c r="AM1543" s="7"/>
      <c r="AN1543" s="13"/>
      <c r="AP1543" s="7"/>
      <c r="AQ1543" s="7"/>
      <c r="AR1543" s="7"/>
      <c r="AS1543" s="7"/>
      <c r="AT1543" s="7"/>
      <c r="AU1543" s="7"/>
    </row>
    <row r="1544" spans="7:47" ht="13.5" x14ac:dyDescent="0.25">
      <c r="G1544" s="7"/>
      <c r="P1544" s="7"/>
      <c r="Q1544" s="7"/>
      <c r="V1544" s="7"/>
      <c r="W1544" s="7"/>
      <c r="X1544" s="7"/>
      <c r="Y1544" s="7"/>
      <c r="Z1544" s="7"/>
      <c r="AA1544" s="7"/>
      <c r="AB1544" s="7"/>
      <c r="AC1544" s="7"/>
      <c r="AD1544" s="7"/>
      <c r="AE1544" s="154"/>
      <c r="AF1544" s="154"/>
      <c r="AH1544" s="7"/>
      <c r="AI1544" s="7"/>
      <c r="AJ1544" s="7"/>
      <c r="AL1544" s="154"/>
      <c r="AM1544" s="7"/>
      <c r="AN1544" s="13"/>
      <c r="AP1544" s="7"/>
      <c r="AQ1544" s="7"/>
      <c r="AR1544" s="7"/>
      <c r="AS1544" s="7"/>
      <c r="AT1544" s="7"/>
      <c r="AU1544" s="7"/>
    </row>
    <row r="1545" spans="7:47" ht="13.5" x14ac:dyDescent="0.25">
      <c r="G1545" s="7"/>
      <c r="P1545" s="7"/>
      <c r="Q1545" s="7"/>
      <c r="V1545" s="7"/>
      <c r="W1545" s="7"/>
      <c r="X1545" s="7"/>
      <c r="Y1545" s="7"/>
      <c r="Z1545" s="7"/>
      <c r="AA1545" s="7"/>
      <c r="AB1545" s="7"/>
      <c r="AC1545" s="7"/>
      <c r="AD1545" s="7"/>
      <c r="AE1545" s="154"/>
      <c r="AF1545" s="154"/>
      <c r="AH1545" s="7"/>
      <c r="AI1545" s="7"/>
      <c r="AJ1545" s="7"/>
      <c r="AL1545" s="154"/>
      <c r="AM1545" s="7"/>
      <c r="AN1545" s="13"/>
      <c r="AP1545" s="7"/>
      <c r="AQ1545" s="7"/>
      <c r="AR1545" s="7"/>
      <c r="AS1545" s="7"/>
      <c r="AT1545" s="7"/>
      <c r="AU1545" s="7"/>
    </row>
    <row r="1546" spans="7:47" ht="13.5" x14ac:dyDescent="0.25">
      <c r="G1546" s="7"/>
      <c r="P1546" s="7"/>
      <c r="Q1546" s="7"/>
      <c r="V1546" s="7"/>
      <c r="W1546" s="7"/>
      <c r="X1546" s="7"/>
      <c r="Y1546" s="7"/>
      <c r="Z1546" s="7"/>
      <c r="AA1546" s="7"/>
      <c r="AB1546" s="7"/>
      <c r="AC1546" s="7"/>
      <c r="AD1546" s="7"/>
      <c r="AE1546" s="154"/>
      <c r="AF1546" s="154"/>
      <c r="AH1546" s="7"/>
      <c r="AI1546" s="7"/>
      <c r="AJ1546" s="7"/>
      <c r="AL1546" s="154"/>
      <c r="AM1546" s="7"/>
      <c r="AN1546" s="13"/>
      <c r="AP1546" s="7"/>
      <c r="AQ1546" s="7"/>
      <c r="AR1546" s="7"/>
      <c r="AS1546" s="7"/>
      <c r="AT1546" s="7"/>
      <c r="AU1546" s="7"/>
    </row>
    <row r="1547" spans="7:47" ht="13.5" x14ac:dyDescent="0.25">
      <c r="G1547" s="7"/>
      <c r="P1547" s="7"/>
      <c r="Q1547" s="7"/>
      <c r="V1547" s="7"/>
      <c r="W1547" s="7"/>
      <c r="X1547" s="7"/>
      <c r="Y1547" s="7"/>
      <c r="Z1547" s="7"/>
      <c r="AA1547" s="7"/>
      <c r="AB1547" s="7"/>
      <c r="AC1547" s="7"/>
      <c r="AD1547" s="7"/>
      <c r="AE1547" s="154"/>
      <c r="AF1547" s="154"/>
      <c r="AH1547" s="7"/>
      <c r="AI1547" s="7"/>
      <c r="AJ1547" s="7"/>
      <c r="AL1547" s="154"/>
      <c r="AM1547" s="7"/>
      <c r="AN1547" s="13"/>
      <c r="AP1547" s="7"/>
      <c r="AQ1547" s="7"/>
      <c r="AR1547" s="7"/>
      <c r="AS1547" s="7"/>
      <c r="AT1547" s="7"/>
      <c r="AU1547" s="7"/>
    </row>
    <row r="1548" spans="7:47" ht="13.5" x14ac:dyDescent="0.25">
      <c r="G1548" s="7"/>
      <c r="P1548" s="7"/>
      <c r="Q1548" s="7"/>
      <c r="V1548" s="7"/>
      <c r="W1548" s="7"/>
      <c r="X1548" s="7"/>
      <c r="Y1548" s="7"/>
      <c r="Z1548" s="7"/>
      <c r="AA1548" s="7"/>
      <c r="AB1548" s="7"/>
      <c r="AC1548" s="7"/>
      <c r="AD1548" s="7"/>
      <c r="AE1548" s="154"/>
      <c r="AF1548" s="154"/>
      <c r="AH1548" s="7"/>
      <c r="AI1548" s="7"/>
      <c r="AJ1548" s="7"/>
      <c r="AL1548" s="154"/>
      <c r="AM1548" s="7"/>
      <c r="AN1548" s="13"/>
      <c r="AP1548" s="7"/>
      <c r="AQ1548" s="7"/>
      <c r="AR1548" s="7"/>
      <c r="AS1548" s="7"/>
      <c r="AT1548" s="7"/>
      <c r="AU1548" s="7"/>
    </row>
    <row r="1549" spans="7:47" ht="13.5" x14ac:dyDescent="0.25">
      <c r="G1549" s="7"/>
      <c r="P1549" s="7"/>
      <c r="Q1549" s="7"/>
      <c r="V1549" s="7"/>
      <c r="W1549" s="7"/>
      <c r="X1549" s="7"/>
      <c r="Y1549" s="7"/>
      <c r="Z1549" s="7"/>
      <c r="AA1549" s="7"/>
      <c r="AB1549" s="7"/>
      <c r="AC1549" s="7"/>
      <c r="AD1549" s="7"/>
      <c r="AE1549" s="154"/>
      <c r="AF1549" s="154"/>
      <c r="AH1549" s="7"/>
      <c r="AI1549" s="7"/>
      <c r="AJ1549" s="7"/>
      <c r="AL1549" s="154"/>
      <c r="AM1549" s="7"/>
      <c r="AN1549" s="13"/>
      <c r="AP1549" s="7"/>
      <c r="AQ1549" s="7"/>
      <c r="AR1549" s="7"/>
      <c r="AS1549" s="7"/>
      <c r="AT1549" s="7"/>
      <c r="AU1549" s="7"/>
    </row>
    <row r="1550" spans="7:47" ht="13.5" x14ac:dyDescent="0.25">
      <c r="G1550" s="7"/>
      <c r="P1550" s="7"/>
      <c r="Q1550" s="7"/>
      <c r="V1550" s="7"/>
      <c r="W1550" s="7"/>
      <c r="X1550" s="7"/>
      <c r="Y1550" s="7"/>
      <c r="Z1550" s="7"/>
      <c r="AA1550" s="7"/>
      <c r="AB1550" s="7"/>
      <c r="AC1550" s="7"/>
      <c r="AD1550" s="7"/>
      <c r="AE1550" s="154"/>
      <c r="AF1550" s="154"/>
      <c r="AH1550" s="7"/>
      <c r="AI1550" s="7"/>
      <c r="AJ1550" s="7"/>
      <c r="AL1550" s="154"/>
      <c r="AM1550" s="7"/>
      <c r="AN1550" s="13"/>
      <c r="AP1550" s="7"/>
      <c r="AQ1550" s="7"/>
      <c r="AR1550" s="7"/>
      <c r="AS1550" s="7"/>
      <c r="AT1550" s="7"/>
      <c r="AU1550" s="7"/>
    </row>
    <row r="1551" spans="7:47" ht="13.5" x14ac:dyDescent="0.25">
      <c r="G1551" s="7"/>
      <c r="P1551" s="7"/>
      <c r="Q1551" s="7"/>
      <c r="V1551" s="7"/>
      <c r="W1551" s="7"/>
      <c r="X1551" s="7"/>
      <c r="Y1551" s="7"/>
      <c r="Z1551" s="7"/>
      <c r="AA1551" s="7"/>
      <c r="AB1551" s="7"/>
      <c r="AC1551" s="7"/>
      <c r="AD1551" s="7"/>
      <c r="AE1551" s="154"/>
      <c r="AF1551" s="154"/>
      <c r="AH1551" s="7"/>
      <c r="AI1551" s="7"/>
      <c r="AJ1551" s="7"/>
      <c r="AL1551" s="154"/>
      <c r="AM1551" s="7"/>
      <c r="AN1551" s="13"/>
      <c r="AP1551" s="7"/>
      <c r="AQ1551" s="7"/>
      <c r="AR1551" s="7"/>
      <c r="AS1551" s="7"/>
      <c r="AT1551" s="7"/>
      <c r="AU1551" s="7"/>
    </row>
    <row r="1552" spans="7:47" ht="13.5" x14ac:dyDescent="0.25">
      <c r="G1552" s="7"/>
      <c r="P1552" s="7"/>
      <c r="Q1552" s="7"/>
      <c r="V1552" s="7"/>
      <c r="W1552" s="7"/>
      <c r="X1552" s="7"/>
      <c r="Y1552" s="7"/>
      <c r="Z1552" s="7"/>
      <c r="AA1552" s="7"/>
      <c r="AB1552" s="7"/>
      <c r="AC1552" s="7"/>
      <c r="AD1552" s="7"/>
      <c r="AE1552" s="154"/>
      <c r="AF1552" s="154"/>
      <c r="AH1552" s="7"/>
      <c r="AI1552" s="7"/>
      <c r="AJ1552" s="7"/>
      <c r="AL1552" s="154"/>
      <c r="AM1552" s="7"/>
      <c r="AN1552" s="13"/>
      <c r="AP1552" s="7"/>
      <c r="AQ1552" s="7"/>
      <c r="AR1552" s="7"/>
      <c r="AS1552" s="7"/>
      <c r="AT1552" s="7"/>
      <c r="AU1552" s="7"/>
    </row>
    <row r="1553" spans="4:47" ht="13.5" x14ac:dyDescent="0.25">
      <c r="G1553" s="7"/>
      <c r="P1553" s="7"/>
      <c r="Q1553" s="7"/>
      <c r="V1553" s="7"/>
      <c r="W1553" s="7"/>
      <c r="X1553" s="7"/>
      <c r="Y1553" s="7"/>
      <c r="Z1553" s="7"/>
      <c r="AA1553" s="7"/>
      <c r="AB1553" s="7"/>
      <c r="AC1553" s="7"/>
      <c r="AD1553" s="7"/>
      <c r="AE1553" s="154"/>
      <c r="AF1553" s="154"/>
      <c r="AH1553" s="7"/>
      <c r="AI1553" s="7"/>
      <c r="AJ1553" s="7"/>
      <c r="AL1553" s="154"/>
      <c r="AM1553" s="7"/>
      <c r="AN1553" s="13"/>
      <c r="AP1553" s="7"/>
      <c r="AQ1553" s="7"/>
      <c r="AR1553" s="7"/>
      <c r="AS1553" s="7"/>
      <c r="AT1553" s="7"/>
      <c r="AU1553" s="7"/>
    </row>
    <row r="1554" spans="4:47" ht="13.5" x14ac:dyDescent="0.25">
      <c r="G1554" s="7"/>
      <c r="P1554" s="7"/>
      <c r="Q1554" s="7"/>
      <c r="V1554" s="7"/>
      <c r="W1554" s="7"/>
      <c r="X1554" s="7"/>
      <c r="Y1554" s="7"/>
      <c r="Z1554" s="7"/>
      <c r="AA1554" s="7"/>
      <c r="AB1554" s="7"/>
      <c r="AC1554" s="7"/>
      <c r="AD1554" s="7"/>
      <c r="AE1554" s="154"/>
      <c r="AF1554" s="154"/>
      <c r="AH1554" s="7"/>
      <c r="AI1554" s="7"/>
      <c r="AJ1554" s="7"/>
      <c r="AL1554" s="154"/>
      <c r="AM1554" s="7"/>
      <c r="AN1554" s="13"/>
      <c r="AP1554" s="7"/>
      <c r="AQ1554" s="7"/>
      <c r="AR1554" s="7"/>
      <c r="AS1554" s="7"/>
      <c r="AT1554" s="7"/>
      <c r="AU1554" s="7"/>
    </row>
    <row r="1555" spans="4:47" ht="13.5" x14ac:dyDescent="0.25">
      <c r="G1555" s="7"/>
      <c r="P1555" s="7"/>
      <c r="Q1555" s="7"/>
      <c r="V1555" s="7"/>
      <c r="W1555" s="7"/>
      <c r="X1555" s="7"/>
      <c r="Y1555" s="7"/>
      <c r="Z1555" s="7"/>
      <c r="AA1555" s="7"/>
      <c r="AB1555" s="7"/>
      <c r="AC1555" s="7"/>
      <c r="AD1555" s="7"/>
      <c r="AE1555" s="154"/>
      <c r="AF1555" s="154"/>
      <c r="AH1555" s="7"/>
      <c r="AI1555" s="7"/>
      <c r="AJ1555" s="7"/>
      <c r="AL1555" s="154"/>
      <c r="AM1555" s="7"/>
      <c r="AN1555" s="13"/>
      <c r="AP1555" s="7"/>
      <c r="AQ1555" s="7"/>
      <c r="AR1555" s="7"/>
      <c r="AS1555" s="7"/>
      <c r="AT1555" s="7"/>
      <c r="AU1555" s="7"/>
    </row>
    <row r="1556" spans="4:47" x14ac:dyDescent="0.3">
      <c r="AQ1556" s="7"/>
      <c r="AR1556" s="7"/>
      <c r="AS1556" s="7"/>
      <c r="AT1556" s="7"/>
      <c r="AU1556" s="7"/>
    </row>
    <row r="1557" spans="4:47" x14ac:dyDescent="0.3">
      <c r="AQ1557" s="7"/>
      <c r="AR1557" s="7"/>
      <c r="AS1557" s="7"/>
      <c r="AT1557" s="7"/>
      <c r="AU1557" s="7"/>
    </row>
    <row r="1558" spans="4:47" x14ac:dyDescent="0.3">
      <c r="AQ1558" s="7"/>
      <c r="AR1558" s="7"/>
      <c r="AS1558" s="7"/>
      <c r="AT1558" s="7"/>
      <c r="AU1558" s="7"/>
    </row>
    <row r="1559" spans="4:47" x14ac:dyDescent="0.3">
      <c r="AQ1559" s="7"/>
      <c r="AR1559" s="7"/>
      <c r="AS1559" s="7"/>
      <c r="AT1559" s="7"/>
      <c r="AU1559" s="7"/>
    </row>
    <row r="1560" spans="4:47" x14ac:dyDescent="0.3">
      <c r="AQ1560" s="7"/>
      <c r="AR1560" s="7"/>
      <c r="AS1560" s="7"/>
      <c r="AT1560" s="7"/>
      <c r="AU1560" s="7"/>
    </row>
    <row r="1561" spans="4:47" x14ac:dyDescent="0.3">
      <c r="AQ1561" s="7"/>
      <c r="AR1561" s="7"/>
      <c r="AS1561" s="7"/>
      <c r="AT1561" s="7"/>
      <c r="AU1561" s="7"/>
    </row>
    <row r="1562" spans="4:47" ht="13.5" x14ac:dyDescent="0.25">
      <c r="D1562" s="7"/>
      <c r="G1562" s="7"/>
      <c r="M1562" s="7"/>
      <c r="P1562" s="7"/>
      <c r="Q1562" s="7"/>
      <c r="V1562" s="7"/>
      <c r="W1562" s="7"/>
      <c r="X1562" s="7"/>
      <c r="Y1562" s="7"/>
      <c r="Z1562" s="7"/>
      <c r="AA1562" s="7"/>
      <c r="AB1562" s="7"/>
      <c r="AC1562" s="7"/>
      <c r="AD1562" s="7"/>
      <c r="AE1562" s="7"/>
      <c r="AF1562" s="7"/>
      <c r="AH1562" s="7"/>
      <c r="AI1562" s="7"/>
      <c r="AJ1562" s="7"/>
      <c r="AL1562" s="7"/>
      <c r="AM1562" s="7"/>
      <c r="AN1562" s="7"/>
      <c r="AP1562" s="7"/>
      <c r="AQ1562" s="7"/>
      <c r="AR1562" s="7"/>
      <c r="AS1562" s="7"/>
      <c r="AT1562" s="7"/>
      <c r="AU1562" s="7"/>
    </row>
    <row r="1563" spans="4:47" ht="13.5" x14ac:dyDescent="0.25">
      <c r="D1563" s="7"/>
      <c r="G1563" s="7"/>
      <c r="M1563" s="7"/>
      <c r="P1563" s="7"/>
      <c r="Q1563" s="7"/>
      <c r="V1563" s="7"/>
      <c r="W1563" s="7"/>
      <c r="X1563" s="7"/>
      <c r="Y1563" s="7"/>
      <c r="Z1563" s="7"/>
      <c r="AA1563" s="7"/>
      <c r="AB1563" s="7"/>
      <c r="AC1563" s="7"/>
      <c r="AD1563" s="7"/>
      <c r="AE1563" s="7"/>
      <c r="AF1563" s="7"/>
      <c r="AH1563" s="7"/>
      <c r="AI1563" s="7"/>
      <c r="AJ1563" s="7"/>
      <c r="AL1563" s="7"/>
      <c r="AM1563" s="7"/>
      <c r="AN1563" s="7"/>
      <c r="AP1563" s="7"/>
      <c r="AQ1563" s="7"/>
      <c r="AR1563" s="7"/>
      <c r="AS1563" s="7"/>
      <c r="AT1563" s="7"/>
      <c r="AU1563" s="7"/>
    </row>
    <row r="1564" spans="4:47" ht="13.5" x14ac:dyDescent="0.25">
      <c r="D1564" s="7"/>
      <c r="G1564" s="7"/>
      <c r="M1564" s="7"/>
      <c r="P1564" s="7"/>
      <c r="Q1564" s="7"/>
      <c r="V1564" s="7"/>
      <c r="W1564" s="7"/>
      <c r="X1564" s="7"/>
      <c r="Y1564" s="7"/>
      <c r="Z1564" s="7"/>
      <c r="AA1564" s="7"/>
      <c r="AB1564" s="7"/>
      <c r="AC1564" s="7"/>
      <c r="AD1564" s="7"/>
      <c r="AE1564" s="7"/>
      <c r="AF1564" s="7"/>
      <c r="AH1564" s="7"/>
      <c r="AI1564" s="7"/>
      <c r="AJ1564" s="7"/>
      <c r="AL1564" s="7"/>
      <c r="AM1564" s="7"/>
      <c r="AN1564" s="7"/>
      <c r="AP1564" s="7"/>
      <c r="AQ1564" s="7"/>
      <c r="AR1564" s="7"/>
      <c r="AS1564" s="7"/>
      <c r="AT1564" s="7"/>
      <c r="AU1564" s="7"/>
    </row>
    <row r="1565" spans="4:47" ht="13.5" x14ac:dyDescent="0.25">
      <c r="D1565" s="7"/>
      <c r="G1565" s="7"/>
      <c r="M1565" s="7"/>
      <c r="P1565" s="7"/>
      <c r="Q1565" s="7"/>
      <c r="V1565" s="7"/>
      <c r="W1565" s="7"/>
      <c r="X1565" s="7"/>
      <c r="Y1565" s="7"/>
      <c r="Z1565" s="7"/>
      <c r="AA1565" s="7"/>
      <c r="AB1565" s="7"/>
      <c r="AC1565" s="7"/>
      <c r="AD1565" s="7"/>
      <c r="AE1565" s="7"/>
      <c r="AF1565" s="7"/>
      <c r="AH1565" s="7"/>
      <c r="AI1565" s="7"/>
      <c r="AJ1565" s="7"/>
      <c r="AL1565" s="7"/>
      <c r="AM1565" s="7"/>
      <c r="AN1565" s="7"/>
      <c r="AP1565" s="7"/>
      <c r="AQ1565" s="7"/>
      <c r="AR1565" s="7"/>
      <c r="AS1565" s="7"/>
      <c r="AT1565" s="7"/>
      <c r="AU1565" s="7"/>
    </row>
    <row r="1566" spans="4:47" ht="13.5" x14ac:dyDescent="0.25">
      <c r="D1566" s="7"/>
      <c r="G1566" s="7"/>
      <c r="M1566" s="7"/>
      <c r="P1566" s="7"/>
      <c r="Q1566" s="7"/>
      <c r="V1566" s="7"/>
      <c r="W1566" s="7"/>
      <c r="X1566" s="7"/>
      <c r="Y1566" s="7"/>
      <c r="Z1566" s="7"/>
      <c r="AA1566" s="7"/>
      <c r="AB1566" s="7"/>
      <c r="AC1566" s="7"/>
      <c r="AD1566" s="7"/>
      <c r="AE1566" s="7"/>
      <c r="AF1566" s="7"/>
      <c r="AH1566" s="7"/>
      <c r="AI1566" s="7"/>
      <c r="AJ1566" s="7"/>
      <c r="AL1566" s="7"/>
      <c r="AM1566" s="7"/>
      <c r="AN1566" s="7"/>
      <c r="AP1566" s="7"/>
      <c r="AQ1566" s="7"/>
      <c r="AR1566" s="7"/>
      <c r="AS1566" s="7"/>
      <c r="AT1566" s="7"/>
      <c r="AU1566" s="7"/>
    </row>
    <row r="1567" spans="4:47" ht="13.5" x14ac:dyDescent="0.25">
      <c r="D1567" s="7"/>
      <c r="G1567" s="7"/>
      <c r="M1567" s="7"/>
      <c r="P1567" s="7"/>
      <c r="Q1567" s="7"/>
      <c r="V1567" s="7"/>
      <c r="W1567" s="7"/>
      <c r="X1567" s="7"/>
      <c r="Y1567" s="7"/>
      <c r="Z1567" s="7"/>
      <c r="AA1567" s="7"/>
      <c r="AB1567" s="7"/>
      <c r="AC1567" s="7"/>
      <c r="AD1567" s="7"/>
      <c r="AE1567" s="7"/>
      <c r="AF1567" s="7"/>
      <c r="AH1567" s="7"/>
      <c r="AI1567" s="7"/>
      <c r="AJ1567" s="7"/>
      <c r="AL1567" s="7"/>
      <c r="AM1567" s="7"/>
      <c r="AN1567" s="7"/>
      <c r="AP1567" s="7"/>
      <c r="AQ1567" s="7"/>
      <c r="AR1567" s="7"/>
      <c r="AS1567" s="7"/>
      <c r="AT1567" s="7"/>
      <c r="AU1567" s="7"/>
    </row>
    <row r="1568" spans="4:47" ht="13.5" x14ac:dyDescent="0.25">
      <c r="D1568" s="7"/>
      <c r="G1568" s="7"/>
      <c r="M1568" s="7"/>
      <c r="P1568" s="7"/>
      <c r="Q1568" s="7"/>
      <c r="V1568" s="7"/>
      <c r="W1568" s="7"/>
      <c r="X1568" s="7"/>
      <c r="Y1568" s="7"/>
      <c r="Z1568" s="7"/>
      <c r="AA1568" s="7"/>
      <c r="AB1568" s="7"/>
      <c r="AC1568" s="7"/>
      <c r="AD1568" s="7"/>
      <c r="AE1568" s="7"/>
      <c r="AF1568" s="7"/>
      <c r="AH1568" s="7"/>
      <c r="AI1568" s="7"/>
      <c r="AJ1568" s="7"/>
      <c r="AL1568" s="7"/>
      <c r="AM1568" s="7"/>
      <c r="AN1568" s="7"/>
      <c r="AP1568" s="7"/>
      <c r="AQ1568" s="7"/>
      <c r="AR1568" s="7"/>
      <c r="AS1568" s="7"/>
      <c r="AT1568" s="7"/>
      <c r="AU1568" s="7"/>
    </row>
    <row r="1569" spans="4:47" ht="13.5" x14ac:dyDescent="0.25">
      <c r="D1569" s="7"/>
      <c r="G1569" s="7"/>
      <c r="M1569" s="7"/>
      <c r="P1569" s="7"/>
      <c r="Q1569" s="7"/>
      <c r="V1569" s="7"/>
      <c r="W1569" s="7"/>
      <c r="X1569" s="7"/>
      <c r="Y1569" s="7"/>
      <c r="Z1569" s="7"/>
      <c r="AA1569" s="7"/>
      <c r="AB1569" s="7"/>
      <c r="AC1569" s="7"/>
      <c r="AD1569" s="7"/>
      <c r="AE1569" s="7"/>
      <c r="AF1569" s="7"/>
      <c r="AH1569" s="7"/>
      <c r="AI1569" s="7"/>
      <c r="AJ1569" s="7"/>
      <c r="AL1569" s="7"/>
      <c r="AM1569" s="7"/>
      <c r="AN1569" s="7"/>
      <c r="AP1569" s="7"/>
      <c r="AQ1569" s="7"/>
      <c r="AR1569" s="7"/>
      <c r="AS1569" s="7"/>
      <c r="AT1569" s="7"/>
      <c r="AU1569" s="7"/>
    </row>
    <row r="1570" spans="4:47" ht="13.5" x14ac:dyDescent="0.25">
      <c r="D1570" s="7"/>
      <c r="G1570" s="7"/>
      <c r="M1570" s="7"/>
      <c r="P1570" s="7"/>
      <c r="Q1570" s="7"/>
      <c r="V1570" s="7"/>
      <c r="W1570" s="7"/>
      <c r="X1570" s="7"/>
      <c r="Y1570" s="7"/>
      <c r="Z1570" s="7"/>
      <c r="AA1570" s="7"/>
      <c r="AB1570" s="7"/>
      <c r="AC1570" s="7"/>
      <c r="AD1570" s="7"/>
      <c r="AE1570" s="7"/>
      <c r="AF1570" s="7"/>
      <c r="AH1570" s="7"/>
      <c r="AI1570" s="7"/>
      <c r="AJ1570" s="7"/>
      <c r="AL1570" s="7"/>
      <c r="AM1570" s="7"/>
      <c r="AN1570" s="7"/>
      <c r="AP1570" s="7"/>
      <c r="AQ1570" s="7"/>
      <c r="AR1570" s="7"/>
      <c r="AS1570" s="7"/>
      <c r="AT1570" s="7"/>
      <c r="AU1570" s="7"/>
    </row>
    <row r="1571" spans="4:47" ht="13.5" x14ac:dyDescent="0.25">
      <c r="D1571" s="7"/>
      <c r="G1571" s="7"/>
      <c r="M1571" s="7"/>
      <c r="P1571" s="7"/>
      <c r="Q1571" s="7"/>
      <c r="V1571" s="7"/>
      <c r="W1571" s="7"/>
      <c r="X1571" s="7"/>
      <c r="Y1571" s="7"/>
      <c r="Z1571" s="7"/>
      <c r="AA1571" s="7"/>
      <c r="AB1571" s="7"/>
      <c r="AC1571" s="7"/>
      <c r="AD1571" s="7"/>
      <c r="AE1571" s="7"/>
      <c r="AF1571" s="7"/>
      <c r="AH1571" s="7"/>
      <c r="AI1571" s="7"/>
      <c r="AJ1571" s="7"/>
      <c r="AL1571" s="7"/>
      <c r="AM1571" s="7"/>
      <c r="AN1571" s="7"/>
      <c r="AP1571" s="7"/>
      <c r="AQ1571" s="7"/>
      <c r="AR1571" s="7"/>
      <c r="AS1571" s="7"/>
      <c r="AT1571" s="7"/>
      <c r="AU1571" s="7"/>
    </row>
    <row r="1572" spans="4:47" ht="13.5" x14ac:dyDescent="0.25">
      <c r="D1572" s="7"/>
      <c r="G1572" s="7"/>
      <c r="M1572" s="7"/>
      <c r="P1572" s="7"/>
      <c r="Q1572" s="7"/>
      <c r="V1572" s="7"/>
      <c r="W1572" s="7"/>
      <c r="X1572" s="7"/>
      <c r="Y1572" s="7"/>
      <c r="Z1572" s="7"/>
      <c r="AA1572" s="7"/>
      <c r="AB1572" s="7"/>
      <c r="AC1572" s="7"/>
      <c r="AD1572" s="7"/>
      <c r="AE1572" s="7"/>
      <c r="AF1572" s="7"/>
      <c r="AH1572" s="7"/>
      <c r="AI1572" s="7"/>
      <c r="AJ1572" s="7"/>
      <c r="AL1572" s="7"/>
      <c r="AM1572" s="7"/>
      <c r="AN1572" s="7"/>
      <c r="AP1572" s="7"/>
      <c r="AQ1572" s="7"/>
      <c r="AR1572" s="7"/>
      <c r="AS1572" s="7"/>
      <c r="AT1572" s="7"/>
      <c r="AU1572" s="7"/>
    </row>
    <row r="1573" spans="4:47" ht="13.5" x14ac:dyDescent="0.25">
      <c r="D1573" s="7"/>
      <c r="G1573" s="7"/>
      <c r="M1573" s="7"/>
      <c r="P1573" s="7"/>
      <c r="Q1573" s="7"/>
      <c r="V1573" s="7"/>
      <c r="W1573" s="7"/>
      <c r="X1573" s="7"/>
      <c r="Y1573" s="7"/>
      <c r="Z1573" s="7"/>
      <c r="AA1573" s="7"/>
      <c r="AB1573" s="7"/>
      <c r="AC1573" s="7"/>
      <c r="AD1573" s="7"/>
      <c r="AE1573" s="7"/>
      <c r="AF1573" s="7"/>
      <c r="AH1573" s="7"/>
      <c r="AI1573" s="7"/>
      <c r="AJ1573" s="7"/>
      <c r="AL1573" s="7"/>
      <c r="AM1573" s="7"/>
      <c r="AN1573" s="7"/>
      <c r="AP1573" s="7"/>
      <c r="AQ1573" s="7"/>
      <c r="AR1573" s="7"/>
      <c r="AS1573" s="7"/>
      <c r="AT1573" s="7"/>
      <c r="AU1573" s="7"/>
    </row>
    <row r="1574" spans="4:47" ht="13.5" x14ac:dyDescent="0.25">
      <c r="D1574" s="7"/>
      <c r="G1574" s="7"/>
      <c r="M1574" s="7"/>
      <c r="P1574" s="7"/>
      <c r="Q1574" s="7"/>
      <c r="V1574" s="7"/>
      <c r="W1574" s="7"/>
      <c r="X1574" s="7"/>
      <c r="Y1574" s="7"/>
      <c r="Z1574" s="7"/>
      <c r="AA1574" s="7"/>
      <c r="AB1574" s="7"/>
      <c r="AC1574" s="7"/>
      <c r="AD1574" s="7"/>
      <c r="AE1574" s="7"/>
      <c r="AF1574" s="7"/>
      <c r="AH1574" s="7"/>
      <c r="AI1574" s="7"/>
      <c r="AJ1574" s="7"/>
      <c r="AL1574" s="7"/>
      <c r="AM1574" s="7"/>
      <c r="AN1574" s="7"/>
      <c r="AP1574" s="7"/>
      <c r="AQ1574" s="7"/>
      <c r="AR1574" s="7"/>
      <c r="AS1574" s="7"/>
      <c r="AT1574" s="7"/>
      <c r="AU1574" s="7"/>
    </row>
    <row r="1575" spans="4:47" ht="13.5" x14ac:dyDescent="0.25">
      <c r="D1575" s="7"/>
      <c r="G1575" s="7"/>
      <c r="M1575" s="7"/>
      <c r="P1575" s="7"/>
      <c r="Q1575" s="7"/>
      <c r="V1575" s="7"/>
      <c r="W1575" s="7"/>
      <c r="X1575" s="7"/>
      <c r="Y1575" s="7"/>
      <c r="Z1575" s="7"/>
      <c r="AA1575" s="7"/>
      <c r="AB1575" s="7"/>
      <c r="AC1575" s="7"/>
      <c r="AD1575" s="7"/>
      <c r="AE1575" s="7"/>
      <c r="AF1575" s="7"/>
      <c r="AH1575" s="7"/>
      <c r="AI1575" s="7"/>
      <c r="AJ1575" s="7"/>
      <c r="AL1575" s="7"/>
      <c r="AM1575" s="7"/>
      <c r="AN1575" s="7"/>
      <c r="AP1575" s="7"/>
      <c r="AQ1575" s="7"/>
      <c r="AR1575" s="7"/>
      <c r="AS1575" s="7"/>
      <c r="AT1575" s="7"/>
      <c r="AU1575" s="7"/>
    </row>
    <row r="1576" spans="4:47" ht="13.5" x14ac:dyDescent="0.25">
      <c r="D1576" s="7"/>
      <c r="G1576" s="7"/>
      <c r="M1576" s="7"/>
      <c r="P1576" s="7"/>
      <c r="Q1576" s="7"/>
      <c r="V1576" s="7"/>
      <c r="W1576" s="7"/>
      <c r="X1576" s="7"/>
      <c r="Y1576" s="7"/>
      <c r="Z1576" s="7"/>
      <c r="AA1576" s="7"/>
      <c r="AB1576" s="7"/>
      <c r="AC1576" s="7"/>
      <c r="AD1576" s="7"/>
      <c r="AE1576" s="7"/>
      <c r="AF1576" s="7"/>
      <c r="AH1576" s="7"/>
      <c r="AI1576" s="7"/>
      <c r="AJ1576" s="7"/>
      <c r="AL1576" s="7"/>
      <c r="AM1576" s="7"/>
      <c r="AN1576" s="7"/>
      <c r="AP1576" s="7"/>
      <c r="AQ1576" s="7"/>
      <c r="AR1576" s="7"/>
      <c r="AS1576" s="7"/>
      <c r="AT1576" s="7"/>
      <c r="AU1576" s="7"/>
    </row>
    <row r="1577" spans="4:47" ht="13.5" x14ac:dyDescent="0.25">
      <c r="D1577" s="7"/>
      <c r="G1577" s="7"/>
      <c r="M1577" s="7"/>
      <c r="P1577" s="7"/>
      <c r="Q1577" s="7"/>
      <c r="V1577" s="7"/>
      <c r="W1577" s="7"/>
      <c r="X1577" s="7"/>
      <c r="Y1577" s="7"/>
      <c r="Z1577" s="7"/>
      <c r="AA1577" s="7"/>
      <c r="AB1577" s="7"/>
      <c r="AC1577" s="7"/>
      <c r="AD1577" s="7"/>
      <c r="AE1577" s="7"/>
      <c r="AF1577" s="7"/>
      <c r="AH1577" s="7"/>
      <c r="AI1577" s="7"/>
      <c r="AJ1577" s="7"/>
      <c r="AL1577" s="7"/>
      <c r="AM1577" s="7"/>
      <c r="AN1577" s="7"/>
      <c r="AP1577" s="7"/>
      <c r="AQ1577" s="7"/>
      <c r="AR1577" s="7"/>
      <c r="AS1577" s="7"/>
      <c r="AT1577" s="7"/>
      <c r="AU1577" s="7"/>
    </row>
    <row r="1578" spans="4:47" ht="13.5" x14ac:dyDescent="0.25">
      <c r="D1578" s="7"/>
      <c r="G1578" s="7"/>
      <c r="M1578" s="7"/>
      <c r="P1578" s="7"/>
      <c r="Q1578" s="7"/>
      <c r="V1578" s="7"/>
      <c r="W1578" s="7"/>
      <c r="X1578" s="7"/>
      <c r="Y1578" s="7"/>
      <c r="Z1578" s="7"/>
      <c r="AA1578" s="7"/>
      <c r="AB1578" s="7"/>
      <c r="AC1578" s="7"/>
      <c r="AD1578" s="7"/>
      <c r="AE1578" s="7"/>
      <c r="AF1578" s="7"/>
      <c r="AH1578" s="7"/>
      <c r="AI1578" s="7"/>
      <c r="AJ1578" s="7"/>
      <c r="AL1578" s="7"/>
      <c r="AM1578" s="7"/>
      <c r="AN1578" s="7"/>
      <c r="AP1578" s="7"/>
      <c r="AQ1578" s="7"/>
      <c r="AR1578" s="7"/>
      <c r="AS1578" s="7"/>
      <c r="AT1578" s="7"/>
      <c r="AU1578" s="7"/>
    </row>
    <row r="1579" spans="4:47" ht="13.5" x14ac:dyDescent="0.25">
      <c r="D1579" s="7"/>
      <c r="G1579" s="7"/>
      <c r="M1579" s="7"/>
      <c r="P1579" s="7"/>
      <c r="Q1579" s="7"/>
      <c r="V1579" s="7"/>
      <c r="W1579" s="7"/>
      <c r="X1579" s="7"/>
      <c r="Y1579" s="7"/>
      <c r="Z1579" s="7"/>
      <c r="AA1579" s="7"/>
      <c r="AB1579" s="7"/>
      <c r="AC1579" s="7"/>
      <c r="AD1579" s="7"/>
      <c r="AE1579" s="7"/>
      <c r="AF1579" s="7"/>
      <c r="AH1579" s="7"/>
      <c r="AI1579" s="7"/>
      <c r="AJ1579" s="7"/>
      <c r="AL1579" s="7"/>
      <c r="AM1579" s="7"/>
      <c r="AN1579" s="7"/>
      <c r="AP1579" s="7"/>
      <c r="AQ1579" s="7"/>
      <c r="AR1579" s="7"/>
      <c r="AS1579" s="7"/>
      <c r="AT1579" s="7"/>
      <c r="AU1579" s="7"/>
    </row>
    <row r="1580" spans="4:47" ht="13.5" x14ac:dyDescent="0.25">
      <c r="D1580" s="7"/>
      <c r="G1580" s="7"/>
      <c r="M1580" s="7"/>
      <c r="P1580" s="7"/>
      <c r="Q1580" s="7"/>
      <c r="V1580" s="7"/>
      <c r="W1580" s="7"/>
      <c r="X1580" s="7"/>
      <c r="Y1580" s="7"/>
      <c r="Z1580" s="7"/>
      <c r="AA1580" s="7"/>
      <c r="AB1580" s="7"/>
      <c r="AC1580" s="7"/>
      <c r="AD1580" s="7"/>
      <c r="AE1580" s="7"/>
      <c r="AF1580" s="7"/>
      <c r="AH1580" s="7"/>
      <c r="AI1580" s="7"/>
      <c r="AJ1580" s="7"/>
      <c r="AL1580" s="7"/>
      <c r="AM1580" s="7"/>
      <c r="AN1580" s="7"/>
      <c r="AP1580" s="7"/>
      <c r="AQ1580" s="7"/>
      <c r="AR1580" s="7"/>
      <c r="AS1580" s="7"/>
      <c r="AT1580" s="7"/>
      <c r="AU1580" s="7"/>
    </row>
    <row r="1581" spans="4:47" ht="13.5" x14ac:dyDescent="0.25">
      <c r="D1581" s="7"/>
      <c r="G1581" s="7"/>
      <c r="M1581" s="7"/>
      <c r="P1581" s="7"/>
      <c r="Q1581" s="7"/>
      <c r="V1581" s="7"/>
      <c r="W1581" s="7"/>
      <c r="X1581" s="7"/>
      <c r="Y1581" s="7"/>
      <c r="Z1581" s="7"/>
      <c r="AA1581" s="7"/>
      <c r="AB1581" s="7"/>
      <c r="AC1581" s="7"/>
      <c r="AD1581" s="7"/>
      <c r="AE1581" s="7"/>
      <c r="AF1581" s="7"/>
      <c r="AH1581" s="7"/>
      <c r="AI1581" s="7"/>
      <c r="AJ1581" s="7"/>
      <c r="AL1581" s="7"/>
      <c r="AM1581" s="7"/>
      <c r="AN1581" s="7"/>
      <c r="AP1581" s="7"/>
      <c r="AQ1581" s="7"/>
      <c r="AR1581" s="7"/>
      <c r="AS1581" s="7"/>
      <c r="AT1581" s="7"/>
      <c r="AU1581" s="7"/>
    </row>
    <row r="1582" spans="4:47" ht="13.5" x14ac:dyDescent="0.25">
      <c r="D1582" s="7"/>
      <c r="G1582" s="7"/>
      <c r="M1582" s="7"/>
      <c r="P1582" s="7"/>
      <c r="Q1582" s="7"/>
      <c r="V1582" s="7"/>
      <c r="W1582" s="7"/>
      <c r="X1582" s="7"/>
      <c r="Y1582" s="7"/>
      <c r="Z1582" s="7"/>
      <c r="AA1582" s="7"/>
      <c r="AB1582" s="7"/>
      <c r="AC1582" s="7"/>
      <c r="AD1582" s="7"/>
      <c r="AE1582" s="7"/>
      <c r="AF1582" s="7"/>
      <c r="AH1582" s="7"/>
      <c r="AI1582" s="7"/>
      <c r="AJ1582" s="7"/>
      <c r="AL1582" s="7"/>
      <c r="AM1582" s="7"/>
      <c r="AN1582" s="7"/>
      <c r="AP1582" s="7"/>
      <c r="AQ1582" s="7"/>
      <c r="AR1582" s="7"/>
      <c r="AS1582" s="7"/>
      <c r="AT1582" s="7"/>
      <c r="AU1582" s="7"/>
    </row>
    <row r="1583" spans="4:47" ht="13.5" x14ac:dyDescent="0.25">
      <c r="D1583" s="7"/>
      <c r="G1583" s="7"/>
      <c r="M1583" s="7"/>
      <c r="P1583" s="7"/>
      <c r="Q1583" s="7"/>
      <c r="V1583" s="7"/>
      <c r="W1583" s="7"/>
      <c r="X1583" s="7"/>
      <c r="Y1583" s="7"/>
      <c r="Z1583" s="7"/>
      <c r="AA1583" s="7"/>
      <c r="AB1583" s="7"/>
      <c r="AC1583" s="7"/>
      <c r="AD1583" s="7"/>
      <c r="AE1583" s="7"/>
      <c r="AF1583" s="7"/>
      <c r="AH1583" s="7"/>
      <c r="AI1583" s="7"/>
      <c r="AJ1583" s="7"/>
      <c r="AL1583" s="7"/>
      <c r="AM1583" s="7"/>
      <c r="AN1583" s="7"/>
      <c r="AP1583" s="7"/>
      <c r="AQ1583" s="7"/>
      <c r="AR1583" s="7"/>
      <c r="AS1583" s="7"/>
      <c r="AT1583" s="7"/>
      <c r="AU1583" s="7"/>
    </row>
    <row r="1584" spans="4:47" ht="13.5" x14ac:dyDescent="0.25">
      <c r="D1584" s="7"/>
      <c r="G1584" s="7"/>
      <c r="M1584" s="7"/>
      <c r="P1584" s="7"/>
      <c r="Q1584" s="7"/>
      <c r="V1584" s="7"/>
      <c r="W1584" s="7"/>
      <c r="X1584" s="7"/>
      <c r="Y1584" s="7"/>
      <c r="Z1584" s="7"/>
      <c r="AA1584" s="7"/>
      <c r="AB1584" s="7"/>
      <c r="AC1584" s="7"/>
      <c r="AD1584" s="7"/>
      <c r="AE1584" s="7"/>
      <c r="AF1584" s="7"/>
      <c r="AH1584" s="7"/>
      <c r="AI1584" s="7"/>
      <c r="AJ1584" s="7"/>
      <c r="AL1584" s="7"/>
      <c r="AM1584" s="7"/>
      <c r="AN1584" s="7"/>
      <c r="AP1584" s="7"/>
      <c r="AQ1584" s="7"/>
      <c r="AR1584" s="7"/>
      <c r="AS1584" s="7"/>
      <c r="AT1584" s="7"/>
      <c r="AU1584" s="7"/>
    </row>
    <row r="1585" spans="4:47" ht="13.5" x14ac:dyDescent="0.25">
      <c r="D1585" s="7"/>
      <c r="G1585" s="7"/>
      <c r="M1585" s="7"/>
      <c r="P1585" s="7"/>
      <c r="Q1585" s="7"/>
      <c r="V1585" s="7"/>
      <c r="W1585" s="7"/>
      <c r="X1585" s="7"/>
      <c r="Y1585" s="7"/>
      <c r="Z1585" s="7"/>
      <c r="AA1585" s="7"/>
      <c r="AB1585" s="7"/>
      <c r="AC1585" s="7"/>
      <c r="AD1585" s="7"/>
      <c r="AE1585" s="7"/>
      <c r="AF1585" s="7"/>
      <c r="AH1585" s="7"/>
      <c r="AI1585" s="7"/>
      <c r="AJ1585" s="7"/>
      <c r="AL1585" s="7"/>
      <c r="AM1585" s="7"/>
      <c r="AN1585" s="7"/>
      <c r="AP1585" s="7"/>
      <c r="AQ1585" s="7"/>
      <c r="AR1585" s="7"/>
      <c r="AS1585" s="7"/>
      <c r="AT1585" s="7"/>
      <c r="AU1585" s="7"/>
    </row>
    <row r="1586" spans="4:47" ht="13.5" x14ac:dyDescent="0.25">
      <c r="D1586" s="7"/>
      <c r="G1586" s="7"/>
      <c r="M1586" s="7"/>
      <c r="P1586" s="7"/>
      <c r="Q1586" s="7"/>
      <c r="V1586" s="7"/>
      <c r="W1586" s="7"/>
      <c r="X1586" s="7"/>
      <c r="Y1586" s="7"/>
      <c r="Z1586" s="7"/>
      <c r="AA1586" s="7"/>
      <c r="AB1586" s="7"/>
      <c r="AC1586" s="7"/>
      <c r="AD1586" s="7"/>
      <c r="AE1586" s="7"/>
      <c r="AF1586" s="7"/>
      <c r="AH1586" s="7"/>
      <c r="AI1586" s="7"/>
      <c r="AJ1586" s="7"/>
      <c r="AL1586" s="7"/>
      <c r="AM1586" s="7"/>
      <c r="AN1586" s="7"/>
      <c r="AP1586" s="7"/>
      <c r="AQ1586" s="7"/>
      <c r="AR1586" s="7"/>
      <c r="AS1586" s="7"/>
      <c r="AT1586" s="7"/>
      <c r="AU1586" s="7"/>
    </row>
    <row r="1587" spans="4:47" ht="13.5" x14ac:dyDescent="0.25">
      <c r="D1587" s="7"/>
      <c r="G1587" s="7"/>
      <c r="M1587" s="7"/>
      <c r="P1587" s="7"/>
      <c r="Q1587" s="7"/>
      <c r="V1587" s="7"/>
      <c r="W1587" s="7"/>
      <c r="X1587" s="7"/>
      <c r="Y1587" s="7"/>
      <c r="Z1587" s="7"/>
      <c r="AA1587" s="7"/>
      <c r="AB1587" s="7"/>
      <c r="AC1587" s="7"/>
      <c r="AD1587" s="7"/>
      <c r="AE1587" s="7"/>
      <c r="AF1587" s="7"/>
      <c r="AH1587" s="7"/>
      <c r="AI1587" s="7"/>
      <c r="AJ1587" s="7"/>
      <c r="AL1587" s="7"/>
      <c r="AM1587" s="7"/>
      <c r="AN1587" s="7"/>
      <c r="AP1587" s="7"/>
      <c r="AQ1587" s="7"/>
      <c r="AR1587" s="7"/>
      <c r="AS1587" s="7"/>
      <c r="AT1587" s="7"/>
      <c r="AU1587" s="7"/>
    </row>
    <row r="1588" spans="4:47" ht="13.5" x14ac:dyDescent="0.25">
      <c r="D1588" s="7"/>
      <c r="G1588" s="7"/>
      <c r="M1588" s="7"/>
      <c r="P1588" s="7"/>
      <c r="Q1588" s="7"/>
      <c r="V1588" s="7"/>
      <c r="W1588" s="7"/>
      <c r="X1588" s="7"/>
      <c r="Y1588" s="7"/>
      <c r="Z1588" s="7"/>
      <c r="AA1588" s="7"/>
      <c r="AB1588" s="7"/>
      <c r="AC1588" s="7"/>
      <c r="AD1588" s="7"/>
      <c r="AE1588" s="7"/>
      <c r="AF1588" s="7"/>
      <c r="AH1588" s="7"/>
      <c r="AI1588" s="7"/>
      <c r="AJ1588" s="7"/>
      <c r="AL1588" s="7"/>
      <c r="AM1588" s="7"/>
      <c r="AN1588" s="7"/>
      <c r="AP1588" s="7"/>
      <c r="AQ1588" s="7"/>
      <c r="AR1588" s="7"/>
      <c r="AS1588" s="7"/>
      <c r="AT1588" s="7"/>
      <c r="AU1588" s="7"/>
    </row>
    <row r="1589" spans="4:47" ht="13.5" x14ac:dyDescent="0.25">
      <c r="D1589" s="7"/>
      <c r="G1589" s="7"/>
      <c r="M1589" s="7"/>
      <c r="P1589" s="7"/>
      <c r="Q1589" s="7"/>
      <c r="V1589" s="7"/>
      <c r="W1589" s="7"/>
      <c r="X1589" s="7"/>
      <c r="Y1589" s="7"/>
      <c r="Z1589" s="7"/>
      <c r="AA1589" s="7"/>
      <c r="AB1589" s="7"/>
      <c r="AC1589" s="7"/>
      <c r="AD1589" s="7"/>
      <c r="AE1589" s="7"/>
      <c r="AF1589" s="7"/>
      <c r="AH1589" s="7"/>
      <c r="AI1589" s="7"/>
      <c r="AJ1589" s="7"/>
      <c r="AL1589" s="7"/>
      <c r="AM1589" s="7"/>
      <c r="AN1589" s="7"/>
      <c r="AP1589" s="7"/>
      <c r="AQ1589" s="7"/>
      <c r="AR1589" s="7"/>
      <c r="AS1589" s="7"/>
      <c r="AT1589" s="7"/>
      <c r="AU1589" s="7"/>
    </row>
    <row r="1590" spans="4:47" ht="13.5" x14ac:dyDescent="0.25">
      <c r="D1590" s="7"/>
      <c r="G1590" s="7"/>
      <c r="M1590" s="7"/>
      <c r="P1590" s="7"/>
      <c r="Q1590" s="7"/>
      <c r="V1590" s="7"/>
      <c r="W1590" s="7"/>
      <c r="X1590" s="7"/>
      <c r="Y1590" s="7"/>
      <c r="Z1590" s="7"/>
      <c r="AA1590" s="7"/>
      <c r="AB1590" s="7"/>
      <c r="AC1590" s="7"/>
      <c r="AD1590" s="7"/>
      <c r="AE1590" s="7"/>
      <c r="AF1590" s="7"/>
      <c r="AH1590" s="7"/>
      <c r="AI1590" s="7"/>
      <c r="AJ1590" s="7"/>
      <c r="AL1590" s="7"/>
      <c r="AM1590" s="7"/>
      <c r="AN1590" s="7"/>
      <c r="AP1590" s="7"/>
      <c r="AQ1590" s="7"/>
      <c r="AR1590" s="7"/>
      <c r="AS1590" s="7"/>
      <c r="AT1590" s="7"/>
      <c r="AU1590" s="7"/>
    </row>
    <row r="1591" spans="4:47" ht="13.5" x14ac:dyDescent="0.25">
      <c r="D1591" s="7"/>
      <c r="G1591" s="7"/>
      <c r="M1591" s="7"/>
      <c r="P1591" s="7"/>
      <c r="Q1591" s="7"/>
      <c r="V1591" s="7"/>
      <c r="W1591" s="7"/>
      <c r="X1591" s="7"/>
      <c r="Y1591" s="7"/>
      <c r="Z1591" s="7"/>
      <c r="AA1591" s="7"/>
      <c r="AB1591" s="7"/>
      <c r="AC1591" s="7"/>
      <c r="AD1591" s="7"/>
      <c r="AE1591" s="7"/>
      <c r="AF1591" s="7"/>
      <c r="AH1591" s="7"/>
      <c r="AI1591" s="7"/>
      <c r="AJ1591" s="7"/>
      <c r="AL1591" s="7"/>
      <c r="AM1591" s="7"/>
      <c r="AN1591" s="7"/>
      <c r="AP1591" s="7"/>
      <c r="AQ1591" s="7"/>
      <c r="AR1591" s="7"/>
      <c r="AS1591" s="7"/>
      <c r="AT1591" s="7"/>
      <c r="AU1591" s="7"/>
    </row>
    <row r="1592" spans="4:47" ht="13.5" x14ac:dyDescent="0.25">
      <c r="D1592" s="7"/>
      <c r="G1592" s="7"/>
      <c r="M1592" s="7"/>
      <c r="P1592" s="7"/>
      <c r="Q1592" s="7"/>
      <c r="V1592" s="7"/>
      <c r="W1592" s="7"/>
      <c r="X1592" s="7"/>
      <c r="Y1592" s="7"/>
      <c r="Z1592" s="7"/>
      <c r="AA1592" s="7"/>
      <c r="AB1592" s="7"/>
      <c r="AC1592" s="7"/>
      <c r="AD1592" s="7"/>
      <c r="AE1592" s="7"/>
      <c r="AF1592" s="7"/>
      <c r="AH1592" s="7"/>
      <c r="AI1592" s="7"/>
      <c r="AJ1592" s="7"/>
      <c r="AL1592" s="7"/>
      <c r="AM1592" s="7"/>
      <c r="AN1592" s="7"/>
      <c r="AP1592" s="7"/>
      <c r="AQ1592" s="7"/>
      <c r="AR1592" s="7"/>
      <c r="AS1592" s="7"/>
      <c r="AT1592" s="7"/>
      <c r="AU1592" s="7"/>
    </row>
    <row r="1593" spans="4:47" ht="13.5" x14ac:dyDescent="0.25">
      <c r="D1593" s="7"/>
      <c r="G1593" s="7"/>
      <c r="M1593" s="7"/>
      <c r="P1593" s="7"/>
      <c r="Q1593" s="7"/>
      <c r="V1593" s="7"/>
      <c r="W1593" s="7"/>
      <c r="X1593" s="7"/>
      <c r="Y1593" s="7"/>
      <c r="Z1593" s="7"/>
      <c r="AA1593" s="7"/>
      <c r="AB1593" s="7"/>
      <c r="AC1593" s="7"/>
      <c r="AD1593" s="7"/>
      <c r="AE1593" s="7"/>
      <c r="AF1593" s="7"/>
      <c r="AH1593" s="7"/>
      <c r="AI1593" s="7"/>
      <c r="AJ1593" s="7"/>
      <c r="AL1593" s="7"/>
      <c r="AM1593" s="7"/>
      <c r="AN1593" s="7"/>
      <c r="AP1593" s="7"/>
      <c r="AQ1593" s="7"/>
      <c r="AR1593" s="7"/>
      <c r="AS1593" s="7"/>
      <c r="AT1593" s="7"/>
      <c r="AU1593" s="7"/>
    </row>
    <row r="1594" spans="4:47" ht="13.5" x14ac:dyDescent="0.25">
      <c r="D1594" s="7"/>
      <c r="G1594" s="7"/>
      <c r="M1594" s="7"/>
      <c r="P1594" s="7"/>
      <c r="Q1594" s="7"/>
      <c r="V1594" s="7"/>
      <c r="W1594" s="7"/>
      <c r="X1594" s="7"/>
      <c r="Y1594" s="7"/>
      <c r="Z1594" s="7"/>
      <c r="AA1594" s="7"/>
      <c r="AB1594" s="7"/>
      <c r="AC1594" s="7"/>
      <c r="AD1594" s="7"/>
      <c r="AE1594" s="7"/>
      <c r="AF1594" s="7"/>
      <c r="AH1594" s="7"/>
      <c r="AI1594" s="7"/>
      <c r="AJ1594" s="7"/>
      <c r="AL1594" s="7"/>
      <c r="AM1594" s="7"/>
      <c r="AN1594" s="7"/>
      <c r="AP1594" s="7"/>
      <c r="AQ1594" s="7"/>
      <c r="AR1594" s="7"/>
      <c r="AS1594" s="7"/>
      <c r="AT1594" s="7"/>
      <c r="AU1594" s="7"/>
    </row>
    <row r="1595" spans="4:47" ht="13.5" x14ac:dyDescent="0.25">
      <c r="D1595" s="7"/>
      <c r="G1595" s="7"/>
      <c r="M1595" s="7"/>
      <c r="P1595" s="7"/>
      <c r="Q1595" s="7"/>
      <c r="V1595" s="7"/>
      <c r="W1595" s="7"/>
      <c r="X1595" s="7"/>
      <c r="Y1595" s="7"/>
      <c r="Z1595" s="7"/>
      <c r="AA1595" s="7"/>
      <c r="AB1595" s="7"/>
      <c r="AC1595" s="7"/>
      <c r="AD1595" s="7"/>
      <c r="AE1595" s="7"/>
      <c r="AF1595" s="7"/>
      <c r="AH1595" s="7"/>
      <c r="AI1595" s="7"/>
      <c r="AJ1595" s="7"/>
      <c r="AL1595" s="7"/>
      <c r="AM1595" s="7"/>
      <c r="AN1595" s="7"/>
      <c r="AP1595" s="7"/>
      <c r="AQ1595" s="7"/>
      <c r="AR1595" s="7"/>
      <c r="AS1595" s="7"/>
      <c r="AT1595" s="7"/>
      <c r="AU1595" s="7"/>
    </row>
    <row r="1596" spans="4:47" ht="13.5" x14ac:dyDescent="0.25">
      <c r="D1596" s="7"/>
      <c r="G1596" s="7"/>
      <c r="M1596" s="7"/>
      <c r="P1596" s="7"/>
      <c r="Q1596" s="7"/>
      <c r="V1596" s="7"/>
      <c r="W1596" s="7"/>
      <c r="X1596" s="7"/>
      <c r="Y1596" s="7"/>
      <c r="Z1596" s="7"/>
      <c r="AA1596" s="7"/>
      <c r="AB1596" s="7"/>
      <c r="AC1596" s="7"/>
      <c r="AD1596" s="7"/>
      <c r="AE1596" s="7"/>
      <c r="AF1596" s="7"/>
      <c r="AH1596" s="7"/>
      <c r="AI1596" s="7"/>
      <c r="AJ1596" s="7"/>
      <c r="AL1596" s="7"/>
      <c r="AM1596" s="7"/>
      <c r="AN1596" s="7"/>
      <c r="AP1596" s="7"/>
      <c r="AQ1596" s="7"/>
      <c r="AR1596" s="7"/>
      <c r="AS1596" s="7"/>
      <c r="AT1596" s="7"/>
      <c r="AU1596" s="7"/>
    </row>
    <row r="1597" spans="4:47" ht="13.5" x14ac:dyDescent="0.25">
      <c r="D1597" s="7"/>
      <c r="G1597" s="7"/>
      <c r="M1597" s="7"/>
      <c r="P1597" s="7"/>
      <c r="Q1597" s="7"/>
      <c r="V1597" s="7"/>
      <c r="W1597" s="7"/>
      <c r="X1597" s="7"/>
      <c r="Y1597" s="7"/>
      <c r="Z1597" s="7"/>
      <c r="AA1597" s="7"/>
      <c r="AB1597" s="7"/>
      <c r="AC1597" s="7"/>
      <c r="AD1597" s="7"/>
      <c r="AE1597" s="7"/>
      <c r="AF1597" s="7"/>
      <c r="AH1597" s="7"/>
      <c r="AI1597" s="7"/>
      <c r="AJ1597" s="7"/>
      <c r="AL1597" s="7"/>
      <c r="AM1597" s="7"/>
      <c r="AN1597" s="7"/>
      <c r="AP1597" s="7"/>
      <c r="AQ1597" s="7"/>
      <c r="AR1597" s="7"/>
      <c r="AS1597" s="7"/>
      <c r="AT1597" s="7"/>
      <c r="AU1597" s="7"/>
    </row>
    <row r="1598" spans="4:47" ht="13.5" x14ac:dyDescent="0.25">
      <c r="D1598" s="7"/>
      <c r="G1598" s="7"/>
      <c r="M1598" s="7"/>
      <c r="P1598" s="7"/>
      <c r="Q1598" s="7"/>
      <c r="V1598" s="7"/>
      <c r="W1598" s="7"/>
      <c r="X1598" s="7"/>
      <c r="Y1598" s="7"/>
      <c r="Z1598" s="7"/>
      <c r="AA1598" s="7"/>
      <c r="AB1598" s="7"/>
      <c r="AC1598" s="7"/>
      <c r="AD1598" s="7"/>
      <c r="AE1598" s="7"/>
      <c r="AF1598" s="7"/>
      <c r="AH1598" s="7"/>
      <c r="AI1598" s="7"/>
      <c r="AJ1598" s="7"/>
      <c r="AL1598" s="7"/>
      <c r="AM1598" s="7"/>
      <c r="AN1598" s="7"/>
      <c r="AP1598" s="7"/>
      <c r="AQ1598" s="7"/>
      <c r="AR1598" s="7"/>
      <c r="AS1598" s="7"/>
      <c r="AT1598" s="7"/>
      <c r="AU1598" s="7"/>
    </row>
    <row r="1599" spans="4:47" ht="13.5" x14ac:dyDescent="0.25">
      <c r="D1599" s="7"/>
      <c r="G1599" s="7"/>
      <c r="M1599" s="7"/>
      <c r="P1599" s="7"/>
      <c r="Q1599" s="7"/>
      <c r="V1599" s="7"/>
      <c r="W1599" s="7"/>
      <c r="X1599" s="7"/>
      <c r="Y1599" s="7"/>
      <c r="Z1599" s="7"/>
      <c r="AA1599" s="7"/>
      <c r="AB1599" s="7"/>
      <c r="AC1599" s="7"/>
      <c r="AD1599" s="7"/>
      <c r="AE1599" s="7"/>
      <c r="AF1599" s="7"/>
      <c r="AH1599" s="7"/>
      <c r="AI1599" s="7"/>
      <c r="AJ1599" s="7"/>
      <c r="AL1599" s="7"/>
      <c r="AM1599" s="7"/>
      <c r="AN1599" s="7"/>
      <c r="AP1599" s="7"/>
      <c r="AQ1599" s="7"/>
      <c r="AR1599" s="7"/>
      <c r="AS1599" s="7"/>
      <c r="AT1599" s="7"/>
      <c r="AU1599" s="7"/>
    </row>
    <row r="1600" spans="4:47" ht="13.5" x14ac:dyDescent="0.25">
      <c r="D1600" s="7"/>
      <c r="G1600" s="7"/>
      <c r="M1600" s="7"/>
      <c r="P1600" s="7"/>
      <c r="Q1600" s="7"/>
      <c r="V1600" s="7"/>
      <c r="W1600" s="7"/>
      <c r="X1600" s="7"/>
      <c r="Y1600" s="7"/>
      <c r="Z1600" s="7"/>
      <c r="AA1600" s="7"/>
      <c r="AB1600" s="7"/>
      <c r="AC1600" s="7"/>
      <c r="AD1600" s="7"/>
      <c r="AE1600" s="7"/>
      <c r="AF1600" s="7"/>
      <c r="AH1600" s="7"/>
      <c r="AI1600" s="7"/>
      <c r="AJ1600" s="7"/>
      <c r="AL1600" s="7"/>
      <c r="AM1600" s="7"/>
      <c r="AN1600" s="7"/>
      <c r="AP1600" s="7"/>
      <c r="AQ1600" s="7"/>
      <c r="AR1600" s="7"/>
      <c r="AS1600" s="7"/>
      <c r="AT1600" s="7"/>
      <c r="AU1600" s="7"/>
    </row>
    <row r="1601" spans="4:47" ht="13.5" x14ac:dyDescent="0.25">
      <c r="D1601" s="7"/>
      <c r="G1601" s="7"/>
      <c r="M1601" s="7"/>
      <c r="P1601" s="7"/>
      <c r="Q1601" s="7"/>
      <c r="V1601" s="7"/>
      <c r="W1601" s="7"/>
      <c r="X1601" s="7"/>
      <c r="Y1601" s="7"/>
      <c r="Z1601" s="7"/>
      <c r="AA1601" s="7"/>
      <c r="AB1601" s="7"/>
      <c r="AC1601" s="7"/>
      <c r="AD1601" s="7"/>
      <c r="AE1601" s="7"/>
      <c r="AF1601" s="7"/>
      <c r="AH1601" s="7"/>
      <c r="AI1601" s="7"/>
      <c r="AJ1601" s="7"/>
      <c r="AL1601" s="7"/>
      <c r="AM1601" s="7"/>
      <c r="AN1601" s="7"/>
      <c r="AP1601" s="7"/>
      <c r="AQ1601" s="7"/>
      <c r="AR1601" s="7"/>
      <c r="AS1601" s="7"/>
      <c r="AT1601" s="7"/>
      <c r="AU1601" s="7"/>
    </row>
    <row r="1602" spans="4:47" ht="13.5" x14ac:dyDescent="0.25">
      <c r="D1602" s="7"/>
      <c r="G1602" s="7"/>
      <c r="M1602" s="7"/>
      <c r="P1602" s="7"/>
      <c r="Q1602" s="7"/>
      <c r="V1602" s="7"/>
      <c r="W1602" s="7"/>
      <c r="X1602" s="7"/>
      <c r="Y1602" s="7"/>
      <c r="Z1602" s="7"/>
      <c r="AA1602" s="7"/>
      <c r="AB1602" s="7"/>
      <c r="AC1602" s="7"/>
      <c r="AD1602" s="7"/>
      <c r="AE1602" s="7"/>
      <c r="AF1602" s="7"/>
      <c r="AH1602" s="7"/>
      <c r="AI1602" s="7"/>
      <c r="AJ1602" s="7"/>
      <c r="AL1602" s="7"/>
      <c r="AM1602" s="7"/>
      <c r="AN1602" s="7"/>
      <c r="AP1602" s="7"/>
      <c r="AQ1602" s="7"/>
      <c r="AR1602" s="7"/>
      <c r="AS1602" s="7"/>
      <c r="AT1602" s="7"/>
      <c r="AU1602" s="7"/>
    </row>
    <row r="1603" spans="4:47" ht="13.5" x14ac:dyDescent="0.25">
      <c r="D1603" s="7"/>
      <c r="G1603" s="7"/>
      <c r="M1603" s="7"/>
      <c r="P1603" s="7"/>
      <c r="Q1603" s="7"/>
      <c r="V1603" s="7"/>
      <c r="W1603" s="7"/>
      <c r="X1603" s="7"/>
      <c r="Y1603" s="7"/>
      <c r="Z1603" s="7"/>
      <c r="AA1603" s="7"/>
      <c r="AB1603" s="7"/>
      <c r="AC1603" s="7"/>
      <c r="AD1603" s="7"/>
      <c r="AE1603" s="7"/>
      <c r="AF1603" s="7"/>
      <c r="AH1603" s="7"/>
      <c r="AI1603" s="7"/>
      <c r="AJ1603" s="7"/>
      <c r="AL1603" s="7"/>
      <c r="AM1603" s="7"/>
      <c r="AN1603" s="7"/>
      <c r="AP1603" s="7"/>
      <c r="AQ1603" s="7"/>
      <c r="AR1603" s="7"/>
      <c r="AS1603" s="7"/>
      <c r="AT1603" s="7"/>
      <c r="AU1603" s="7"/>
    </row>
    <row r="1604" spans="4:47" ht="13.5" x14ac:dyDescent="0.25">
      <c r="D1604" s="7"/>
      <c r="G1604" s="7"/>
      <c r="M1604" s="7"/>
      <c r="P1604" s="7"/>
      <c r="Q1604" s="7"/>
      <c r="V1604" s="7"/>
      <c r="W1604" s="7"/>
      <c r="X1604" s="7"/>
      <c r="Y1604" s="7"/>
      <c r="Z1604" s="7"/>
      <c r="AA1604" s="7"/>
      <c r="AB1604" s="7"/>
      <c r="AC1604" s="7"/>
      <c r="AD1604" s="7"/>
      <c r="AE1604" s="7"/>
      <c r="AF1604" s="7"/>
      <c r="AH1604" s="7"/>
      <c r="AI1604" s="7"/>
      <c r="AJ1604" s="7"/>
      <c r="AL1604" s="7"/>
      <c r="AM1604" s="7"/>
      <c r="AN1604" s="7"/>
      <c r="AP1604" s="7"/>
      <c r="AQ1604" s="7"/>
      <c r="AR1604" s="7"/>
      <c r="AS1604" s="7"/>
      <c r="AT1604" s="7"/>
      <c r="AU1604" s="7"/>
    </row>
    <row r="1605" spans="4:47" ht="13.5" x14ac:dyDescent="0.25">
      <c r="D1605" s="7"/>
      <c r="G1605" s="7"/>
      <c r="M1605" s="7"/>
      <c r="P1605" s="7"/>
      <c r="Q1605" s="7"/>
      <c r="V1605" s="7"/>
      <c r="W1605" s="7"/>
      <c r="X1605" s="7"/>
      <c r="Y1605" s="7"/>
      <c r="Z1605" s="7"/>
      <c r="AA1605" s="7"/>
      <c r="AB1605" s="7"/>
      <c r="AC1605" s="7"/>
      <c r="AD1605" s="7"/>
      <c r="AE1605" s="7"/>
      <c r="AF1605" s="7"/>
      <c r="AH1605" s="7"/>
      <c r="AI1605" s="7"/>
      <c r="AJ1605" s="7"/>
      <c r="AL1605" s="7"/>
      <c r="AM1605" s="7"/>
      <c r="AN1605" s="7"/>
      <c r="AP1605" s="7"/>
      <c r="AQ1605" s="7"/>
      <c r="AR1605" s="7"/>
      <c r="AS1605" s="7"/>
      <c r="AT1605" s="7"/>
      <c r="AU1605" s="7"/>
    </row>
    <row r="1606" spans="4:47" ht="13.5" x14ac:dyDescent="0.25">
      <c r="D1606" s="7"/>
      <c r="G1606" s="7"/>
      <c r="M1606" s="7"/>
      <c r="P1606" s="7"/>
      <c r="Q1606" s="7"/>
      <c r="V1606" s="7"/>
      <c r="W1606" s="7"/>
      <c r="X1606" s="7"/>
      <c r="Y1606" s="7"/>
      <c r="Z1606" s="7"/>
      <c r="AA1606" s="7"/>
      <c r="AB1606" s="7"/>
      <c r="AC1606" s="7"/>
      <c r="AD1606" s="7"/>
      <c r="AE1606" s="7"/>
      <c r="AF1606" s="7"/>
      <c r="AH1606" s="7"/>
      <c r="AI1606" s="7"/>
      <c r="AJ1606" s="7"/>
      <c r="AL1606" s="7"/>
      <c r="AM1606" s="7"/>
      <c r="AN1606" s="7"/>
      <c r="AP1606" s="7"/>
      <c r="AQ1606" s="7"/>
      <c r="AR1606" s="7"/>
      <c r="AS1606" s="7"/>
      <c r="AT1606" s="7"/>
      <c r="AU1606" s="7"/>
    </row>
    <row r="1607" spans="4:47" ht="13.5" x14ac:dyDescent="0.25">
      <c r="D1607" s="7"/>
      <c r="G1607" s="7"/>
      <c r="M1607" s="7"/>
      <c r="P1607" s="7"/>
      <c r="Q1607" s="7"/>
      <c r="V1607" s="7"/>
      <c r="W1607" s="7"/>
      <c r="X1607" s="7"/>
      <c r="Y1607" s="7"/>
      <c r="Z1607" s="7"/>
      <c r="AA1607" s="7"/>
      <c r="AB1607" s="7"/>
      <c r="AC1607" s="7"/>
      <c r="AD1607" s="7"/>
      <c r="AE1607" s="7"/>
      <c r="AF1607" s="7"/>
      <c r="AH1607" s="7"/>
      <c r="AI1607" s="7"/>
      <c r="AJ1607" s="7"/>
      <c r="AL1607" s="7"/>
      <c r="AM1607" s="7"/>
      <c r="AN1607" s="7"/>
      <c r="AP1607" s="7"/>
      <c r="AQ1607" s="7"/>
      <c r="AR1607" s="7"/>
      <c r="AS1607" s="7"/>
      <c r="AT1607" s="7"/>
      <c r="AU1607" s="7"/>
    </row>
    <row r="1608" spans="4:47" ht="13.5" x14ac:dyDescent="0.25">
      <c r="D1608" s="7"/>
      <c r="G1608" s="7"/>
      <c r="M1608" s="7"/>
      <c r="P1608" s="7"/>
      <c r="Q1608" s="7"/>
      <c r="V1608" s="7"/>
      <c r="W1608" s="7"/>
      <c r="X1608" s="7"/>
      <c r="Y1608" s="7"/>
      <c r="Z1608" s="7"/>
      <c r="AA1608" s="7"/>
      <c r="AB1608" s="7"/>
      <c r="AC1608" s="7"/>
      <c r="AD1608" s="7"/>
      <c r="AE1608" s="7"/>
      <c r="AF1608" s="7"/>
      <c r="AH1608" s="7"/>
      <c r="AI1608" s="7"/>
      <c r="AJ1608" s="7"/>
      <c r="AL1608" s="7"/>
      <c r="AM1608" s="7"/>
      <c r="AN1608" s="7"/>
      <c r="AP1608" s="7"/>
      <c r="AQ1608" s="7"/>
      <c r="AR1608" s="7"/>
      <c r="AS1608" s="7"/>
      <c r="AT1608" s="7"/>
      <c r="AU1608" s="7"/>
    </row>
    <row r="1609" spans="4:47" ht="13.5" x14ac:dyDescent="0.25">
      <c r="D1609" s="7"/>
      <c r="G1609" s="7"/>
      <c r="M1609" s="7"/>
      <c r="P1609" s="7"/>
      <c r="Q1609" s="7"/>
      <c r="V1609" s="7"/>
      <c r="W1609" s="7"/>
      <c r="X1609" s="7"/>
      <c r="Y1609" s="7"/>
      <c r="Z1609" s="7"/>
      <c r="AA1609" s="7"/>
      <c r="AB1609" s="7"/>
      <c r="AC1609" s="7"/>
      <c r="AD1609" s="7"/>
      <c r="AE1609" s="7"/>
      <c r="AF1609" s="7"/>
      <c r="AH1609" s="7"/>
      <c r="AI1609" s="7"/>
      <c r="AJ1609" s="7"/>
      <c r="AL1609" s="7"/>
      <c r="AM1609" s="7"/>
      <c r="AN1609" s="7"/>
      <c r="AP1609" s="7"/>
      <c r="AQ1609" s="7"/>
      <c r="AR1609" s="7"/>
      <c r="AS1609" s="7"/>
      <c r="AT1609" s="7"/>
      <c r="AU1609" s="7"/>
    </row>
    <row r="1610" spans="4:47" ht="13.5" x14ac:dyDescent="0.25">
      <c r="D1610" s="7"/>
      <c r="G1610" s="7"/>
      <c r="M1610" s="7"/>
      <c r="P1610" s="7"/>
      <c r="Q1610" s="7"/>
      <c r="V1610" s="7"/>
      <c r="W1610" s="7"/>
      <c r="X1610" s="7"/>
      <c r="Y1610" s="7"/>
      <c r="Z1610" s="7"/>
      <c r="AA1610" s="7"/>
      <c r="AB1610" s="7"/>
      <c r="AC1610" s="7"/>
      <c r="AD1610" s="7"/>
      <c r="AE1610" s="7"/>
      <c r="AF1610" s="7"/>
      <c r="AH1610" s="7"/>
      <c r="AI1610" s="7"/>
      <c r="AJ1610" s="7"/>
      <c r="AL1610" s="7"/>
      <c r="AM1610" s="7"/>
      <c r="AN1610" s="7"/>
      <c r="AP1610" s="7"/>
      <c r="AQ1610" s="7"/>
      <c r="AR1610" s="7"/>
      <c r="AS1610" s="7"/>
      <c r="AT1610" s="7"/>
      <c r="AU1610" s="7"/>
    </row>
    <row r="1611" spans="4:47" ht="13.5" x14ac:dyDescent="0.25">
      <c r="D1611" s="7"/>
      <c r="G1611" s="7"/>
      <c r="M1611" s="7"/>
      <c r="P1611" s="7"/>
      <c r="Q1611" s="7"/>
      <c r="V1611" s="7"/>
      <c r="W1611" s="7"/>
      <c r="X1611" s="7"/>
      <c r="Y1611" s="7"/>
      <c r="Z1611" s="7"/>
      <c r="AA1611" s="7"/>
      <c r="AB1611" s="7"/>
      <c r="AC1611" s="7"/>
      <c r="AD1611" s="7"/>
      <c r="AE1611" s="7"/>
      <c r="AF1611" s="7"/>
      <c r="AH1611" s="7"/>
      <c r="AI1611" s="7"/>
      <c r="AJ1611" s="7"/>
      <c r="AL1611" s="7"/>
      <c r="AM1611" s="7"/>
      <c r="AN1611" s="7"/>
      <c r="AP1611" s="7"/>
      <c r="AQ1611" s="7"/>
      <c r="AR1611" s="7"/>
      <c r="AS1611" s="7"/>
      <c r="AT1611" s="7"/>
      <c r="AU1611" s="7"/>
    </row>
    <row r="1612" spans="4:47" ht="13.5" x14ac:dyDescent="0.25">
      <c r="D1612" s="7"/>
      <c r="G1612" s="7"/>
      <c r="M1612" s="7"/>
      <c r="P1612" s="7"/>
      <c r="Q1612" s="7"/>
      <c r="V1612" s="7"/>
      <c r="W1612" s="7"/>
      <c r="X1612" s="7"/>
      <c r="Y1612" s="7"/>
      <c r="Z1612" s="7"/>
      <c r="AA1612" s="7"/>
      <c r="AB1612" s="7"/>
      <c r="AC1612" s="7"/>
      <c r="AD1612" s="7"/>
      <c r="AE1612" s="7"/>
      <c r="AF1612" s="7"/>
      <c r="AH1612" s="7"/>
      <c r="AI1612" s="7"/>
      <c r="AJ1612" s="7"/>
      <c r="AL1612" s="7"/>
      <c r="AM1612" s="7"/>
      <c r="AN1612" s="7"/>
      <c r="AP1612" s="7"/>
      <c r="AQ1612" s="7"/>
      <c r="AR1612" s="7"/>
      <c r="AS1612" s="7"/>
      <c r="AT1612" s="7"/>
      <c r="AU1612" s="7"/>
    </row>
    <row r="1613" spans="4:47" ht="13.5" x14ac:dyDescent="0.25">
      <c r="D1613" s="7"/>
      <c r="G1613" s="7"/>
      <c r="M1613" s="7"/>
      <c r="P1613" s="7"/>
      <c r="Q1613" s="7"/>
      <c r="V1613" s="7"/>
      <c r="W1613" s="7"/>
      <c r="X1613" s="7"/>
      <c r="Y1613" s="7"/>
      <c r="Z1613" s="7"/>
      <c r="AA1613" s="7"/>
      <c r="AB1613" s="7"/>
      <c r="AC1613" s="7"/>
      <c r="AD1613" s="7"/>
      <c r="AE1613" s="7"/>
      <c r="AF1613" s="7"/>
      <c r="AH1613" s="7"/>
      <c r="AI1613" s="7"/>
      <c r="AJ1613" s="7"/>
      <c r="AL1613" s="7"/>
      <c r="AM1613" s="7"/>
      <c r="AN1613" s="7"/>
      <c r="AP1613" s="7"/>
      <c r="AQ1613" s="7"/>
      <c r="AR1613" s="7"/>
      <c r="AS1613" s="7"/>
      <c r="AT1613" s="7"/>
      <c r="AU1613" s="7"/>
    </row>
    <row r="1614" spans="4:47" ht="13.5" x14ac:dyDescent="0.25">
      <c r="D1614" s="7"/>
      <c r="G1614" s="7"/>
      <c r="M1614" s="7"/>
      <c r="P1614" s="7"/>
      <c r="Q1614" s="7"/>
      <c r="V1614" s="7"/>
      <c r="W1614" s="7"/>
      <c r="X1614" s="7"/>
      <c r="Y1614" s="7"/>
      <c r="Z1614" s="7"/>
      <c r="AA1614" s="7"/>
      <c r="AB1614" s="7"/>
      <c r="AC1614" s="7"/>
      <c r="AD1614" s="7"/>
      <c r="AE1614" s="7"/>
      <c r="AF1614" s="7"/>
      <c r="AH1614" s="7"/>
      <c r="AI1614" s="7"/>
      <c r="AJ1614" s="7"/>
      <c r="AL1614" s="7"/>
      <c r="AM1614" s="7"/>
      <c r="AN1614" s="7"/>
      <c r="AP1614" s="7"/>
      <c r="AQ1614" s="7"/>
      <c r="AR1614" s="7"/>
      <c r="AS1614" s="7"/>
      <c r="AT1614" s="7"/>
      <c r="AU1614" s="7"/>
    </row>
    <row r="1615" spans="4:47" ht="13.5" x14ac:dyDescent="0.25">
      <c r="D1615" s="7"/>
      <c r="G1615" s="7"/>
      <c r="M1615" s="7"/>
      <c r="P1615" s="7"/>
      <c r="Q1615" s="7"/>
      <c r="V1615" s="7"/>
      <c r="W1615" s="7"/>
      <c r="X1615" s="7"/>
      <c r="Y1615" s="7"/>
      <c r="Z1615" s="7"/>
      <c r="AA1615" s="7"/>
      <c r="AB1615" s="7"/>
      <c r="AC1615" s="7"/>
      <c r="AD1615" s="7"/>
      <c r="AE1615" s="7"/>
      <c r="AF1615" s="7"/>
      <c r="AH1615" s="7"/>
      <c r="AI1615" s="7"/>
      <c r="AJ1615" s="7"/>
      <c r="AL1615" s="7"/>
      <c r="AM1615" s="7"/>
      <c r="AN1615" s="7"/>
      <c r="AP1615" s="7"/>
      <c r="AQ1615" s="7"/>
      <c r="AR1615" s="7"/>
      <c r="AS1615" s="7"/>
      <c r="AT1615" s="7"/>
      <c r="AU1615" s="7"/>
    </row>
    <row r="1616" spans="4:47" ht="13.5" x14ac:dyDescent="0.25">
      <c r="D1616" s="7"/>
      <c r="G1616" s="7"/>
      <c r="M1616" s="7"/>
      <c r="P1616" s="7"/>
      <c r="Q1616" s="7"/>
      <c r="V1616" s="7"/>
      <c r="W1616" s="7"/>
      <c r="X1616" s="7"/>
      <c r="Y1616" s="7"/>
      <c r="Z1616" s="7"/>
      <c r="AA1616" s="7"/>
      <c r="AB1616" s="7"/>
      <c r="AC1616" s="7"/>
      <c r="AD1616" s="7"/>
      <c r="AE1616" s="7"/>
      <c r="AF1616" s="7"/>
      <c r="AH1616" s="7"/>
      <c r="AI1616" s="7"/>
      <c r="AJ1616" s="7"/>
      <c r="AL1616" s="7"/>
      <c r="AM1616" s="7"/>
      <c r="AN1616" s="7"/>
      <c r="AP1616" s="7"/>
      <c r="AQ1616" s="7"/>
      <c r="AR1616" s="7"/>
      <c r="AS1616" s="7"/>
      <c r="AT1616" s="7"/>
      <c r="AU1616" s="7"/>
    </row>
    <row r="1617" spans="4:47" ht="13.5" x14ac:dyDescent="0.25">
      <c r="D1617" s="7"/>
      <c r="G1617" s="7"/>
      <c r="M1617" s="7"/>
      <c r="P1617" s="7"/>
      <c r="Q1617" s="7"/>
      <c r="V1617" s="7"/>
      <c r="W1617" s="7"/>
      <c r="X1617" s="7"/>
      <c r="Y1617" s="7"/>
      <c r="Z1617" s="7"/>
      <c r="AA1617" s="7"/>
      <c r="AB1617" s="7"/>
      <c r="AC1617" s="7"/>
      <c r="AD1617" s="7"/>
      <c r="AE1617" s="7"/>
      <c r="AF1617" s="7"/>
      <c r="AH1617" s="7"/>
      <c r="AI1617" s="7"/>
      <c r="AJ1617" s="7"/>
      <c r="AL1617" s="7"/>
      <c r="AM1617" s="7"/>
      <c r="AN1617" s="7"/>
      <c r="AP1617" s="7"/>
      <c r="AQ1617" s="7"/>
      <c r="AR1617" s="7"/>
      <c r="AS1617" s="7"/>
      <c r="AT1617" s="7"/>
      <c r="AU1617" s="7"/>
    </row>
    <row r="1618" spans="4:47" ht="13.5" x14ac:dyDescent="0.25">
      <c r="D1618" s="7"/>
      <c r="G1618" s="7"/>
      <c r="M1618" s="7"/>
      <c r="P1618" s="7"/>
      <c r="Q1618" s="7"/>
      <c r="V1618" s="7"/>
      <c r="W1618" s="7"/>
      <c r="X1618" s="7"/>
      <c r="Y1618" s="7"/>
      <c r="Z1618" s="7"/>
      <c r="AA1618" s="7"/>
      <c r="AB1618" s="7"/>
      <c r="AC1618" s="7"/>
      <c r="AD1618" s="7"/>
      <c r="AE1618" s="7"/>
      <c r="AF1618" s="7"/>
      <c r="AH1618" s="7"/>
      <c r="AI1618" s="7"/>
      <c r="AJ1618" s="7"/>
      <c r="AL1618" s="7"/>
      <c r="AM1618" s="7"/>
      <c r="AN1618" s="7"/>
      <c r="AP1618" s="7"/>
      <c r="AQ1618" s="7"/>
      <c r="AR1618" s="7"/>
      <c r="AS1618" s="7"/>
      <c r="AT1618" s="7"/>
      <c r="AU1618" s="7"/>
    </row>
    <row r="1619" spans="4:47" ht="13.5" x14ac:dyDescent="0.25">
      <c r="D1619" s="7"/>
      <c r="G1619" s="7"/>
      <c r="M1619" s="7"/>
      <c r="P1619" s="7"/>
      <c r="Q1619" s="7"/>
      <c r="V1619" s="7"/>
      <c r="W1619" s="7"/>
      <c r="X1619" s="7"/>
      <c r="Y1619" s="7"/>
      <c r="Z1619" s="7"/>
      <c r="AA1619" s="7"/>
      <c r="AB1619" s="7"/>
      <c r="AC1619" s="7"/>
      <c r="AD1619" s="7"/>
      <c r="AE1619" s="7"/>
      <c r="AF1619" s="7"/>
      <c r="AH1619" s="7"/>
      <c r="AI1619" s="7"/>
      <c r="AJ1619" s="7"/>
      <c r="AL1619" s="7"/>
      <c r="AM1619" s="7"/>
      <c r="AN1619" s="7"/>
      <c r="AP1619" s="7"/>
      <c r="AQ1619" s="7"/>
      <c r="AR1619" s="7"/>
      <c r="AS1619" s="7"/>
      <c r="AT1619" s="7"/>
      <c r="AU1619" s="7"/>
    </row>
    <row r="1620" spans="4:47" ht="13.5" x14ac:dyDescent="0.25">
      <c r="D1620" s="7"/>
      <c r="G1620" s="7"/>
      <c r="M1620" s="7"/>
      <c r="P1620" s="7"/>
      <c r="Q1620" s="7"/>
      <c r="V1620" s="7"/>
      <c r="W1620" s="7"/>
      <c r="X1620" s="7"/>
      <c r="Y1620" s="7"/>
      <c r="Z1620" s="7"/>
      <c r="AA1620" s="7"/>
      <c r="AB1620" s="7"/>
      <c r="AC1620" s="7"/>
      <c r="AD1620" s="7"/>
      <c r="AE1620" s="7"/>
      <c r="AF1620" s="7"/>
      <c r="AH1620" s="7"/>
      <c r="AI1620" s="7"/>
      <c r="AJ1620" s="7"/>
      <c r="AL1620" s="7"/>
      <c r="AM1620" s="7"/>
      <c r="AN1620" s="7"/>
      <c r="AP1620" s="7"/>
      <c r="AQ1620" s="7"/>
      <c r="AR1620" s="7"/>
      <c r="AS1620" s="7"/>
      <c r="AT1620" s="7"/>
      <c r="AU1620" s="7"/>
    </row>
    <row r="1621" spans="4:47" ht="13.5" x14ac:dyDescent="0.25">
      <c r="D1621" s="7"/>
      <c r="G1621" s="7"/>
      <c r="M1621" s="7"/>
      <c r="P1621" s="7"/>
      <c r="Q1621" s="7"/>
      <c r="V1621" s="7"/>
      <c r="W1621" s="7"/>
      <c r="X1621" s="7"/>
      <c r="Y1621" s="7"/>
      <c r="Z1621" s="7"/>
      <c r="AA1621" s="7"/>
      <c r="AB1621" s="7"/>
      <c r="AC1621" s="7"/>
      <c r="AD1621" s="7"/>
      <c r="AE1621" s="7"/>
      <c r="AF1621" s="7"/>
      <c r="AH1621" s="7"/>
      <c r="AI1621" s="7"/>
      <c r="AJ1621" s="7"/>
      <c r="AL1621" s="7"/>
      <c r="AM1621" s="7"/>
      <c r="AN1621" s="7"/>
      <c r="AP1621" s="7"/>
      <c r="AQ1621" s="7"/>
      <c r="AR1621" s="7"/>
      <c r="AS1621" s="7"/>
      <c r="AT1621" s="7"/>
      <c r="AU1621" s="7"/>
    </row>
    <row r="1622" spans="4:47" ht="13.5" x14ac:dyDescent="0.25">
      <c r="D1622" s="7"/>
      <c r="G1622" s="7"/>
      <c r="M1622" s="7"/>
      <c r="P1622" s="7"/>
      <c r="Q1622" s="7"/>
      <c r="V1622" s="7"/>
      <c r="W1622" s="7"/>
      <c r="X1622" s="7"/>
      <c r="Y1622" s="7"/>
      <c r="Z1622" s="7"/>
      <c r="AA1622" s="7"/>
      <c r="AB1622" s="7"/>
      <c r="AC1622" s="7"/>
      <c r="AD1622" s="7"/>
      <c r="AE1622" s="7"/>
      <c r="AF1622" s="7"/>
      <c r="AH1622" s="7"/>
      <c r="AI1622" s="7"/>
      <c r="AJ1622" s="7"/>
      <c r="AL1622" s="7"/>
      <c r="AM1622" s="7"/>
      <c r="AN1622" s="7"/>
      <c r="AP1622" s="7"/>
      <c r="AQ1622" s="7"/>
      <c r="AR1622" s="7"/>
      <c r="AS1622" s="7"/>
      <c r="AT1622" s="7"/>
      <c r="AU1622" s="7"/>
    </row>
    <row r="1623" spans="4:47" ht="13.5" x14ac:dyDescent="0.25">
      <c r="D1623" s="7"/>
      <c r="G1623" s="7"/>
      <c r="M1623" s="7"/>
      <c r="P1623" s="7"/>
      <c r="Q1623" s="7"/>
      <c r="V1623" s="7"/>
      <c r="W1623" s="7"/>
      <c r="X1623" s="7"/>
      <c r="Y1623" s="7"/>
      <c r="Z1623" s="7"/>
      <c r="AA1623" s="7"/>
      <c r="AB1623" s="7"/>
      <c r="AC1623" s="7"/>
      <c r="AD1623" s="7"/>
      <c r="AE1623" s="7"/>
      <c r="AF1623" s="7"/>
      <c r="AH1623" s="7"/>
      <c r="AI1623" s="7"/>
      <c r="AJ1623" s="7"/>
      <c r="AL1623" s="7"/>
      <c r="AM1623" s="7"/>
      <c r="AN1623" s="7"/>
      <c r="AP1623" s="7"/>
      <c r="AQ1623" s="7"/>
      <c r="AR1623" s="7"/>
      <c r="AS1623" s="7"/>
      <c r="AT1623" s="7"/>
      <c r="AU1623" s="7"/>
    </row>
    <row r="1624" spans="4:47" ht="13.5" x14ac:dyDescent="0.25">
      <c r="D1624" s="7"/>
      <c r="G1624" s="7"/>
      <c r="M1624" s="7"/>
      <c r="P1624" s="7"/>
      <c r="Q1624" s="7"/>
      <c r="V1624" s="7"/>
      <c r="W1624" s="7"/>
      <c r="X1624" s="7"/>
      <c r="Y1624" s="7"/>
      <c r="Z1624" s="7"/>
      <c r="AA1624" s="7"/>
      <c r="AB1624" s="7"/>
      <c r="AC1624" s="7"/>
      <c r="AD1624" s="7"/>
      <c r="AE1624" s="7"/>
      <c r="AF1624" s="7"/>
      <c r="AH1624" s="7"/>
      <c r="AI1624" s="7"/>
      <c r="AJ1624" s="7"/>
      <c r="AL1624" s="7"/>
      <c r="AM1624" s="7"/>
      <c r="AN1624" s="7"/>
      <c r="AP1624" s="7"/>
      <c r="AQ1624" s="7"/>
      <c r="AR1624" s="7"/>
      <c r="AS1624" s="7"/>
      <c r="AT1624" s="7"/>
      <c r="AU1624" s="7"/>
    </row>
    <row r="1625" spans="4:47" ht="13.5" x14ac:dyDescent="0.25">
      <c r="D1625" s="7"/>
      <c r="G1625" s="7"/>
      <c r="M1625" s="7"/>
      <c r="P1625" s="7"/>
      <c r="Q1625" s="7"/>
      <c r="V1625" s="7"/>
      <c r="W1625" s="7"/>
      <c r="X1625" s="7"/>
      <c r="Y1625" s="7"/>
      <c r="Z1625" s="7"/>
      <c r="AA1625" s="7"/>
      <c r="AB1625" s="7"/>
      <c r="AC1625" s="7"/>
      <c r="AD1625" s="7"/>
      <c r="AE1625" s="7"/>
      <c r="AF1625" s="7"/>
      <c r="AH1625" s="7"/>
      <c r="AI1625" s="7"/>
      <c r="AJ1625" s="7"/>
      <c r="AL1625" s="7"/>
      <c r="AM1625" s="7"/>
      <c r="AN1625" s="7"/>
      <c r="AP1625" s="7"/>
      <c r="AQ1625" s="7"/>
      <c r="AR1625" s="7"/>
      <c r="AS1625" s="7"/>
      <c r="AT1625" s="7"/>
      <c r="AU1625" s="7"/>
    </row>
    <row r="1626" spans="4:47" ht="13.5" x14ac:dyDescent="0.25">
      <c r="D1626" s="7"/>
      <c r="G1626" s="7"/>
      <c r="M1626" s="7"/>
      <c r="P1626" s="7"/>
      <c r="Q1626" s="7"/>
      <c r="V1626" s="7"/>
      <c r="W1626" s="7"/>
      <c r="X1626" s="7"/>
      <c r="Y1626" s="7"/>
      <c r="Z1626" s="7"/>
      <c r="AA1626" s="7"/>
      <c r="AB1626" s="7"/>
      <c r="AC1626" s="7"/>
      <c r="AD1626" s="7"/>
      <c r="AE1626" s="7"/>
      <c r="AF1626" s="7"/>
      <c r="AH1626" s="7"/>
      <c r="AI1626" s="7"/>
      <c r="AJ1626" s="7"/>
      <c r="AL1626" s="7"/>
      <c r="AM1626" s="7"/>
      <c r="AN1626" s="7"/>
      <c r="AP1626" s="7"/>
      <c r="AQ1626" s="7"/>
      <c r="AR1626" s="7"/>
      <c r="AS1626" s="7"/>
      <c r="AT1626" s="7"/>
      <c r="AU1626" s="7"/>
    </row>
    <row r="1627" spans="4:47" ht="13.5" x14ac:dyDescent="0.25">
      <c r="D1627" s="7"/>
      <c r="G1627" s="7"/>
      <c r="M1627" s="7"/>
      <c r="P1627" s="7"/>
      <c r="Q1627" s="7"/>
      <c r="V1627" s="7"/>
      <c r="W1627" s="7"/>
      <c r="X1627" s="7"/>
      <c r="Y1627" s="7"/>
      <c r="Z1627" s="7"/>
      <c r="AA1627" s="7"/>
      <c r="AB1627" s="7"/>
      <c r="AC1627" s="7"/>
      <c r="AD1627" s="7"/>
      <c r="AE1627" s="7"/>
      <c r="AF1627" s="7"/>
      <c r="AH1627" s="7"/>
      <c r="AI1627" s="7"/>
      <c r="AJ1627" s="7"/>
      <c r="AL1627" s="7"/>
      <c r="AM1627" s="7"/>
      <c r="AN1627" s="7"/>
      <c r="AP1627" s="7"/>
      <c r="AQ1627" s="7"/>
      <c r="AR1627" s="7"/>
      <c r="AS1627" s="7"/>
      <c r="AT1627" s="7"/>
      <c r="AU1627" s="7"/>
    </row>
    <row r="1628" spans="4:47" ht="13.5" x14ac:dyDescent="0.25">
      <c r="D1628" s="7"/>
      <c r="G1628" s="7"/>
      <c r="M1628" s="7"/>
      <c r="P1628" s="7"/>
      <c r="Q1628" s="7"/>
      <c r="V1628" s="7"/>
      <c r="W1628" s="7"/>
      <c r="X1628" s="7"/>
      <c r="Y1628" s="7"/>
      <c r="Z1628" s="7"/>
      <c r="AA1628" s="7"/>
      <c r="AB1628" s="7"/>
      <c r="AC1628" s="7"/>
      <c r="AD1628" s="7"/>
      <c r="AE1628" s="7"/>
      <c r="AF1628" s="7"/>
      <c r="AH1628" s="7"/>
      <c r="AI1628" s="7"/>
      <c r="AJ1628" s="7"/>
      <c r="AL1628" s="7"/>
      <c r="AM1628" s="7"/>
      <c r="AN1628" s="7"/>
      <c r="AP1628" s="7"/>
      <c r="AQ1628" s="7"/>
      <c r="AR1628" s="7"/>
      <c r="AS1628" s="7"/>
      <c r="AT1628" s="7"/>
      <c r="AU1628" s="7"/>
    </row>
    <row r="1629" spans="4:47" ht="13.5" x14ac:dyDescent="0.25">
      <c r="D1629" s="7"/>
      <c r="G1629" s="7"/>
      <c r="M1629" s="7"/>
      <c r="P1629" s="7"/>
      <c r="Q1629" s="7"/>
      <c r="V1629" s="7"/>
      <c r="W1629" s="7"/>
      <c r="X1629" s="7"/>
      <c r="Y1629" s="7"/>
      <c r="Z1629" s="7"/>
      <c r="AA1629" s="7"/>
      <c r="AB1629" s="7"/>
      <c r="AC1629" s="7"/>
      <c r="AD1629" s="7"/>
      <c r="AE1629" s="7"/>
      <c r="AF1629" s="7"/>
      <c r="AH1629" s="7"/>
      <c r="AI1629" s="7"/>
      <c r="AJ1629" s="7"/>
      <c r="AL1629" s="7"/>
      <c r="AM1629" s="7"/>
      <c r="AN1629" s="7"/>
      <c r="AP1629" s="7"/>
      <c r="AQ1629" s="7"/>
      <c r="AR1629" s="7"/>
      <c r="AS1629" s="7"/>
      <c r="AT1629" s="7"/>
      <c r="AU1629" s="7"/>
    </row>
    <row r="1630" spans="4:47" ht="13.5" x14ac:dyDescent="0.25">
      <c r="D1630" s="7"/>
      <c r="G1630" s="7"/>
      <c r="M1630" s="7"/>
      <c r="P1630" s="7"/>
      <c r="Q1630" s="7"/>
      <c r="V1630" s="7"/>
      <c r="W1630" s="7"/>
      <c r="X1630" s="7"/>
      <c r="Y1630" s="7"/>
      <c r="Z1630" s="7"/>
      <c r="AA1630" s="7"/>
      <c r="AB1630" s="7"/>
      <c r="AC1630" s="7"/>
      <c r="AD1630" s="7"/>
      <c r="AE1630" s="7"/>
      <c r="AF1630" s="7"/>
      <c r="AH1630" s="7"/>
      <c r="AI1630" s="7"/>
      <c r="AJ1630" s="7"/>
      <c r="AL1630" s="7"/>
      <c r="AM1630" s="7"/>
      <c r="AN1630" s="7"/>
      <c r="AP1630" s="7"/>
      <c r="AQ1630" s="7"/>
      <c r="AR1630" s="7"/>
      <c r="AS1630" s="7"/>
      <c r="AT1630" s="7"/>
      <c r="AU1630" s="7"/>
    </row>
    <row r="1631" spans="4:47" ht="13.5" x14ac:dyDescent="0.25">
      <c r="D1631" s="7"/>
      <c r="G1631" s="7"/>
      <c r="M1631" s="7"/>
      <c r="P1631" s="7"/>
      <c r="Q1631" s="7"/>
      <c r="V1631" s="7"/>
      <c r="W1631" s="7"/>
      <c r="X1631" s="7"/>
      <c r="Y1631" s="7"/>
      <c r="Z1631" s="7"/>
      <c r="AA1631" s="7"/>
      <c r="AB1631" s="7"/>
      <c r="AC1631" s="7"/>
      <c r="AD1631" s="7"/>
      <c r="AE1631" s="7"/>
      <c r="AF1631" s="7"/>
      <c r="AH1631" s="7"/>
      <c r="AI1631" s="7"/>
      <c r="AJ1631" s="7"/>
      <c r="AL1631" s="7"/>
      <c r="AM1631" s="7"/>
      <c r="AN1631" s="7"/>
      <c r="AP1631" s="7"/>
      <c r="AQ1631" s="7"/>
      <c r="AR1631" s="7"/>
      <c r="AS1631" s="7"/>
      <c r="AT1631" s="7"/>
      <c r="AU1631" s="7"/>
    </row>
    <row r="1632" spans="4:47" ht="13.5" x14ac:dyDescent="0.25">
      <c r="D1632" s="7"/>
      <c r="G1632" s="7"/>
      <c r="M1632" s="7"/>
      <c r="P1632" s="7"/>
      <c r="Q1632" s="7"/>
      <c r="V1632" s="7"/>
      <c r="W1632" s="7"/>
      <c r="X1632" s="7"/>
      <c r="Y1632" s="7"/>
      <c r="Z1632" s="7"/>
      <c r="AA1632" s="7"/>
      <c r="AB1632" s="7"/>
      <c r="AC1632" s="7"/>
      <c r="AD1632" s="7"/>
      <c r="AE1632" s="7"/>
      <c r="AF1632" s="7"/>
      <c r="AH1632" s="7"/>
      <c r="AI1632" s="7"/>
      <c r="AJ1632" s="7"/>
      <c r="AL1632" s="7"/>
      <c r="AM1632" s="7"/>
      <c r="AN1632" s="7"/>
      <c r="AP1632" s="7"/>
      <c r="AQ1632" s="7"/>
      <c r="AR1632" s="7"/>
      <c r="AS1632" s="7"/>
      <c r="AT1632" s="7"/>
      <c r="AU1632" s="7"/>
    </row>
    <row r="1633" spans="4:47" ht="13.5" x14ac:dyDescent="0.25">
      <c r="D1633" s="7"/>
      <c r="G1633" s="7"/>
      <c r="M1633" s="7"/>
      <c r="P1633" s="7"/>
      <c r="Q1633" s="7"/>
      <c r="V1633" s="7"/>
      <c r="W1633" s="7"/>
      <c r="X1633" s="7"/>
      <c r="Y1633" s="7"/>
      <c r="Z1633" s="7"/>
      <c r="AA1633" s="7"/>
      <c r="AB1633" s="7"/>
      <c r="AC1633" s="7"/>
      <c r="AD1633" s="7"/>
      <c r="AE1633" s="7"/>
      <c r="AF1633" s="7"/>
      <c r="AH1633" s="7"/>
      <c r="AI1633" s="7"/>
      <c r="AJ1633" s="7"/>
      <c r="AL1633" s="7"/>
      <c r="AM1633" s="7"/>
      <c r="AN1633" s="7"/>
      <c r="AP1633" s="7"/>
      <c r="AQ1633" s="7"/>
      <c r="AR1633" s="7"/>
      <c r="AS1633" s="7"/>
      <c r="AT1633" s="7"/>
      <c r="AU1633" s="7"/>
    </row>
    <row r="1634" spans="4:47" ht="13.5" x14ac:dyDescent="0.25">
      <c r="D1634" s="7"/>
      <c r="G1634" s="7"/>
      <c r="M1634" s="7"/>
      <c r="P1634" s="7"/>
      <c r="Q1634" s="7"/>
      <c r="V1634" s="7"/>
      <c r="W1634" s="7"/>
      <c r="X1634" s="7"/>
      <c r="Y1634" s="7"/>
      <c r="Z1634" s="7"/>
      <c r="AA1634" s="7"/>
      <c r="AB1634" s="7"/>
      <c r="AC1634" s="7"/>
      <c r="AD1634" s="7"/>
      <c r="AE1634" s="7"/>
      <c r="AF1634" s="7"/>
      <c r="AH1634" s="7"/>
      <c r="AI1634" s="7"/>
      <c r="AJ1634" s="7"/>
      <c r="AL1634" s="7"/>
      <c r="AM1634" s="7"/>
      <c r="AN1634" s="7"/>
      <c r="AP1634" s="7"/>
      <c r="AQ1634" s="7"/>
      <c r="AR1634" s="7"/>
      <c r="AS1634" s="7"/>
      <c r="AT1634" s="7"/>
      <c r="AU1634" s="7"/>
    </row>
    <row r="1635" spans="4:47" ht="13.5" x14ac:dyDescent="0.25">
      <c r="D1635" s="7"/>
      <c r="G1635" s="7"/>
      <c r="M1635" s="7"/>
      <c r="P1635" s="7"/>
      <c r="Q1635" s="7"/>
      <c r="V1635" s="7"/>
      <c r="W1635" s="7"/>
      <c r="X1635" s="7"/>
      <c r="Y1635" s="7"/>
      <c r="Z1635" s="7"/>
      <c r="AA1635" s="7"/>
      <c r="AB1635" s="7"/>
      <c r="AC1635" s="7"/>
      <c r="AD1635" s="7"/>
      <c r="AE1635" s="7"/>
      <c r="AF1635" s="7"/>
      <c r="AH1635" s="7"/>
      <c r="AI1635" s="7"/>
      <c r="AJ1635" s="7"/>
      <c r="AL1635" s="7"/>
      <c r="AM1635" s="7"/>
      <c r="AN1635" s="7"/>
      <c r="AP1635" s="7"/>
      <c r="AQ1635" s="7"/>
      <c r="AR1635" s="7"/>
      <c r="AS1635" s="7"/>
      <c r="AT1635" s="7"/>
      <c r="AU1635" s="7"/>
    </row>
    <row r="1636" spans="4:47" ht="13.5" x14ac:dyDescent="0.25">
      <c r="D1636" s="7"/>
      <c r="G1636" s="7"/>
      <c r="M1636" s="7"/>
      <c r="P1636" s="7"/>
      <c r="Q1636" s="7"/>
      <c r="V1636" s="7"/>
      <c r="W1636" s="7"/>
      <c r="X1636" s="7"/>
      <c r="Y1636" s="7"/>
      <c r="Z1636" s="7"/>
      <c r="AA1636" s="7"/>
      <c r="AB1636" s="7"/>
      <c r="AC1636" s="7"/>
      <c r="AD1636" s="7"/>
      <c r="AE1636" s="7"/>
      <c r="AF1636" s="7"/>
      <c r="AH1636" s="7"/>
      <c r="AI1636" s="7"/>
      <c r="AJ1636" s="7"/>
      <c r="AL1636" s="7"/>
      <c r="AM1636" s="7"/>
      <c r="AN1636" s="7"/>
      <c r="AP1636" s="7"/>
      <c r="AQ1636" s="7"/>
      <c r="AR1636" s="7"/>
      <c r="AS1636" s="7"/>
      <c r="AT1636" s="7"/>
      <c r="AU1636" s="7"/>
    </row>
    <row r="1637" spans="4:47" ht="13.5" x14ac:dyDescent="0.25">
      <c r="D1637" s="7"/>
      <c r="G1637" s="7"/>
      <c r="M1637" s="7"/>
      <c r="P1637" s="7"/>
      <c r="Q1637" s="7"/>
      <c r="V1637" s="7"/>
      <c r="W1637" s="7"/>
      <c r="X1637" s="7"/>
      <c r="Y1637" s="7"/>
      <c r="Z1637" s="7"/>
      <c r="AA1637" s="7"/>
      <c r="AB1637" s="7"/>
      <c r="AC1637" s="7"/>
      <c r="AD1637" s="7"/>
      <c r="AE1637" s="7"/>
      <c r="AF1637" s="7"/>
      <c r="AH1637" s="7"/>
      <c r="AI1637" s="7"/>
      <c r="AJ1637" s="7"/>
      <c r="AL1637" s="7"/>
      <c r="AM1637" s="7"/>
      <c r="AN1637" s="7"/>
      <c r="AP1637" s="7"/>
      <c r="AQ1637" s="7"/>
      <c r="AR1637" s="7"/>
      <c r="AS1637" s="7"/>
      <c r="AT1637" s="7"/>
      <c r="AU1637" s="7"/>
    </row>
    <row r="1638" spans="4:47" ht="13.5" x14ac:dyDescent="0.25">
      <c r="D1638" s="7"/>
      <c r="G1638" s="7"/>
      <c r="M1638" s="7"/>
      <c r="P1638" s="7"/>
      <c r="Q1638" s="7"/>
      <c r="V1638" s="7"/>
      <c r="W1638" s="7"/>
      <c r="X1638" s="7"/>
      <c r="Y1638" s="7"/>
      <c r="Z1638" s="7"/>
      <c r="AA1638" s="7"/>
      <c r="AB1638" s="7"/>
      <c r="AC1638" s="7"/>
      <c r="AD1638" s="7"/>
      <c r="AE1638" s="7"/>
      <c r="AF1638" s="7"/>
      <c r="AH1638" s="7"/>
      <c r="AI1638" s="7"/>
      <c r="AJ1638" s="7"/>
      <c r="AL1638" s="7"/>
      <c r="AM1638" s="7"/>
      <c r="AN1638" s="7"/>
      <c r="AP1638" s="7"/>
      <c r="AQ1638" s="7"/>
      <c r="AR1638" s="7"/>
      <c r="AS1638" s="7"/>
      <c r="AT1638" s="7"/>
      <c r="AU1638" s="7"/>
    </row>
    <row r="1639" spans="4:47" ht="13.5" x14ac:dyDescent="0.25">
      <c r="D1639" s="7"/>
      <c r="G1639" s="7"/>
      <c r="M1639" s="7"/>
      <c r="P1639" s="7"/>
      <c r="Q1639" s="7"/>
      <c r="V1639" s="7"/>
      <c r="W1639" s="7"/>
      <c r="X1639" s="7"/>
      <c r="Y1639" s="7"/>
      <c r="Z1639" s="7"/>
      <c r="AA1639" s="7"/>
      <c r="AB1639" s="7"/>
      <c r="AC1639" s="7"/>
      <c r="AD1639" s="7"/>
      <c r="AE1639" s="7"/>
      <c r="AF1639" s="7"/>
      <c r="AH1639" s="7"/>
      <c r="AI1639" s="7"/>
      <c r="AJ1639" s="7"/>
      <c r="AL1639" s="7"/>
      <c r="AM1639" s="7"/>
      <c r="AN1639" s="7"/>
      <c r="AP1639" s="7"/>
      <c r="AQ1639" s="7"/>
      <c r="AR1639" s="7"/>
      <c r="AS1639" s="7"/>
      <c r="AT1639" s="7"/>
      <c r="AU1639" s="7"/>
    </row>
    <row r="1640" spans="4:47" ht="13.5" x14ac:dyDescent="0.25">
      <c r="D1640" s="7"/>
      <c r="G1640" s="7"/>
      <c r="M1640" s="7"/>
      <c r="P1640" s="7"/>
      <c r="Q1640" s="7"/>
      <c r="V1640" s="7"/>
      <c r="W1640" s="7"/>
      <c r="X1640" s="7"/>
      <c r="Y1640" s="7"/>
      <c r="Z1640" s="7"/>
      <c r="AA1640" s="7"/>
      <c r="AB1640" s="7"/>
      <c r="AC1640" s="7"/>
      <c r="AD1640" s="7"/>
      <c r="AE1640" s="7"/>
      <c r="AF1640" s="7"/>
      <c r="AH1640" s="7"/>
      <c r="AI1640" s="7"/>
      <c r="AJ1640" s="7"/>
      <c r="AL1640" s="7"/>
      <c r="AM1640" s="7"/>
      <c r="AN1640" s="7"/>
      <c r="AP1640" s="7"/>
      <c r="AQ1640" s="7"/>
      <c r="AR1640" s="7"/>
      <c r="AS1640" s="7"/>
      <c r="AT1640" s="7"/>
      <c r="AU1640" s="7"/>
    </row>
    <row r="1641" spans="4:47" ht="13.5" x14ac:dyDescent="0.25">
      <c r="D1641" s="7"/>
      <c r="G1641" s="7"/>
      <c r="M1641" s="7"/>
      <c r="P1641" s="7"/>
      <c r="Q1641" s="7"/>
      <c r="V1641" s="7"/>
      <c r="W1641" s="7"/>
      <c r="X1641" s="7"/>
      <c r="Y1641" s="7"/>
      <c r="Z1641" s="7"/>
      <c r="AA1641" s="7"/>
      <c r="AB1641" s="7"/>
      <c r="AC1641" s="7"/>
      <c r="AD1641" s="7"/>
      <c r="AE1641" s="7"/>
      <c r="AF1641" s="7"/>
      <c r="AH1641" s="7"/>
      <c r="AI1641" s="7"/>
      <c r="AJ1641" s="7"/>
      <c r="AL1641" s="7"/>
      <c r="AM1641" s="7"/>
      <c r="AN1641" s="7"/>
      <c r="AP1641" s="7"/>
      <c r="AQ1641" s="7"/>
      <c r="AR1641" s="7"/>
      <c r="AS1641" s="7"/>
      <c r="AT1641" s="7"/>
      <c r="AU1641" s="7"/>
    </row>
    <row r="1642" spans="4:47" ht="13.5" x14ac:dyDescent="0.25">
      <c r="D1642" s="7"/>
      <c r="G1642" s="7"/>
      <c r="M1642" s="7"/>
      <c r="P1642" s="7"/>
      <c r="Q1642" s="7"/>
      <c r="V1642" s="7"/>
      <c r="W1642" s="7"/>
      <c r="X1642" s="7"/>
      <c r="Y1642" s="7"/>
      <c r="Z1642" s="7"/>
      <c r="AA1642" s="7"/>
      <c r="AB1642" s="7"/>
      <c r="AC1642" s="7"/>
      <c r="AD1642" s="7"/>
      <c r="AE1642" s="7"/>
      <c r="AF1642" s="7"/>
      <c r="AH1642" s="7"/>
      <c r="AI1642" s="7"/>
      <c r="AJ1642" s="7"/>
      <c r="AL1642" s="7"/>
      <c r="AM1642" s="7"/>
      <c r="AN1642" s="7"/>
      <c r="AP1642" s="7"/>
      <c r="AQ1642" s="7"/>
      <c r="AR1642" s="7"/>
      <c r="AS1642" s="7"/>
      <c r="AT1642" s="7"/>
      <c r="AU1642" s="7"/>
    </row>
    <row r="1643" spans="4:47" ht="13.5" x14ac:dyDescent="0.25">
      <c r="D1643" s="7"/>
      <c r="G1643" s="7"/>
      <c r="M1643" s="7"/>
      <c r="P1643" s="7"/>
      <c r="Q1643" s="7"/>
      <c r="V1643" s="7"/>
      <c r="W1643" s="7"/>
      <c r="X1643" s="7"/>
      <c r="Y1643" s="7"/>
      <c r="Z1643" s="7"/>
      <c r="AA1643" s="7"/>
      <c r="AB1643" s="7"/>
      <c r="AC1643" s="7"/>
      <c r="AD1643" s="7"/>
      <c r="AE1643" s="7"/>
      <c r="AF1643" s="7"/>
      <c r="AH1643" s="7"/>
      <c r="AI1643" s="7"/>
      <c r="AJ1643" s="7"/>
      <c r="AL1643" s="7"/>
      <c r="AM1643" s="7"/>
      <c r="AN1643" s="7"/>
      <c r="AP1643" s="7"/>
      <c r="AQ1643" s="7"/>
      <c r="AR1643" s="7"/>
      <c r="AS1643" s="7"/>
      <c r="AT1643" s="7"/>
      <c r="AU1643" s="7"/>
    </row>
    <row r="1644" spans="4:47" ht="13.5" x14ac:dyDescent="0.25">
      <c r="D1644" s="7"/>
      <c r="G1644" s="7"/>
      <c r="M1644" s="7"/>
      <c r="P1644" s="7"/>
      <c r="Q1644" s="7"/>
      <c r="V1644" s="7"/>
      <c r="W1644" s="7"/>
      <c r="X1644" s="7"/>
      <c r="Y1644" s="7"/>
      <c r="Z1644" s="7"/>
      <c r="AA1644" s="7"/>
      <c r="AB1644" s="7"/>
      <c r="AC1644" s="7"/>
      <c r="AD1644" s="7"/>
      <c r="AE1644" s="7"/>
      <c r="AF1644" s="7"/>
      <c r="AH1644" s="7"/>
      <c r="AI1644" s="7"/>
      <c r="AJ1644" s="7"/>
      <c r="AL1644" s="7"/>
      <c r="AM1644" s="7"/>
      <c r="AN1644" s="7"/>
      <c r="AP1644" s="7"/>
      <c r="AQ1644" s="7"/>
      <c r="AR1644" s="7"/>
      <c r="AS1644" s="7"/>
      <c r="AT1644" s="7"/>
      <c r="AU1644" s="7"/>
    </row>
    <row r="1645" spans="4:47" ht="13.5" x14ac:dyDescent="0.25">
      <c r="D1645" s="7"/>
      <c r="G1645" s="7"/>
      <c r="M1645" s="7"/>
      <c r="P1645" s="7"/>
      <c r="Q1645" s="7"/>
      <c r="V1645" s="7"/>
      <c r="W1645" s="7"/>
      <c r="X1645" s="7"/>
      <c r="Y1645" s="7"/>
      <c r="Z1645" s="7"/>
      <c r="AA1645" s="7"/>
      <c r="AB1645" s="7"/>
      <c r="AC1645" s="7"/>
      <c r="AD1645" s="7"/>
      <c r="AE1645" s="7"/>
      <c r="AF1645" s="7"/>
      <c r="AH1645" s="7"/>
      <c r="AI1645" s="7"/>
      <c r="AJ1645" s="7"/>
      <c r="AL1645" s="7"/>
      <c r="AM1645" s="7"/>
      <c r="AN1645" s="7"/>
      <c r="AP1645" s="7"/>
      <c r="AQ1645" s="7"/>
      <c r="AR1645" s="7"/>
      <c r="AS1645" s="7"/>
      <c r="AT1645" s="7"/>
      <c r="AU1645" s="7"/>
    </row>
    <row r="1646" spans="4:47" ht="13.5" x14ac:dyDescent="0.25">
      <c r="D1646" s="7"/>
      <c r="G1646" s="7"/>
      <c r="M1646" s="7"/>
      <c r="P1646" s="7"/>
      <c r="Q1646" s="7"/>
      <c r="V1646" s="7"/>
      <c r="W1646" s="7"/>
      <c r="X1646" s="7"/>
      <c r="Y1646" s="7"/>
      <c r="Z1646" s="7"/>
      <c r="AA1646" s="7"/>
      <c r="AB1646" s="7"/>
      <c r="AC1646" s="7"/>
      <c r="AD1646" s="7"/>
      <c r="AE1646" s="7"/>
      <c r="AF1646" s="7"/>
      <c r="AH1646" s="7"/>
      <c r="AI1646" s="7"/>
      <c r="AJ1646" s="7"/>
      <c r="AL1646" s="7"/>
      <c r="AM1646" s="7"/>
      <c r="AN1646" s="7"/>
      <c r="AP1646" s="7"/>
      <c r="AQ1646" s="7"/>
      <c r="AR1646" s="7"/>
      <c r="AS1646" s="7"/>
      <c r="AT1646" s="7"/>
      <c r="AU1646" s="7"/>
    </row>
    <row r="1647" spans="4:47" ht="13.5" x14ac:dyDescent="0.25">
      <c r="D1647" s="7"/>
      <c r="G1647" s="7"/>
      <c r="M1647" s="7"/>
      <c r="P1647" s="7"/>
      <c r="Q1647" s="7"/>
      <c r="V1647" s="7"/>
      <c r="W1647" s="7"/>
      <c r="X1647" s="7"/>
      <c r="Y1647" s="7"/>
      <c r="Z1647" s="7"/>
      <c r="AA1647" s="7"/>
      <c r="AB1647" s="7"/>
      <c r="AC1647" s="7"/>
      <c r="AD1647" s="7"/>
      <c r="AE1647" s="7"/>
      <c r="AF1647" s="7"/>
      <c r="AH1647" s="7"/>
      <c r="AI1647" s="7"/>
      <c r="AJ1647" s="7"/>
      <c r="AL1647" s="7"/>
      <c r="AM1647" s="7"/>
      <c r="AN1647" s="7"/>
      <c r="AP1647" s="7"/>
      <c r="AQ1647" s="7"/>
      <c r="AR1647" s="7"/>
      <c r="AS1647" s="7"/>
      <c r="AT1647" s="7"/>
      <c r="AU1647" s="7"/>
    </row>
    <row r="1648" spans="4:47" ht="13.5" x14ac:dyDescent="0.25">
      <c r="D1648" s="7"/>
      <c r="G1648" s="7"/>
      <c r="M1648" s="7"/>
      <c r="P1648" s="7"/>
      <c r="Q1648" s="7"/>
      <c r="V1648" s="7"/>
      <c r="W1648" s="7"/>
      <c r="X1648" s="7"/>
      <c r="Y1648" s="7"/>
      <c r="Z1648" s="7"/>
      <c r="AA1648" s="7"/>
      <c r="AB1648" s="7"/>
      <c r="AC1648" s="7"/>
      <c r="AD1648" s="7"/>
      <c r="AE1648" s="7"/>
      <c r="AF1648" s="7"/>
      <c r="AH1648" s="7"/>
      <c r="AI1648" s="7"/>
      <c r="AJ1648" s="7"/>
      <c r="AL1648" s="7"/>
      <c r="AM1648" s="7"/>
      <c r="AN1648" s="7"/>
      <c r="AP1648" s="7"/>
      <c r="AQ1648" s="7"/>
      <c r="AR1648" s="7"/>
      <c r="AS1648" s="7"/>
      <c r="AT1648" s="7"/>
      <c r="AU1648" s="7"/>
    </row>
    <row r="1649" spans="4:47" ht="13.5" x14ac:dyDescent="0.25">
      <c r="D1649" s="7"/>
      <c r="G1649" s="7"/>
      <c r="M1649" s="7"/>
      <c r="P1649" s="7"/>
      <c r="Q1649" s="7"/>
      <c r="V1649" s="7"/>
      <c r="W1649" s="7"/>
      <c r="X1649" s="7"/>
      <c r="Y1649" s="7"/>
      <c r="Z1649" s="7"/>
      <c r="AA1649" s="7"/>
      <c r="AB1649" s="7"/>
      <c r="AC1649" s="7"/>
      <c r="AD1649" s="7"/>
      <c r="AE1649" s="7"/>
      <c r="AF1649" s="7"/>
      <c r="AH1649" s="7"/>
      <c r="AI1649" s="7"/>
      <c r="AJ1649" s="7"/>
      <c r="AL1649" s="7"/>
      <c r="AM1649" s="7"/>
      <c r="AN1649" s="7"/>
      <c r="AP1649" s="7"/>
      <c r="AQ1649" s="7"/>
      <c r="AR1649" s="7"/>
      <c r="AS1649" s="7"/>
      <c r="AT1649" s="7"/>
      <c r="AU1649" s="7"/>
    </row>
    <row r="1650" spans="4:47" ht="13.5" x14ac:dyDescent="0.25">
      <c r="D1650" s="7"/>
      <c r="G1650" s="7"/>
      <c r="M1650" s="7"/>
      <c r="P1650" s="7"/>
      <c r="Q1650" s="7"/>
      <c r="V1650" s="7"/>
      <c r="W1650" s="7"/>
      <c r="X1650" s="7"/>
      <c r="Y1650" s="7"/>
      <c r="Z1650" s="7"/>
      <c r="AA1650" s="7"/>
      <c r="AB1650" s="7"/>
      <c r="AC1650" s="7"/>
      <c r="AD1650" s="7"/>
      <c r="AE1650" s="7"/>
      <c r="AF1650" s="7"/>
      <c r="AH1650" s="7"/>
      <c r="AI1650" s="7"/>
      <c r="AJ1650" s="7"/>
      <c r="AL1650" s="7"/>
      <c r="AM1650" s="7"/>
      <c r="AN1650" s="7"/>
      <c r="AP1650" s="7"/>
      <c r="AQ1650" s="7"/>
      <c r="AR1650" s="7"/>
      <c r="AS1650" s="7"/>
      <c r="AT1650" s="7"/>
      <c r="AU1650" s="7"/>
    </row>
    <row r="1651" spans="4:47" ht="13.5" x14ac:dyDescent="0.25">
      <c r="D1651" s="7"/>
      <c r="G1651" s="7"/>
      <c r="M1651" s="7"/>
      <c r="P1651" s="7"/>
      <c r="Q1651" s="7"/>
      <c r="V1651" s="7"/>
      <c r="W1651" s="7"/>
      <c r="X1651" s="7"/>
      <c r="Y1651" s="7"/>
      <c r="Z1651" s="7"/>
      <c r="AA1651" s="7"/>
      <c r="AB1651" s="7"/>
      <c r="AC1651" s="7"/>
      <c r="AD1651" s="7"/>
      <c r="AE1651" s="7"/>
      <c r="AF1651" s="7"/>
      <c r="AH1651" s="7"/>
      <c r="AI1651" s="7"/>
      <c r="AJ1651" s="7"/>
      <c r="AL1651" s="7"/>
      <c r="AM1651" s="7"/>
      <c r="AN1651" s="7"/>
      <c r="AP1651" s="7"/>
      <c r="AQ1651" s="7"/>
      <c r="AR1651" s="7"/>
      <c r="AS1651" s="7"/>
      <c r="AT1651" s="7"/>
      <c r="AU1651" s="7"/>
    </row>
    <row r="1652" spans="4:47" ht="13.5" x14ac:dyDescent="0.25">
      <c r="D1652" s="7"/>
      <c r="G1652" s="7"/>
      <c r="M1652" s="7"/>
      <c r="P1652" s="7"/>
      <c r="Q1652" s="7"/>
      <c r="V1652" s="7"/>
      <c r="W1652" s="7"/>
      <c r="X1652" s="7"/>
      <c r="Y1652" s="7"/>
      <c r="Z1652" s="7"/>
      <c r="AA1652" s="7"/>
      <c r="AB1652" s="7"/>
      <c r="AC1652" s="7"/>
      <c r="AD1652" s="7"/>
      <c r="AE1652" s="7"/>
      <c r="AF1652" s="7"/>
      <c r="AH1652" s="7"/>
      <c r="AI1652" s="7"/>
      <c r="AJ1652" s="7"/>
      <c r="AL1652" s="7"/>
      <c r="AM1652" s="7"/>
      <c r="AN1652" s="7"/>
      <c r="AP1652" s="7"/>
      <c r="AQ1652" s="7"/>
      <c r="AR1652" s="7"/>
      <c r="AS1652" s="7"/>
      <c r="AT1652" s="7"/>
      <c r="AU1652" s="7"/>
    </row>
    <row r="1653" spans="4:47" ht="13.5" x14ac:dyDescent="0.25">
      <c r="D1653" s="7"/>
      <c r="G1653" s="7"/>
      <c r="M1653" s="7"/>
      <c r="P1653" s="7"/>
      <c r="Q1653" s="7"/>
      <c r="V1653" s="7"/>
      <c r="W1653" s="7"/>
      <c r="X1653" s="7"/>
      <c r="Y1653" s="7"/>
      <c r="Z1653" s="7"/>
      <c r="AA1653" s="7"/>
      <c r="AB1653" s="7"/>
      <c r="AC1653" s="7"/>
      <c r="AD1653" s="7"/>
      <c r="AE1653" s="7"/>
      <c r="AF1653" s="7"/>
      <c r="AH1653" s="7"/>
      <c r="AI1653" s="7"/>
      <c r="AJ1653" s="7"/>
      <c r="AL1653" s="7"/>
      <c r="AM1653" s="7"/>
      <c r="AN1653" s="7"/>
      <c r="AP1653" s="7"/>
      <c r="AQ1653" s="7"/>
      <c r="AR1653" s="7"/>
      <c r="AS1653" s="7"/>
      <c r="AT1653" s="7"/>
      <c r="AU1653" s="7"/>
    </row>
    <row r="1654" spans="4:47" ht="13.5" x14ac:dyDescent="0.25">
      <c r="D1654" s="7"/>
      <c r="G1654" s="7"/>
      <c r="M1654" s="7"/>
      <c r="P1654" s="7"/>
      <c r="Q1654" s="7"/>
      <c r="V1654" s="7"/>
      <c r="W1654" s="7"/>
      <c r="X1654" s="7"/>
      <c r="Y1654" s="7"/>
      <c r="Z1654" s="7"/>
      <c r="AA1654" s="7"/>
      <c r="AB1654" s="7"/>
      <c r="AC1654" s="7"/>
      <c r="AD1654" s="7"/>
      <c r="AE1654" s="7"/>
      <c r="AF1654" s="7"/>
      <c r="AH1654" s="7"/>
      <c r="AI1654" s="7"/>
      <c r="AJ1654" s="7"/>
      <c r="AL1654" s="7"/>
      <c r="AM1654" s="7"/>
      <c r="AN1654" s="7"/>
      <c r="AP1654" s="7"/>
      <c r="AQ1654" s="7"/>
      <c r="AR1654" s="7"/>
      <c r="AS1654" s="7"/>
      <c r="AT1654" s="7"/>
      <c r="AU1654" s="7"/>
    </row>
    <row r="1655" spans="4:47" ht="13.5" x14ac:dyDescent="0.25">
      <c r="D1655" s="7"/>
      <c r="G1655" s="7"/>
      <c r="M1655" s="7"/>
      <c r="P1655" s="7"/>
      <c r="Q1655" s="7"/>
      <c r="V1655" s="7"/>
      <c r="W1655" s="7"/>
      <c r="X1655" s="7"/>
      <c r="Y1655" s="7"/>
      <c r="Z1655" s="7"/>
      <c r="AA1655" s="7"/>
      <c r="AB1655" s="7"/>
      <c r="AC1655" s="7"/>
      <c r="AD1655" s="7"/>
      <c r="AE1655" s="7"/>
      <c r="AF1655" s="7"/>
      <c r="AH1655" s="7"/>
      <c r="AI1655" s="7"/>
      <c r="AJ1655" s="7"/>
      <c r="AL1655" s="7"/>
      <c r="AM1655" s="7"/>
      <c r="AN1655" s="7"/>
      <c r="AP1655" s="7"/>
      <c r="AQ1655" s="7"/>
      <c r="AR1655" s="7"/>
      <c r="AS1655" s="7"/>
      <c r="AT1655" s="7"/>
      <c r="AU1655" s="7"/>
    </row>
    <row r="1656" spans="4:47" ht="13.5" x14ac:dyDescent="0.25">
      <c r="D1656" s="7"/>
      <c r="G1656" s="7"/>
      <c r="M1656" s="7"/>
      <c r="P1656" s="7"/>
      <c r="Q1656" s="7"/>
      <c r="V1656" s="7"/>
      <c r="W1656" s="7"/>
      <c r="X1656" s="7"/>
      <c r="Y1656" s="7"/>
      <c r="Z1656" s="7"/>
      <c r="AA1656" s="7"/>
      <c r="AB1656" s="7"/>
      <c r="AC1656" s="7"/>
      <c r="AD1656" s="7"/>
      <c r="AE1656" s="7"/>
      <c r="AF1656" s="7"/>
      <c r="AH1656" s="7"/>
      <c r="AI1656" s="7"/>
      <c r="AJ1656" s="7"/>
      <c r="AL1656" s="7"/>
      <c r="AM1656" s="7"/>
      <c r="AN1656" s="7"/>
      <c r="AP1656" s="7"/>
      <c r="AQ1656" s="7"/>
      <c r="AR1656" s="7"/>
      <c r="AS1656" s="7"/>
      <c r="AT1656" s="7"/>
      <c r="AU1656" s="7"/>
    </row>
    <row r="1657" spans="4:47" ht="13.5" x14ac:dyDescent="0.25">
      <c r="D1657" s="7"/>
      <c r="G1657" s="7"/>
      <c r="M1657" s="7"/>
      <c r="P1657" s="7"/>
      <c r="Q1657" s="7"/>
      <c r="V1657" s="7"/>
      <c r="W1657" s="7"/>
      <c r="X1657" s="7"/>
      <c r="Y1657" s="7"/>
      <c r="Z1657" s="7"/>
      <c r="AA1657" s="7"/>
      <c r="AB1657" s="7"/>
      <c r="AC1657" s="7"/>
      <c r="AD1657" s="7"/>
      <c r="AE1657" s="7"/>
      <c r="AF1657" s="7"/>
      <c r="AH1657" s="7"/>
      <c r="AI1657" s="7"/>
      <c r="AJ1657" s="7"/>
      <c r="AL1657" s="7"/>
      <c r="AM1657" s="7"/>
      <c r="AN1657" s="7"/>
      <c r="AP1657" s="7"/>
      <c r="AQ1657" s="7"/>
      <c r="AR1657" s="7"/>
      <c r="AS1657" s="7"/>
      <c r="AT1657" s="7"/>
      <c r="AU1657" s="7"/>
    </row>
    <row r="1658" spans="4:47" ht="13.5" x14ac:dyDescent="0.25">
      <c r="D1658" s="7"/>
      <c r="G1658" s="7"/>
      <c r="M1658" s="7"/>
      <c r="P1658" s="7"/>
      <c r="Q1658" s="7"/>
      <c r="V1658" s="7"/>
      <c r="W1658" s="7"/>
      <c r="X1658" s="7"/>
      <c r="Y1658" s="7"/>
      <c r="Z1658" s="7"/>
      <c r="AA1658" s="7"/>
      <c r="AB1658" s="7"/>
      <c r="AC1658" s="7"/>
      <c r="AD1658" s="7"/>
      <c r="AE1658" s="7"/>
      <c r="AF1658" s="7"/>
      <c r="AH1658" s="7"/>
      <c r="AI1658" s="7"/>
      <c r="AJ1658" s="7"/>
      <c r="AL1658" s="7"/>
      <c r="AM1658" s="7"/>
      <c r="AN1658" s="7"/>
      <c r="AP1658" s="7"/>
      <c r="AQ1658" s="7"/>
      <c r="AR1658" s="7"/>
      <c r="AS1658" s="7"/>
      <c r="AT1658" s="7"/>
      <c r="AU1658" s="7"/>
    </row>
    <row r="1659" spans="4:47" ht="13.5" x14ac:dyDescent="0.25">
      <c r="D1659" s="7"/>
      <c r="G1659" s="7"/>
      <c r="M1659" s="7"/>
      <c r="P1659" s="7"/>
      <c r="Q1659" s="7"/>
      <c r="V1659" s="7"/>
      <c r="W1659" s="7"/>
      <c r="X1659" s="7"/>
      <c r="Y1659" s="7"/>
      <c r="Z1659" s="7"/>
      <c r="AA1659" s="7"/>
      <c r="AB1659" s="7"/>
      <c r="AC1659" s="7"/>
      <c r="AD1659" s="7"/>
      <c r="AE1659" s="7"/>
      <c r="AF1659" s="7"/>
      <c r="AH1659" s="7"/>
      <c r="AI1659" s="7"/>
      <c r="AJ1659" s="7"/>
      <c r="AL1659" s="7"/>
      <c r="AM1659" s="7"/>
      <c r="AN1659" s="7"/>
      <c r="AP1659" s="7"/>
      <c r="AQ1659" s="7"/>
      <c r="AR1659" s="7"/>
      <c r="AS1659" s="7"/>
      <c r="AT1659" s="7"/>
      <c r="AU1659" s="7"/>
    </row>
    <row r="1660" spans="4:47" ht="13.5" x14ac:dyDescent="0.25">
      <c r="D1660" s="7"/>
      <c r="G1660" s="7"/>
      <c r="M1660" s="7"/>
      <c r="P1660" s="7"/>
      <c r="Q1660" s="7"/>
      <c r="V1660" s="7"/>
      <c r="W1660" s="7"/>
      <c r="X1660" s="7"/>
      <c r="Y1660" s="7"/>
      <c r="Z1660" s="7"/>
      <c r="AA1660" s="7"/>
      <c r="AB1660" s="7"/>
      <c r="AC1660" s="7"/>
      <c r="AD1660" s="7"/>
      <c r="AE1660" s="7"/>
      <c r="AF1660" s="7"/>
      <c r="AH1660" s="7"/>
      <c r="AI1660" s="7"/>
      <c r="AJ1660" s="7"/>
      <c r="AL1660" s="7"/>
      <c r="AM1660" s="7"/>
      <c r="AN1660" s="7"/>
      <c r="AP1660" s="7"/>
      <c r="AQ1660" s="7"/>
      <c r="AR1660" s="7"/>
      <c r="AS1660" s="7"/>
      <c r="AT1660" s="7"/>
      <c r="AU1660" s="7"/>
    </row>
    <row r="1661" spans="4:47" ht="13.5" x14ac:dyDescent="0.25">
      <c r="D1661" s="7"/>
      <c r="G1661" s="7"/>
      <c r="M1661" s="7"/>
      <c r="P1661" s="7"/>
      <c r="Q1661" s="7"/>
      <c r="V1661" s="7"/>
      <c r="W1661" s="7"/>
      <c r="X1661" s="7"/>
      <c r="Y1661" s="7"/>
      <c r="Z1661" s="7"/>
      <c r="AA1661" s="7"/>
      <c r="AB1661" s="7"/>
      <c r="AC1661" s="7"/>
      <c r="AD1661" s="7"/>
      <c r="AE1661" s="7"/>
      <c r="AF1661" s="7"/>
      <c r="AH1661" s="7"/>
      <c r="AI1661" s="7"/>
      <c r="AJ1661" s="7"/>
      <c r="AL1661" s="7"/>
      <c r="AM1661" s="7"/>
      <c r="AN1661" s="7"/>
      <c r="AP1661" s="7"/>
      <c r="AQ1661" s="7"/>
      <c r="AR1661" s="7"/>
      <c r="AS1661" s="7"/>
      <c r="AT1661" s="7"/>
      <c r="AU1661" s="7"/>
    </row>
    <row r="1662" spans="4:47" ht="13.5" x14ac:dyDescent="0.25">
      <c r="D1662" s="7"/>
      <c r="G1662" s="7"/>
      <c r="M1662" s="7"/>
      <c r="P1662" s="7"/>
      <c r="Q1662" s="7"/>
      <c r="V1662" s="7"/>
      <c r="W1662" s="7"/>
      <c r="X1662" s="7"/>
      <c r="Y1662" s="7"/>
      <c r="Z1662" s="7"/>
      <c r="AA1662" s="7"/>
      <c r="AB1662" s="7"/>
      <c r="AC1662" s="7"/>
      <c r="AD1662" s="7"/>
      <c r="AE1662" s="7"/>
      <c r="AF1662" s="7"/>
      <c r="AH1662" s="7"/>
      <c r="AI1662" s="7"/>
      <c r="AJ1662" s="7"/>
      <c r="AL1662" s="7"/>
      <c r="AM1662" s="7"/>
      <c r="AN1662" s="7"/>
      <c r="AP1662" s="7"/>
      <c r="AQ1662" s="7"/>
      <c r="AR1662" s="7"/>
      <c r="AS1662" s="7"/>
      <c r="AT1662" s="7"/>
      <c r="AU1662" s="7"/>
    </row>
    <row r="1663" spans="4:47" ht="13.5" x14ac:dyDescent="0.25">
      <c r="D1663" s="7"/>
      <c r="G1663" s="7"/>
      <c r="M1663" s="7"/>
      <c r="P1663" s="7"/>
      <c r="Q1663" s="7"/>
      <c r="V1663" s="7"/>
      <c r="W1663" s="7"/>
      <c r="X1663" s="7"/>
      <c r="Y1663" s="7"/>
      <c r="Z1663" s="7"/>
      <c r="AA1663" s="7"/>
      <c r="AB1663" s="7"/>
      <c r="AC1663" s="7"/>
      <c r="AD1663" s="7"/>
      <c r="AE1663" s="7"/>
      <c r="AF1663" s="7"/>
      <c r="AH1663" s="7"/>
      <c r="AI1663" s="7"/>
      <c r="AJ1663" s="7"/>
      <c r="AL1663" s="7"/>
      <c r="AM1663" s="7"/>
      <c r="AN1663" s="7"/>
      <c r="AP1663" s="7"/>
      <c r="AQ1663" s="7"/>
      <c r="AR1663" s="7"/>
      <c r="AS1663" s="7"/>
      <c r="AT1663" s="7"/>
      <c r="AU1663" s="7"/>
    </row>
    <row r="1664" spans="4:47" ht="13.5" x14ac:dyDescent="0.25">
      <c r="D1664" s="7"/>
      <c r="G1664" s="7"/>
      <c r="M1664" s="7"/>
      <c r="P1664" s="7"/>
      <c r="Q1664" s="7"/>
      <c r="V1664" s="7"/>
      <c r="W1664" s="7"/>
      <c r="X1664" s="7"/>
      <c r="Y1664" s="7"/>
      <c r="Z1664" s="7"/>
      <c r="AA1664" s="7"/>
      <c r="AB1664" s="7"/>
      <c r="AC1664" s="7"/>
      <c r="AD1664" s="7"/>
      <c r="AE1664" s="7"/>
      <c r="AF1664" s="7"/>
      <c r="AH1664" s="7"/>
      <c r="AI1664" s="7"/>
      <c r="AJ1664" s="7"/>
      <c r="AL1664" s="7"/>
      <c r="AM1664" s="7"/>
      <c r="AN1664" s="7"/>
      <c r="AP1664" s="7"/>
      <c r="AQ1664" s="7"/>
      <c r="AR1664" s="7"/>
      <c r="AS1664" s="7"/>
      <c r="AT1664" s="7"/>
      <c r="AU1664" s="7"/>
    </row>
    <row r="1665" spans="4:47" ht="13.5" x14ac:dyDescent="0.25">
      <c r="D1665" s="7"/>
      <c r="G1665" s="7"/>
      <c r="M1665" s="7"/>
      <c r="P1665" s="7"/>
      <c r="Q1665" s="7"/>
      <c r="V1665" s="7"/>
      <c r="W1665" s="7"/>
      <c r="X1665" s="7"/>
      <c r="Y1665" s="7"/>
      <c r="Z1665" s="7"/>
      <c r="AA1665" s="7"/>
      <c r="AB1665" s="7"/>
      <c r="AC1665" s="7"/>
      <c r="AD1665" s="7"/>
      <c r="AE1665" s="7"/>
      <c r="AF1665" s="7"/>
      <c r="AH1665" s="7"/>
      <c r="AI1665" s="7"/>
      <c r="AJ1665" s="7"/>
      <c r="AL1665" s="7"/>
      <c r="AM1665" s="7"/>
      <c r="AN1665" s="7"/>
      <c r="AP1665" s="7"/>
      <c r="AQ1665" s="7"/>
      <c r="AR1665" s="7"/>
      <c r="AS1665" s="7"/>
      <c r="AT1665" s="7"/>
      <c r="AU1665" s="7"/>
    </row>
    <row r="1666" spans="4:47" ht="13.5" x14ac:dyDescent="0.25">
      <c r="D1666" s="7"/>
      <c r="G1666" s="7"/>
      <c r="M1666" s="7"/>
      <c r="P1666" s="7"/>
      <c r="Q1666" s="7"/>
      <c r="V1666" s="7"/>
      <c r="W1666" s="7"/>
      <c r="X1666" s="7"/>
      <c r="Y1666" s="7"/>
      <c r="Z1666" s="7"/>
      <c r="AA1666" s="7"/>
      <c r="AB1666" s="7"/>
      <c r="AC1666" s="7"/>
      <c r="AD1666" s="7"/>
      <c r="AE1666" s="7"/>
      <c r="AF1666" s="7"/>
      <c r="AH1666" s="7"/>
      <c r="AI1666" s="7"/>
      <c r="AJ1666" s="7"/>
      <c r="AL1666" s="7"/>
      <c r="AM1666" s="7"/>
      <c r="AN1666" s="7"/>
      <c r="AP1666" s="7"/>
      <c r="AQ1666" s="7"/>
      <c r="AR1666" s="7"/>
      <c r="AS1666" s="7"/>
      <c r="AT1666" s="7"/>
      <c r="AU1666" s="7"/>
    </row>
    <row r="1667" spans="4:47" ht="13.5" x14ac:dyDescent="0.25">
      <c r="D1667" s="7"/>
      <c r="G1667" s="7"/>
      <c r="M1667" s="7"/>
      <c r="P1667" s="7"/>
      <c r="Q1667" s="7"/>
      <c r="V1667" s="7"/>
      <c r="W1667" s="7"/>
      <c r="X1667" s="7"/>
      <c r="Y1667" s="7"/>
      <c r="Z1667" s="7"/>
      <c r="AA1667" s="7"/>
      <c r="AB1667" s="7"/>
      <c r="AC1667" s="7"/>
      <c r="AD1667" s="7"/>
      <c r="AE1667" s="7"/>
      <c r="AF1667" s="7"/>
      <c r="AH1667" s="7"/>
      <c r="AI1667" s="7"/>
      <c r="AJ1667" s="7"/>
      <c r="AL1667" s="7"/>
      <c r="AM1667" s="7"/>
      <c r="AN1667" s="7"/>
      <c r="AP1667" s="7"/>
      <c r="AQ1667" s="7"/>
      <c r="AR1667" s="7"/>
      <c r="AS1667" s="7"/>
      <c r="AT1667" s="7"/>
      <c r="AU1667" s="7"/>
    </row>
    <row r="1668" spans="4:47" ht="13.5" x14ac:dyDescent="0.25">
      <c r="D1668" s="7"/>
      <c r="G1668" s="7"/>
      <c r="M1668" s="7"/>
      <c r="P1668" s="7"/>
      <c r="Q1668" s="7"/>
      <c r="V1668" s="7"/>
      <c r="W1668" s="7"/>
      <c r="X1668" s="7"/>
      <c r="Y1668" s="7"/>
      <c r="Z1668" s="7"/>
      <c r="AA1668" s="7"/>
      <c r="AB1668" s="7"/>
      <c r="AC1668" s="7"/>
      <c r="AD1668" s="7"/>
      <c r="AE1668" s="7"/>
      <c r="AF1668" s="7"/>
      <c r="AH1668" s="7"/>
      <c r="AI1668" s="7"/>
      <c r="AJ1668" s="7"/>
      <c r="AL1668" s="7"/>
      <c r="AM1668" s="7"/>
      <c r="AN1668" s="7"/>
      <c r="AP1668" s="7"/>
      <c r="AQ1668" s="7"/>
      <c r="AR1668" s="7"/>
      <c r="AS1668" s="7"/>
      <c r="AT1668" s="7"/>
      <c r="AU1668" s="7"/>
    </row>
    <row r="1669" spans="4:47" ht="13.5" x14ac:dyDescent="0.25">
      <c r="D1669" s="7"/>
      <c r="G1669" s="7"/>
      <c r="M1669" s="7"/>
      <c r="P1669" s="7"/>
      <c r="Q1669" s="7"/>
      <c r="V1669" s="7"/>
      <c r="W1669" s="7"/>
      <c r="X1669" s="7"/>
      <c r="Y1669" s="7"/>
      <c r="Z1669" s="7"/>
      <c r="AA1669" s="7"/>
      <c r="AB1669" s="7"/>
      <c r="AC1669" s="7"/>
      <c r="AD1669" s="7"/>
      <c r="AE1669" s="7"/>
      <c r="AF1669" s="7"/>
      <c r="AH1669" s="7"/>
      <c r="AI1669" s="7"/>
      <c r="AJ1669" s="7"/>
      <c r="AL1669" s="7"/>
      <c r="AM1669" s="7"/>
      <c r="AN1669" s="7"/>
      <c r="AP1669" s="7"/>
      <c r="AQ1669" s="7"/>
      <c r="AR1669" s="7"/>
      <c r="AS1669" s="7"/>
      <c r="AT1669" s="7"/>
      <c r="AU1669" s="7"/>
    </row>
    <row r="1670" spans="4:47" ht="13.5" x14ac:dyDescent="0.25">
      <c r="D1670" s="7"/>
      <c r="G1670" s="7"/>
      <c r="M1670" s="7"/>
      <c r="P1670" s="7"/>
      <c r="Q1670" s="7"/>
      <c r="V1670" s="7"/>
      <c r="W1670" s="7"/>
      <c r="X1670" s="7"/>
      <c r="Y1670" s="7"/>
      <c r="Z1670" s="7"/>
      <c r="AA1670" s="7"/>
      <c r="AB1670" s="7"/>
      <c r="AC1670" s="7"/>
      <c r="AD1670" s="7"/>
      <c r="AE1670" s="7"/>
      <c r="AF1670" s="7"/>
      <c r="AH1670" s="7"/>
      <c r="AI1670" s="7"/>
      <c r="AJ1670" s="7"/>
      <c r="AL1670" s="7"/>
      <c r="AM1670" s="7"/>
      <c r="AN1670" s="7"/>
      <c r="AP1670" s="7"/>
      <c r="AQ1670" s="7"/>
      <c r="AR1670" s="7"/>
      <c r="AS1670" s="7"/>
      <c r="AT1670" s="7"/>
      <c r="AU1670" s="7"/>
    </row>
    <row r="1671" spans="4:47" ht="13.5" x14ac:dyDescent="0.25">
      <c r="D1671" s="7"/>
      <c r="G1671" s="7"/>
      <c r="M1671" s="7"/>
      <c r="P1671" s="7"/>
      <c r="Q1671" s="7"/>
      <c r="V1671" s="7"/>
      <c r="W1671" s="7"/>
      <c r="X1671" s="7"/>
      <c r="Y1671" s="7"/>
      <c r="Z1671" s="7"/>
      <c r="AA1671" s="7"/>
      <c r="AB1671" s="7"/>
      <c r="AC1671" s="7"/>
      <c r="AD1671" s="7"/>
      <c r="AE1671" s="7"/>
      <c r="AF1671" s="7"/>
      <c r="AH1671" s="7"/>
      <c r="AI1671" s="7"/>
      <c r="AJ1671" s="7"/>
      <c r="AL1671" s="7"/>
      <c r="AM1671" s="7"/>
      <c r="AN1671" s="7"/>
      <c r="AP1671" s="7"/>
      <c r="AQ1671" s="7"/>
      <c r="AR1671" s="7"/>
      <c r="AS1671" s="7"/>
      <c r="AT1671" s="7"/>
      <c r="AU1671" s="7"/>
    </row>
    <row r="1672" spans="4:47" ht="13.5" x14ac:dyDescent="0.25">
      <c r="D1672" s="7"/>
      <c r="G1672" s="7"/>
      <c r="M1672" s="7"/>
      <c r="P1672" s="7"/>
      <c r="Q1672" s="7"/>
      <c r="V1672" s="7"/>
      <c r="W1672" s="7"/>
      <c r="X1672" s="7"/>
      <c r="Y1672" s="7"/>
      <c r="Z1672" s="7"/>
      <c r="AA1672" s="7"/>
      <c r="AB1672" s="7"/>
      <c r="AC1672" s="7"/>
      <c r="AD1672" s="7"/>
      <c r="AE1672" s="7"/>
      <c r="AF1672" s="7"/>
      <c r="AH1672" s="7"/>
      <c r="AI1672" s="7"/>
      <c r="AJ1672" s="7"/>
      <c r="AL1672" s="7"/>
      <c r="AM1672" s="7"/>
      <c r="AN1672" s="7"/>
      <c r="AP1672" s="7"/>
      <c r="AQ1672" s="7"/>
      <c r="AR1672" s="7"/>
      <c r="AS1672" s="7"/>
      <c r="AT1672" s="7"/>
      <c r="AU1672" s="7"/>
    </row>
    <row r="1673" spans="4:47" ht="13.5" x14ac:dyDescent="0.25">
      <c r="D1673" s="7"/>
      <c r="G1673" s="7"/>
      <c r="M1673" s="7"/>
      <c r="P1673" s="7"/>
      <c r="Q1673" s="7"/>
      <c r="V1673" s="7"/>
      <c r="W1673" s="7"/>
      <c r="X1673" s="7"/>
      <c r="Y1673" s="7"/>
      <c r="Z1673" s="7"/>
      <c r="AA1673" s="7"/>
      <c r="AB1673" s="7"/>
      <c r="AC1673" s="7"/>
      <c r="AD1673" s="7"/>
      <c r="AE1673" s="7"/>
      <c r="AF1673" s="7"/>
      <c r="AH1673" s="7"/>
      <c r="AI1673" s="7"/>
      <c r="AJ1673" s="7"/>
      <c r="AL1673" s="7"/>
      <c r="AM1673" s="7"/>
      <c r="AN1673" s="7"/>
      <c r="AP1673" s="7"/>
      <c r="AQ1673" s="7"/>
      <c r="AR1673" s="7"/>
      <c r="AS1673" s="7"/>
      <c r="AT1673" s="7"/>
      <c r="AU1673" s="7"/>
    </row>
    <row r="1674" spans="4:47" ht="13.5" x14ac:dyDescent="0.25">
      <c r="D1674" s="7"/>
      <c r="G1674" s="7"/>
      <c r="M1674" s="7"/>
      <c r="P1674" s="7"/>
      <c r="Q1674" s="7"/>
      <c r="V1674" s="7"/>
      <c r="W1674" s="7"/>
      <c r="X1674" s="7"/>
      <c r="Y1674" s="7"/>
      <c r="Z1674" s="7"/>
      <c r="AA1674" s="7"/>
      <c r="AB1674" s="7"/>
      <c r="AC1674" s="7"/>
      <c r="AD1674" s="7"/>
      <c r="AE1674" s="7"/>
      <c r="AF1674" s="7"/>
      <c r="AH1674" s="7"/>
      <c r="AI1674" s="7"/>
      <c r="AJ1674" s="7"/>
      <c r="AL1674" s="7"/>
      <c r="AM1674" s="7"/>
      <c r="AN1674" s="7"/>
      <c r="AP1674" s="7"/>
      <c r="AQ1674" s="7"/>
      <c r="AR1674" s="7"/>
      <c r="AS1674" s="7"/>
      <c r="AT1674" s="7"/>
      <c r="AU1674" s="7"/>
    </row>
    <row r="1675" spans="4:47" ht="13.5" x14ac:dyDescent="0.25">
      <c r="D1675" s="7"/>
      <c r="G1675" s="7"/>
      <c r="M1675" s="7"/>
      <c r="P1675" s="7"/>
      <c r="Q1675" s="7"/>
      <c r="V1675" s="7"/>
      <c r="W1675" s="7"/>
      <c r="X1675" s="7"/>
      <c r="Y1675" s="7"/>
      <c r="Z1675" s="7"/>
      <c r="AA1675" s="7"/>
      <c r="AB1675" s="7"/>
      <c r="AC1675" s="7"/>
      <c r="AD1675" s="7"/>
      <c r="AE1675" s="7"/>
      <c r="AF1675" s="7"/>
      <c r="AH1675" s="7"/>
      <c r="AI1675" s="7"/>
      <c r="AJ1675" s="7"/>
      <c r="AL1675" s="7"/>
      <c r="AM1675" s="7"/>
      <c r="AN1675" s="7"/>
      <c r="AP1675" s="7"/>
      <c r="AQ1675" s="7"/>
      <c r="AR1675" s="7"/>
      <c r="AS1675" s="7"/>
      <c r="AT1675" s="7"/>
      <c r="AU1675" s="7"/>
    </row>
    <row r="1676" spans="4:47" ht="13.5" x14ac:dyDescent="0.25">
      <c r="D1676" s="7"/>
      <c r="G1676" s="7"/>
      <c r="M1676" s="7"/>
      <c r="P1676" s="7"/>
      <c r="Q1676" s="7"/>
      <c r="V1676" s="7"/>
      <c r="W1676" s="7"/>
      <c r="X1676" s="7"/>
      <c r="Y1676" s="7"/>
      <c r="Z1676" s="7"/>
      <c r="AA1676" s="7"/>
      <c r="AB1676" s="7"/>
      <c r="AC1676" s="7"/>
      <c r="AD1676" s="7"/>
      <c r="AE1676" s="7"/>
      <c r="AF1676" s="7"/>
      <c r="AH1676" s="7"/>
      <c r="AI1676" s="7"/>
      <c r="AJ1676" s="7"/>
      <c r="AL1676" s="7"/>
      <c r="AM1676" s="7"/>
      <c r="AN1676" s="7"/>
      <c r="AP1676" s="7"/>
      <c r="AQ1676" s="7"/>
      <c r="AR1676" s="7"/>
      <c r="AS1676" s="7"/>
      <c r="AT1676" s="7"/>
      <c r="AU1676" s="7"/>
    </row>
    <row r="1677" spans="4:47" ht="13.5" x14ac:dyDescent="0.25">
      <c r="D1677" s="7"/>
      <c r="G1677" s="7"/>
      <c r="M1677" s="7"/>
      <c r="P1677" s="7"/>
      <c r="Q1677" s="7"/>
      <c r="V1677" s="7"/>
      <c r="W1677" s="7"/>
      <c r="X1677" s="7"/>
      <c r="Y1677" s="7"/>
      <c r="Z1677" s="7"/>
      <c r="AA1677" s="7"/>
      <c r="AB1677" s="7"/>
      <c r="AC1677" s="7"/>
      <c r="AD1677" s="7"/>
      <c r="AE1677" s="7"/>
      <c r="AF1677" s="7"/>
      <c r="AH1677" s="7"/>
      <c r="AI1677" s="7"/>
      <c r="AJ1677" s="7"/>
      <c r="AL1677" s="7"/>
      <c r="AM1677" s="7"/>
      <c r="AN1677" s="7"/>
      <c r="AP1677" s="7"/>
      <c r="AQ1677" s="7"/>
      <c r="AR1677" s="7"/>
      <c r="AS1677" s="7"/>
      <c r="AT1677" s="7"/>
      <c r="AU1677" s="7"/>
    </row>
    <row r="1678" spans="4:47" ht="13.5" x14ac:dyDescent="0.25">
      <c r="D1678" s="7"/>
      <c r="G1678" s="7"/>
      <c r="M1678" s="7"/>
      <c r="P1678" s="7"/>
      <c r="Q1678" s="7"/>
      <c r="V1678" s="7"/>
      <c r="W1678" s="7"/>
      <c r="X1678" s="7"/>
      <c r="Y1678" s="7"/>
      <c r="Z1678" s="7"/>
      <c r="AA1678" s="7"/>
      <c r="AB1678" s="7"/>
      <c r="AC1678" s="7"/>
      <c r="AD1678" s="7"/>
      <c r="AE1678" s="7"/>
      <c r="AF1678" s="7"/>
      <c r="AH1678" s="7"/>
      <c r="AI1678" s="7"/>
      <c r="AJ1678" s="7"/>
      <c r="AL1678" s="7"/>
      <c r="AM1678" s="7"/>
      <c r="AN1678" s="7"/>
      <c r="AP1678" s="7"/>
      <c r="AQ1678" s="7"/>
      <c r="AR1678" s="7"/>
      <c r="AS1678" s="7"/>
      <c r="AT1678" s="7"/>
      <c r="AU1678" s="7"/>
    </row>
    <row r="1679" spans="4:47" ht="13.5" x14ac:dyDescent="0.25">
      <c r="D1679" s="7"/>
      <c r="G1679" s="7"/>
      <c r="M1679" s="7"/>
      <c r="P1679" s="7"/>
      <c r="Q1679" s="7"/>
      <c r="V1679" s="7"/>
      <c r="W1679" s="7"/>
      <c r="X1679" s="7"/>
      <c r="Y1679" s="7"/>
      <c r="Z1679" s="7"/>
      <c r="AA1679" s="7"/>
      <c r="AB1679" s="7"/>
      <c r="AC1679" s="7"/>
      <c r="AD1679" s="7"/>
      <c r="AE1679" s="7"/>
      <c r="AF1679" s="7"/>
      <c r="AH1679" s="7"/>
      <c r="AI1679" s="7"/>
      <c r="AJ1679" s="7"/>
      <c r="AL1679" s="7"/>
      <c r="AM1679" s="7"/>
      <c r="AN1679" s="7"/>
      <c r="AP1679" s="7"/>
      <c r="AQ1679" s="7"/>
      <c r="AR1679" s="7"/>
      <c r="AS1679" s="7"/>
      <c r="AT1679" s="7"/>
      <c r="AU1679" s="7"/>
    </row>
    <row r="1680" spans="4:47" ht="13.5" x14ac:dyDescent="0.25">
      <c r="D1680" s="7"/>
      <c r="G1680" s="7"/>
      <c r="M1680" s="7"/>
      <c r="P1680" s="7"/>
      <c r="Q1680" s="7"/>
      <c r="V1680" s="7"/>
      <c r="W1680" s="7"/>
      <c r="X1680" s="7"/>
      <c r="Y1680" s="7"/>
      <c r="Z1680" s="7"/>
      <c r="AA1680" s="7"/>
      <c r="AB1680" s="7"/>
      <c r="AC1680" s="7"/>
      <c r="AD1680" s="7"/>
      <c r="AE1680" s="7"/>
      <c r="AF1680" s="7"/>
      <c r="AH1680" s="7"/>
      <c r="AI1680" s="7"/>
      <c r="AJ1680" s="7"/>
      <c r="AL1680" s="7"/>
      <c r="AM1680" s="7"/>
      <c r="AN1680" s="7"/>
      <c r="AP1680" s="7"/>
      <c r="AQ1680" s="7"/>
      <c r="AR1680" s="7"/>
      <c r="AS1680" s="7"/>
      <c r="AT1680" s="7"/>
      <c r="AU1680" s="7"/>
    </row>
    <row r="1681" spans="4:47" ht="13.5" x14ac:dyDescent="0.25">
      <c r="D1681" s="7"/>
      <c r="G1681" s="7"/>
      <c r="M1681" s="7"/>
      <c r="P1681" s="7"/>
      <c r="Q1681" s="7"/>
      <c r="V1681" s="7"/>
      <c r="W1681" s="7"/>
      <c r="X1681" s="7"/>
      <c r="Y1681" s="7"/>
      <c r="Z1681" s="7"/>
      <c r="AA1681" s="7"/>
      <c r="AB1681" s="7"/>
      <c r="AC1681" s="7"/>
      <c r="AD1681" s="7"/>
      <c r="AE1681" s="7"/>
      <c r="AF1681" s="7"/>
      <c r="AH1681" s="7"/>
      <c r="AI1681" s="7"/>
      <c r="AJ1681" s="7"/>
      <c r="AL1681" s="7"/>
      <c r="AM1681" s="7"/>
      <c r="AN1681" s="7"/>
      <c r="AP1681" s="7"/>
      <c r="AQ1681" s="7"/>
      <c r="AR1681" s="7"/>
      <c r="AS1681" s="7"/>
      <c r="AT1681" s="7"/>
      <c r="AU1681" s="7"/>
    </row>
    <row r="1682" spans="4:47" ht="13.5" x14ac:dyDescent="0.25">
      <c r="D1682" s="7"/>
      <c r="G1682" s="7"/>
      <c r="M1682" s="7"/>
      <c r="P1682" s="7"/>
      <c r="Q1682" s="7"/>
      <c r="V1682" s="7"/>
      <c r="W1682" s="7"/>
      <c r="X1682" s="7"/>
      <c r="Y1682" s="7"/>
      <c r="Z1682" s="7"/>
      <c r="AA1682" s="7"/>
      <c r="AB1682" s="7"/>
      <c r="AC1682" s="7"/>
      <c r="AD1682" s="7"/>
      <c r="AE1682" s="7"/>
      <c r="AF1682" s="7"/>
      <c r="AH1682" s="7"/>
      <c r="AI1682" s="7"/>
      <c r="AJ1682" s="7"/>
      <c r="AL1682" s="7"/>
      <c r="AM1682" s="7"/>
      <c r="AN1682" s="7"/>
      <c r="AP1682" s="7"/>
      <c r="AQ1682" s="7"/>
      <c r="AR1682" s="7"/>
      <c r="AS1682" s="7"/>
      <c r="AT1682" s="7"/>
      <c r="AU1682" s="7"/>
    </row>
    <row r="1683" spans="4:47" ht="13.5" x14ac:dyDescent="0.25">
      <c r="D1683" s="7"/>
      <c r="G1683" s="7"/>
      <c r="M1683" s="7"/>
      <c r="P1683" s="7"/>
      <c r="Q1683" s="7"/>
      <c r="V1683" s="7"/>
      <c r="W1683" s="7"/>
      <c r="X1683" s="7"/>
      <c r="Y1683" s="7"/>
      <c r="Z1683" s="7"/>
      <c r="AA1683" s="7"/>
      <c r="AB1683" s="7"/>
      <c r="AC1683" s="7"/>
      <c r="AD1683" s="7"/>
      <c r="AE1683" s="7"/>
      <c r="AF1683" s="7"/>
      <c r="AH1683" s="7"/>
      <c r="AI1683" s="7"/>
      <c r="AJ1683" s="7"/>
      <c r="AL1683" s="7"/>
      <c r="AM1683" s="7"/>
      <c r="AN1683" s="7"/>
      <c r="AP1683" s="7"/>
      <c r="AQ1683" s="7"/>
      <c r="AR1683" s="7"/>
      <c r="AS1683" s="7"/>
      <c r="AT1683" s="7"/>
      <c r="AU1683" s="7"/>
    </row>
    <row r="1684" spans="4:47" ht="13.5" x14ac:dyDescent="0.25">
      <c r="D1684" s="7"/>
      <c r="G1684" s="7"/>
      <c r="M1684" s="7"/>
      <c r="P1684" s="7"/>
      <c r="Q1684" s="7"/>
      <c r="V1684" s="7"/>
      <c r="W1684" s="7"/>
      <c r="X1684" s="7"/>
      <c r="Y1684" s="7"/>
      <c r="Z1684" s="7"/>
      <c r="AA1684" s="7"/>
      <c r="AB1684" s="7"/>
      <c r="AC1684" s="7"/>
      <c r="AD1684" s="7"/>
      <c r="AE1684" s="7"/>
      <c r="AF1684" s="7"/>
      <c r="AH1684" s="7"/>
      <c r="AI1684" s="7"/>
      <c r="AJ1684" s="7"/>
      <c r="AL1684" s="7"/>
      <c r="AM1684" s="7"/>
      <c r="AN1684" s="7"/>
      <c r="AP1684" s="7"/>
      <c r="AQ1684" s="7"/>
      <c r="AR1684" s="7"/>
      <c r="AS1684" s="7"/>
      <c r="AT1684" s="7"/>
      <c r="AU1684" s="7"/>
    </row>
    <row r="1685" spans="4:47" ht="13.5" x14ac:dyDescent="0.25">
      <c r="D1685" s="7"/>
      <c r="G1685" s="7"/>
      <c r="M1685" s="7"/>
      <c r="P1685" s="7"/>
      <c r="Q1685" s="7"/>
      <c r="V1685" s="7"/>
      <c r="W1685" s="7"/>
      <c r="X1685" s="7"/>
      <c r="Y1685" s="7"/>
      <c r="Z1685" s="7"/>
      <c r="AA1685" s="7"/>
      <c r="AB1685" s="7"/>
      <c r="AC1685" s="7"/>
      <c r="AD1685" s="7"/>
      <c r="AE1685" s="7"/>
      <c r="AF1685" s="7"/>
      <c r="AH1685" s="7"/>
      <c r="AI1685" s="7"/>
      <c r="AJ1685" s="7"/>
      <c r="AL1685" s="7"/>
      <c r="AM1685" s="7"/>
      <c r="AN1685" s="7"/>
      <c r="AP1685" s="7"/>
      <c r="AQ1685" s="7"/>
      <c r="AR1685" s="7"/>
      <c r="AS1685" s="7"/>
      <c r="AT1685" s="7"/>
      <c r="AU1685" s="7"/>
    </row>
    <row r="1686" spans="4:47" ht="13.5" x14ac:dyDescent="0.25">
      <c r="D1686" s="7"/>
      <c r="G1686" s="7"/>
      <c r="M1686" s="7"/>
      <c r="P1686" s="7"/>
      <c r="Q1686" s="7"/>
      <c r="V1686" s="7"/>
      <c r="W1686" s="7"/>
      <c r="X1686" s="7"/>
      <c r="Y1686" s="7"/>
      <c r="Z1686" s="7"/>
      <c r="AA1686" s="7"/>
      <c r="AB1686" s="7"/>
      <c r="AC1686" s="7"/>
      <c r="AD1686" s="7"/>
      <c r="AE1686" s="7"/>
      <c r="AF1686" s="7"/>
      <c r="AH1686" s="7"/>
      <c r="AI1686" s="7"/>
      <c r="AJ1686" s="7"/>
      <c r="AL1686" s="7"/>
      <c r="AM1686" s="7"/>
      <c r="AN1686" s="7"/>
      <c r="AP1686" s="7"/>
      <c r="AQ1686" s="7"/>
      <c r="AR1686" s="7"/>
      <c r="AS1686" s="7"/>
      <c r="AT1686" s="7"/>
      <c r="AU1686" s="7"/>
    </row>
    <row r="1687" spans="4:47" ht="13.5" x14ac:dyDescent="0.25">
      <c r="D1687" s="7"/>
      <c r="G1687" s="7"/>
      <c r="M1687" s="7"/>
      <c r="P1687" s="7"/>
      <c r="Q1687" s="7"/>
      <c r="V1687" s="7"/>
      <c r="W1687" s="7"/>
      <c r="X1687" s="7"/>
      <c r="Y1687" s="7"/>
      <c r="Z1687" s="7"/>
      <c r="AA1687" s="7"/>
      <c r="AB1687" s="7"/>
      <c r="AC1687" s="7"/>
      <c r="AD1687" s="7"/>
      <c r="AE1687" s="7"/>
      <c r="AF1687" s="7"/>
      <c r="AH1687" s="7"/>
      <c r="AI1687" s="7"/>
      <c r="AJ1687" s="7"/>
      <c r="AL1687" s="7"/>
      <c r="AM1687" s="7"/>
      <c r="AN1687" s="7"/>
      <c r="AP1687" s="7"/>
      <c r="AQ1687" s="7"/>
      <c r="AR1687" s="7"/>
      <c r="AS1687" s="7"/>
      <c r="AT1687" s="7"/>
      <c r="AU1687" s="7"/>
    </row>
    <row r="1688" spans="4:47" ht="13.5" x14ac:dyDescent="0.25">
      <c r="D1688" s="7"/>
      <c r="G1688" s="7"/>
      <c r="M1688" s="7"/>
      <c r="P1688" s="7"/>
      <c r="Q1688" s="7"/>
      <c r="V1688" s="7"/>
      <c r="W1688" s="7"/>
      <c r="X1688" s="7"/>
      <c r="Y1688" s="7"/>
      <c r="Z1688" s="7"/>
      <c r="AA1688" s="7"/>
      <c r="AB1688" s="7"/>
      <c r="AC1688" s="7"/>
      <c r="AD1688" s="7"/>
      <c r="AE1688" s="7"/>
      <c r="AF1688" s="7"/>
      <c r="AH1688" s="7"/>
      <c r="AI1688" s="7"/>
      <c r="AJ1688" s="7"/>
      <c r="AL1688" s="7"/>
      <c r="AM1688" s="7"/>
      <c r="AN1688" s="7"/>
      <c r="AP1688" s="7"/>
      <c r="AQ1688" s="7"/>
      <c r="AR1688" s="7"/>
      <c r="AS1688" s="7"/>
      <c r="AT1688" s="7"/>
      <c r="AU1688" s="7"/>
    </row>
    <row r="1689" spans="4:47" ht="13.5" x14ac:dyDescent="0.25">
      <c r="D1689" s="7"/>
      <c r="G1689" s="7"/>
      <c r="M1689" s="7"/>
      <c r="P1689" s="7"/>
      <c r="Q1689" s="7"/>
      <c r="V1689" s="7"/>
      <c r="W1689" s="7"/>
      <c r="X1689" s="7"/>
      <c r="Y1689" s="7"/>
      <c r="Z1689" s="7"/>
      <c r="AA1689" s="7"/>
      <c r="AB1689" s="7"/>
      <c r="AC1689" s="7"/>
      <c r="AD1689" s="7"/>
      <c r="AE1689" s="7"/>
      <c r="AF1689" s="7"/>
      <c r="AH1689" s="7"/>
      <c r="AI1689" s="7"/>
      <c r="AJ1689" s="7"/>
      <c r="AL1689" s="7"/>
      <c r="AM1689" s="7"/>
      <c r="AN1689" s="7"/>
      <c r="AP1689" s="7"/>
      <c r="AQ1689" s="7"/>
      <c r="AR1689" s="7"/>
      <c r="AS1689" s="7"/>
      <c r="AT1689" s="7"/>
      <c r="AU1689" s="7"/>
    </row>
    <row r="1690" spans="4:47" ht="13.5" x14ac:dyDescent="0.25">
      <c r="D1690" s="7"/>
      <c r="G1690" s="7"/>
      <c r="M1690" s="7"/>
      <c r="P1690" s="7"/>
      <c r="Q1690" s="7"/>
      <c r="V1690" s="7"/>
      <c r="W1690" s="7"/>
      <c r="X1690" s="7"/>
      <c r="Y1690" s="7"/>
      <c r="Z1690" s="7"/>
      <c r="AA1690" s="7"/>
      <c r="AB1690" s="7"/>
      <c r="AC1690" s="7"/>
      <c r="AD1690" s="7"/>
      <c r="AE1690" s="7"/>
      <c r="AF1690" s="7"/>
      <c r="AH1690" s="7"/>
      <c r="AI1690" s="7"/>
      <c r="AJ1690" s="7"/>
      <c r="AL1690" s="7"/>
      <c r="AM1690" s="7"/>
      <c r="AN1690" s="7"/>
      <c r="AP1690" s="7"/>
      <c r="AQ1690" s="7"/>
      <c r="AR1690" s="7"/>
      <c r="AS1690" s="7"/>
      <c r="AT1690" s="7"/>
      <c r="AU1690" s="7"/>
    </row>
    <row r="1691" spans="4:47" ht="13.5" x14ac:dyDescent="0.25">
      <c r="D1691" s="7"/>
      <c r="G1691" s="7"/>
      <c r="M1691" s="7"/>
      <c r="P1691" s="7"/>
      <c r="Q1691" s="7"/>
      <c r="V1691" s="7"/>
      <c r="W1691" s="7"/>
      <c r="X1691" s="7"/>
      <c r="Y1691" s="7"/>
      <c r="Z1691" s="7"/>
      <c r="AA1691" s="7"/>
      <c r="AB1691" s="7"/>
      <c r="AC1691" s="7"/>
      <c r="AD1691" s="7"/>
      <c r="AE1691" s="7"/>
      <c r="AF1691" s="7"/>
      <c r="AH1691" s="7"/>
      <c r="AI1691" s="7"/>
      <c r="AJ1691" s="7"/>
      <c r="AL1691" s="7"/>
      <c r="AM1691" s="7"/>
      <c r="AN1691" s="7"/>
      <c r="AP1691" s="7"/>
      <c r="AQ1691" s="7"/>
      <c r="AR1691" s="7"/>
      <c r="AS1691" s="7"/>
      <c r="AT1691" s="7"/>
      <c r="AU1691" s="7"/>
    </row>
    <row r="1692" spans="4:47" ht="13.5" x14ac:dyDescent="0.25">
      <c r="D1692" s="7"/>
      <c r="G1692" s="7"/>
      <c r="M1692" s="7"/>
      <c r="P1692" s="7"/>
      <c r="Q1692" s="7"/>
      <c r="V1692" s="7"/>
      <c r="W1692" s="7"/>
      <c r="X1692" s="7"/>
      <c r="Y1692" s="7"/>
      <c r="Z1692" s="7"/>
      <c r="AA1692" s="7"/>
      <c r="AB1692" s="7"/>
      <c r="AC1692" s="7"/>
      <c r="AD1692" s="7"/>
      <c r="AE1692" s="7"/>
      <c r="AF1692" s="7"/>
      <c r="AH1692" s="7"/>
      <c r="AI1692" s="7"/>
      <c r="AJ1692" s="7"/>
      <c r="AL1692" s="7"/>
      <c r="AM1692" s="7"/>
      <c r="AN1692" s="7"/>
      <c r="AP1692" s="7"/>
      <c r="AQ1692" s="7"/>
      <c r="AR1692" s="7"/>
      <c r="AS1692" s="7"/>
      <c r="AT1692" s="7"/>
      <c r="AU1692" s="7"/>
    </row>
    <row r="1693" spans="4:47" ht="13.5" x14ac:dyDescent="0.25">
      <c r="D1693" s="7"/>
      <c r="G1693" s="7"/>
      <c r="M1693" s="7"/>
      <c r="P1693" s="7"/>
      <c r="Q1693" s="7"/>
      <c r="V1693" s="7"/>
      <c r="W1693" s="7"/>
      <c r="X1693" s="7"/>
      <c r="Y1693" s="7"/>
      <c r="Z1693" s="7"/>
      <c r="AA1693" s="7"/>
      <c r="AB1693" s="7"/>
      <c r="AC1693" s="7"/>
      <c r="AD1693" s="7"/>
      <c r="AE1693" s="7"/>
      <c r="AF1693" s="7"/>
      <c r="AH1693" s="7"/>
      <c r="AI1693" s="7"/>
      <c r="AJ1693" s="7"/>
      <c r="AL1693" s="7"/>
      <c r="AM1693" s="7"/>
      <c r="AN1693" s="7"/>
      <c r="AP1693" s="7"/>
      <c r="AQ1693" s="7"/>
      <c r="AR1693" s="7"/>
      <c r="AS1693" s="7"/>
      <c r="AT1693" s="7"/>
      <c r="AU1693" s="7"/>
    </row>
    <row r="1694" spans="4:47" ht="13.5" x14ac:dyDescent="0.25">
      <c r="D1694" s="7"/>
      <c r="G1694" s="7"/>
      <c r="M1694" s="7"/>
      <c r="P1694" s="7"/>
      <c r="Q1694" s="7"/>
      <c r="V1694" s="7"/>
      <c r="W1694" s="7"/>
      <c r="X1694" s="7"/>
      <c r="Y1694" s="7"/>
      <c r="Z1694" s="7"/>
      <c r="AA1694" s="7"/>
      <c r="AB1694" s="7"/>
      <c r="AC1694" s="7"/>
      <c r="AD1694" s="7"/>
      <c r="AE1694" s="7"/>
      <c r="AF1694" s="7"/>
      <c r="AH1694" s="7"/>
      <c r="AI1694" s="7"/>
      <c r="AJ1694" s="7"/>
      <c r="AL1694" s="7"/>
      <c r="AM1694" s="7"/>
      <c r="AN1694" s="7"/>
      <c r="AP1694" s="7"/>
      <c r="AQ1694" s="7"/>
      <c r="AR1694" s="7"/>
      <c r="AS1694" s="7"/>
      <c r="AT1694" s="7"/>
      <c r="AU1694" s="7"/>
    </row>
    <row r="1695" spans="4:47" ht="13.5" x14ac:dyDescent="0.25">
      <c r="D1695" s="7"/>
      <c r="G1695" s="7"/>
      <c r="M1695" s="7"/>
      <c r="P1695" s="7"/>
      <c r="Q1695" s="7"/>
      <c r="V1695" s="7"/>
      <c r="W1695" s="7"/>
      <c r="X1695" s="7"/>
      <c r="Y1695" s="7"/>
      <c r="Z1695" s="7"/>
      <c r="AA1695" s="7"/>
      <c r="AB1695" s="7"/>
      <c r="AC1695" s="7"/>
      <c r="AD1695" s="7"/>
      <c r="AE1695" s="7"/>
      <c r="AF1695" s="7"/>
      <c r="AH1695" s="7"/>
      <c r="AI1695" s="7"/>
      <c r="AJ1695" s="7"/>
      <c r="AL1695" s="7"/>
      <c r="AM1695" s="7"/>
      <c r="AN1695" s="7"/>
      <c r="AP1695" s="7"/>
      <c r="AQ1695" s="7"/>
      <c r="AR1695" s="7"/>
      <c r="AS1695" s="7"/>
      <c r="AT1695" s="7"/>
      <c r="AU1695" s="7"/>
    </row>
    <row r="1696" spans="4:47" ht="13.5" x14ac:dyDescent="0.25">
      <c r="D1696" s="7"/>
      <c r="G1696" s="7"/>
      <c r="M1696" s="7"/>
      <c r="P1696" s="7"/>
      <c r="Q1696" s="7"/>
      <c r="V1696" s="7"/>
      <c r="W1696" s="7"/>
      <c r="X1696" s="7"/>
      <c r="Y1696" s="7"/>
      <c r="Z1696" s="7"/>
      <c r="AA1696" s="7"/>
      <c r="AB1696" s="7"/>
      <c r="AC1696" s="7"/>
      <c r="AD1696" s="7"/>
      <c r="AE1696" s="7"/>
      <c r="AF1696" s="7"/>
      <c r="AH1696" s="7"/>
      <c r="AI1696" s="7"/>
      <c r="AJ1696" s="7"/>
      <c r="AL1696" s="7"/>
      <c r="AM1696" s="7"/>
      <c r="AN1696" s="7"/>
      <c r="AP1696" s="7"/>
      <c r="AQ1696" s="7"/>
      <c r="AR1696" s="7"/>
      <c r="AS1696" s="7"/>
      <c r="AT1696" s="7"/>
      <c r="AU1696" s="7"/>
    </row>
    <row r="1697" spans="4:47" ht="13.5" x14ac:dyDescent="0.25">
      <c r="D1697" s="7"/>
      <c r="G1697" s="7"/>
      <c r="M1697" s="7"/>
      <c r="P1697" s="7"/>
      <c r="Q1697" s="7"/>
      <c r="V1697" s="7"/>
      <c r="W1697" s="7"/>
      <c r="X1697" s="7"/>
      <c r="Y1697" s="7"/>
      <c r="Z1697" s="7"/>
      <c r="AA1697" s="7"/>
      <c r="AB1697" s="7"/>
      <c r="AC1697" s="7"/>
      <c r="AD1697" s="7"/>
      <c r="AE1697" s="7"/>
      <c r="AF1697" s="7"/>
      <c r="AH1697" s="7"/>
      <c r="AI1697" s="7"/>
      <c r="AJ1697" s="7"/>
      <c r="AL1697" s="7"/>
      <c r="AM1697" s="7"/>
      <c r="AN1697" s="7"/>
      <c r="AP1697" s="7"/>
      <c r="AQ1697" s="7"/>
      <c r="AR1697" s="7"/>
      <c r="AS1697" s="7"/>
      <c r="AT1697" s="7"/>
      <c r="AU1697" s="7"/>
    </row>
    <row r="1698" spans="4:47" ht="13.5" x14ac:dyDescent="0.25">
      <c r="D1698" s="7"/>
      <c r="G1698" s="7"/>
      <c r="M1698" s="7"/>
      <c r="P1698" s="7"/>
      <c r="Q1698" s="7"/>
      <c r="V1698" s="7"/>
      <c r="W1698" s="7"/>
      <c r="X1698" s="7"/>
      <c r="Y1698" s="7"/>
      <c r="Z1698" s="7"/>
      <c r="AA1698" s="7"/>
      <c r="AB1698" s="7"/>
      <c r="AC1698" s="7"/>
      <c r="AD1698" s="7"/>
      <c r="AE1698" s="7"/>
      <c r="AF1698" s="7"/>
      <c r="AH1698" s="7"/>
      <c r="AI1698" s="7"/>
      <c r="AJ1698" s="7"/>
      <c r="AL1698" s="7"/>
      <c r="AM1698" s="7"/>
      <c r="AN1698" s="7"/>
      <c r="AP1698" s="7"/>
      <c r="AQ1698" s="7"/>
      <c r="AR1698" s="7"/>
      <c r="AS1698" s="7"/>
      <c r="AT1698" s="7"/>
      <c r="AU1698" s="7"/>
    </row>
    <row r="1699" spans="4:47" ht="13.5" x14ac:dyDescent="0.25">
      <c r="D1699" s="7"/>
      <c r="G1699" s="7"/>
      <c r="M1699" s="7"/>
      <c r="P1699" s="7"/>
      <c r="Q1699" s="7"/>
      <c r="V1699" s="7"/>
      <c r="W1699" s="7"/>
      <c r="X1699" s="7"/>
      <c r="Y1699" s="7"/>
      <c r="Z1699" s="7"/>
      <c r="AA1699" s="7"/>
      <c r="AB1699" s="7"/>
      <c r="AC1699" s="7"/>
      <c r="AD1699" s="7"/>
      <c r="AE1699" s="7"/>
      <c r="AF1699" s="7"/>
      <c r="AH1699" s="7"/>
      <c r="AI1699" s="7"/>
      <c r="AJ1699" s="7"/>
      <c r="AL1699" s="7"/>
      <c r="AM1699" s="7"/>
      <c r="AN1699" s="7"/>
      <c r="AP1699" s="7"/>
      <c r="AQ1699" s="7"/>
      <c r="AR1699" s="7"/>
      <c r="AS1699" s="7"/>
      <c r="AT1699" s="7"/>
      <c r="AU1699" s="7"/>
    </row>
    <row r="1700" spans="4:47" ht="13.5" x14ac:dyDescent="0.25">
      <c r="D1700" s="7"/>
      <c r="G1700" s="7"/>
      <c r="M1700" s="7"/>
      <c r="P1700" s="7"/>
      <c r="Q1700" s="7"/>
      <c r="V1700" s="7"/>
      <c r="W1700" s="7"/>
      <c r="X1700" s="7"/>
      <c r="Y1700" s="7"/>
      <c r="Z1700" s="7"/>
      <c r="AA1700" s="7"/>
      <c r="AB1700" s="7"/>
      <c r="AC1700" s="7"/>
      <c r="AD1700" s="7"/>
      <c r="AE1700" s="7"/>
      <c r="AF1700" s="7"/>
      <c r="AH1700" s="7"/>
      <c r="AI1700" s="7"/>
      <c r="AJ1700" s="7"/>
      <c r="AL1700" s="7"/>
      <c r="AM1700" s="7"/>
      <c r="AN1700" s="7"/>
      <c r="AP1700" s="7"/>
      <c r="AQ1700" s="7"/>
      <c r="AR1700" s="7"/>
      <c r="AS1700" s="7"/>
      <c r="AT1700" s="7"/>
      <c r="AU1700" s="7"/>
    </row>
    <row r="1701" spans="4:47" ht="13.5" x14ac:dyDescent="0.25">
      <c r="D1701" s="7"/>
      <c r="G1701" s="7"/>
      <c r="M1701" s="7"/>
      <c r="P1701" s="7"/>
      <c r="Q1701" s="7"/>
      <c r="V1701" s="7"/>
      <c r="W1701" s="7"/>
      <c r="X1701" s="7"/>
      <c r="Y1701" s="7"/>
      <c r="Z1701" s="7"/>
      <c r="AA1701" s="7"/>
      <c r="AB1701" s="7"/>
      <c r="AC1701" s="7"/>
      <c r="AD1701" s="7"/>
      <c r="AE1701" s="7"/>
      <c r="AF1701" s="7"/>
      <c r="AH1701" s="7"/>
      <c r="AI1701" s="7"/>
      <c r="AJ1701" s="7"/>
      <c r="AL1701" s="7"/>
      <c r="AM1701" s="7"/>
      <c r="AN1701" s="7"/>
      <c r="AP1701" s="7"/>
      <c r="AQ1701" s="7"/>
      <c r="AR1701" s="7"/>
      <c r="AS1701" s="7"/>
      <c r="AT1701" s="7"/>
      <c r="AU1701" s="7"/>
    </row>
    <row r="1702" spans="4:47" ht="13.5" x14ac:dyDescent="0.25">
      <c r="D1702" s="7"/>
      <c r="G1702" s="7"/>
      <c r="M1702" s="7"/>
      <c r="P1702" s="7"/>
      <c r="Q1702" s="7"/>
      <c r="V1702" s="7"/>
      <c r="W1702" s="7"/>
      <c r="X1702" s="7"/>
      <c r="Y1702" s="7"/>
      <c r="Z1702" s="7"/>
      <c r="AA1702" s="7"/>
      <c r="AB1702" s="7"/>
      <c r="AC1702" s="7"/>
      <c r="AD1702" s="7"/>
      <c r="AE1702" s="7"/>
      <c r="AF1702" s="7"/>
      <c r="AH1702" s="7"/>
      <c r="AI1702" s="7"/>
      <c r="AJ1702" s="7"/>
      <c r="AL1702" s="7"/>
      <c r="AM1702" s="7"/>
      <c r="AN1702" s="7"/>
      <c r="AP1702" s="7"/>
      <c r="AQ1702" s="7"/>
      <c r="AR1702" s="7"/>
      <c r="AS1702" s="7"/>
      <c r="AT1702" s="7"/>
      <c r="AU1702" s="7"/>
    </row>
    <row r="1703" spans="4:47" ht="13.5" x14ac:dyDescent="0.25">
      <c r="D1703" s="7"/>
      <c r="G1703" s="7"/>
      <c r="M1703" s="7"/>
      <c r="P1703" s="7"/>
      <c r="Q1703" s="7"/>
      <c r="V1703" s="7"/>
      <c r="W1703" s="7"/>
      <c r="X1703" s="7"/>
      <c r="Y1703" s="7"/>
      <c r="Z1703" s="7"/>
      <c r="AA1703" s="7"/>
      <c r="AB1703" s="7"/>
      <c r="AC1703" s="7"/>
      <c r="AD1703" s="7"/>
      <c r="AE1703" s="7"/>
      <c r="AF1703" s="7"/>
      <c r="AH1703" s="7"/>
      <c r="AI1703" s="7"/>
      <c r="AJ1703" s="7"/>
      <c r="AL1703" s="7"/>
      <c r="AM1703" s="7"/>
      <c r="AN1703" s="7"/>
      <c r="AP1703" s="7"/>
      <c r="AQ1703" s="7"/>
      <c r="AR1703" s="7"/>
      <c r="AS1703" s="7"/>
      <c r="AT1703" s="7"/>
      <c r="AU1703" s="7"/>
    </row>
    <row r="1704" spans="4:47" ht="13.5" x14ac:dyDescent="0.25">
      <c r="D1704" s="7"/>
      <c r="G1704" s="7"/>
      <c r="M1704" s="7"/>
      <c r="P1704" s="7"/>
      <c r="Q1704" s="7"/>
      <c r="V1704" s="7"/>
      <c r="W1704" s="7"/>
      <c r="X1704" s="7"/>
      <c r="Y1704" s="7"/>
      <c r="Z1704" s="7"/>
      <c r="AA1704" s="7"/>
      <c r="AB1704" s="7"/>
      <c r="AC1704" s="7"/>
      <c r="AD1704" s="7"/>
      <c r="AE1704" s="7"/>
      <c r="AF1704" s="7"/>
      <c r="AH1704" s="7"/>
      <c r="AI1704" s="7"/>
      <c r="AJ1704" s="7"/>
      <c r="AL1704" s="7"/>
      <c r="AM1704" s="7"/>
      <c r="AN1704" s="7"/>
      <c r="AP1704" s="7"/>
      <c r="AQ1704" s="7"/>
      <c r="AR1704" s="7"/>
      <c r="AS1704" s="7"/>
      <c r="AT1704" s="7"/>
      <c r="AU1704" s="7"/>
    </row>
    <row r="1705" spans="4:47" ht="13.5" x14ac:dyDescent="0.25">
      <c r="D1705" s="7"/>
      <c r="G1705" s="7"/>
      <c r="M1705" s="7"/>
      <c r="P1705" s="7"/>
      <c r="Q1705" s="7"/>
      <c r="V1705" s="7"/>
      <c r="W1705" s="7"/>
      <c r="X1705" s="7"/>
      <c r="Y1705" s="7"/>
      <c r="Z1705" s="7"/>
      <c r="AA1705" s="7"/>
      <c r="AB1705" s="7"/>
      <c r="AC1705" s="7"/>
      <c r="AD1705" s="7"/>
      <c r="AE1705" s="7"/>
      <c r="AF1705" s="7"/>
      <c r="AH1705" s="7"/>
      <c r="AI1705" s="7"/>
      <c r="AJ1705" s="7"/>
      <c r="AL1705" s="7"/>
      <c r="AM1705" s="7"/>
      <c r="AN1705" s="7"/>
      <c r="AP1705" s="7"/>
      <c r="AQ1705" s="7"/>
      <c r="AR1705" s="7"/>
      <c r="AS1705" s="7"/>
      <c r="AT1705" s="7"/>
      <c r="AU1705" s="7"/>
    </row>
    <row r="1706" spans="4:47" ht="13.5" x14ac:dyDescent="0.25">
      <c r="D1706" s="7"/>
      <c r="G1706" s="7"/>
      <c r="M1706" s="7"/>
      <c r="P1706" s="7"/>
      <c r="Q1706" s="7"/>
      <c r="V1706" s="7"/>
      <c r="W1706" s="7"/>
      <c r="X1706" s="7"/>
      <c r="Y1706" s="7"/>
      <c r="Z1706" s="7"/>
      <c r="AA1706" s="7"/>
      <c r="AB1706" s="7"/>
      <c r="AC1706" s="7"/>
      <c r="AD1706" s="7"/>
      <c r="AE1706" s="7"/>
      <c r="AF1706" s="7"/>
      <c r="AH1706" s="7"/>
      <c r="AI1706" s="7"/>
      <c r="AJ1706" s="7"/>
      <c r="AL1706" s="7"/>
      <c r="AM1706" s="7"/>
      <c r="AN1706" s="7"/>
      <c r="AP1706" s="7"/>
      <c r="AQ1706" s="7"/>
      <c r="AR1706" s="7"/>
      <c r="AS1706" s="7"/>
      <c r="AT1706" s="7"/>
      <c r="AU1706" s="7"/>
    </row>
    <row r="1707" spans="4:47" ht="13.5" x14ac:dyDescent="0.25">
      <c r="D1707" s="7"/>
      <c r="G1707" s="7"/>
      <c r="M1707" s="7"/>
      <c r="P1707" s="7"/>
      <c r="Q1707" s="7"/>
      <c r="V1707" s="7"/>
      <c r="W1707" s="7"/>
      <c r="X1707" s="7"/>
      <c r="Y1707" s="7"/>
      <c r="Z1707" s="7"/>
      <c r="AA1707" s="7"/>
      <c r="AB1707" s="7"/>
      <c r="AC1707" s="7"/>
      <c r="AD1707" s="7"/>
      <c r="AE1707" s="7"/>
      <c r="AF1707" s="7"/>
      <c r="AH1707" s="7"/>
      <c r="AI1707" s="7"/>
      <c r="AJ1707" s="7"/>
      <c r="AL1707" s="7"/>
      <c r="AM1707" s="7"/>
      <c r="AN1707" s="7"/>
      <c r="AP1707" s="7"/>
      <c r="AQ1707" s="7"/>
      <c r="AR1707" s="7"/>
      <c r="AS1707" s="7"/>
      <c r="AT1707" s="7"/>
      <c r="AU1707" s="7"/>
    </row>
    <row r="1708" spans="4:47" ht="13.5" x14ac:dyDescent="0.25">
      <c r="D1708" s="7"/>
      <c r="G1708" s="7"/>
      <c r="M1708" s="7"/>
      <c r="P1708" s="7"/>
      <c r="Q1708" s="7"/>
      <c r="V1708" s="7"/>
      <c r="W1708" s="7"/>
      <c r="X1708" s="7"/>
      <c r="Y1708" s="7"/>
      <c r="Z1708" s="7"/>
      <c r="AA1708" s="7"/>
      <c r="AB1708" s="7"/>
      <c r="AC1708" s="7"/>
      <c r="AD1708" s="7"/>
      <c r="AE1708" s="7"/>
      <c r="AF1708" s="7"/>
      <c r="AH1708" s="7"/>
      <c r="AI1708" s="7"/>
      <c r="AJ1708" s="7"/>
      <c r="AL1708" s="7"/>
      <c r="AM1708" s="7"/>
      <c r="AN1708" s="7"/>
      <c r="AP1708" s="7"/>
      <c r="AQ1708" s="7"/>
      <c r="AR1708" s="7"/>
      <c r="AS1708" s="7"/>
      <c r="AT1708" s="7"/>
      <c r="AU1708" s="7"/>
    </row>
    <row r="1709" spans="4:47" ht="13.5" x14ac:dyDescent="0.25">
      <c r="D1709" s="7"/>
      <c r="G1709" s="7"/>
      <c r="M1709" s="7"/>
      <c r="P1709" s="7"/>
      <c r="Q1709" s="7"/>
      <c r="V1709" s="7"/>
      <c r="W1709" s="7"/>
      <c r="X1709" s="7"/>
      <c r="Y1709" s="7"/>
      <c r="Z1709" s="7"/>
      <c r="AA1709" s="7"/>
      <c r="AB1709" s="7"/>
      <c r="AC1709" s="7"/>
      <c r="AD1709" s="7"/>
      <c r="AE1709" s="7"/>
      <c r="AF1709" s="7"/>
      <c r="AH1709" s="7"/>
      <c r="AI1709" s="7"/>
      <c r="AJ1709" s="7"/>
      <c r="AL1709" s="7"/>
      <c r="AM1709" s="7"/>
      <c r="AN1709" s="7"/>
      <c r="AP1709" s="7"/>
      <c r="AQ1709" s="7"/>
      <c r="AR1709" s="7"/>
      <c r="AS1709" s="7"/>
      <c r="AT1709" s="7"/>
      <c r="AU1709" s="7"/>
    </row>
    <row r="1710" spans="4:47" ht="13.5" x14ac:dyDescent="0.25">
      <c r="D1710" s="7"/>
      <c r="G1710" s="7"/>
      <c r="M1710" s="7"/>
      <c r="P1710" s="7"/>
      <c r="Q1710" s="7"/>
      <c r="V1710" s="7"/>
      <c r="W1710" s="7"/>
      <c r="X1710" s="7"/>
      <c r="Y1710" s="7"/>
      <c r="Z1710" s="7"/>
      <c r="AA1710" s="7"/>
      <c r="AB1710" s="7"/>
      <c r="AC1710" s="7"/>
      <c r="AD1710" s="7"/>
      <c r="AE1710" s="7"/>
      <c r="AF1710" s="7"/>
      <c r="AH1710" s="7"/>
      <c r="AI1710" s="7"/>
      <c r="AJ1710" s="7"/>
      <c r="AL1710" s="7"/>
      <c r="AM1710" s="7"/>
      <c r="AN1710" s="7"/>
      <c r="AP1710" s="7"/>
      <c r="AQ1710" s="7"/>
      <c r="AR1710" s="7"/>
      <c r="AS1710" s="7"/>
      <c r="AT1710" s="7"/>
      <c r="AU1710" s="7"/>
    </row>
    <row r="1711" spans="4:47" ht="13.5" x14ac:dyDescent="0.25">
      <c r="D1711" s="7"/>
      <c r="G1711" s="7"/>
      <c r="M1711" s="7"/>
      <c r="P1711" s="7"/>
      <c r="Q1711" s="7"/>
      <c r="V1711" s="7"/>
      <c r="W1711" s="7"/>
      <c r="X1711" s="7"/>
      <c r="Y1711" s="7"/>
      <c r="Z1711" s="7"/>
      <c r="AA1711" s="7"/>
      <c r="AB1711" s="7"/>
      <c r="AC1711" s="7"/>
      <c r="AD1711" s="7"/>
      <c r="AE1711" s="7"/>
      <c r="AF1711" s="7"/>
      <c r="AH1711" s="7"/>
      <c r="AI1711" s="7"/>
      <c r="AJ1711" s="7"/>
      <c r="AL1711" s="7"/>
      <c r="AM1711" s="7"/>
      <c r="AN1711" s="7"/>
      <c r="AP1711" s="7"/>
      <c r="AQ1711" s="7"/>
      <c r="AR1711" s="7"/>
      <c r="AS1711" s="7"/>
      <c r="AT1711" s="7"/>
      <c r="AU1711" s="7"/>
    </row>
    <row r="1712" spans="4:47" ht="13.5" x14ac:dyDescent="0.25">
      <c r="D1712" s="7"/>
      <c r="G1712" s="7"/>
      <c r="M1712" s="7"/>
      <c r="P1712" s="7"/>
      <c r="Q1712" s="7"/>
      <c r="V1712" s="7"/>
      <c r="W1712" s="7"/>
      <c r="X1712" s="7"/>
      <c r="Y1712" s="7"/>
      <c r="Z1712" s="7"/>
      <c r="AA1712" s="7"/>
      <c r="AB1712" s="7"/>
      <c r="AC1712" s="7"/>
      <c r="AD1712" s="7"/>
      <c r="AE1712" s="7"/>
      <c r="AF1712" s="7"/>
      <c r="AH1712" s="7"/>
      <c r="AI1712" s="7"/>
      <c r="AJ1712" s="7"/>
      <c r="AL1712" s="7"/>
      <c r="AM1712" s="7"/>
      <c r="AN1712" s="7"/>
      <c r="AP1712" s="7"/>
      <c r="AQ1712" s="7"/>
      <c r="AR1712" s="7"/>
      <c r="AS1712" s="7"/>
      <c r="AT1712" s="7"/>
      <c r="AU1712" s="7"/>
    </row>
    <row r="1713" spans="4:47" ht="13.5" x14ac:dyDescent="0.25">
      <c r="D1713" s="7"/>
      <c r="G1713" s="7"/>
      <c r="M1713" s="7"/>
      <c r="P1713" s="7"/>
      <c r="Q1713" s="7"/>
      <c r="V1713" s="7"/>
      <c r="W1713" s="7"/>
      <c r="X1713" s="7"/>
      <c r="Y1713" s="7"/>
      <c r="Z1713" s="7"/>
      <c r="AA1713" s="7"/>
      <c r="AB1713" s="7"/>
      <c r="AC1713" s="7"/>
      <c r="AD1713" s="7"/>
      <c r="AE1713" s="7"/>
      <c r="AF1713" s="7"/>
      <c r="AH1713" s="7"/>
      <c r="AI1713" s="7"/>
      <c r="AJ1713" s="7"/>
      <c r="AL1713" s="7"/>
      <c r="AM1713" s="7"/>
      <c r="AN1713" s="7"/>
      <c r="AP1713" s="7"/>
      <c r="AQ1713" s="7"/>
      <c r="AR1713" s="7"/>
      <c r="AS1713" s="7"/>
      <c r="AT1713" s="7"/>
      <c r="AU1713" s="7"/>
    </row>
    <row r="1714" spans="4:47" ht="13.5" x14ac:dyDescent="0.25">
      <c r="D1714" s="7"/>
      <c r="G1714" s="7"/>
      <c r="M1714" s="7"/>
      <c r="P1714" s="7"/>
      <c r="Q1714" s="7"/>
      <c r="V1714" s="7"/>
      <c r="W1714" s="7"/>
      <c r="X1714" s="7"/>
      <c r="Y1714" s="7"/>
      <c r="Z1714" s="7"/>
      <c r="AA1714" s="7"/>
      <c r="AB1714" s="7"/>
      <c r="AC1714" s="7"/>
      <c r="AD1714" s="7"/>
      <c r="AE1714" s="7"/>
      <c r="AF1714" s="7"/>
      <c r="AH1714" s="7"/>
      <c r="AI1714" s="7"/>
      <c r="AJ1714" s="7"/>
      <c r="AL1714" s="7"/>
      <c r="AM1714" s="7"/>
      <c r="AN1714" s="7"/>
      <c r="AP1714" s="7"/>
      <c r="AQ1714" s="7"/>
      <c r="AR1714" s="7"/>
      <c r="AS1714" s="7"/>
      <c r="AT1714" s="7"/>
      <c r="AU1714" s="7"/>
    </row>
    <row r="1715" spans="4:47" ht="13.5" x14ac:dyDescent="0.25">
      <c r="D1715" s="7"/>
      <c r="G1715" s="7"/>
      <c r="M1715" s="7"/>
      <c r="P1715" s="7"/>
      <c r="Q1715" s="7"/>
      <c r="V1715" s="7"/>
      <c r="W1715" s="7"/>
      <c r="X1715" s="7"/>
      <c r="Y1715" s="7"/>
      <c r="Z1715" s="7"/>
      <c r="AA1715" s="7"/>
      <c r="AB1715" s="7"/>
      <c r="AC1715" s="7"/>
      <c r="AD1715" s="7"/>
      <c r="AE1715" s="7"/>
      <c r="AF1715" s="7"/>
      <c r="AH1715" s="7"/>
      <c r="AI1715" s="7"/>
      <c r="AJ1715" s="7"/>
      <c r="AL1715" s="7"/>
      <c r="AM1715" s="7"/>
      <c r="AN1715" s="7"/>
      <c r="AP1715" s="7"/>
      <c r="AQ1715" s="7"/>
      <c r="AR1715" s="7"/>
      <c r="AS1715" s="7"/>
      <c r="AT1715" s="7"/>
      <c r="AU1715" s="7"/>
    </row>
    <row r="1716" spans="4:47" ht="13.5" x14ac:dyDescent="0.25">
      <c r="D1716" s="7"/>
      <c r="G1716" s="7"/>
      <c r="M1716" s="7"/>
      <c r="P1716" s="7"/>
      <c r="Q1716" s="7"/>
      <c r="V1716" s="7"/>
      <c r="W1716" s="7"/>
      <c r="X1716" s="7"/>
      <c r="Y1716" s="7"/>
      <c r="Z1716" s="7"/>
      <c r="AA1716" s="7"/>
      <c r="AB1716" s="7"/>
      <c r="AC1716" s="7"/>
      <c r="AD1716" s="7"/>
      <c r="AE1716" s="7"/>
      <c r="AF1716" s="7"/>
      <c r="AH1716" s="7"/>
      <c r="AI1716" s="7"/>
      <c r="AJ1716" s="7"/>
      <c r="AL1716" s="7"/>
      <c r="AM1716" s="7"/>
      <c r="AN1716" s="7"/>
      <c r="AP1716" s="7"/>
      <c r="AQ1716" s="7"/>
      <c r="AR1716" s="7"/>
      <c r="AS1716" s="7"/>
      <c r="AT1716" s="7"/>
      <c r="AU1716" s="7"/>
    </row>
    <row r="1717" spans="4:47" ht="13.5" x14ac:dyDescent="0.25">
      <c r="D1717" s="7"/>
      <c r="G1717" s="7"/>
      <c r="M1717" s="7"/>
      <c r="P1717" s="7"/>
      <c r="Q1717" s="7"/>
      <c r="V1717" s="7"/>
      <c r="W1717" s="7"/>
      <c r="X1717" s="7"/>
      <c r="Y1717" s="7"/>
      <c r="Z1717" s="7"/>
      <c r="AA1717" s="7"/>
      <c r="AB1717" s="7"/>
      <c r="AC1717" s="7"/>
      <c r="AD1717" s="7"/>
      <c r="AE1717" s="7"/>
      <c r="AF1717" s="7"/>
      <c r="AH1717" s="7"/>
      <c r="AI1717" s="7"/>
      <c r="AJ1717" s="7"/>
      <c r="AL1717" s="7"/>
      <c r="AM1717" s="7"/>
      <c r="AN1717" s="7"/>
      <c r="AP1717" s="7"/>
      <c r="AQ1717" s="7"/>
      <c r="AR1717" s="7"/>
      <c r="AS1717" s="7"/>
      <c r="AT1717" s="7"/>
      <c r="AU1717" s="7"/>
    </row>
    <row r="1718" spans="4:47" ht="13.5" x14ac:dyDescent="0.25">
      <c r="D1718" s="7"/>
      <c r="G1718" s="7"/>
      <c r="M1718" s="7"/>
      <c r="P1718" s="7"/>
      <c r="Q1718" s="7"/>
      <c r="V1718" s="7"/>
      <c r="W1718" s="7"/>
      <c r="X1718" s="7"/>
      <c r="Y1718" s="7"/>
      <c r="Z1718" s="7"/>
      <c r="AA1718" s="7"/>
      <c r="AB1718" s="7"/>
      <c r="AC1718" s="7"/>
      <c r="AD1718" s="7"/>
      <c r="AE1718" s="7"/>
      <c r="AF1718" s="7"/>
      <c r="AH1718" s="7"/>
      <c r="AI1718" s="7"/>
      <c r="AJ1718" s="7"/>
      <c r="AL1718" s="7"/>
      <c r="AM1718" s="7"/>
      <c r="AN1718" s="7"/>
      <c r="AP1718" s="7"/>
      <c r="AQ1718" s="7"/>
      <c r="AR1718" s="7"/>
      <c r="AS1718" s="7"/>
      <c r="AT1718" s="7"/>
      <c r="AU1718" s="7"/>
    </row>
    <row r="1719" spans="4:47" ht="13.5" x14ac:dyDescent="0.25">
      <c r="D1719" s="7"/>
      <c r="G1719" s="7"/>
      <c r="M1719" s="7"/>
      <c r="P1719" s="7"/>
      <c r="Q1719" s="7"/>
      <c r="V1719" s="7"/>
      <c r="W1719" s="7"/>
      <c r="X1719" s="7"/>
      <c r="Y1719" s="7"/>
      <c r="Z1719" s="7"/>
      <c r="AA1719" s="7"/>
      <c r="AB1719" s="7"/>
      <c r="AC1719" s="7"/>
      <c r="AD1719" s="7"/>
      <c r="AE1719" s="7"/>
      <c r="AF1719" s="7"/>
      <c r="AH1719" s="7"/>
      <c r="AI1719" s="7"/>
      <c r="AJ1719" s="7"/>
      <c r="AL1719" s="7"/>
      <c r="AM1719" s="7"/>
      <c r="AN1719" s="7"/>
      <c r="AP1719" s="7"/>
      <c r="AQ1719" s="7"/>
      <c r="AR1719" s="7"/>
      <c r="AS1719" s="7"/>
      <c r="AT1719" s="7"/>
      <c r="AU1719" s="7"/>
    </row>
    <row r="1720" spans="4:47" ht="13.5" x14ac:dyDescent="0.25">
      <c r="D1720" s="7"/>
      <c r="G1720" s="7"/>
      <c r="M1720" s="7"/>
      <c r="P1720" s="7"/>
      <c r="Q1720" s="7"/>
      <c r="V1720" s="7"/>
      <c r="W1720" s="7"/>
      <c r="X1720" s="7"/>
      <c r="Y1720" s="7"/>
      <c r="Z1720" s="7"/>
      <c r="AA1720" s="7"/>
      <c r="AB1720" s="7"/>
      <c r="AC1720" s="7"/>
      <c r="AD1720" s="7"/>
      <c r="AE1720" s="7"/>
      <c r="AF1720" s="7"/>
      <c r="AH1720" s="7"/>
      <c r="AI1720" s="7"/>
      <c r="AJ1720" s="7"/>
      <c r="AL1720" s="7"/>
      <c r="AM1720" s="7"/>
      <c r="AN1720" s="7"/>
      <c r="AP1720" s="7"/>
      <c r="AQ1720" s="7"/>
      <c r="AR1720" s="7"/>
      <c r="AS1720" s="7"/>
      <c r="AT1720" s="7"/>
      <c r="AU1720" s="7"/>
    </row>
    <row r="1721" spans="4:47" ht="13.5" x14ac:dyDescent="0.25">
      <c r="D1721" s="7"/>
      <c r="G1721" s="7"/>
      <c r="M1721" s="7"/>
      <c r="P1721" s="7"/>
      <c r="Q1721" s="7"/>
      <c r="V1721" s="7"/>
      <c r="W1721" s="7"/>
      <c r="X1721" s="7"/>
      <c r="Y1721" s="7"/>
      <c r="Z1721" s="7"/>
      <c r="AA1721" s="7"/>
      <c r="AB1721" s="7"/>
      <c r="AC1721" s="7"/>
      <c r="AD1721" s="7"/>
      <c r="AE1721" s="7"/>
      <c r="AF1721" s="7"/>
      <c r="AH1721" s="7"/>
      <c r="AI1721" s="7"/>
      <c r="AJ1721" s="7"/>
      <c r="AL1721" s="7"/>
      <c r="AM1721" s="7"/>
      <c r="AN1721" s="7"/>
      <c r="AP1721" s="7"/>
      <c r="AQ1721" s="7"/>
      <c r="AR1721" s="7"/>
      <c r="AS1721" s="7"/>
      <c r="AT1721" s="7"/>
      <c r="AU1721" s="7"/>
    </row>
    <row r="1722" spans="4:47" ht="13.5" x14ac:dyDescent="0.25">
      <c r="D1722" s="7"/>
      <c r="G1722" s="7"/>
      <c r="M1722" s="7"/>
      <c r="P1722" s="7"/>
      <c r="Q1722" s="7"/>
      <c r="V1722" s="7"/>
      <c r="W1722" s="7"/>
      <c r="X1722" s="7"/>
      <c r="Y1722" s="7"/>
      <c r="Z1722" s="7"/>
      <c r="AA1722" s="7"/>
      <c r="AB1722" s="7"/>
      <c r="AC1722" s="7"/>
      <c r="AD1722" s="7"/>
      <c r="AE1722" s="7"/>
      <c r="AF1722" s="7"/>
      <c r="AH1722" s="7"/>
      <c r="AI1722" s="7"/>
      <c r="AJ1722" s="7"/>
      <c r="AL1722" s="7"/>
      <c r="AM1722" s="7"/>
      <c r="AN1722" s="7"/>
      <c r="AP1722" s="7"/>
      <c r="AQ1722" s="7"/>
      <c r="AR1722" s="7"/>
      <c r="AS1722" s="7"/>
      <c r="AT1722" s="7"/>
      <c r="AU1722" s="7"/>
    </row>
    <row r="1723" spans="4:47" ht="13.5" x14ac:dyDescent="0.25">
      <c r="D1723" s="7"/>
      <c r="G1723" s="7"/>
      <c r="M1723" s="7"/>
      <c r="P1723" s="7"/>
      <c r="Q1723" s="7"/>
      <c r="V1723" s="7"/>
      <c r="W1723" s="7"/>
      <c r="X1723" s="7"/>
      <c r="Y1723" s="7"/>
      <c r="Z1723" s="7"/>
      <c r="AA1723" s="7"/>
      <c r="AB1723" s="7"/>
      <c r="AC1723" s="7"/>
      <c r="AD1723" s="7"/>
      <c r="AE1723" s="7"/>
      <c r="AF1723" s="7"/>
      <c r="AH1723" s="7"/>
      <c r="AI1723" s="7"/>
      <c r="AJ1723" s="7"/>
      <c r="AL1723" s="7"/>
      <c r="AM1723" s="7"/>
      <c r="AN1723" s="7"/>
      <c r="AP1723" s="7"/>
      <c r="AQ1723" s="7"/>
      <c r="AR1723" s="7"/>
      <c r="AS1723" s="7"/>
      <c r="AT1723" s="7"/>
      <c r="AU1723" s="7"/>
    </row>
    <row r="1724" spans="4:47" ht="13.5" x14ac:dyDescent="0.25">
      <c r="D1724" s="7"/>
      <c r="G1724" s="7"/>
      <c r="M1724" s="7"/>
      <c r="P1724" s="7"/>
      <c r="Q1724" s="7"/>
      <c r="V1724" s="7"/>
      <c r="W1724" s="7"/>
      <c r="X1724" s="7"/>
      <c r="Y1724" s="7"/>
      <c r="Z1724" s="7"/>
      <c r="AA1724" s="7"/>
      <c r="AB1724" s="7"/>
      <c r="AC1724" s="7"/>
      <c r="AD1724" s="7"/>
      <c r="AE1724" s="7"/>
      <c r="AF1724" s="7"/>
      <c r="AH1724" s="7"/>
      <c r="AI1724" s="7"/>
      <c r="AJ1724" s="7"/>
      <c r="AL1724" s="7"/>
      <c r="AM1724" s="7"/>
      <c r="AN1724" s="7"/>
      <c r="AP1724" s="7"/>
      <c r="AQ1724" s="7"/>
      <c r="AR1724" s="7"/>
      <c r="AS1724" s="7"/>
      <c r="AT1724" s="7"/>
      <c r="AU1724" s="7"/>
    </row>
    <row r="1725" spans="4:47" ht="13.5" x14ac:dyDescent="0.25">
      <c r="D1725" s="7"/>
      <c r="G1725" s="7"/>
      <c r="M1725" s="7"/>
      <c r="P1725" s="7"/>
      <c r="Q1725" s="7"/>
      <c r="V1725" s="7"/>
      <c r="W1725" s="7"/>
      <c r="X1725" s="7"/>
      <c r="Y1725" s="7"/>
      <c r="Z1725" s="7"/>
      <c r="AA1725" s="7"/>
      <c r="AB1725" s="7"/>
      <c r="AC1725" s="7"/>
      <c r="AD1725" s="7"/>
      <c r="AE1725" s="7"/>
      <c r="AF1725" s="7"/>
      <c r="AH1725" s="7"/>
      <c r="AI1725" s="7"/>
      <c r="AJ1725" s="7"/>
      <c r="AL1725" s="7"/>
      <c r="AM1725" s="7"/>
      <c r="AN1725" s="7"/>
      <c r="AP1725" s="7"/>
      <c r="AQ1725" s="7"/>
      <c r="AR1725" s="7"/>
      <c r="AS1725" s="7"/>
      <c r="AT1725" s="7"/>
      <c r="AU1725" s="7"/>
    </row>
    <row r="1726" spans="4:47" ht="13.5" x14ac:dyDescent="0.25">
      <c r="D1726" s="7"/>
      <c r="G1726" s="7"/>
      <c r="M1726" s="7"/>
      <c r="P1726" s="7"/>
      <c r="Q1726" s="7"/>
      <c r="V1726" s="7"/>
      <c r="W1726" s="7"/>
      <c r="X1726" s="7"/>
      <c r="Y1726" s="7"/>
      <c r="Z1726" s="7"/>
      <c r="AA1726" s="7"/>
      <c r="AB1726" s="7"/>
      <c r="AC1726" s="7"/>
      <c r="AD1726" s="7"/>
      <c r="AE1726" s="7"/>
      <c r="AF1726" s="7"/>
      <c r="AH1726" s="7"/>
      <c r="AI1726" s="7"/>
      <c r="AJ1726" s="7"/>
      <c r="AL1726" s="7"/>
      <c r="AM1726" s="7"/>
      <c r="AN1726" s="7"/>
      <c r="AP1726" s="7"/>
      <c r="AQ1726" s="7"/>
      <c r="AR1726" s="7"/>
      <c r="AS1726" s="7"/>
      <c r="AT1726" s="7"/>
      <c r="AU1726" s="7"/>
    </row>
    <row r="1727" spans="4:47" ht="13.5" x14ac:dyDescent="0.25">
      <c r="D1727" s="7"/>
      <c r="G1727" s="7"/>
      <c r="M1727" s="7"/>
      <c r="P1727" s="7"/>
      <c r="Q1727" s="7"/>
      <c r="V1727" s="7"/>
      <c r="W1727" s="7"/>
      <c r="X1727" s="7"/>
      <c r="Y1727" s="7"/>
      <c r="Z1727" s="7"/>
      <c r="AA1727" s="7"/>
      <c r="AB1727" s="7"/>
      <c r="AC1727" s="7"/>
      <c r="AD1727" s="7"/>
      <c r="AE1727" s="7"/>
      <c r="AF1727" s="7"/>
      <c r="AH1727" s="7"/>
      <c r="AI1727" s="7"/>
      <c r="AJ1727" s="7"/>
      <c r="AL1727" s="7"/>
      <c r="AM1727" s="7"/>
      <c r="AN1727" s="7"/>
      <c r="AP1727" s="7"/>
      <c r="AQ1727" s="7"/>
      <c r="AR1727" s="7"/>
      <c r="AS1727" s="7"/>
      <c r="AT1727" s="7"/>
      <c r="AU1727" s="7"/>
    </row>
    <row r="1728" spans="4:47" ht="13.5" x14ac:dyDescent="0.25">
      <c r="D1728" s="7"/>
      <c r="G1728" s="7"/>
      <c r="M1728" s="7"/>
      <c r="P1728" s="7"/>
      <c r="Q1728" s="7"/>
      <c r="V1728" s="7"/>
      <c r="W1728" s="7"/>
      <c r="X1728" s="7"/>
      <c r="Y1728" s="7"/>
      <c r="Z1728" s="7"/>
      <c r="AA1728" s="7"/>
      <c r="AB1728" s="7"/>
      <c r="AC1728" s="7"/>
      <c r="AD1728" s="7"/>
      <c r="AE1728" s="7"/>
      <c r="AF1728" s="7"/>
      <c r="AH1728" s="7"/>
      <c r="AI1728" s="7"/>
      <c r="AJ1728" s="7"/>
      <c r="AL1728" s="7"/>
      <c r="AM1728" s="7"/>
      <c r="AN1728" s="7"/>
      <c r="AP1728" s="7"/>
      <c r="AQ1728" s="7"/>
      <c r="AR1728" s="7"/>
      <c r="AS1728" s="7"/>
      <c r="AT1728" s="7"/>
      <c r="AU1728" s="7"/>
    </row>
    <row r="1729" spans="4:47" ht="13.5" x14ac:dyDescent="0.25">
      <c r="D1729" s="7"/>
      <c r="G1729" s="7"/>
      <c r="M1729" s="7"/>
      <c r="P1729" s="7"/>
      <c r="Q1729" s="7"/>
      <c r="V1729" s="7"/>
      <c r="W1729" s="7"/>
      <c r="X1729" s="7"/>
      <c r="Y1729" s="7"/>
      <c r="Z1729" s="7"/>
      <c r="AA1729" s="7"/>
      <c r="AB1729" s="7"/>
      <c r="AC1729" s="7"/>
      <c r="AD1729" s="7"/>
      <c r="AE1729" s="7"/>
      <c r="AF1729" s="7"/>
      <c r="AH1729" s="7"/>
      <c r="AI1729" s="7"/>
      <c r="AJ1729" s="7"/>
      <c r="AL1729" s="7"/>
      <c r="AM1729" s="7"/>
      <c r="AN1729" s="7"/>
      <c r="AP1729" s="7"/>
      <c r="AQ1729" s="7"/>
      <c r="AR1729" s="7"/>
      <c r="AS1729" s="7"/>
      <c r="AT1729" s="7"/>
      <c r="AU1729" s="7"/>
    </row>
    <row r="1730" spans="4:47" ht="13.5" x14ac:dyDescent="0.25">
      <c r="D1730" s="7"/>
      <c r="G1730" s="7"/>
      <c r="M1730" s="7"/>
      <c r="P1730" s="7"/>
      <c r="Q1730" s="7"/>
      <c r="V1730" s="7"/>
      <c r="W1730" s="7"/>
      <c r="X1730" s="7"/>
      <c r="Y1730" s="7"/>
      <c r="Z1730" s="7"/>
      <c r="AA1730" s="7"/>
      <c r="AB1730" s="7"/>
      <c r="AC1730" s="7"/>
      <c r="AD1730" s="7"/>
      <c r="AE1730" s="7"/>
      <c r="AF1730" s="7"/>
      <c r="AH1730" s="7"/>
      <c r="AI1730" s="7"/>
      <c r="AJ1730" s="7"/>
      <c r="AL1730" s="7"/>
      <c r="AM1730" s="7"/>
      <c r="AN1730" s="7"/>
      <c r="AP1730" s="7"/>
      <c r="AQ1730" s="7"/>
      <c r="AR1730" s="7"/>
      <c r="AS1730" s="7"/>
      <c r="AT1730" s="7"/>
      <c r="AU1730" s="7"/>
    </row>
    <row r="1731" spans="4:47" ht="13.5" x14ac:dyDescent="0.25">
      <c r="D1731" s="7"/>
      <c r="G1731" s="7"/>
      <c r="M1731" s="7"/>
      <c r="P1731" s="7"/>
      <c r="Q1731" s="7"/>
      <c r="V1731" s="7"/>
      <c r="W1731" s="7"/>
      <c r="X1731" s="7"/>
      <c r="Y1731" s="7"/>
      <c r="Z1731" s="7"/>
      <c r="AA1731" s="7"/>
      <c r="AB1731" s="7"/>
      <c r="AC1731" s="7"/>
      <c r="AD1731" s="7"/>
      <c r="AE1731" s="7"/>
      <c r="AF1731" s="7"/>
      <c r="AH1731" s="7"/>
      <c r="AI1731" s="7"/>
      <c r="AJ1731" s="7"/>
      <c r="AL1731" s="7"/>
      <c r="AM1731" s="7"/>
      <c r="AN1731" s="7"/>
      <c r="AP1731" s="7"/>
      <c r="AQ1731" s="7"/>
      <c r="AR1731" s="7"/>
      <c r="AS1731" s="7"/>
      <c r="AT1731" s="7"/>
      <c r="AU1731" s="7"/>
    </row>
    <row r="1732" spans="4:47" ht="13.5" x14ac:dyDescent="0.25">
      <c r="D1732" s="7"/>
      <c r="G1732" s="7"/>
      <c r="M1732" s="7"/>
      <c r="P1732" s="7"/>
      <c r="Q1732" s="7"/>
      <c r="V1732" s="7"/>
      <c r="W1732" s="7"/>
      <c r="X1732" s="7"/>
      <c r="Y1732" s="7"/>
      <c r="Z1732" s="7"/>
      <c r="AA1732" s="7"/>
      <c r="AB1732" s="7"/>
      <c r="AC1732" s="7"/>
      <c r="AD1732" s="7"/>
      <c r="AE1732" s="7"/>
      <c r="AF1732" s="7"/>
      <c r="AH1732" s="7"/>
      <c r="AI1732" s="7"/>
      <c r="AJ1732" s="7"/>
      <c r="AL1732" s="7"/>
      <c r="AM1732" s="7"/>
      <c r="AN1732" s="7"/>
      <c r="AP1732" s="7"/>
      <c r="AQ1732" s="7"/>
      <c r="AR1732" s="7"/>
      <c r="AS1732" s="7"/>
      <c r="AT1732" s="7"/>
      <c r="AU1732" s="7"/>
    </row>
    <row r="1733" spans="4:47" ht="13.5" x14ac:dyDescent="0.25">
      <c r="D1733" s="7"/>
      <c r="G1733" s="7"/>
      <c r="M1733" s="7"/>
      <c r="P1733" s="7"/>
      <c r="Q1733" s="7"/>
      <c r="V1733" s="7"/>
      <c r="W1733" s="7"/>
      <c r="X1733" s="7"/>
      <c r="Y1733" s="7"/>
      <c r="Z1733" s="7"/>
      <c r="AA1733" s="7"/>
      <c r="AB1733" s="7"/>
      <c r="AC1733" s="7"/>
      <c r="AD1733" s="7"/>
      <c r="AE1733" s="7"/>
      <c r="AF1733" s="7"/>
      <c r="AH1733" s="7"/>
      <c r="AI1733" s="7"/>
      <c r="AJ1733" s="7"/>
      <c r="AL1733" s="7"/>
      <c r="AM1733" s="7"/>
      <c r="AN1733" s="7"/>
      <c r="AP1733" s="7"/>
      <c r="AQ1733" s="7"/>
      <c r="AR1733" s="7"/>
      <c r="AS1733" s="7"/>
      <c r="AT1733" s="7"/>
      <c r="AU1733" s="7"/>
    </row>
    <row r="1734" spans="4:47" ht="13.5" x14ac:dyDescent="0.25">
      <c r="D1734" s="7"/>
      <c r="G1734" s="7"/>
      <c r="M1734" s="7"/>
      <c r="P1734" s="7"/>
      <c r="Q1734" s="7"/>
      <c r="V1734" s="7"/>
      <c r="W1734" s="7"/>
      <c r="X1734" s="7"/>
      <c r="Y1734" s="7"/>
      <c r="Z1734" s="7"/>
      <c r="AA1734" s="7"/>
      <c r="AB1734" s="7"/>
      <c r="AC1734" s="7"/>
      <c r="AD1734" s="7"/>
      <c r="AE1734" s="7"/>
      <c r="AF1734" s="7"/>
      <c r="AH1734" s="7"/>
      <c r="AI1734" s="7"/>
      <c r="AJ1734" s="7"/>
      <c r="AL1734" s="7"/>
      <c r="AM1734" s="7"/>
      <c r="AN1734" s="7"/>
      <c r="AP1734" s="7"/>
      <c r="AQ1734" s="7"/>
      <c r="AR1734" s="7"/>
      <c r="AS1734" s="7"/>
      <c r="AT1734" s="7"/>
      <c r="AU1734" s="7"/>
    </row>
    <row r="1735" spans="4:47" ht="13.5" x14ac:dyDescent="0.25">
      <c r="D1735" s="7"/>
      <c r="G1735" s="7"/>
      <c r="M1735" s="7"/>
      <c r="P1735" s="7"/>
      <c r="Q1735" s="7"/>
      <c r="V1735" s="7"/>
      <c r="W1735" s="7"/>
      <c r="X1735" s="7"/>
      <c r="Y1735" s="7"/>
      <c r="Z1735" s="7"/>
      <c r="AA1735" s="7"/>
      <c r="AB1735" s="7"/>
      <c r="AC1735" s="7"/>
      <c r="AD1735" s="7"/>
      <c r="AE1735" s="7"/>
      <c r="AF1735" s="7"/>
      <c r="AH1735" s="7"/>
      <c r="AI1735" s="7"/>
      <c r="AJ1735" s="7"/>
      <c r="AL1735" s="7"/>
      <c r="AM1735" s="7"/>
      <c r="AN1735" s="7"/>
      <c r="AP1735" s="7"/>
      <c r="AQ1735" s="7"/>
      <c r="AR1735" s="7"/>
      <c r="AS1735" s="7"/>
      <c r="AT1735" s="7"/>
      <c r="AU1735" s="7"/>
    </row>
    <row r="1736" spans="4:47" ht="13.5" x14ac:dyDescent="0.25">
      <c r="D1736" s="7"/>
      <c r="G1736" s="7"/>
      <c r="M1736" s="7"/>
      <c r="P1736" s="7"/>
      <c r="Q1736" s="7"/>
      <c r="V1736" s="7"/>
      <c r="W1736" s="7"/>
      <c r="X1736" s="7"/>
      <c r="Y1736" s="7"/>
      <c r="Z1736" s="7"/>
      <c r="AA1736" s="7"/>
      <c r="AB1736" s="7"/>
      <c r="AC1736" s="7"/>
      <c r="AD1736" s="7"/>
      <c r="AE1736" s="7"/>
      <c r="AF1736" s="7"/>
      <c r="AH1736" s="7"/>
      <c r="AI1736" s="7"/>
      <c r="AJ1736" s="7"/>
      <c r="AL1736" s="7"/>
      <c r="AM1736" s="7"/>
      <c r="AN1736" s="7"/>
      <c r="AP1736" s="7"/>
      <c r="AQ1736" s="7"/>
      <c r="AR1736" s="7"/>
      <c r="AS1736" s="7"/>
      <c r="AT1736" s="7"/>
      <c r="AU1736" s="7"/>
    </row>
    <row r="1737" spans="4:47" ht="13.5" x14ac:dyDescent="0.25">
      <c r="D1737" s="7"/>
      <c r="G1737" s="7"/>
      <c r="M1737" s="7"/>
      <c r="P1737" s="7"/>
      <c r="Q1737" s="7"/>
      <c r="V1737" s="7"/>
      <c r="W1737" s="7"/>
      <c r="X1737" s="7"/>
      <c r="Y1737" s="7"/>
      <c r="Z1737" s="7"/>
      <c r="AA1737" s="7"/>
      <c r="AB1737" s="7"/>
      <c r="AC1737" s="7"/>
      <c r="AD1737" s="7"/>
      <c r="AE1737" s="7"/>
      <c r="AF1737" s="7"/>
      <c r="AH1737" s="7"/>
      <c r="AI1737" s="7"/>
      <c r="AJ1737" s="7"/>
      <c r="AL1737" s="7"/>
      <c r="AM1737" s="7"/>
      <c r="AN1737" s="7"/>
      <c r="AP1737" s="7"/>
      <c r="AQ1737" s="7"/>
      <c r="AR1737" s="7"/>
      <c r="AS1737" s="7"/>
      <c r="AT1737" s="7"/>
      <c r="AU1737" s="7"/>
    </row>
    <row r="1738" spans="4:47" ht="13.5" x14ac:dyDescent="0.25">
      <c r="D1738" s="7"/>
      <c r="G1738" s="7"/>
      <c r="M1738" s="7"/>
      <c r="P1738" s="7"/>
      <c r="Q1738" s="7"/>
      <c r="V1738" s="7"/>
      <c r="W1738" s="7"/>
      <c r="X1738" s="7"/>
      <c r="Y1738" s="7"/>
      <c r="Z1738" s="7"/>
      <c r="AA1738" s="7"/>
      <c r="AB1738" s="7"/>
      <c r="AC1738" s="7"/>
      <c r="AD1738" s="7"/>
      <c r="AE1738" s="7"/>
      <c r="AF1738" s="7"/>
      <c r="AH1738" s="7"/>
      <c r="AI1738" s="7"/>
      <c r="AJ1738" s="7"/>
      <c r="AL1738" s="7"/>
      <c r="AM1738" s="7"/>
      <c r="AN1738" s="7"/>
      <c r="AP1738" s="7"/>
      <c r="AQ1738" s="7"/>
      <c r="AR1738" s="7"/>
      <c r="AS1738" s="7"/>
      <c r="AT1738" s="7"/>
      <c r="AU1738" s="7"/>
    </row>
    <row r="1739" spans="4:47" ht="13.5" x14ac:dyDescent="0.25">
      <c r="D1739" s="7"/>
      <c r="G1739" s="7"/>
      <c r="M1739" s="7"/>
      <c r="P1739" s="7"/>
      <c r="Q1739" s="7"/>
      <c r="V1739" s="7"/>
      <c r="W1739" s="7"/>
      <c r="X1739" s="7"/>
      <c r="Y1739" s="7"/>
      <c r="Z1739" s="7"/>
      <c r="AA1739" s="7"/>
      <c r="AB1739" s="7"/>
      <c r="AC1739" s="7"/>
      <c r="AD1739" s="7"/>
      <c r="AE1739" s="7"/>
      <c r="AF1739" s="7"/>
      <c r="AH1739" s="7"/>
      <c r="AI1739" s="7"/>
      <c r="AJ1739" s="7"/>
      <c r="AL1739" s="7"/>
      <c r="AM1739" s="7"/>
      <c r="AN1739" s="7"/>
      <c r="AP1739" s="7"/>
      <c r="AQ1739" s="7"/>
      <c r="AR1739" s="7"/>
      <c r="AS1739" s="7"/>
      <c r="AT1739" s="7"/>
      <c r="AU1739" s="7"/>
    </row>
    <row r="1740" spans="4:47" ht="13.5" x14ac:dyDescent="0.25">
      <c r="D1740" s="7"/>
      <c r="G1740" s="7"/>
      <c r="M1740" s="7"/>
      <c r="P1740" s="7"/>
      <c r="Q1740" s="7"/>
      <c r="V1740" s="7"/>
      <c r="W1740" s="7"/>
      <c r="X1740" s="7"/>
      <c r="Y1740" s="7"/>
      <c r="Z1740" s="7"/>
      <c r="AA1740" s="7"/>
      <c r="AB1740" s="7"/>
      <c r="AC1740" s="7"/>
      <c r="AD1740" s="7"/>
      <c r="AE1740" s="7"/>
      <c r="AF1740" s="7"/>
      <c r="AH1740" s="7"/>
      <c r="AI1740" s="7"/>
      <c r="AJ1740" s="7"/>
      <c r="AL1740" s="7"/>
      <c r="AM1740" s="7"/>
      <c r="AN1740" s="7"/>
      <c r="AP1740" s="7"/>
      <c r="AQ1740" s="7"/>
      <c r="AR1740" s="7"/>
      <c r="AS1740" s="7"/>
      <c r="AT1740" s="7"/>
      <c r="AU1740" s="7"/>
    </row>
    <row r="1741" spans="4:47" ht="13.5" x14ac:dyDescent="0.25">
      <c r="D1741" s="7"/>
      <c r="G1741" s="7"/>
      <c r="M1741" s="7"/>
      <c r="P1741" s="7"/>
      <c r="Q1741" s="7"/>
      <c r="V1741" s="7"/>
      <c r="W1741" s="7"/>
      <c r="X1741" s="7"/>
      <c r="Y1741" s="7"/>
      <c r="Z1741" s="7"/>
      <c r="AA1741" s="7"/>
      <c r="AB1741" s="7"/>
      <c r="AC1741" s="7"/>
      <c r="AD1741" s="7"/>
      <c r="AE1741" s="7"/>
      <c r="AF1741" s="7"/>
      <c r="AH1741" s="7"/>
      <c r="AI1741" s="7"/>
      <c r="AJ1741" s="7"/>
      <c r="AL1741" s="7"/>
      <c r="AM1741" s="7"/>
      <c r="AN1741" s="7"/>
      <c r="AP1741" s="7"/>
      <c r="AQ1741" s="7"/>
      <c r="AR1741" s="7"/>
      <c r="AS1741" s="7"/>
      <c r="AT1741" s="7"/>
      <c r="AU1741" s="7"/>
    </row>
    <row r="1742" spans="4:47" ht="13.5" x14ac:dyDescent="0.25">
      <c r="D1742" s="7"/>
      <c r="G1742" s="7"/>
      <c r="M1742" s="7"/>
      <c r="P1742" s="7"/>
      <c r="Q1742" s="7"/>
      <c r="V1742" s="7"/>
      <c r="W1742" s="7"/>
      <c r="X1742" s="7"/>
      <c r="Y1742" s="7"/>
      <c r="Z1742" s="7"/>
      <c r="AA1742" s="7"/>
      <c r="AB1742" s="7"/>
      <c r="AC1742" s="7"/>
      <c r="AD1742" s="7"/>
      <c r="AE1742" s="7"/>
      <c r="AF1742" s="7"/>
      <c r="AH1742" s="7"/>
      <c r="AI1742" s="7"/>
      <c r="AJ1742" s="7"/>
      <c r="AL1742" s="7"/>
      <c r="AM1742" s="7"/>
      <c r="AN1742" s="7"/>
      <c r="AP1742" s="7"/>
      <c r="AQ1742" s="7"/>
      <c r="AR1742" s="7"/>
      <c r="AS1742" s="7"/>
      <c r="AT1742" s="7"/>
      <c r="AU1742" s="7"/>
    </row>
    <row r="1743" spans="4:47" ht="13.5" x14ac:dyDescent="0.25">
      <c r="D1743" s="7"/>
      <c r="G1743" s="7"/>
      <c r="M1743" s="7"/>
      <c r="P1743" s="7"/>
      <c r="Q1743" s="7"/>
      <c r="V1743" s="7"/>
      <c r="W1743" s="7"/>
      <c r="X1743" s="7"/>
      <c r="Y1743" s="7"/>
      <c r="Z1743" s="7"/>
      <c r="AA1743" s="7"/>
      <c r="AB1743" s="7"/>
      <c r="AC1743" s="7"/>
      <c r="AD1743" s="7"/>
      <c r="AE1743" s="7"/>
      <c r="AF1743" s="7"/>
      <c r="AH1743" s="7"/>
      <c r="AI1743" s="7"/>
      <c r="AJ1743" s="7"/>
      <c r="AL1743" s="7"/>
      <c r="AM1743" s="7"/>
      <c r="AN1743" s="7"/>
      <c r="AP1743" s="7"/>
      <c r="AQ1743" s="7"/>
      <c r="AR1743" s="7"/>
      <c r="AS1743" s="7"/>
      <c r="AT1743" s="7"/>
      <c r="AU1743" s="7"/>
    </row>
    <row r="1744" spans="4:47" ht="13.5" x14ac:dyDescent="0.25">
      <c r="D1744" s="7"/>
      <c r="G1744" s="7"/>
      <c r="M1744" s="7"/>
      <c r="P1744" s="7"/>
      <c r="Q1744" s="7"/>
      <c r="V1744" s="7"/>
      <c r="W1744" s="7"/>
      <c r="X1744" s="7"/>
      <c r="Y1744" s="7"/>
      <c r="Z1744" s="7"/>
      <c r="AA1744" s="7"/>
      <c r="AB1744" s="7"/>
      <c r="AC1744" s="7"/>
      <c r="AD1744" s="7"/>
      <c r="AE1744" s="7"/>
      <c r="AF1744" s="7"/>
      <c r="AH1744" s="7"/>
      <c r="AI1744" s="7"/>
      <c r="AJ1744" s="7"/>
      <c r="AL1744" s="7"/>
      <c r="AM1744" s="7"/>
      <c r="AN1744" s="7"/>
      <c r="AP1744" s="7"/>
      <c r="AQ1744" s="7"/>
      <c r="AR1744" s="7"/>
      <c r="AS1744" s="7"/>
      <c r="AT1744" s="7"/>
      <c r="AU1744" s="7"/>
    </row>
    <row r="1745" spans="4:47" ht="13.5" x14ac:dyDescent="0.25">
      <c r="D1745" s="7"/>
      <c r="G1745" s="7"/>
      <c r="M1745" s="7"/>
      <c r="P1745" s="7"/>
      <c r="Q1745" s="7"/>
      <c r="V1745" s="7"/>
      <c r="W1745" s="7"/>
      <c r="X1745" s="7"/>
      <c r="Y1745" s="7"/>
      <c r="Z1745" s="7"/>
      <c r="AA1745" s="7"/>
      <c r="AB1745" s="7"/>
      <c r="AC1745" s="7"/>
      <c r="AD1745" s="7"/>
      <c r="AE1745" s="7"/>
      <c r="AF1745" s="7"/>
      <c r="AH1745" s="7"/>
      <c r="AI1745" s="7"/>
      <c r="AJ1745" s="7"/>
      <c r="AL1745" s="7"/>
      <c r="AM1745" s="7"/>
      <c r="AN1745" s="7"/>
      <c r="AP1745" s="7"/>
      <c r="AQ1745" s="7"/>
      <c r="AR1745" s="7"/>
      <c r="AS1745" s="7"/>
      <c r="AT1745" s="7"/>
      <c r="AU1745" s="7"/>
    </row>
    <row r="1746" spans="4:47" ht="13.5" x14ac:dyDescent="0.25">
      <c r="D1746" s="7"/>
      <c r="G1746" s="7"/>
      <c r="M1746" s="7"/>
      <c r="P1746" s="7"/>
      <c r="Q1746" s="7"/>
      <c r="V1746" s="7"/>
      <c r="W1746" s="7"/>
      <c r="X1746" s="7"/>
      <c r="Y1746" s="7"/>
      <c r="Z1746" s="7"/>
      <c r="AA1746" s="7"/>
      <c r="AB1746" s="7"/>
      <c r="AC1746" s="7"/>
      <c r="AD1746" s="7"/>
      <c r="AE1746" s="7"/>
      <c r="AF1746" s="7"/>
      <c r="AH1746" s="7"/>
      <c r="AI1746" s="7"/>
      <c r="AJ1746" s="7"/>
      <c r="AL1746" s="7"/>
      <c r="AM1746" s="7"/>
      <c r="AN1746" s="7"/>
      <c r="AP1746" s="7"/>
      <c r="AQ1746" s="7"/>
      <c r="AR1746" s="7"/>
      <c r="AS1746" s="7"/>
      <c r="AT1746" s="7"/>
      <c r="AU1746" s="7"/>
    </row>
    <row r="1747" spans="4:47" ht="13.5" x14ac:dyDescent="0.25">
      <c r="D1747" s="7"/>
      <c r="G1747" s="7"/>
      <c r="M1747" s="7"/>
      <c r="P1747" s="7"/>
      <c r="Q1747" s="7"/>
      <c r="V1747" s="7"/>
      <c r="W1747" s="7"/>
      <c r="X1747" s="7"/>
      <c r="Y1747" s="7"/>
      <c r="Z1747" s="7"/>
      <c r="AA1747" s="7"/>
      <c r="AB1747" s="7"/>
      <c r="AC1747" s="7"/>
      <c r="AD1747" s="7"/>
      <c r="AE1747" s="7"/>
      <c r="AF1747" s="7"/>
      <c r="AH1747" s="7"/>
      <c r="AI1747" s="7"/>
      <c r="AJ1747" s="7"/>
      <c r="AL1747" s="7"/>
      <c r="AM1747" s="7"/>
      <c r="AN1747" s="7"/>
      <c r="AP1747" s="7"/>
      <c r="AQ1747" s="7"/>
      <c r="AR1747" s="7"/>
      <c r="AS1747" s="7"/>
      <c r="AT1747" s="7"/>
      <c r="AU1747" s="7"/>
    </row>
    <row r="1748" spans="4:47" ht="13.5" x14ac:dyDescent="0.25">
      <c r="D1748" s="7"/>
      <c r="G1748" s="7"/>
      <c r="M1748" s="7"/>
      <c r="P1748" s="7"/>
      <c r="Q1748" s="7"/>
      <c r="V1748" s="7"/>
      <c r="W1748" s="7"/>
      <c r="X1748" s="7"/>
      <c r="Y1748" s="7"/>
      <c r="Z1748" s="7"/>
      <c r="AA1748" s="7"/>
      <c r="AB1748" s="7"/>
      <c r="AC1748" s="7"/>
      <c r="AD1748" s="7"/>
      <c r="AE1748" s="7"/>
      <c r="AF1748" s="7"/>
      <c r="AH1748" s="7"/>
      <c r="AI1748" s="7"/>
      <c r="AJ1748" s="7"/>
      <c r="AL1748" s="7"/>
      <c r="AM1748" s="7"/>
      <c r="AN1748" s="7"/>
      <c r="AP1748" s="7"/>
      <c r="AQ1748" s="7"/>
      <c r="AR1748" s="7"/>
      <c r="AS1748" s="7"/>
      <c r="AT1748" s="7"/>
      <c r="AU1748" s="7"/>
    </row>
    <row r="1749" spans="4:47" ht="13.5" x14ac:dyDescent="0.25">
      <c r="D1749" s="7"/>
      <c r="G1749" s="7"/>
      <c r="M1749" s="7"/>
      <c r="P1749" s="7"/>
      <c r="Q1749" s="7"/>
      <c r="V1749" s="7"/>
      <c r="W1749" s="7"/>
      <c r="X1749" s="7"/>
      <c r="Y1749" s="7"/>
      <c r="Z1749" s="7"/>
      <c r="AA1749" s="7"/>
      <c r="AB1749" s="7"/>
      <c r="AC1749" s="7"/>
      <c r="AD1749" s="7"/>
      <c r="AE1749" s="7"/>
      <c r="AF1749" s="7"/>
      <c r="AH1749" s="7"/>
      <c r="AI1749" s="7"/>
      <c r="AJ1749" s="7"/>
      <c r="AL1749" s="7"/>
      <c r="AM1749" s="7"/>
      <c r="AN1749" s="7"/>
      <c r="AP1749" s="7"/>
      <c r="AQ1749" s="7"/>
      <c r="AR1749" s="7"/>
      <c r="AS1749" s="7"/>
      <c r="AT1749" s="7"/>
      <c r="AU1749" s="7"/>
    </row>
    <row r="1750" spans="4:47" ht="13.5" x14ac:dyDescent="0.25">
      <c r="D1750" s="7"/>
      <c r="G1750" s="7"/>
      <c r="M1750" s="7"/>
      <c r="P1750" s="7"/>
      <c r="Q1750" s="7"/>
      <c r="V1750" s="7"/>
      <c r="W1750" s="7"/>
      <c r="X1750" s="7"/>
      <c r="Y1750" s="7"/>
      <c r="Z1750" s="7"/>
      <c r="AA1750" s="7"/>
      <c r="AB1750" s="7"/>
      <c r="AC1750" s="7"/>
      <c r="AD1750" s="7"/>
      <c r="AE1750" s="7"/>
      <c r="AF1750" s="7"/>
      <c r="AH1750" s="7"/>
      <c r="AI1750" s="7"/>
      <c r="AJ1750" s="7"/>
      <c r="AL1750" s="7"/>
      <c r="AM1750" s="7"/>
      <c r="AN1750" s="7"/>
      <c r="AP1750" s="7"/>
      <c r="AQ1750" s="7"/>
      <c r="AR1750" s="7"/>
      <c r="AS1750" s="7"/>
      <c r="AT1750" s="7"/>
      <c r="AU1750" s="7"/>
    </row>
    <row r="1751" spans="4:47" ht="13.5" x14ac:dyDescent="0.25">
      <c r="D1751" s="7"/>
      <c r="G1751" s="7"/>
      <c r="M1751" s="7"/>
      <c r="P1751" s="7"/>
      <c r="Q1751" s="7"/>
      <c r="V1751" s="7"/>
      <c r="W1751" s="7"/>
      <c r="X1751" s="7"/>
      <c r="Y1751" s="7"/>
      <c r="Z1751" s="7"/>
      <c r="AA1751" s="7"/>
      <c r="AB1751" s="7"/>
      <c r="AC1751" s="7"/>
      <c r="AD1751" s="7"/>
      <c r="AE1751" s="7"/>
      <c r="AF1751" s="7"/>
      <c r="AH1751" s="7"/>
      <c r="AI1751" s="7"/>
      <c r="AJ1751" s="7"/>
      <c r="AL1751" s="7"/>
      <c r="AM1751" s="7"/>
      <c r="AN1751" s="7"/>
      <c r="AP1751" s="7"/>
      <c r="AQ1751" s="7"/>
      <c r="AR1751" s="7"/>
      <c r="AS1751" s="7"/>
      <c r="AT1751" s="7"/>
      <c r="AU1751" s="7"/>
    </row>
    <row r="1752" spans="4:47" ht="13.5" x14ac:dyDescent="0.25">
      <c r="D1752" s="7"/>
      <c r="G1752" s="7"/>
      <c r="M1752" s="7"/>
      <c r="P1752" s="7"/>
      <c r="Q1752" s="7"/>
      <c r="V1752" s="7"/>
      <c r="W1752" s="7"/>
      <c r="X1752" s="7"/>
      <c r="Y1752" s="7"/>
      <c r="Z1752" s="7"/>
      <c r="AA1752" s="7"/>
      <c r="AB1752" s="7"/>
      <c r="AC1752" s="7"/>
      <c r="AD1752" s="7"/>
      <c r="AE1752" s="7"/>
      <c r="AF1752" s="7"/>
      <c r="AH1752" s="7"/>
      <c r="AI1752" s="7"/>
      <c r="AJ1752" s="7"/>
      <c r="AL1752" s="7"/>
      <c r="AM1752" s="7"/>
      <c r="AN1752" s="7"/>
      <c r="AP1752" s="7"/>
      <c r="AQ1752" s="7"/>
      <c r="AR1752" s="7"/>
      <c r="AS1752" s="7"/>
      <c r="AT1752" s="7"/>
      <c r="AU1752" s="7"/>
    </row>
    <row r="1753" spans="4:47" ht="13.5" x14ac:dyDescent="0.25">
      <c r="D1753" s="7"/>
      <c r="G1753" s="7"/>
      <c r="M1753" s="7"/>
      <c r="P1753" s="7"/>
      <c r="Q1753" s="7"/>
      <c r="V1753" s="7"/>
      <c r="W1753" s="7"/>
      <c r="X1753" s="7"/>
      <c r="Y1753" s="7"/>
      <c r="Z1753" s="7"/>
      <c r="AA1753" s="7"/>
      <c r="AB1753" s="7"/>
      <c r="AC1753" s="7"/>
      <c r="AD1753" s="7"/>
      <c r="AE1753" s="7"/>
      <c r="AF1753" s="7"/>
      <c r="AH1753" s="7"/>
      <c r="AI1753" s="7"/>
      <c r="AJ1753" s="7"/>
      <c r="AL1753" s="7"/>
      <c r="AM1753" s="7"/>
      <c r="AN1753" s="7"/>
      <c r="AP1753" s="7"/>
      <c r="AQ1753" s="7"/>
      <c r="AR1753" s="7"/>
      <c r="AS1753" s="7"/>
      <c r="AT1753" s="7"/>
      <c r="AU1753" s="7"/>
    </row>
    <row r="1754" spans="4:47" ht="13.5" x14ac:dyDescent="0.25">
      <c r="D1754" s="7"/>
      <c r="G1754" s="7"/>
      <c r="M1754" s="7"/>
      <c r="P1754" s="7"/>
      <c r="Q1754" s="7"/>
      <c r="V1754" s="7"/>
      <c r="W1754" s="7"/>
      <c r="X1754" s="7"/>
      <c r="Y1754" s="7"/>
      <c r="Z1754" s="7"/>
      <c r="AA1754" s="7"/>
      <c r="AB1754" s="7"/>
      <c r="AC1754" s="7"/>
      <c r="AD1754" s="7"/>
      <c r="AE1754" s="7"/>
      <c r="AF1754" s="7"/>
      <c r="AH1754" s="7"/>
      <c r="AI1754" s="7"/>
      <c r="AJ1754" s="7"/>
      <c r="AL1754" s="7"/>
      <c r="AM1754" s="7"/>
      <c r="AN1754" s="7"/>
      <c r="AP1754" s="7"/>
      <c r="AQ1754" s="7"/>
      <c r="AR1754" s="7"/>
      <c r="AS1754" s="7"/>
      <c r="AT1754" s="7"/>
      <c r="AU1754" s="7"/>
    </row>
    <row r="1755" spans="4:47" ht="13.5" x14ac:dyDescent="0.25">
      <c r="D1755" s="7"/>
      <c r="G1755" s="7"/>
      <c r="M1755" s="7"/>
      <c r="P1755" s="7"/>
      <c r="Q1755" s="7"/>
      <c r="V1755" s="7"/>
      <c r="W1755" s="7"/>
      <c r="X1755" s="7"/>
      <c r="Y1755" s="7"/>
      <c r="Z1755" s="7"/>
      <c r="AA1755" s="7"/>
      <c r="AB1755" s="7"/>
      <c r="AC1755" s="7"/>
      <c r="AD1755" s="7"/>
      <c r="AE1755" s="7"/>
      <c r="AF1755" s="7"/>
      <c r="AH1755" s="7"/>
      <c r="AI1755" s="7"/>
      <c r="AJ1755" s="7"/>
      <c r="AL1755" s="7"/>
      <c r="AM1755" s="7"/>
      <c r="AN1755" s="7"/>
      <c r="AP1755" s="7"/>
      <c r="AQ1755" s="7"/>
      <c r="AR1755" s="7"/>
      <c r="AS1755" s="7"/>
      <c r="AT1755" s="7"/>
      <c r="AU1755" s="7"/>
    </row>
    <row r="1756" spans="4:47" ht="13.5" x14ac:dyDescent="0.25">
      <c r="D1756" s="7"/>
      <c r="G1756" s="7"/>
      <c r="M1756" s="7"/>
      <c r="P1756" s="7"/>
      <c r="Q1756" s="7"/>
      <c r="V1756" s="7"/>
      <c r="W1756" s="7"/>
      <c r="X1756" s="7"/>
      <c r="Y1756" s="7"/>
      <c r="Z1756" s="7"/>
      <c r="AA1756" s="7"/>
      <c r="AB1756" s="7"/>
      <c r="AC1756" s="7"/>
      <c r="AD1756" s="7"/>
      <c r="AE1756" s="7"/>
      <c r="AF1756" s="7"/>
      <c r="AH1756" s="7"/>
      <c r="AI1756" s="7"/>
      <c r="AJ1756" s="7"/>
      <c r="AL1756" s="7"/>
      <c r="AM1756" s="7"/>
      <c r="AN1756" s="7"/>
      <c r="AP1756" s="7"/>
      <c r="AQ1756" s="7"/>
      <c r="AR1756" s="7"/>
      <c r="AS1756" s="7"/>
      <c r="AT1756" s="7"/>
      <c r="AU1756" s="7"/>
    </row>
    <row r="1757" spans="4:47" ht="13.5" x14ac:dyDescent="0.25">
      <c r="D1757" s="7"/>
      <c r="G1757" s="7"/>
      <c r="M1757" s="7"/>
      <c r="P1757" s="7"/>
      <c r="Q1757" s="7"/>
      <c r="V1757" s="7"/>
      <c r="W1757" s="7"/>
      <c r="X1757" s="7"/>
      <c r="Y1757" s="7"/>
      <c r="Z1757" s="7"/>
      <c r="AA1757" s="7"/>
      <c r="AB1757" s="7"/>
      <c r="AC1757" s="7"/>
      <c r="AD1757" s="7"/>
      <c r="AE1757" s="7"/>
      <c r="AF1757" s="7"/>
      <c r="AH1757" s="7"/>
      <c r="AI1757" s="7"/>
      <c r="AJ1757" s="7"/>
      <c r="AL1757" s="7"/>
      <c r="AM1757" s="7"/>
      <c r="AN1757" s="7"/>
      <c r="AP1757" s="7"/>
      <c r="AQ1757" s="7"/>
      <c r="AR1757" s="7"/>
      <c r="AS1757" s="7"/>
      <c r="AT1757" s="7"/>
      <c r="AU1757" s="7"/>
    </row>
    <row r="1758" spans="4:47" ht="13.5" x14ac:dyDescent="0.25">
      <c r="D1758" s="7"/>
      <c r="G1758" s="7"/>
      <c r="M1758" s="7"/>
      <c r="P1758" s="7"/>
      <c r="Q1758" s="7"/>
      <c r="V1758" s="7"/>
      <c r="W1758" s="7"/>
      <c r="X1758" s="7"/>
      <c r="Y1758" s="7"/>
      <c r="Z1758" s="7"/>
      <c r="AA1758" s="7"/>
      <c r="AB1758" s="7"/>
      <c r="AC1758" s="7"/>
      <c r="AD1758" s="7"/>
      <c r="AE1758" s="7"/>
      <c r="AF1758" s="7"/>
      <c r="AH1758" s="7"/>
      <c r="AI1758" s="7"/>
      <c r="AJ1758" s="7"/>
      <c r="AL1758" s="7"/>
      <c r="AM1758" s="7"/>
      <c r="AN1758" s="7"/>
      <c r="AP1758" s="7"/>
      <c r="AQ1758" s="7"/>
      <c r="AR1758" s="7"/>
      <c r="AS1758" s="7"/>
      <c r="AT1758" s="7"/>
      <c r="AU1758" s="7"/>
    </row>
    <row r="1759" spans="4:47" ht="13.5" x14ac:dyDescent="0.25">
      <c r="D1759" s="7"/>
      <c r="G1759" s="7"/>
      <c r="M1759" s="7"/>
      <c r="P1759" s="7"/>
      <c r="Q1759" s="7"/>
      <c r="V1759" s="7"/>
      <c r="W1759" s="7"/>
      <c r="X1759" s="7"/>
      <c r="Y1759" s="7"/>
      <c r="Z1759" s="7"/>
      <c r="AA1759" s="7"/>
      <c r="AB1759" s="7"/>
      <c r="AC1759" s="7"/>
      <c r="AD1759" s="7"/>
      <c r="AE1759" s="7"/>
      <c r="AF1759" s="7"/>
      <c r="AH1759" s="7"/>
      <c r="AI1759" s="7"/>
      <c r="AJ1759" s="7"/>
      <c r="AL1759" s="7"/>
      <c r="AM1759" s="7"/>
      <c r="AN1759" s="7"/>
      <c r="AP1759" s="7"/>
      <c r="AQ1759" s="7"/>
      <c r="AR1759" s="7"/>
      <c r="AS1759" s="7"/>
      <c r="AT1759" s="7"/>
      <c r="AU1759" s="7"/>
    </row>
    <row r="1760" spans="4:47" ht="13.5" x14ac:dyDescent="0.25">
      <c r="D1760" s="7"/>
      <c r="G1760" s="7"/>
      <c r="M1760" s="7"/>
      <c r="P1760" s="7"/>
      <c r="Q1760" s="7"/>
      <c r="V1760" s="7"/>
      <c r="W1760" s="7"/>
      <c r="X1760" s="7"/>
      <c r="Y1760" s="7"/>
      <c r="Z1760" s="7"/>
      <c r="AA1760" s="7"/>
      <c r="AB1760" s="7"/>
      <c r="AC1760" s="7"/>
      <c r="AD1760" s="7"/>
      <c r="AE1760" s="7"/>
      <c r="AF1760" s="7"/>
      <c r="AH1760" s="7"/>
      <c r="AI1760" s="7"/>
      <c r="AJ1760" s="7"/>
      <c r="AL1760" s="7"/>
      <c r="AM1760" s="7"/>
      <c r="AN1760" s="7"/>
      <c r="AP1760" s="7"/>
      <c r="AQ1760" s="7"/>
      <c r="AR1760" s="7"/>
      <c r="AS1760" s="7"/>
      <c r="AT1760" s="7"/>
      <c r="AU1760" s="7"/>
    </row>
    <row r="1761" spans="4:47" ht="13.5" x14ac:dyDescent="0.25">
      <c r="D1761" s="7"/>
      <c r="G1761" s="7"/>
      <c r="M1761" s="7"/>
      <c r="P1761" s="7"/>
      <c r="Q1761" s="7"/>
      <c r="V1761" s="7"/>
      <c r="W1761" s="7"/>
      <c r="X1761" s="7"/>
      <c r="Y1761" s="7"/>
      <c r="Z1761" s="7"/>
      <c r="AA1761" s="7"/>
      <c r="AB1761" s="7"/>
      <c r="AC1761" s="7"/>
      <c r="AD1761" s="7"/>
      <c r="AE1761" s="7"/>
      <c r="AF1761" s="7"/>
      <c r="AH1761" s="7"/>
      <c r="AI1761" s="7"/>
      <c r="AJ1761" s="7"/>
      <c r="AL1761" s="7"/>
      <c r="AM1761" s="7"/>
      <c r="AN1761" s="7"/>
      <c r="AP1761" s="7"/>
      <c r="AQ1761" s="7"/>
      <c r="AR1761" s="7"/>
      <c r="AS1761" s="7"/>
      <c r="AT1761" s="7"/>
      <c r="AU1761" s="7"/>
    </row>
    <row r="1762" spans="4:47" ht="13.5" x14ac:dyDescent="0.25">
      <c r="D1762" s="7"/>
      <c r="G1762" s="7"/>
      <c r="M1762" s="7"/>
      <c r="P1762" s="7"/>
      <c r="Q1762" s="7"/>
      <c r="V1762" s="7"/>
      <c r="W1762" s="7"/>
      <c r="X1762" s="7"/>
      <c r="Y1762" s="7"/>
      <c r="Z1762" s="7"/>
      <c r="AA1762" s="7"/>
      <c r="AB1762" s="7"/>
      <c r="AC1762" s="7"/>
      <c r="AD1762" s="7"/>
      <c r="AE1762" s="7"/>
      <c r="AF1762" s="7"/>
      <c r="AH1762" s="7"/>
      <c r="AI1762" s="7"/>
      <c r="AJ1762" s="7"/>
      <c r="AL1762" s="7"/>
      <c r="AM1762" s="7"/>
      <c r="AN1762" s="7"/>
      <c r="AP1762" s="7"/>
      <c r="AQ1762" s="7"/>
      <c r="AR1762" s="7"/>
      <c r="AS1762" s="7"/>
      <c r="AT1762" s="7"/>
      <c r="AU1762" s="7"/>
    </row>
    <row r="1763" spans="4:47" ht="13.5" x14ac:dyDescent="0.25">
      <c r="D1763" s="7"/>
      <c r="G1763" s="7"/>
      <c r="M1763" s="7"/>
      <c r="P1763" s="7"/>
      <c r="Q1763" s="7"/>
      <c r="V1763" s="7"/>
      <c r="W1763" s="7"/>
      <c r="X1763" s="7"/>
      <c r="Y1763" s="7"/>
      <c r="Z1763" s="7"/>
      <c r="AA1763" s="7"/>
      <c r="AB1763" s="7"/>
      <c r="AC1763" s="7"/>
      <c r="AD1763" s="7"/>
      <c r="AE1763" s="7"/>
      <c r="AF1763" s="7"/>
      <c r="AH1763" s="7"/>
      <c r="AI1763" s="7"/>
      <c r="AJ1763" s="7"/>
      <c r="AL1763" s="7"/>
      <c r="AM1763" s="7"/>
      <c r="AN1763" s="7"/>
      <c r="AP1763" s="7"/>
      <c r="AQ1763" s="7"/>
      <c r="AR1763" s="7"/>
      <c r="AS1763" s="7"/>
      <c r="AT1763" s="7"/>
      <c r="AU1763" s="7"/>
    </row>
    <row r="1764" spans="4:47" ht="13.5" x14ac:dyDescent="0.25">
      <c r="D1764" s="7"/>
      <c r="G1764" s="7"/>
      <c r="M1764" s="7"/>
      <c r="P1764" s="7"/>
      <c r="Q1764" s="7"/>
      <c r="V1764" s="7"/>
      <c r="W1764" s="7"/>
      <c r="X1764" s="7"/>
      <c r="Y1764" s="7"/>
      <c r="Z1764" s="7"/>
      <c r="AA1764" s="7"/>
      <c r="AB1764" s="7"/>
      <c r="AC1764" s="7"/>
      <c r="AD1764" s="7"/>
      <c r="AE1764" s="7"/>
      <c r="AF1764" s="7"/>
      <c r="AH1764" s="7"/>
      <c r="AI1764" s="7"/>
      <c r="AJ1764" s="7"/>
      <c r="AL1764" s="7"/>
      <c r="AM1764" s="7"/>
      <c r="AN1764" s="7"/>
      <c r="AP1764" s="7"/>
      <c r="AQ1764" s="7"/>
      <c r="AR1764" s="7"/>
      <c r="AS1764" s="7"/>
      <c r="AT1764" s="7"/>
      <c r="AU1764" s="7"/>
    </row>
    <row r="1765" spans="4:47" ht="13.5" x14ac:dyDescent="0.25">
      <c r="D1765" s="7"/>
      <c r="G1765" s="7"/>
      <c r="M1765" s="7"/>
      <c r="P1765" s="7"/>
      <c r="Q1765" s="7"/>
      <c r="V1765" s="7"/>
      <c r="W1765" s="7"/>
      <c r="X1765" s="7"/>
      <c r="Y1765" s="7"/>
      <c r="Z1765" s="7"/>
      <c r="AA1765" s="7"/>
      <c r="AB1765" s="7"/>
      <c r="AC1765" s="7"/>
      <c r="AD1765" s="7"/>
      <c r="AE1765" s="7"/>
      <c r="AF1765" s="7"/>
      <c r="AH1765" s="7"/>
      <c r="AI1765" s="7"/>
      <c r="AJ1765" s="7"/>
      <c r="AL1765" s="7"/>
      <c r="AM1765" s="7"/>
      <c r="AN1765" s="7"/>
      <c r="AP1765" s="7"/>
      <c r="AQ1765" s="7"/>
      <c r="AR1765" s="7"/>
      <c r="AS1765" s="7"/>
      <c r="AT1765" s="7"/>
      <c r="AU1765" s="7"/>
    </row>
    <row r="1766" spans="4:47" ht="13.5" x14ac:dyDescent="0.25">
      <c r="D1766" s="7"/>
      <c r="G1766" s="7"/>
      <c r="M1766" s="7"/>
      <c r="P1766" s="7"/>
      <c r="Q1766" s="7"/>
      <c r="V1766" s="7"/>
      <c r="W1766" s="7"/>
      <c r="X1766" s="7"/>
      <c r="Y1766" s="7"/>
      <c r="Z1766" s="7"/>
      <c r="AA1766" s="7"/>
      <c r="AB1766" s="7"/>
      <c r="AC1766" s="7"/>
      <c r="AD1766" s="7"/>
      <c r="AE1766" s="7"/>
      <c r="AF1766" s="7"/>
      <c r="AH1766" s="7"/>
      <c r="AI1766" s="7"/>
      <c r="AJ1766" s="7"/>
      <c r="AL1766" s="7"/>
      <c r="AM1766" s="7"/>
      <c r="AN1766" s="7"/>
      <c r="AP1766" s="7"/>
      <c r="AQ1766" s="7"/>
      <c r="AR1766" s="7"/>
      <c r="AS1766" s="7"/>
      <c r="AT1766" s="7"/>
      <c r="AU1766" s="7"/>
    </row>
    <row r="1767" spans="4:47" ht="13.5" x14ac:dyDescent="0.25">
      <c r="D1767" s="7"/>
      <c r="G1767" s="7"/>
      <c r="M1767" s="7"/>
      <c r="P1767" s="7"/>
      <c r="Q1767" s="7"/>
      <c r="V1767" s="7"/>
      <c r="W1767" s="7"/>
      <c r="X1767" s="7"/>
      <c r="Y1767" s="7"/>
      <c r="Z1767" s="7"/>
      <c r="AA1767" s="7"/>
      <c r="AB1767" s="7"/>
      <c r="AC1767" s="7"/>
      <c r="AD1767" s="7"/>
      <c r="AE1767" s="7"/>
      <c r="AF1767" s="7"/>
      <c r="AH1767" s="7"/>
      <c r="AI1767" s="7"/>
      <c r="AJ1767" s="7"/>
      <c r="AL1767" s="7"/>
      <c r="AM1767" s="7"/>
      <c r="AN1767" s="7"/>
      <c r="AP1767" s="7"/>
      <c r="AQ1767" s="7"/>
      <c r="AR1767" s="7"/>
      <c r="AS1767" s="7"/>
      <c r="AT1767" s="7"/>
      <c r="AU1767" s="7"/>
    </row>
    <row r="1768" spans="4:47" ht="13.5" x14ac:dyDescent="0.25">
      <c r="D1768" s="7"/>
      <c r="G1768" s="7"/>
      <c r="M1768" s="7"/>
      <c r="P1768" s="7"/>
      <c r="Q1768" s="7"/>
      <c r="V1768" s="7"/>
      <c r="W1768" s="7"/>
      <c r="X1768" s="7"/>
      <c r="Y1768" s="7"/>
      <c r="Z1768" s="7"/>
      <c r="AA1768" s="7"/>
      <c r="AB1768" s="7"/>
      <c r="AC1768" s="7"/>
      <c r="AD1768" s="7"/>
      <c r="AE1768" s="7"/>
      <c r="AF1768" s="7"/>
      <c r="AH1768" s="7"/>
      <c r="AI1768" s="7"/>
      <c r="AJ1768" s="7"/>
      <c r="AL1768" s="7"/>
      <c r="AM1768" s="7"/>
      <c r="AN1768" s="7"/>
      <c r="AP1768" s="7"/>
      <c r="AQ1768" s="7"/>
      <c r="AR1768" s="7"/>
      <c r="AS1768" s="7"/>
      <c r="AT1768" s="7"/>
      <c r="AU1768" s="7"/>
    </row>
    <row r="1769" spans="4:47" ht="13.5" x14ac:dyDescent="0.25">
      <c r="D1769" s="7"/>
      <c r="G1769" s="7"/>
      <c r="M1769" s="7"/>
      <c r="P1769" s="7"/>
      <c r="Q1769" s="7"/>
      <c r="V1769" s="7"/>
      <c r="W1769" s="7"/>
      <c r="X1769" s="7"/>
      <c r="Y1769" s="7"/>
      <c r="Z1769" s="7"/>
      <c r="AA1769" s="7"/>
      <c r="AB1769" s="7"/>
      <c r="AC1769" s="7"/>
      <c r="AD1769" s="7"/>
      <c r="AE1769" s="7"/>
      <c r="AF1769" s="7"/>
      <c r="AH1769" s="7"/>
      <c r="AI1769" s="7"/>
      <c r="AJ1769" s="7"/>
      <c r="AL1769" s="7"/>
      <c r="AM1769" s="7"/>
      <c r="AN1769" s="7"/>
      <c r="AP1769" s="7"/>
      <c r="AQ1769" s="7"/>
      <c r="AR1769" s="7"/>
      <c r="AS1769" s="7"/>
      <c r="AT1769" s="7"/>
      <c r="AU1769" s="7"/>
    </row>
    <row r="1770" spans="4:47" ht="13.5" x14ac:dyDescent="0.25">
      <c r="D1770" s="7"/>
      <c r="G1770" s="7"/>
      <c r="M1770" s="7"/>
      <c r="P1770" s="7"/>
      <c r="Q1770" s="7"/>
      <c r="V1770" s="7"/>
      <c r="W1770" s="7"/>
      <c r="X1770" s="7"/>
      <c r="Y1770" s="7"/>
      <c r="Z1770" s="7"/>
      <c r="AA1770" s="7"/>
      <c r="AB1770" s="7"/>
      <c r="AC1770" s="7"/>
      <c r="AD1770" s="7"/>
      <c r="AE1770" s="7"/>
      <c r="AF1770" s="7"/>
      <c r="AH1770" s="7"/>
      <c r="AI1770" s="7"/>
      <c r="AJ1770" s="7"/>
      <c r="AL1770" s="7"/>
      <c r="AM1770" s="7"/>
      <c r="AN1770" s="7"/>
      <c r="AP1770" s="7"/>
      <c r="AQ1770" s="7"/>
      <c r="AR1770" s="7"/>
      <c r="AS1770" s="7"/>
      <c r="AT1770" s="7"/>
      <c r="AU1770" s="7"/>
    </row>
    <row r="1771" spans="4:47" ht="13.5" x14ac:dyDescent="0.25">
      <c r="D1771" s="7"/>
      <c r="G1771" s="7"/>
      <c r="M1771" s="7"/>
      <c r="P1771" s="7"/>
      <c r="Q1771" s="7"/>
      <c r="V1771" s="7"/>
      <c r="W1771" s="7"/>
      <c r="X1771" s="7"/>
      <c r="Y1771" s="7"/>
      <c r="Z1771" s="7"/>
      <c r="AA1771" s="7"/>
      <c r="AB1771" s="7"/>
      <c r="AC1771" s="7"/>
      <c r="AD1771" s="7"/>
      <c r="AE1771" s="7"/>
      <c r="AF1771" s="7"/>
      <c r="AH1771" s="7"/>
      <c r="AI1771" s="7"/>
      <c r="AJ1771" s="7"/>
      <c r="AL1771" s="7"/>
      <c r="AM1771" s="7"/>
      <c r="AN1771" s="7"/>
      <c r="AP1771" s="7"/>
      <c r="AQ1771" s="7"/>
      <c r="AR1771" s="7"/>
      <c r="AS1771" s="7"/>
      <c r="AT1771" s="7"/>
      <c r="AU1771" s="7"/>
    </row>
    <row r="1772" spans="4:47" ht="13.5" x14ac:dyDescent="0.25">
      <c r="D1772" s="7"/>
      <c r="G1772" s="7"/>
      <c r="M1772" s="7"/>
      <c r="P1772" s="7"/>
      <c r="Q1772" s="7"/>
      <c r="V1772" s="7"/>
      <c r="W1772" s="7"/>
      <c r="X1772" s="7"/>
      <c r="Y1772" s="7"/>
      <c r="Z1772" s="7"/>
      <c r="AA1772" s="7"/>
      <c r="AB1772" s="7"/>
      <c r="AC1772" s="7"/>
      <c r="AD1772" s="7"/>
      <c r="AE1772" s="7"/>
      <c r="AF1772" s="7"/>
      <c r="AH1772" s="7"/>
      <c r="AI1772" s="7"/>
      <c r="AJ1772" s="7"/>
      <c r="AL1772" s="7"/>
      <c r="AM1772" s="7"/>
      <c r="AN1772" s="7"/>
      <c r="AP1772" s="7"/>
      <c r="AQ1772" s="7"/>
      <c r="AR1772" s="7"/>
      <c r="AS1772" s="7"/>
      <c r="AT1772" s="7"/>
      <c r="AU1772" s="7"/>
    </row>
    <row r="1773" spans="4:47" ht="13.5" x14ac:dyDescent="0.25">
      <c r="D1773" s="7"/>
      <c r="G1773" s="7"/>
      <c r="M1773" s="7"/>
      <c r="P1773" s="7"/>
      <c r="Q1773" s="7"/>
      <c r="V1773" s="7"/>
      <c r="W1773" s="7"/>
      <c r="X1773" s="7"/>
      <c r="Y1773" s="7"/>
      <c r="Z1773" s="7"/>
      <c r="AA1773" s="7"/>
      <c r="AB1773" s="7"/>
      <c r="AC1773" s="7"/>
      <c r="AD1773" s="7"/>
      <c r="AE1773" s="7"/>
      <c r="AF1773" s="7"/>
      <c r="AH1773" s="7"/>
      <c r="AI1773" s="7"/>
      <c r="AJ1773" s="7"/>
      <c r="AL1773" s="7"/>
      <c r="AM1773" s="7"/>
      <c r="AN1773" s="7"/>
      <c r="AP1773" s="7"/>
      <c r="AQ1773" s="7"/>
      <c r="AR1773" s="7"/>
      <c r="AS1773" s="7"/>
      <c r="AT1773" s="7"/>
      <c r="AU1773" s="7"/>
    </row>
    <row r="1774" spans="4:47" ht="13.5" x14ac:dyDescent="0.25">
      <c r="D1774" s="7"/>
      <c r="G1774" s="7"/>
      <c r="M1774" s="7"/>
      <c r="P1774" s="7"/>
      <c r="Q1774" s="7"/>
      <c r="V1774" s="7"/>
      <c r="W1774" s="7"/>
      <c r="X1774" s="7"/>
      <c r="Y1774" s="7"/>
      <c r="Z1774" s="7"/>
      <c r="AA1774" s="7"/>
      <c r="AB1774" s="7"/>
      <c r="AC1774" s="7"/>
      <c r="AD1774" s="7"/>
      <c r="AE1774" s="7"/>
      <c r="AF1774" s="7"/>
      <c r="AH1774" s="7"/>
      <c r="AI1774" s="7"/>
      <c r="AJ1774" s="7"/>
      <c r="AL1774" s="7"/>
      <c r="AM1774" s="7"/>
      <c r="AN1774" s="7"/>
      <c r="AP1774" s="7"/>
      <c r="AQ1774" s="7"/>
      <c r="AR1774" s="7"/>
      <c r="AS1774" s="7"/>
      <c r="AT1774" s="7"/>
      <c r="AU1774" s="7"/>
    </row>
    <row r="1775" spans="4:47" ht="13.5" x14ac:dyDescent="0.25">
      <c r="D1775" s="7"/>
      <c r="G1775" s="7"/>
      <c r="M1775" s="7"/>
      <c r="P1775" s="7"/>
      <c r="Q1775" s="7"/>
      <c r="V1775" s="7"/>
      <c r="W1775" s="7"/>
      <c r="X1775" s="7"/>
      <c r="Y1775" s="7"/>
      <c r="Z1775" s="7"/>
      <c r="AA1775" s="7"/>
      <c r="AB1775" s="7"/>
      <c r="AC1775" s="7"/>
      <c r="AD1775" s="7"/>
      <c r="AE1775" s="7"/>
      <c r="AF1775" s="7"/>
      <c r="AH1775" s="7"/>
      <c r="AI1775" s="7"/>
      <c r="AJ1775" s="7"/>
      <c r="AL1775" s="7"/>
      <c r="AM1775" s="7"/>
      <c r="AN1775" s="7"/>
      <c r="AP1775" s="7"/>
      <c r="AQ1775" s="7"/>
      <c r="AR1775" s="7"/>
      <c r="AS1775" s="7"/>
      <c r="AT1775" s="7"/>
      <c r="AU1775" s="7"/>
    </row>
    <row r="1776" spans="4:47" ht="13.5" x14ac:dyDescent="0.25">
      <c r="D1776" s="7"/>
      <c r="G1776" s="7"/>
      <c r="M1776" s="7"/>
      <c r="P1776" s="7"/>
      <c r="Q1776" s="7"/>
      <c r="V1776" s="7"/>
      <c r="W1776" s="7"/>
      <c r="X1776" s="7"/>
      <c r="Y1776" s="7"/>
      <c r="Z1776" s="7"/>
      <c r="AA1776" s="7"/>
      <c r="AB1776" s="7"/>
      <c r="AC1776" s="7"/>
      <c r="AD1776" s="7"/>
      <c r="AE1776" s="7"/>
      <c r="AF1776" s="7"/>
      <c r="AH1776" s="7"/>
      <c r="AI1776" s="7"/>
      <c r="AJ1776" s="7"/>
      <c r="AL1776" s="7"/>
      <c r="AM1776" s="7"/>
      <c r="AN1776" s="7"/>
      <c r="AP1776" s="7"/>
      <c r="AQ1776" s="7"/>
      <c r="AR1776" s="7"/>
      <c r="AS1776" s="7"/>
      <c r="AT1776" s="7"/>
      <c r="AU1776" s="7"/>
    </row>
    <row r="1777" spans="4:47" ht="13.5" x14ac:dyDescent="0.25">
      <c r="D1777" s="7"/>
      <c r="G1777" s="7"/>
      <c r="M1777" s="7"/>
      <c r="P1777" s="7"/>
      <c r="Q1777" s="7"/>
      <c r="V1777" s="7"/>
      <c r="W1777" s="7"/>
      <c r="X1777" s="7"/>
      <c r="Y1777" s="7"/>
      <c r="Z1777" s="7"/>
      <c r="AA1777" s="7"/>
      <c r="AB1777" s="7"/>
      <c r="AC1777" s="7"/>
      <c r="AD1777" s="7"/>
      <c r="AE1777" s="7"/>
      <c r="AF1777" s="7"/>
      <c r="AH1777" s="7"/>
      <c r="AI1777" s="7"/>
      <c r="AJ1777" s="7"/>
      <c r="AL1777" s="7"/>
      <c r="AM1777" s="7"/>
      <c r="AN1777" s="7"/>
      <c r="AP1777" s="7"/>
      <c r="AQ1777" s="7"/>
      <c r="AR1777" s="7"/>
      <c r="AS1777" s="7"/>
      <c r="AT1777" s="7"/>
      <c r="AU1777" s="7"/>
    </row>
    <row r="1778" spans="4:47" ht="13.5" x14ac:dyDescent="0.25">
      <c r="D1778" s="7"/>
      <c r="G1778" s="7"/>
      <c r="M1778" s="7"/>
      <c r="P1778" s="7"/>
      <c r="Q1778" s="7"/>
      <c r="V1778" s="7"/>
      <c r="W1778" s="7"/>
      <c r="X1778" s="7"/>
      <c r="Y1778" s="7"/>
      <c r="Z1778" s="7"/>
      <c r="AA1778" s="7"/>
      <c r="AB1778" s="7"/>
      <c r="AC1778" s="7"/>
      <c r="AD1778" s="7"/>
      <c r="AE1778" s="7"/>
      <c r="AF1778" s="7"/>
      <c r="AH1778" s="7"/>
      <c r="AI1778" s="7"/>
      <c r="AJ1778" s="7"/>
      <c r="AL1778" s="7"/>
      <c r="AM1778" s="7"/>
      <c r="AN1778" s="7"/>
      <c r="AP1778" s="7"/>
      <c r="AQ1778" s="7"/>
      <c r="AR1778" s="7"/>
      <c r="AS1778" s="7"/>
      <c r="AT1778" s="7"/>
      <c r="AU1778" s="7"/>
    </row>
    <row r="1779" spans="4:47" ht="13.5" x14ac:dyDescent="0.25">
      <c r="D1779" s="7"/>
      <c r="G1779" s="7"/>
      <c r="M1779" s="7"/>
      <c r="P1779" s="7"/>
      <c r="Q1779" s="7"/>
      <c r="V1779" s="7"/>
      <c r="W1779" s="7"/>
      <c r="X1779" s="7"/>
      <c r="Y1779" s="7"/>
      <c r="Z1779" s="7"/>
      <c r="AA1779" s="7"/>
      <c r="AB1779" s="7"/>
      <c r="AC1779" s="7"/>
      <c r="AD1779" s="7"/>
      <c r="AE1779" s="7"/>
      <c r="AF1779" s="7"/>
      <c r="AH1779" s="7"/>
      <c r="AI1779" s="7"/>
      <c r="AJ1779" s="7"/>
      <c r="AL1779" s="7"/>
      <c r="AM1779" s="7"/>
      <c r="AN1779" s="7"/>
      <c r="AP1779" s="7"/>
      <c r="AQ1779" s="7"/>
      <c r="AR1779" s="7"/>
      <c r="AS1779" s="7"/>
      <c r="AT1779" s="7"/>
      <c r="AU1779" s="7"/>
    </row>
    <row r="1780" spans="4:47" ht="13.5" x14ac:dyDescent="0.25">
      <c r="D1780" s="7"/>
      <c r="G1780" s="7"/>
      <c r="M1780" s="7"/>
      <c r="P1780" s="7"/>
      <c r="Q1780" s="7"/>
      <c r="V1780" s="7"/>
      <c r="W1780" s="7"/>
      <c r="X1780" s="7"/>
      <c r="Y1780" s="7"/>
      <c r="Z1780" s="7"/>
      <c r="AA1780" s="7"/>
      <c r="AB1780" s="7"/>
      <c r="AC1780" s="7"/>
      <c r="AD1780" s="7"/>
      <c r="AE1780" s="7"/>
      <c r="AF1780" s="7"/>
      <c r="AH1780" s="7"/>
      <c r="AI1780" s="7"/>
      <c r="AJ1780" s="7"/>
      <c r="AL1780" s="7"/>
      <c r="AM1780" s="7"/>
      <c r="AN1780" s="7"/>
      <c r="AP1780" s="7"/>
      <c r="AQ1780" s="7"/>
      <c r="AR1780" s="7"/>
      <c r="AS1780" s="7"/>
      <c r="AT1780" s="7"/>
      <c r="AU1780" s="7"/>
    </row>
    <row r="1781" spans="4:47" ht="13.5" x14ac:dyDescent="0.25">
      <c r="D1781" s="7"/>
      <c r="G1781" s="7"/>
      <c r="M1781" s="7"/>
      <c r="P1781" s="7"/>
      <c r="Q1781" s="7"/>
      <c r="V1781" s="7"/>
      <c r="W1781" s="7"/>
      <c r="X1781" s="7"/>
      <c r="Y1781" s="7"/>
      <c r="Z1781" s="7"/>
      <c r="AA1781" s="7"/>
      <c r="AB1781" s="7"/>
      <c r="AC1781" s="7"/>
      <c r="AD1781" s="7"/>
      <c r="AE1781" s="7"/>
      <c r="AF1781" s="7"/>
      <c r="AH1781" s="7"/>
      <c r="AI1781" s="7"/>
      <c r="AJ1781" s="7"/>
      <c r="AL1781" s="7"/>
      <c r="AM1781" s="7"/>
      <c r="AN1781" s="7"/>
      <c r="AP1781" s="7"/>
      <c r="AQ1781" s="7"/>
      <c r="AR1781" s="7"/>
      <c r="AS1781" s="7"/>
      <c r="AT1781" s="7"/>
      <c r="AU1781" s="7"/>
    </row>
    <row r="1782" spans="4:47" ht="13.5" x14ac:dyDescent="0.25">
      <c r="D1782" s="7"/>
      <c r="G1782" s="7"/>
      <c r="M1782" s="7"/>
      <c r="P1782" s="7"/>
      <c r="Q1782" s="7"/>
      <c r="V1782" s="7"/>
      <c r="W1782" s="7"/>
      <c r="X1782" s="7"/>
      <c r="Y1782" s="7"/>
      <c r="Z1782" s="7"/>
      <c r="AA1782" s="7"/>
      <c r="AB1782" s="7"/>
      <c r="AC1782" s="7"/>
      <c r="AD1782" s="7"/>
      <c r="AE1782" s="7"/>
      <c r="AF1782" s="7"/>
      <c r="AH1782" s="7"/>
      <c r="AI1782" s="7"/>
      <c r="AJ1782" s="7"/>
      <c r="AL1782" s="7"/>
      <c r="AM1782" s="7"/>
      <c r="AN1782" s="7"/>
      <c r="AP1782" s="7"/>
      <c r="AQ1782" s="7"/>
      <c r="AR1782" s="7"/>
      <c r="AS1782" s="7"/>
      <c r="AT1782" s="7"/>
      <c r="AU1782" s="7"/>
    </row>
    <row r="1783" spans="4:47" ht="13.5" x14ac:dyDescent="0.25">
      <c r="D1783" s="7"/>
      <c r="G1783" s="7"/>
      <c r="M1783" s="7"/>
      <c r="P1783" s="7"/>
      <c r="Q1783" s="7"/>
      <c r="V1783" s="7"/>
      <c r="W1783" s="7"/>
      <c r="X1783" s="7"/>
      <c r="Y1783" s="7"/>
      <c r="Z1783" s="7"/>
      <c r="AA1783" s="7"/>
      <c r="AB1783" s="7"/>
      <c r="AC1783" s="7"/>
      <c r="AD1783" s="7"/>
      <c r="AE1783" s="7"/>
      <c r="AF1783" s="7"/>
      <c r="AH1783" s="7"/>
      <c r="AI1783" s="7"/>
      <c r="AJ1783" s="7"/>
      <c r="AL1783" s="7"/>
      <c r="AM1783" s="7"/>
      <c r="AN1783" s="7"/>
      <c r="AP1783" s="7"/>
      <c r="AQ1783" s="7"/>
      <c r="AR1783" s="7"/>
      <c r="AS1783" s="7"/>
      <c r="AT1783" s="7"/>
      <c r="AU1783" s="7"/>
    </row>
    <row r="1784" spans="4:47" ht="13.5" x14ac:dyDescent="0.25">
      <c r="D1784" s="7"/>
      <c r="G1784" s="7"/>
      <c r="M1784" s="7"/>
      <c r="P1784" s="7"/>
      <c r="Q1784" s="7"/>
      <c r="V1784" s="7"/>
      <c r="W1784" s="7"/>
      <c r="X1784" s="7"/>
      <c r="Y1784" s="7"/>
      <c r="Z1784" s="7"/>
      <c r="AA1784" s="7"/>
      <c r="AB1784" s="7"/>
      <c r="AC1784" s="7"/>
      <c r="AD1784" s="7"/>
      <c r="AE1784" s="7"/>
      <c r="AF1784" s="7"/>
      <c r="AH1784" s="7"/>
      <c r="AI1784" s="7"/>
      <c r="AJ1784" s="7"/>
      <c r="AL1784" s="7"/>
      <c r="AM1784" s="7"/>
      <c r="AN1784" s="7"/>
      <c r="AP1784" s="7"/>
      <c r="AQ1784" s="7"/>
      <c r="AR1784" s="7"/>
      <c r="AS1784" s="7"/>
      <c r="AT1784" s="7"/>
      <c r="AU1784" s="7"/>
    </row>
    <row r="1785" spans="4:47" ht="13.5" x14ac:dyDescent="0.25">
      <c r="D1785" s="7"/>
      <c r="G1785" s="7"/>
      <c r="M1785" s="7"/>
      <c r="P1785" s="7"/>
      <c r="Q1785" s="7"/>
      <c r="V1785" s="7"/>
      <c r="W1785" s="7"/>
      <c r="X1785" s="7"/>
      <c r="Y1785" s="7"/>
      <c r="Z1785" s="7"/>
      <c r="AA1785" s="7"/>
      <c r="AB1785" s="7"/>
      <c r="AC1785" s="7"/>
      <c r="AD1785" s="7"/>
      <c r="AE1785" s="7"/>
      <c r="AF1785" s="7"/>
      <c r="AH1785" s="7"/>
      <c r="AI1785" s="7"/>
      <c r="AJ1785" s="7"/>
      <c r="AL1785" s="7"/>
      <c r="AM1785" s="7"/>
      <c r="AN1785" s="7"/>
      <c r="AP1785" s="7"/>
      <c r="AQ1785" s="7"/>
      <c r="AR1785" s="7"/>
      <c r="AS1785" s="7"/>
      <c r="AT1785" s="7"/>
      <c r="AU1785" s="7"/>
    </row>
    <row r="1786" spans="4:47" ht="13.5" x14ac:dyDescent="0.25">
      <c r="D1786" s="7"/>
      <c r="G1786" s="7"/>
      <c r="M1786" s="7"/>
      <c r="P1786" s="7"/>
      <c r="Q1786" s="7"/>
      <c r="V1786" s="7"/>
      <c r="W1786" s="7"/>
      <c r="X1786" s="7"/>
      <c r="Y1786" s="7"/>
      <c r="Z1786" s="7"/>
      <c r="AA1786" s="7"/>
      <c r="AB1786" s="7"/>
      <c r="AC1786" s="7"/>
      <c r="AD1786" s="7"/>
      <c r="AE1786" s="7"/>
      <c r="AF1786" s="7"/>
      <c r="AH1786" s="7"/>
      <c r="AI1786" s="7"/>
      <c r="AJ1786" s="7"/>
      <c r="AL1786" s="7"/>
      <c r="AM1786" s="7"/>
      <c r="AN1786" s="7"/>
      <c r="AP1786" s="7"/>
      <c r="AQ1786" s="7"/>
      <c r="AR1786" s="7"/>
      <c r="AS1786" s="7"/>
      <c r="AT1786" s="7"/>
      <c r="AU1786" s="7"/>
    </row>
    <row r="1787" spans="4:47" ht="13.5" x14ac:dyDescent="0.25">
      <c r="D1787" s="7"/>
      <c r="G1787" s="7"/>
      <c r="M1787" s="7"/>
      <c r="P1787" s="7"/>
      <c r="Q1787" s="7"/>
      <c r="V1787" s="7"/>
      <c r="W1787" s="7"/>
      <c r="X1787" s="7"/>
      <c r="Y1787" s="7"/>
      <c r="Z1787" s="7"/>
      <c r="AA1787" s="7"/>
      <c r="AB1787" s="7"/>
      <c r="AC1787" s="7"/>
      <c r="AD1787" s="7"/>
      <c r="AE1787" s="7"/>
      <c r="AF1787" s="7"/>
      <c r="AH1787" s="7"/>
      <c r="AI1787" s="7"/>
      <c r="AJ1787" s="7"/>
      <c r="AL1787" s="7"/>
      <c r="AM1787" s="7"/>
      <c r="AN1787" s="7"/>
      <c r="AP1787" s="7"/>
      <c r="AQ1787" s="7"/>
      <c r="AR1787" s="7"/>
      <c r="AS1787" s="7"/>
      <c r="AT1787" s="7"/>
      <c r="AU1787" s="7"/>
    </row>
    <row r="1788" spans="4:47" ht="13.5" x14ac:dyDescent="0.25">
      <c r="D1788" s="7"/>
      <c r="G1788" s="7"/>
      <c r="M1788" s="7"/>
      <c r="P1788" s="7"/>
      <c r="Q1788" s="7"/>
      <c r="V1788" s="7"/>
      <c r="W1788" s="7"/>
      <c r="X1788" s="7"/>
      <c r="Y1788" s="7"/>
      <c r="Z1788" s="7"/>
      <c r="AA1788" s="7"/>
      <c r="AB1788" s="7"/>
      <c r="AC1788" s="7"/>
      <c r="AD1788" s="7"/>
      <c r="AE1788" s="7"/>
      <c r="AF1788" s="7"/>
      <c r="AH1788" s="7"/>
      <c r="AI1788" s="7"/>
      <c r="AJ1788" s="7"/>
      <c r="AL1788" s="7"/>
      <c r="AM1788" s="7"/>
      <c r="AN1788" s="7"/>
      <c r="AP1788" s="7"/>
      <c r="AQ1788" s="7"/>
      <c r="AR1788" s="7"/>
      <c r="AS1788" s="7"/>
      <c r="AT1788" s="7"/>
      <c r="AU1788" s="7"/>
    </row>
    <row r="1789" spans="4:47" ht="13.5" x14ac:dyDescent="0.25">
      <c r="D1789" s="7"/>
      <c r="G1789" s="7"/>
      <c r="M1789" s="7"/>
      <c r="P1789" s="7"/>
      <c r="Q1789" s="7"/>
      <c r="V1789" s="7"/>
      <c r="W1789" s="7"/>
      <c r="X1789" s="7"/>
      <c r="Y1789" s="7"/>
      <c r="Z1789" s="7"/>
      <c r="AA1789" s="7"/>
      <c r="AB1789" s="7"/>
      <c r="AC1789" s="7"/>
      <c r="AD1789" s="7"/>
      <c r="AE1789" s="7"/>
      <c r="AF1789" s="7"/>
      <c r="AH1789" s="7"/>
      <c r="AI1789" s="7"/>
      <c r="AJ1789" s="7"/>
      <c r="AL1789" s="7"/>
      <c r="AM1789" s="7"/>
      <c r="AN1789" s="7"/>
      <c r="AP1789" s="7"/>
      <c r="AQ1789" s="7"/>
      <c r="AR1789" s="7"/>
      <c r="AS1789" s="7"/>
      <c r="AT1789" s="7"/>
      <c r="AU1789" s="7"/>
    </row>
    <row r="1790" spans="4:47" ht="13.5" x14ac:dyDescent="0.25">
      <c r="D1790" s="7"/>
      <c r="G1790" s="7"/>
      <c r="M1790" s="7"/>
      <c r="P1790" s="7"/>
      <c r="Q1790" s="7"/>
      <c r="V1790" s="7"/>
      <c r="W1790" s="7"/>
      <c r="X1790" s="7"/>
      <c r="Y1790" s="7"/>
      <c r="Z1790" s="7"/>
      <c r="AA1790" s="7"/>
      <c r="AB1790" s="7"/>
      <c r="AC1790" s="7"/>
      <c r="AD1790" s="7"/>
      <c r="AE1790" s="7"/>
      <c r="AF1790" s="7"/>
      <c r="AH1790" s="7"/>
      <c r="AI1790" s="7"/>
      <c r="AJ1790" s="7"/>
      <c r="AL1790" s="7"/>
      <c r="AM1790" s="7"/>
      <c r="AN1790" s="7"/>
      <c r="AP1790" s="7"/>
      <c r="AQ1790" s="7"/>
      <c r="AR1790" s="7"/>
      <c r="AS1790" s="7"/>
      <c r="AT1790" s="7"/>
      <c r="AU1790" s="7"/>
    </row>
    <row r="1791" spans="4:47" ht="13.5" x14ac:dyDescent="0.25">
      <c r="D1791" s="7"/>
      <c r="G1791" s="7"/>
      <c r="M1791" s="7"/>
      <c r="P1791" s="7"/>
      <c r="Q1791" s="7"/>
      <c r="V1791" s="7"/>
      <c r="W1791" s="7"/>
      <c r="X1791" s="7"/>
      <c r="Y1791" s="7"/>
      <c r="Z1791" s="7"/>
      <c r="AA1791" s="7"/>
      <c r="AB1791" s="7"/>
      <c r="AC1791" s="7"/>
      <c r="AD1791" s="7"/>
      <c r="AE1791" s="7"/>
      <c r="AF1791" s="7"/>
      <c r="AH1791" s="7"/>
      <c r="AI1791" s="7"/>
      <c r="AJ1791" s="7"/>
      <c r="AL1791" s="7"/>
      <c r="AM1791" s="7"/>
      <c r="AN1791" s="7"/>
      <c r="AP1791" s="7"/>
      <c r="AQ1791" s="7"/>
      <c r="AR1791" s="7"/>
      <c r="AS1791" s="7"/>
      <c r="AT1791" s="7"/>
      <c r="AU1791" s="7"/>
    </row>
    <row r="1792" spans="4:47" ht="13.5" x14ac:dyDescent="0.25">
      <c r="D1792" s="7"/>
      <c r="G1792" s="7"/>
      <c r="M1792" s="7"/>
      <c r="P1792" s="7"/>
      <c r="Q1792" s="7"/>
      <c r="V1792" s="7"/>
      <c r="W1792" s="7"/>
      <c r="X1792" s="7"/>
      <c r="Y1792" s="7"/>
      <c r="Z1792" s="7"/>
      <c r="AA1792" s="7"/>
      <c r="AB1792" s="7"/>
      <c r="AC1792" s="7"/>
      <c r="AD1792" s="7"/>
      <c r="AE1792" s="7"/>
      <c r="AF1792" s="7"/>
      <c r="AH1792" s="7"/>
      <c r="AI1792" s="7"/>
      <c r="AJ1792" s="7"/>
      <c r="AL1792" s="7"/>
      <c r="AM1792" s="7"/>
      <c r="AN1792" s="7"/>
      <c r="AP1792" s="7"/>
      <c r="AQ1792" s="7"/>
      <c r="AR1792" s="7"/>
      <c r="AS1792" s="7"/>
      <c r="AT1792" s="7"/>
      <c r="AU1792" s="7"/>
    </row>
    <row r="1793" spans="4:47" ht="13.5" x14ac:dyDescent="0.25">
      <c r="D1793" s="7"/>
      <c r="G1793" s="7"/>
      <c r="M1793" s="7"/>
      <c r="P1793" s="7"/>
      <c r="Q1793" s="7"/>
      <c r="V1793" s="7"/>
      <c r="W1793" s="7"/>
      <c r="X1793" s="7"/>
      <c r="Y1793" s="7"/>
      <c r="Z1793" s="7"/>
      <c r="AA1793" s="7"/>
      <c r="AB1793" s="7"/>
      <c r="AC1793" s="7"/>
      <c r="AD1793" s="7"/>
      <c r="AE1793" s="7"/>
      <c r="AF1793" s="7"/>
      <c r="AH1793" s="7"/>
      <c r="AI1793" s="7"/>
      <c r="AJ1793" s="7"/>
      <c r="AL1793" s="7"/>
      <c r="AM1793" s="7"/>
      <c r="AN1793" s="7"/>
      <c r="AP1793" s="7"/>
      <c r="AQ1793" s="7"/>
      <c r="AR1793" s="7"/>
      <c r="AS1793" s="7"/>
      <c r="AT1793" s="7"/>
      <c r="AU1793" s="7"/>
    </row>
    <row r="1794" spans="4:47" ht="13.5" x14ac:dyDescent="0.25">
      <c r="D1794" s="7"/>
      <c r="G1794" s="7"/>
      <c r="M1794" s="7"/>
      <c r="P1794" s="7"/>
      <c r="Q1794" s="7"/>
      <c r="V1794" s="7"/>
      <c r="W1794" s="7"/>
      <c r="X1794" s="7"/>
      <c r="Y1794" s="7"/>
      <c r="Z1794" s="7"/>
      <c r="AA1794" s="7"/>
      <c r="AB1794" s="7"/>
      <c r="AC1794" s="7"/>
      <c r="AD1794" s="7"/>
      <c r="AE1794" s="7"/>
      <c r="AF1794" s="7"/>
      <c r="AH1794" s="7"/>
      <c r="AI1794" s="7"/>
      <c r="AJ1794" s="7"/>
      <c r="AL1794" s="7"/>
      <c r="AM1794" s="7"/>
      <c r="AN1794" s="7"/>
      <c r="AP1794" s="7"/>
      <c r="AQ1794" s="7"/>
      <c r="AR1794" s="7"/>
      <c r="AS1794" s="7"/>
      <c r="AT1794" s="7"/>
      <c r="AU1794" s="7"/>
    </row>
    <row r="1795" spans="4:47" ht="13.5" x14ac:dyDescent="0.25">
      <c r="D1795" s="7"/>
      <c r="G1795" s="7"/>
      <c r="M1795" s="7"/>
      <c r="P1795" s="7"/>
      <c r="Q1795" s="7"/>
      <c r="V1795" s="7"/>
      <c r="W1795" s="7"/>
      <c r="X1795" s="7"/>
      <c r="Y1795" s="7"/>
      <c r="Z1795" s="7"/>
      <c r="AA1795" s="7"/>
      <c r="AB1795" s="7"/>
      <c r="AC1795" s="7"/>
      <c r="AD1795" s="7"/>
      <c r="AE1795" s="7"/>
      <c r="AF1795" s="7"/>
      <c r="AH1795" s="7"/>
      <c r="AI1795" s="7"/>
      <c r="AJ1795" s="7"/>
      <c r="AL1795" s="7"/>
      <c r="AM1795" s="7"/>
      <c r="AN1795" s="7"/>
      <c r="AP1795" s="7"/>
      <c r="AQ1795" s="7"/>
      <c r="AR1795" s="7"/>
      <c r="AS1795" s="7"/>
      <c r="AT1795" s="7"/>
      <c r="AU1795" s="7"/>
    </row>
    <row r="1796" spans="4:47" ht="13.5" x14ac:dyDescent="0.25">
      <c r="D1796" s="7"/>
      <c r="G1796" s="7"/>
      <c r="M1796" s="7"/>
      <c r="P1796" s="7"/>
      <c r="Q1796" s="7"/>
      <c r="V1796" s="7"/>
      <c r="W1796" s="7"/>
      <c r="X1796" s="7"/>
      <c r="Y1796" s="7"/>
      <c r="Z1796" s="7"/>
      <c r="AA1796" s="7"/>
      <c r="AB1796" s="7"/>
      <c r="AC1796" s="7"/>
      <c r="AD1796" s="7"/>
      <c r="AE1796" s="7"/>
      <c r="AF1796" s="7"/>
      <c r="AH1796" s="7"/>
      <c r="AI1796" s="7"/>
      <c r="AJ1796" s="7"/>
      <c r="AL1796" s="7"/>
      <c r="AM1796" s="7"/>
      <c r="AN1796" s="7"/>
      <c r="AP1796" s="7"/>
      <c r="AQ1796" s="7"/>
      <c r="AR1796" s="7"/>
      <c r="AS1796" s="7"/>
      <c r="AT1796" s="7"/>
      <c r="AU1796" s="7"/>
    </row>
    <row r="1797" spans="4:47" ht="13.5" x14ac:dyDescent="0.25">
      <c r="D1797" s="7"/>
      <c r="G1797" s="7"/>
      <c r="M1797" s="7"/>
      <c r="P1797" s="7"/>
      <c r="Q1797" s="7"/>
      <c r="V1797" s="7"/>
      <c r="W1797" s="7"/>
      <c r="X1797" s="7"/>
      <c r="Y1797" s="7"/>
      <c r="Z1797" s="7"/>
      <c r="AA1797" s="7"/>
      <c r="AB1797" s="7"/>
      <c r="AC1797" s="7"/>
      <c r="AD1797" s="7"/>
      <c r="AE1797" s="7"/>
      <c r="AF1797" s="7"/>
      <c r="AH1797" s="7"/>
      <c r="AI1797" s="7"/>
      <c r="AJ1797" s="7"/>
      <c r="AL1797" s="7"/>
      <c r="AM1797" s="7"/>
      <c r="AN1797" s="7"/>
      <c r="AP1797" s="7"/>
      <c r="AQ1797" s="7"/>
      <c r="AR1797" s="7"/>
      <c r="AS1797" s="7"/>
      <c r="AT1797" s="7"/>
      <c r="AU1797" s="7"/>
    </row>
    <row r="1798" spans="4:47" ht="13.5" x14ac:dyDescent="0.25">
      <c r="D1798" s="7"/>
      <c r="G1798" s="7"/>
      <c r="M1798" s="7"/>
      <c r="P1798" s="7"/>
      <c r="Q1798" s="7"/>
      <c r="V1798" s="7"/>
      <c r="W1798" s="7"/>
      <c r="X1798" s="7"/>
      <c r="Y1798" s="7"/>
      <c r="Z1798" s="7"/>
      <c r="AA1798" s="7"/>
      <c r="AB1798" s="7"/>
      <c r="AC1798" s="7"/>
      <c r="AD1798" s="7"/>
      <c r="AE1798" s="7"/>
      <c r="AF1798" s="7"/>
      <c r="AH1798" s="7"/>
      <c r="AI1798" s="7"/>
      <c r="AJ1798" s="7"/>
      <c r="AL1798" s="7"/>
      <c r="AM1798" s="7"/>
      <c r="AN1798" s="7"/>
      <c r="AP1798" s="7"/>
      <c r="AQ1798" s="7"/>
      <c r="AR1798" s="7"/>
      <c r="AS1798" s="7"/>
      <c r="AT1798" s="7"/>
      <c r="AU1798" s="7"/>
    </row>
    <row r="1799" spans="4:47" ht="13.5" x14ac:dyDescent="0.25">
      <c r="D1799" s="7"/>
      <c r="G1799" s="7"/>
      <c r="M1799" s="7"/>
      <c r="P1799" s="7"/>
      <c r="Q1799" s="7"/>
      <c r="V1799" s="7"/>
      <c r="W1799" s="7"/>
      <c r="X1799" s="7"/>
      <c r="Y1799" s="7"/>
      <c r="Z1799" s="7"/>
      <c r="AA1799" s="7"/>
      <c r="AB1799" s="7"/>
      <c r="AC1799" s="7"/>
      <c r="AD1799" s="7"/>
      <c r="AE1799" s="7"/>
      <c r="AF1799" s="7"/>
      <c r="AH1799" s="7"/>
      <c r="AI1799" s="7"/>
      <c r="AJ1799" s="7"/>
      <c r="AL1799" s="7"/>
      <c r="AM1799" s="7"/>
      <c r="AN1799" s="7"/>
      <c r="AP1799" s="7"/>
      <c r="AQ1799" s="7"/>
      <c r="AR1799" s="7"/>
      <c r="AS1799" s="7"/>
      <c r="AT1799" s="7"/>
      <c r="AU1799" s="7"/>
    </row>
    <row r="1800" spans="4:47" ht="13.5" x14ac:dyDescent="0.25">
      <c r="D1800" s="7"/>
      <c r="G1800" s="7"/>
      <c r="M1800" s="7"/>
      <c r="P1800" s="7"/>
      <c r="Q1800" s="7"/>
      <c r="V1800" s="7"/>
      <c r="W1800" s="7"/>
      <c r="X1800" s="7"/>
      <c r="Y1800" s="7"/>
      <c r="Z1800" s="7"/>
      <c r="AA1800" s="7"/>
      <c r="AB1800" s="7"/>
      <c r="AC1800" s="7"/>
      <c r="AD1800" s="7"/>
      <c r="AE1800" s="7"/>
      <c r="AF1800" s="7"/>
      <c r="AH1800" s="7"/>
      <c r="AI1800" s="7"/>
      <c r="AJ1800" s="7"/>
      <c r="AL1800" s="7"/>
      <c r="AM1800" s="7"/>
      <c r="AN1800" s="7"/>
      <c r="AP1800" s="7"/>
      <c r="AQ1800" s="7"/>
      <c r="AR1800" s="7"/>
      <c r="AS1800" s="7"/>
      <c r="AT1800" s="7"/>
      <c r="AU1800" s="7"/>
    </row>
    <row r="1801" spans="4:47" ht="13.5" x14ac:dyDescent="0.25">
      <c r="D1801" s="7"/>
      <c r="G1801" s="7"/>
      <c r="M1801" s="7"/>
      <c r="P1801" s="7"/>
      <c r="Q1801" s="7"/>
      <c r="V1801" s="7"/>
      <c r="W1801" s="7"/>
      <c r="X1801" s="7"/>
      <c r="Y1801" s="7"/>
      <c r="Z1801" s="7"/>
      <c r="AA1801" s="7"/>
      <c r="AB1801" s="7"/>
      <c r="AC1801" s="7"/>
      <c r="AD1801" s="7"/>
      <c r="AE1801" s="7"/>
      <c r="AF1801" s="7"/>
      <c r="AH1801" s="7"/>
      <c r="AI1801" s="7"/>
      <c r="AJ1801" s="7"/>
      <c r="AL1801" s="7"/>
      <c r="AM1801" s="7"/>
      <c r="AN1801" s="7"/>
      <c r="AP1801" s="7"/>
      <c r="AQ1801" s="7"/>
      <c r="AR1801" s="7"/>
      <c r="AS1801" s="7"/>
      <c r="AT1801" s="7"/>
      <c r="AU1801" s="7"/>
    </row>
    <row r="1802" spans="4:47" ht="13.5" x14ac:dyDescent="0.25">
      <c r="D1802" s="7"/>
      <c r="G1802" s="7"/>
      <c r="M1802" s="7"/>
      <c r="P1802" s="7"/>
      <c r="Q1802" s="7"/>
      <c r="V1802" s="7"/>
      <c r="W1802" s="7"/>
      <c r="X1802" s="7"/>
      <c r="Y1802" s="7"/>
      <c r="Z1802" s="7"/>
      <c r="AA1802" s="7"/>
      <c r="AB1802" s="7"/>
      <c r="AC1802" s="7"/>
      <c r="AD1802" s="7"/>
      <c r="AE1802" s="7"/>
      <c r="AF1802" s="7"/>
      <c r="AH1802" s="7"/>
      <c r="AI1802" s="7"/>
      <c r="AJ1802" s="7"/>
      <c r="AL1802" s="7"/>
      <c r="AM1802" s="7"/>
      <c r="AN1802" s="7"/>
      <c r="AP1802" s="7"/>
      <c r="AQ1802" s="7"/>
      <c r="AR1802" s="7"/>
      <c r="AS1802" s="7"/>
      <c r="AT1802" s="7"/>
      <c r="AU1802" s="7"/>
    </row>
    <row r="1803" spans="4:47" ht="13.5" x14ac:dyDescent="0.25">
      <c r="D1803" s="7"/>
      <c r="G1803" s="7"/>
      <c r="M1803" s="7"/>
      <c r="P1803" s="7"/>
      <c r="Q1803" s="7"/>
      <c r="V1803" s="7"/>
      <c r="W1803" s="7"/>
      <c r="X1803" s="7"/>
      <c r="Y1803" s="7"/>
      <c r="Z1803" s="7"/>
      <c r="AA1803" s="7"/>
      <c r="AB1803" s="7"/>
      <c r="AC1803" s="7"/>
      <c r="AD1803" s="7"/>
      <c r="AE1803" s="7"/>
      <c r="AF1803" s="7"/>
      <c r="AH1803" s="7"/>
      <c r="AI1803" s="7"/>
      <c r="AJ1803" s="7"/>
      <c r="AL1803" s="7"/>
      <c r="AM1803" s="7"/>
      <c r="AN1803" s="7"/>
      <c r="AP1803" s="7"/>
      <c r="AQ1803" s="7"/>
      <c r="AR1803" s="7"/>
      <c r="AS1803" s="7"/>
      <c r="AT1803" s="7"/>
      <c r="AU1803" s="7"/>
    </row>
    <row r="1804" spans="4:47" ht="13.5" x14ac:dyDescent="0.25">
      <c r="D1804" s="7"/>
      <c r="G1804" s="7"/>
      <c r="M1804" s="7"/>
      <c r="P1804" s="7"/>
      <c r="Q1804" s="7"/>
      <c r="V1804" s="7"/>
      <c r="W1804" s="7"/>
      <c r="X1804" s="7"/>
      <c r="Y1804" s="7"/>
      <c r="Z1804" s="7"/>
      <c r="AA1804" s="7"/>
      <c r="AB1804" s="7"/>
      <c r="AC1804" s="7"/>
      <c r="AD1804" s="7"/>
      <c r="AE1804" s="7"/>
      <c r="AF1804" s="7"/>
      <c r="AH1804" s="7"/>
      <c r="AI1804" s="7"/>
      <c r="AJ1804" s="7"/>
      <c r="AL1804" s="7"/>
      <c r="AM1804" s="7"/>
      <c r="AN1804" s="7"/>
      <c r="AP1804" s="7"/>
      <c r="AQ1804" s="7"/>
      <c r="AR1804" s="7"/>
      <c r="AS1804" s="7"/>
      <c r="AT1804" s="7"/>
      <c r="AU1804" s="7"/>
    </row>
    <row r="1805" spans="4:47" ht="13.5" x14ac:dyDescent="0.25">
      <c r="D1805" s="7"/>
      <c r="G1805" s="7"/>
      <c r="M1805" s="7"/>
      <c r="P1805" s="7"/>
      <c r="Q1805" s="7"/>
      <c r="V1805" s="7"/>
      <c r="W1805" s="7"/>
      <c r="X1805" s="7"/>
      <c r="Y1805" s="7"/>
      <c r="Z1805" s="7"/>
      <c r="AA1805" s="7"/>
      <c r="AB1805" s="7"/>
      <c r="AC1805" s="7"/>
      <c r="AD1805" s="7"/>
      <c r="AE1805" s="7"/>
      <c r="AF1805" s="7"/>
      <c r="AH1805" s="7"/>
      <c r="AI1805" s="7"/>
      <c r="AJ1805" s="7"/>
      <c r="AL1805" s="7"/>
      <c r="AM1805" s="7"/>
      <c r="AN1805" s="7"/>
      <c r="AP1805" s="7"/>
      <c r="AQ1805" s="7"/>
      <c r="AR1805" s="7"/>
      <c r="AS1805" s="7"/>
      <c r="AT1805" s="7"/>
      <c r="AU1805" s="7"/>
    </row>
    <row r="1806" spans="4:47" ht="13.5" x14ac:dyDescent="0.25">
      <c r="D1806" s="7"/>
      <c r="G1806" s="7"/>
      <c r="M1806" s="7"/>
      <c r="P1806" s="7"/>
      <c r="Q1806" s="7"/>
      <c r="V1806" s="7"/>
      <c r="W1806" s="7"/>
      <c r="X1806" s="7"/>
      <c r="Y1806" s="7"/>
      <c r="Z1806" s="7"/>
      <c r="AA1806" s="7"/>
      <c r="AB1806" s="7"/>
      <c r="AC1806" s="7"/>
      <c r="AD1806" s="7"/>
      <c r="AE1806" s="7"/>
      <c r="AF1806" s="7"/>
      <c r="AH1806" s="7"/>
      <c r="AI1806" s="7"/>
      <c r="AJ1806" s="7"/>
      <c r="AL1806" s="7"/>
      <c r="AM1806" s="7"/>
      <c r="AN1806" s="7"/>
      <c r="AP1806" s="7"/>
      <c r="AQ1806" s="7"/>
      <c r="AR1806" s="7"/>
      <c r="AS1806" s="7"/>
      <c r="AT1806" s="7"/>
      <c r="AU1806" s="7"/>
    </row>
    <row r="1807" spans="4:47" ht="13.5" x14ac:dyDescent="0.25">
      <c r="D1807" s="7"/>
      <c r="G1807" s="7"/>
      <c r="M1807" s="7"/>
      <c r="P1807" s="7"/>
      <c r="Q1807" s="7"/>
      <c r="V1807" s="7"/>
      <c r="W1807" s="7"/>
      <c r="X1807" s="7"/>
      <c r="Y1807" s="7"/>
      <c r="Z1807" s="7"/>
      <c r="AA1807" s="7"/>
      <c r="AB1807" s="7"/>
      <c r="AC1807" s="7"/>
      <c r="AD1807" s="7"/>
      <c r="AE1807" s="7"/>
      <c r="AF1807" s="7"/>
      <c r="AH1807" s="7"/>
      <c r="AI1807" s="7"/>
      <c r="AJ1807" s="7"/>
      <c r="AL1807" s="7"/>
      <c r="AM1807" s="7"/>
      <c r="AN1807" s="7"/>
      <c r="AP1807" s="7"/>
      <c r="AQ1807" s="7"/>
      <c r="AR1807" s="7"/>
      <c r="AS1807" s="7"/>
      <c r="AT1807" s="7"/>
      <c r="AU1807" s="7"/>
    </row>
    <row r="1808" spans="4:47" ht="13.5" x14ac:dyDescent="0.25">
      <c r="D1808" s="7"/>
      <c r="G1808" s="7"/>
      <c r="M1808" s="7"/>
      <c r="P1808" s="7"/>
      <c r="Q1808" s="7"/>
      <c r="V1808" s="7"/>
      <c r="W1808" s="7"/>
      <c r="X1808" s="7"/>
      <c r="Y1808" s="7"/>
      <c r="Z1808" s="7"/>
      <c r="AA1808" s="7"/>
      <c r="AB1808" s="7"/>
      <c r="AC1808" s="7"/>
      <c r="AD1808" s="7"/>
      <c r="AE1808" s="7"/>
      <c r="AF1808" s="7"/>
      <c r="AH1808" s="7"/>
      <c r="AI1808" s="7"/>
      <c r="AJ1808" s="7"/>
      <c r="AL1808" s="7"/>
      <c r="AM1808" s="7"/>
      <c r="AN1808" s="7"/>
      <c r="AP1808" s="7"/>
      <c r="AQ1808" s="7"/>
      <c r="AR1808" s="7"/>
      <c r="AS1808" s="7"/>
      <c r="AT1808" s="7"/>
      <c r="AU1808" s="7"/>
    </row>
    <row r="1809" spans="4:47" ht="13.5" x14ac:dyDescent="0.25">
      <c r="D1809" s="7"/>
      <c r="G1809" s="7"/>
      <c r="M1809" s="7"/>
      <c r="P1809" s="7"/>
      <c r="Q1809" s="7"/>
      <c r="V1809" s="7"/>
      <c r="W1809" s="7"/>
      <c r="X1809" s="7"/>
      <c r="Y1809" s="7"/>
      <c r="Z1809" s="7"/>
      <c r="AA1809" s="7"/>
      <c r="AB1809" s="7"/>
      <c r="AC1809" s="7"/>
      <c r="AD1809" s="7"/>
      <c r="AE1809" s="7"/>
      <c r="AF1809" s="7"/>
      <c r="AH1809" s="7"/>
      <c r="AI1809" s="7"/>
      <c r="AJ1809" s="7"/>
      <c r="AL1809" s="7"/>
      <c r="AM1809" s="7"/>
      <c r="AN1809" s="7"/>
      <c r="AP1809" s="7"/>
      <c r="AQ1809" s="7"/>
      <c r="AR1809" s="7"/>
      <c r="AS1809" s="7"/>
      <c r="AT1809" s="7"/>
      <c r="AU1809" s="7"/>
    </row>
    <row r="1810" spans="4:47" ht="13.5" x14ac:dyDescent="0.25">
      <c r="D1810" s="7"/>
      <c r="G1810" s="7"/>
      <c r="M1810" s="7"/>
      <c r="P1810" s="7"/>
      <c r="Q1810" s="7"/>
      <c r="V1810" s="7"/>
      <c r="W1810" s="7"/>
      <c r="X1810" s="7"/>
      <c r="Y1810" s="7"/>
      <c r="Z1810" s="7"/>
      <c r="AA1810" s="7"/>
      <c r="AB1810" s="7"/>
      <c r="AC1810" s="7"/>
      <c r="AD1810" s="7"/>
      <c r="AE1810" s="7"/>
      <c r="AF1810" s="7"/>
      <c r="AH1810" s="7"/>
      <c r="AI1810" s="7"/>
      <c r="AJ1810" s="7"/>
      <c r="AL1810" s="7"/>
      <c r="AM1810" s="7"/>
      <c r="AN1810" s="7"/>
      <c r="AP1810" s="7"/>
      <c r="AQ1810" s="7"/>
      <c r="AR1810" s="7"/>
      <c r="AS1810" s="7"/>
      <c r="AT1810" s="7"/>
      <c r="AU1810" s="7"/>
    </row>
    <row r="1811" spans="4:47" ht="13.5" x14ac:dyDescent="0.25">
      <c r="D1811" s="7"/>
      <c r="G1811" s="7"/>
      <c r="M1811" s="7"/>
      <c r="P1811" s="7"/>
      <c r="Q1811" s="7"/>
      <c r="V1811" s="7"/>
      <c r="W1811" s="7"/>
      <c r="X1811" s="7"/>
      <c r="Y1811" s="7"/>
      <c r="Z1811" s="7"/>
      <c r="AA1811" s="7"/>
      <c r="AB1811" s="7"/>
      <c r="AC1811" s="7"/>
      <c r="AD1811" s="7"/>
      <c r="AE1811" s="7"/>
      <c r="AF1811" s="7"/>
      <c r="AH1811" s="7"/>
      <c r="AI1811" s="7"/>
      <c r="AJ1811" s="7"/>
      <c r="AL1811" s="7"/>
      <c r="AM1811" s="7"/>
      <c r="AN1811" s="7"/>
      <c r="AP1811" s="7"/>
      <c r="AQ1811" s="7"/>
      <c r="AR1811" s="7"/>
      <c r="AS1811" s="7"/>
      <c r="AT1811" s="7"/>
      <c r="AU1811" s="7"/>
    </row>
    <row r="1812" spans="4:47" ht="13.5" x14ac:dyDescent="0.25">
      <c r="D1812" s="7"/>
      <c r="G1812" s="7"/>
      <c r="M1812" s="7"/>
      <c r="P1812" s="7"/>
      <c r="Q1812" s="7"/>
      <c r="V1812" s="7"/>
      <c r="W1812" s="7"/>
      <c r="X1812" s="7"/>
      <c r="Y1812" s="7"/>
      <c r="Z1812" s="7"/>
      <c r="AA1812" s="7"/>
      <c r="AB1812" s="7"/>
      <c r="AC1812" s="7"/>
      <c r="AD1812" s="7"/>
      <c r="AE1812" s="7"/>
      <c r="AF1812" s="7"/>
      <c r="AH1812" s="7"/>
      <c r="AI1812" s="7"/>
      <c r="AJ1812" s="7"/>
      <c r="AL1812" s="7"/>
      <c r="AM1812" s="7"/>
      <c r="AN1812" s="7"/>
      <c r="AP1812" s="7"/>
      <c r="AQ1812" s="7"/>
      <c r="AR1812" s="7"/>
      <c r="AS1812" s="7"/>
      <c r="AT1812" s="7"/>
      <c r="AU1812" s="7"/>
    </row>
    <row r="1813" spans="4:47" ht="13.5" x14ac:dyDescent="0.25">
      <c r="D1813" s="7"/>
      <c r="G1813" s="7"/>
      <c r="M1813" s="7"/>
      <c r="P1813" s="7"/>
      <c r="Q1813" s="7"/>
      <c r="V1813" s="7"/>
      <c r="W1813" s="7"/>
      <c r="X1813" s="7"/>
      <c r="Y1813" s="7"/>
      <c r="Z1813" s="7"/>
      <c r="AA1813" s="7"/>
      <c r="AB1813" s="7"/>
      <c r="AC1813" s="7"/>
      <c r="AD1813" s="7"/>
      <c r="AE1813" s="7"/>
      <c r="AF1813" s="7"/>
      <c r="AH1813" s="7"/>
      <c r="AI1813" s="7"/>
      <c r="AJ1813" s="7"/>
      <c r="AL1813" s="7"/>
      <c r="AM1813" s="7"/>
      <c r="AN1813" s="7"/>
      <c r="AP1813" s="7"/>
      <c r="AQ1813" s="7"/>
      <c r="AR1813" s="7"/>
      <c r="AS1813" s="7"/>
      <c r="AT1813" s="7"/>
      <c r="AU1813" s="7"/>
    </row>
    <row r="1814" spans="4:47" ht="13.5" x14ac:dyDescent="0.25">
      <c r="D1814" s="7"/>
      <c r="G1814" s="7"/>
      <c r="M1814" s="7"/>
      <c r="P1814" s="7"/>
      <c r="Q1814" s="7"/>
      <c r="V1814" s="7"/>
      <c r="W1814" s="7"/>
      <c r="X1814" s="7"/>
      <c r="Y1814" s="7"/>
      <c r="Z1814" s="7"/>
      <c r="AA1814" s="7"/>
      <c r="AB1814" s="7"/>
      <c r="AC1814" s="7"/>
      <c r="AD1814" s="7"/>
      <c r="AE1814" s="7"/>
      <c r="AF1814" s="7"/>
      <c r="AH1814" s="7"/>
      <c r="AI1814" s="7"/>
      <c r="AJ1814" s="7"/>
      <c r="AL1814" s="7"/>
      <c r="AM1814" s="7"/>
      <c r="AN1814" s="7"/>
      <c r="AP1814" s="7"/>
      <c r="AQ1814" s="7"/>
      <c r="AR1814" s="7"/>
      <c r="AS1814" s="7"/>
      <c r="AT1814" s="7"/>
      <c r="AU1814" s="7"/>
    </row>
    <row r="1815" spans="4:47" ht="13.5" x14ac:dyDescent="0.25">
      <c r="D1815" s="7"/>
      <c r="G1815" s="7"/>
      <c r="M1815" s="7"/>
      <c r="P1815" s="7"/>
      <c r="Q1815" s="7"/>
      <c r="V1815" s="7"/>
      <c r="W1815" s="7"/>
      <c r="X1815" s="7"/>
      <c r="Y1815" s="7"/>
      <c r="Z1815" s="7"/>
      <c r="AA1815" s="7"/>
      <c r="AB1815" s="7"/>
      <c r="AC1815" s="7"/>
      <c r="AD1815" s="7"/>
      <c r="AE1815" s="7"/>
      <c r="AF1815" s="7"/>
      <c r="AH1815" s="7"/>
      <c r="AI1815" s="7"/>
      <c r="AJ1815" s="7"/>
      <c r="AL1815" s="7"/>
      <c r="AM1815" s="7"/>
      <c r="AN1815" s="7"/>
      <c r="AP1815" s="7"/>
      <c r="AQ1815" s="7"/>
      <c r="AR1815" s="7"/>
      <c r="AS1815" s="7"/>
      <c r="AT1815" s="7"/>
      <c r="AU1815" s="7"/>
    </row>
    <row r="1816" spans="4:47" ht="13.5" x14ac:dyDescent="0.25">
      <c r="D1816" s="7"/>
      <c r="G1816" s="7"/>
      <c r="M1816" s="7"/>
      <c r="P1816" s="7"/>
      <c r="Q1816" s="7"/>
      <c r="V1816" s="7"/>
      <c r="W1816" s="7"/>
      <c r="X1816" s="7"/>
      <c r="Y1816" s="7"/>
      <c r="Z1816" s="7"/>
      <c r="AA1816" s="7"/>
      <c r="AB1816" s="7"/>
      <c r="AC1816" s="7"/>
      <c r="AD1816" s="7"/>
      <c r="AE1816" s="7"/>
      <c r="AF1816" s="7"/>
      <c r="AH1816" s="7"/>
      <c r="AI1816" s="7"/>
      <c r="AJ1816" s="7"/>
      <c r="AL1816" s="7"/>
      <c r="AM1816" s="7"/>
      <c r="AN1816" s="7"/>
      <c r="AP1816" s="7"/>
      <c r="AQ1816" s="7"/>
      <c r="AR1816" s="7"/>
      <c r="AS1816" s="7"/>
      <c r="AT1816" s="7"/>
      <c r="AU1816" s="7"/>
    </row>
    <row r="1817" spans="4:47" ht="13.5" x14ac:dyDescent="0.25">
      <c r="D1817" s="7"/>
      <c r="G1817" s="7"/>
      <c r="M1817" s="7"/>
      <c r="P1817" s="7"/>
      <c r="Q1817" s="7"/>
      <c r="V1817" s="7"/>
      <c r="W1817" s="7"/>
      <c r="X1817" s="7"/>
      <c r="Y1817" s="7"/>
      <c r="Z1817" s="7"/>
      <c r="AA1817" s="7"/>
      <c r="AB1817" s="7"/>
      <c r="AC1817" s="7"/>
      <c r="AD1817" s="7"/>
      <c r="AE1817" s="7"/>
      <c r="AF1817" s="7"/>
      <c r="AH1817" s="7"/>
      <c r="AI1817" s="7"/>
      <c r="AJ1817" s="7"/>
      <c r="AL1817" s="7"/>
      <c r="AM1817" s="7"/>
      <c r="AN1817" s="7"/>
      <c r="AP1817" s="7"/>
      <c r="AQ1817" s="7"/>
      <c r="AR1817" s="7"/>
      <c r="AS1817" s="7"/>
      <c r="AT1817" s="7"/>
      <c r="AU1817" s="7"/>
    </row>
    <row r="1818" spans="4:47" ht="13.5" x14ac:dyDescent="0.25">
      <c r="D1818" s="7"/>
      <c r="G1818" s="7"/>
      <c r="M1818" s="7"/>
      <c r="P1818" s="7"/>
      <c r="Q1818" s="7"/>
      <c r="V1818" s="7"/>
      <c r="W1818" s="7"/>
      <c r="X1818" s="7"/>
      <c r="Y1818" s="7"/>
      <c r="Z1818" s="7"/>
      <c r="AA1818" s="7"/>
      <c r="AB1818" s="7"/>
      <c r="AC1818" s="7"/>
      <c r="AD1818" s="7"/>
      <c r="AE1818" s="7"/>
      <c r="AF1818" s="7"/>
      <c r="AH1818" s="7"/>
      <c r="AI1818" s="7"/>
      <c r="AJ1818" s="7"/>
      <c r="AL1818" s="7"/>
      <c r="AM1818" s="7"/>
      <c r="AN1818" s="7"/>
      <c r="AP1818" s="7"/>
      <c r="AQ1818" s="7"/>
      <c r="AR1818" s="7"/>
      <c r="AS1818" s="7"/>
      <c r="AT1818" s="7"/>
      <c r="AU1818" s="7"/>
    </row>
    <row r="1819" spans="4:47" ht="13.5" x14ac:dyDescent="0.25">
      <c r="D1819" s="7"/>
      <c r="G1819" s="7"/>
      <c r="M1819" s="7"/>
      <c r="P1819" s="7"/>
      <c r="Q1819" s="7"/>
      <c r="V1819" s="7"/>
      <c r="W1819" s="7"/>
      <c r="X1819" s="7"/>
      <c r="Y1819" s="7"/>
      <c r="Z1819" s="7"/>
      <c r="AA1819" s="7"/>
      <c r="AB1819" s="7"/>
      <c r="AC1819" s="7"/>
      <c r="AD1819" s="7"/>
      <c r="AE1819" s="7"/>
      <c r="AF1819" s="7"/>
      <c r="AH1819" s="7"/>
      <c r="AI1819" s="7"/>
      <c r="AJ1819" s="7"/>
      <c r="AL1819" s="7"/>
      <c r="AM1819" s="7"/>
      <c r="AN1819" s="7"/>
      <c r="AP1819" s="7"/>
      <c r="AQ1819" s="7"/>
      <c r="AR1819" s="7"/>
      <c r="AS1819" s="7"/>
      <c r="AT1819" s="7"/>
      <c r="AU1819" s="7"/>
    </row>
    <row r="1820" spans="4:47" ht="13.5" x14ac:dyDescent="0.25">
      <c r="D1820" s="7"/>
      <c r="G1820" s="7"/>
      <c r="M1820" s="7"/>
      <c r="P1820" s="7"/>
      <c r="Q1820" s="7"/>
      <c r="V1820" s="7"/>
      <c r="W1820" s="7"/>
      <c r="X1820" s="7"/>
      <c r="Y1820" s="7"/>
      <c r="Z1820" s="7"/>
      <c r="AA1820" s="7"/>
      <c r="AB1820" s="7"/>
      <c r="AC1820" s="7"/>
      <c r="AD1820" s="7"/>
      <c r="AE1820" s="7"/>
      <c r="AF1820" s="7"/>
      <c r="AH1820" s="7"/>
      <c r="AI1820" s="7"/>
      <c r="AJ1820" s="7"/>
      <c r="AL1820" s="7"/>
      <c r="AM1820" s="7"/>
      <c r="AN1820" s="7"/>
      <c r="AP1820" s="7"/>
      <c r="AQ1820" s="7"/>
      <c r="AR1820" s="7"/>
      <c r="AS1820" s="7"/>
      <c r="AT1820" s="7"/>
      <c r="AU1820" s="7"/>
    </row>
    <row r="1821" spans="4:47" ht="13.5" x14ac:dyDescent="0.25">
      <c r="D1821" s="7"/>
      <c r="G1821" s="7"/>
      <c r="M1821" s="7"/>
      <c r="P1821" s="7"/>
      <c r="Q1821" s="7"/>
      <c r="V1821" s="7"/>
      <c r="W1821" s="7"/>
      <c r="X1821" s="7"/>
      <c r="Y1821" s="7"/>
      <c r="Z1821" s="7"/>
      <c r="AA1821" s="7"/>
      <c r="AB1821" s="7"/>
      <c r="AC1821" s="7"/>
      <c r="AD1821" s="7"/>
      <c r="AE1821" s="7"/>
      <c r="AF1821" s="7"/>
      <c r="AH1821" s="7"/>
      <c r="AI1821" s="7"/>
      <c r="AJ1821" s="7"/>
      <c r="AL1821" s="7"/>
      <c r="AM1821" s="7"/>
      <c r="AN1821" s="7"/>
      <c r="AP1821" s="7"/>
      <c r="AQ1821" s="7"/>
      <c r="AR1821" s="7"/>
      <c r="AS1821" s="7"/>
      <c r="AT1821" s="7"/>
      <c r="AU1821" s="7"/>
    </row>
    <row r="1822" spans="4:47" ht="13.5" x14ac:dyDescent="0.25">
      <c r="D1822" s="7"/>
      <c r="G1822" s="7"/>
      <c r="M1822" s="7"/>
      <c r="P1822" s="7"/>
      <c r="Q1822" s="7"/>
      <c r="V1822" s="7"/>
      <c r="W1822" s="7"/>
      <c r="X1822" s="7"/>
      <c r="Y1822" s="7"/>
      <c r="Z1822" s="7"/>
      <c r="AA1822" s="7"/>
      <c r="AB1822" s="7"/>
      <c r="AC1822" s="7"/>
      <c r="AD1822" s="7"/>
      <c r="AE1822" s="7"/>
      <c r="AF1822" s="7"/>
      <c r="AH1822" s="7"/>
      <c r="AI1822" s="7"/>
      <c r="AJ1822" s="7"/>
      <c r="AL1822" s="7"/>
      <c r="AM1822" s="7"/>
      <c r="AN1822" s="7"/>
      <c r="AP1822" s="7"/>
      <c r="AQ1822" s="7"/>
      <c r="AR1822" s="7"/>
      <c r="AS1822" s="7"/>
      <c r="AT1822" s="7"/>
      <c r="AU1822" s="7"/>
    </row>
    <row r="1823" spans="4:47" ht="13.5" x14ac:dyDescent="0.25">
      <c r="D1823" s="7"/>
      <c r="G1823" s="7"/>
      <c r="M1823" s="7"/>
      <c r="P1823" s="7"/>
      <c r="Q1823" s="7"/>
      <c r="V1823" s="7"/>
      <c r="W1823" s="7"/>
      <c r="X1823" s="7"/>
      <c r="Y1823" s="7"/>
      <c r="Z1823" s="7"/>
      <c r="AA1823" s="7"/>
      <c r="AB1823" s="7"/>
      <c r="AC1823" s="7"/>
      <c r="AD1823" s="7"/>
      <c r="AE1823" s="7"/>
      <c r="AF1823" s="7"/>
      <c r="AH1823" s="7"/>
      <c r="AI1823" s="7"/>
      <c r="AJ1823" s="7"/>
      <c r="AL1823" s="7"/>
      <c r="AM1823" s="7"/>
      <c r="AN1823" s="7"/>
      <c r="AP1823" s="7"/>
      <c r="AQ1823" s="7"/>
      <c r="AR1823" s="7"/>
      <c r="AS1823" s="7"/>
      <c r="AT1823" s="7"/>
      <c r="AU1823" s="7"/>
    </row>
    <row r="1824" spans="4:47" ht="13.5" x14ac:dyDescent="0.25">
      <c r="D1824" s="7"/>
      <c r="G1824" s="7"/>
      <c r="M1824" s="7"/>
      <c r="P1824" s="7"/>
      <c r="Q1824" s="7"/>
      <c r="V1824" s="7"/>
      <c r="W1824" s="7"/>
      <c r="X1824" s="7"/>
      <c r="Y1824" s="7"/>
      <c r="Z1824" s="7"/>
      <c r="AA1824" s="7"/>
      <c r="AB1824" s="7"/>
      <c r="AC1824" s="7"/>
      <c r="AD1824" s="7"/>
      <c r="AE1824" s="7"/>
      <c r="AF1824" s="7"/>
      <c r="AH1824" s="7"/>
      <c r="AI1824" s="7"/>
      <c r="AJ1824" s="7"/>
      <c r="AL1824" s="7"/>
      <c r="AM1824" s="7"/>
      <c r="AN1824" s="7"/>
      <c r="AP1824" s="7"/>
      <c r="AQ1824" s="7"/>
      <c r="AR1824" s="7"/>
      <c r="AS1824" s="7"/>
      <c r="AT1824" s="7"/>
      <c r="AU1824" s="7"/>
    </row>
    <row r="1825" spans="4:47" ht="13.5" x14ac:dyDescent="0.25">
      <c r="D1825" s="7"/>
      <c r="G1825" s="7"/>
      <c r="M1825" s="7"/>
      <c r="P1825" s="7"/>
      <c r="Q1825" s="7"/>
      <c r="V1825" s="7"/>
      <c r="W1825" s="7"/>
      <c r="X1825" s="7"/>
      <c r="Y1825" s="7"/>
      <c r="Z1825" s="7"/>
      <c r="AA1825" s="7"/>
      <c r="AB1825" s="7"/>
      <c r="AC1825" s="7"/>
      <c r="AD1825" s="7"/>
      <c r="AE1825" s="7"/>
      <c r="AF1825" s="7"/>
      <c r="AH1825" s="7"/>
      <c r="AI1825" s="7"/>
      <c r="AJ1825" s="7"/>
      <c r="AL1825" s="7"/>
      <c r="AM1825" s="7"/>
      <c r="AN1825" s="7"/>
      <c r="AP1825" s="7"/>
      <c r="AQ1825" s="7"/>
      <c r="AR1825" s="7"/>
      <c r="AS1825" s="7"/>
      <c r="AT1825" s="7"/>
      <c r="AU1825" s="7"/>
    </row>
    <row r="1826" spans="4:47" ht="13.5" x14ac:dyDescent="0.25">
      <c r="D1826" s="7"/>
      <c r="G1826" s="7"/>
      <c r="M1826" s="7"/>
      <c r="P1826" s="7"/>
      <c r="Q1826" s="7"/>
      <c r="V1826" s="7"/>
      <c r="W1826" s="7"/>
      <c r="X1826" s="7"/>
      <c r="Y1826" s="7"/>
      <c r="Z1826" s="7"/>
      <c r="AA1826" s="7"/>
      <c r="AB1826" s="7"/>
      <c r="AC1826" s="7"/>
      <c r="AD1826" s="7"/>
      <c r="AE1826" s="7"/>
      <c r="AF1826" s="7"/>
      <c r="AH1826" s="7"/>
      <c r="AI1826" s="7"/>
      <c r="AJ1826" s="7"/>
      <c r="AL1826" s="7"/>
      <c r="AM1826" s="7"/>
      <c r="AN1826" s="7"/>
      <c r="AP1826" s="7"/>
      <c r="AQ1826" s="7"/>
      <c r="AR1826" s="7"/>
      <c r="AS1826" s="7"/>
      <c r="AT1826" s="7"/>
      <c r="AU1826" s="7"/>
    </row>
    <row r="1827" spans="4:47" ht="13.5" x14ac:dyDescent="0.25">
      <c r="D1827" s="7"/>
      <c r="G1827" s="7"/>
      <c r="M1827" s="7"/>
      <c r="P1827" s="7"/>
      <c r="Q1827" s="7"/>
      <c r="V1827" s="7"/>
      <c r="W1827" s="7"/>
      <c r="X1827" s="7"/>
      <c r="Y1827" s="7"/>
      <c r="Z1827" s="7"/>
      <c r="AA1827" s="7"/>
      <c r="AB1827" s="7"/>
      <c r="AC1827" s="7"/>
      <c r="AD1827" s="7"/>
      <c r="AE1827" s="7"/>
      <c r="AF1827" s="7"/>
      <c r="AH1827" s="7"/>
      <c r="AI1827" s="7"/>
      <c r="AJ1827" s="7"/>
      <c r="AL1827" s="7"/>
      <c r="AM1827" s="7"/>
      <c r="AN1827" s="7"/>
      <c r="AP1827" s="7"/>
      <c r="AQ1827" s="7"/>
      <c r="AR1827" s="7"/>
      <c r="AS1827" s="7"/>
      <c r="AT1827" s="7"/>
      <c r="AU1827" s="7"/>
    </row>
    <row r="1828" spans="4:47" ht="13.5" x14ac:dyDescent="0.25">
      <c r="D1828" s="7"/>
      <c r="G1828" s="7"/>
      <c r="M1828" s="7"/>
      <c r="P1828" s="7"/>
      <c r="Q1828" s="7"/>
      <c r="V1828" s="7"/>
      <c r="W1828" s="7"/>
      <c r="X1828" s="7"/>
      <c r="Y1828" s="7"/>
      <c r="Z1828" s="7"/>
      <c r="AA1828" s="7"/>
      <c r="AB1828" s="7"/>
      <c r="AC1828" s="7"/>
      <c r="AD1828" s="7"/>
      <c r="AE1828" s="7"/>
      <c r="AF1828" s="7"/>
      <c r="AH1828" s="7"/>
      <c r="AI1828" s="7"/>
      <c r="AJ1828" s="7"/>
      <c r="AL1828" s="7"/>
      <c r="AM1828" s="7"/>
      <c r="AN1828" s="7"/>
      <c r="AP1828" s="7"/>
      <c r="AQ1828" s="7"/>
      <c r="AR1828" s="7"/>
      <c r="AS1828" s="7"/>
      <c r="AT1828" s="7"/>
      <c r="AU1828" s="7"/>
    </row>
    <row r="1829" spans="4:47" ht="13.5" x14ac:dyDescent="0.25">
      <c r="D1829" s="7"/>
      <c r="G1829" s="7"/>
      <c r="M1829" s="7"/>
      <c r="P1829" s="7"/>
      <c r="Q1829" s="7"/>
      <c r="V1829" s="7"/>
      <c r="W1829" s="7"/>
      <c r="X1829" s="7"/>
      <c r="Y1829" s="7"/>
      <c r="Z1829" s="7"/>
      <c r="AA1829" s="7"/>
      <c r="AB1829" s="7"/>
      <c r="AC1829" s="7"/>
      <c r="AD1829" s="7"/>
      <c r="AE1829" s="7"/>
      <c r="AF1829" s="7"/>
      <c r="AH1829" s="7"/>
      <c r="AI1829" s="7"/>
      <c r="AJ1829" s="7"/>
      <c r="AL1829" s="7"/>
      <c r="AM1829" s="7"/>
      <c r="AN1829" s="7"/>
      <c r="AP1829" s="7"/>
      <c r="AQ1829" s="7"/>
      <c r="AR1829" s="7"/>
      <c r="AS1829" s="7"/>
      <c r="AT1829" s="7"/>
      <c r="AU1829" s="7"/>
    </row>
    <row r="1830" spans="4:47" ht="13.5" x14ac:dyDescent="0.25">
      <c r="D1830" s="7"/>
      <c r="G1830" s="7"/>
      <c r="M1830" s="7"/>
      <c r="P1830" s="7"/>
      <c r="Q1830" s="7"/>
      <c r="V1830" s="7"/>
      <c r="W1830" s="7"/>
      <c r="X1830" s="7"/>
      <c r="Y1830" s="7"/>
      <c r="Z1830" s="7"/>
      <c r="AA1830" s="7"/>
      <c r="AB1830" s="7"/>
      <c r="AC1830" s="7"/>
      <c r="AD1830" s="7"/>
      <c r="AE1830" s="7"/>
      <c r="AF1830" s="7"/>
      <c r="AH1830" s="7"/>
      <c r="AI1830" s="7"/>
      <c r="AJ1830" s="7"/>
      <c r="AL1830" s="7"/>
      <c r="AM1830" s="7"/>
      <c r="AN1830" s="7"/>
      <c r="AP1830" s="7"/>
      <c r="AQ1830" s="7"/>
      <c r="AR1830" s="7"/>
      <c r="AS1830" s="7"/>
      <c r="AT1830" s="7"/>
      <c r="AU1830" s="7"/>
    </row>
    <row r="1831" spans="4:47" ht="13.5" x14ac:dyDescent="0.25">
      <c r="D1831" s="7"/>
      <c r="G1831" s="7"/>
      <c r="M1831" s="7"/>
      <c r="P1831" s="7"/>
      <c r="Q1831" s="7"/>
      <c r="V1831" s="7"/>
      <c r="W1831" s="7"/>
      <c r="X1831" s="7"/>
      <c r="Y1831" s="7"/>
      <c r="Z1831" s="7"/>
      <c r="AA1831" s="7"/>
      <c r="AB1831" s="7"/>
      <c r="AC1831" s="7"/>
      <c r="AD1831" s="7"/>
      <c r="AE1831" s="7"/>
      <c r="AF1831" s="7"/>
      <c r="AH1831" s="7"/>
      <c r="AI1831" s="7"/>
      <c r="AJ1831" s="7"/>
      <c r="AL1831" s="7"/>
      <c r="AM1831" s="7"/>
      <c r="AN1831" s="7"/>
      <c r="AP1831" s="7"/>
      <c r="AQ1831" s="7"/>
      <c r="AR1831" s="7"/>
      <c r="AS1831" s="7"/>
      <c r="AT1831" s="7"/>
      <c r="AU1831" s="7"/>
    </row>
    <row r="1832" spans="4:47" ht="13.5" x14ac:dyDescent="0.25">
      <c r="D1832" s="7"/>
      <c r="G1832" s="7"/>
      <c r="M1832" s="7"/>
      <c r="P1832" s="7"/>
      <c r="Q1832" s="7"/>
      <c r="V1832" s="7"/>
      <c r="W1832" s="7"/>
      <c r="X1832" s="7"/>
      <c r="Y1832" s="7"/>
      <c r="Z1832" s="7"/>
      <c r="AA1832" s="7"/>
      <c r="AB1832" s="7"/>
      <c r="AC1832" s="7"/>
      <c r="AD1832" s="7"/>
      <c r="AE1832" s="7"/>
      <c r="AF1832" s="7"/>
      <c r="AH1832" s="7"/>
      <c r="AI1832" s="7"/>
      <c r="AJ1832" s="7"/>
      <c r="AL1832" s="7"/>
      <c r="AM1832" s="7"/>
      <c r="AN1832" s="7"/>
      <c r="AP1832" s="7"/>
      <c r="AQ1832" s="7"/>
      <c r="AR1832" s="7"/>
      <c r="AS1832" s="7"/>
      <c r="AT1832" s="7"/>
      <c r="AU1832" s="7"/>
    </row>
    <row r="1833" spans="4:47" ht="13.5" x14ac:dyDescent="0.25">
      <c r="D1833" s="7"/>
      <c r="G1833" s="7"/>
      <c r="M1833" s="7"/>
      <c r="P1833" s="7"/>
      <c r="Q1833" s="7"/>
      <c r="V1833" s="7"/>
      <c r="W1833" s="7"/>
      <c r="X1833" s="7"/>
      <c r="Y1833" s="7"/>
      <c r="Z1833" s="7"/>
      <c r="AA1833" s="7"/>
      <c r="AB1833" s="7"/>
      <c r="AC1833" s="7"/>
      <c r="AD1833" s="7"/>
      <c r="AE1833" s="7"/>
      <c r="AF1833" s="7"/>
      <c r="AH1833" s="7"/>
      <c r="AI1833" s="7"/>
      <c r="AJ1833" s="7"/>
      <c r="AL1833" s="7"/>
      <c r="AM1833" s="7"/>
      <c r="AN1833" s="7"/>
      <c r="AP1833" s="7"/>
      <c r="AQ1833" s="7"/>
      <c r="AR1833" s="7"/>
      <c r="AS1833" s="7"/>
      <c r="AT1833" s="7"/>
      <c r="AU1833" s="7"/>
    </row>
    <row r="1834" spans="4:47" ht="13.5" x14ac:dyDescent="0.25">
      <c r="D1834" s="7"/>
      <c r="G1834" s="7"/>
      <c r="M1834" s="7"/>
      <c r="P1834" s="7"/>
      <c r="Q1834" s="7"/>
      <c r="V1834" s="7"/>
      <c r="W1834" s="7"/>
      <c r="X1834" s="7"/>
      <c r="Y1834" s="7"/>
      <c r="Z1834" s="7"/>
      <c r="AA1834" s="7"/>
      <c r="AB1834" s="7"/>
      <c r="AC1834" s="7"/>
      <c r="AD1834" s="7"/>
      <c r="AE1834" s="7"/>
      <c r="AF1834" s="7"/>
      <c r="AH1834" s="7"/>
      <c r="AI1834" s="7"/>
      <c r="AJ1834" s="7"/>
      <c r="AL1834" s="7"/>
      <c r="AM1834" s="7"/>
      <c r="AN1834" s="7"/>
      <c r="AP1834" s="7"/>
      <c r="AQ1834" s="7"/>
      <c r="AR1834" s="7"/>
      <c r="AS1834" s="7"/>
      <c r="AT1834" s="7"/>
      <c r="AU1834" s="7"/>
    </row>
    <row r="1835" spans="4:47" ht="13.5" x14ac:dyDescent="0.25">
      <c r="D1835" s="7"/>
      <c r="G1835" s="7"/>
      <c r="M1835" s="7"/>
      <c r="P1835" s="7"/>
      <c r="Q1835" s="7"/>
      <c r="V1835" s="7"/>
      <c r="W1835" s="7"/>
      <c r="X1835" s="7"/>
      <c r="Y1835" s="7"/>
      <c r="Z1835" s="7"/>
      <c r="AA1835" s="7"/>
      <c r="AB1835" s="7"/>
      <c r="AC1835" s="7"/>
      <c r="AD1835" s="7"/>
      <c r="AE1835" s="7"/>
      <c r="AF1835" s="7"/>
      <c r="AH1835" s="7"/>
      <c r="AI1835" s="7"/>
      <c r="AJ1835" s="7"/>
      <c r="AL1835" s="7"/>
      <c r="AM1835" s="7"/>
      <c r="AN1835" s="7"/>
      <c r="AP1835" s="7"/>
      <c r="AQ1835" s="7"/>
      <c r="AR1835" s="7"/>
      <c r="AS1835" s="7"/>
      <c r="AT1835" s="7"/>
      <c r="AU1835" s="7"/>
    </row>
    <row r="1836" spans="4:47" ht="13.5" x14ac:dyDescent="0.25">
      <c r="D1836" s="7"/>
      <c r="G1836" s="7"/>
      <c r="M1836" s="7"/>
      <c r="P1836" s="7"/>
      <c r="Q1836" s="7"/>
      <c r="V1836" s="7"/>
      <c r="W1836" s="7"/>
      <c r="X1836" s="7"/>
      <c r="Y1836" s="7"/>
      <c r="Z1836" s="7"/>
      <c r="AA1836" s="7"/>
      <c r="AB1836" s="7"/>
      <c r="AC1836" s="7"/>
      <c r="AD1836" s="7"/>
      <c r="AE1836" s="7"/>
      <c r="AF1836" s="7"/>
      <c r="AH1836" s="7"/>
      <c r="AI1836" s="7"/>
      <c r="AJ1836" s="7"/>
      <c r="AL1836" s="7"/>
      <c r="AM1836" s="7"/>
      <c r="AN1836" s="7"/>
      <c r="AP1836" s="7"/>
      <c r="AQ1836" s="7"/>
      <c r="AR1836" s="7"/>
      <c r="AS1836" s="7"/>
      <c r="AT1836" s="7"/>
      <c r="AU1836" s="7"/>
    </row>
    <row r="1837" spans="4:47" ht="13.5" x14ac:dyDescent="0.25">
      <c r="D1837" s="7"/>
      <c r="G1837" s="7"/>
      <c r="M1837" s="7"/>
      <c r="P1837" s="7"/>
      <c r="Q1837" s="7"/>
      <c r="V1837" s="7"/>
      <c r="W1837" s="7"/>
      <c r="X1837" s="7"/>
      <c r="Y1837" s="7"/>
      <c r="Z1837" s="7"/>
      <c r="AA1837" s="7"/>
      <c r="AB1837" s="7"/>
      <c r="AC1837" s="7"/>
      <c r="AD1837" s="7"/>
      <c r="AE1837" s="7"/>
      <c r="AF1837" s="7"/>
      <c r="AH1837" s="7"/>
      <c r="AI1837" s="7"/>
      <c r="AJ1837" s="7"/>
      <c r="AL1837" s="7"/>
      <c r="AM1837" s="7"/>
      <c r="AN1837" s="7"/>
      <c r="AP1837" s="7"/>
      <c r="AQ1837" s="7"/>
      <c r="AR1837" s="7"/>
      <c r="AS1837" s="7"/>
      <c r="AT1837" s="7"/>
      <c r="AU1837" s="7"/>
    </row>
    <row r="1838" spans="4:47" ht="13.5" x14ac:dyDescent="0.25">
      <c r="D1838" s="7"/>
      <c r="G1838" s="7"/>
      <c r="M1838" s="7"/>
      <c r="P1838" s="7"/>
      <c r="Q1838" s="7"/>
      <c r="V1838" s="7"/>
      <c r="W1838" s="7"/>
      <c r="X1838" s="7"/>
      <c r="Y1838" s="7"/>
      <c r="Z1838" s="7"/>
      <c r="AA1838" s="7"/>
      <c r="AB1838" s="7"/>
      <c r="AC1838" s="7"/>
      <c r="AD1838" s="7"/>
      <c r="AE1838" s="7"/>
      <c r="AF1838" s="7"/>
      <c r="AH1838" s="7"/>
      <c r="AI1838" s="7"/>
      <c r="AJ1838" s="7"/>
      <c r="AL1838" s="7"/>
      <c r="AM1838" s="7"/>
      <c r="AN1838" s="7"/>
      <c r="AP1838" s="7"/>
      <c r="AQ1838" s="7"/>
      <c r="AR1838" s="7"/>
      <c r="AS1838" s="7"/>
      <c r="AT1838" s="7"/>
      <c r="AU1838" s="7"/>
    </row>
    <row r="1839" spans="4:47" ht="13.5" x14ac:dyDescent="0.25">
      <c r="D1839" s="7"/>
      <c r="G1839" s="7"/>
      <c r="M1839" s="7"/>
      <c r="P1839" s="7"/>
      <c r="Q1839" s="7"/>
      <c r="V1839" s="7"/>
      <c r="W1839" s="7"/>
      <c r="X1839" s="7"/>
      <c r="Y1839" s="7"/>
      <c r="Z1839" s="7"/>
      <c r="AA1839" s="7"/>
      <c r="AB1839" s="7"/>
      <c r="AC1839" s="7"/>
      <c r="AD1839" s="7"/>
      <c r="AE1839" s="7"/>
      <c r="AF1839" s="7"/>
      <c r="AH1839" s="7"/>
      <c r="AI1839" s="7"/>
      <c r="AJ1839" s="7"/>
      <c r="AL1839" s="7"/>
      <c r="AM1839" s="7"/>
      <c r="AN1839" s="7"/>
      <c r="AP1839" s="7"/>
      <c r="AQ1839" s="7"/>
      <c r="AR1839" s="7"/>
      <c r="AS1839" s="7"/>
      <c r="AT1839" s="7"/>
      <c r="AU1839" s="7"/>
    </row>
    <row r="1840" spans="4:47" ht="13.5" x14ac:dyDescent="0.25">
      <c r="D1840" s="7"/>
      <c r="G1840" s="7"/>
      <c r="M1840" s="7"/>
      <c r="P1840" s="7"/>
      <c r="Q1840" s="7"/>
      <c r="V1840" s="7"/>
      <c r="W1840" s="7"/>
      <c r="X1840" s="7"/>
      <c r="Y1840" s="7"/>
      <c r="Z1840" s="7"/>
      <c r="AA1840" s="7"/>
      <c r="AB1840" s="7"/>
      <c r="AC1840" s="7"/>
      <c r="AD1840" s="7"/>
      <c r="AE1840" s="7"/>
      <c r="AF1840" s="7"/>
      <c r="AH1840" s="7"/>
      <c r="AI1840" s="7"/>
      <c r="AJ1840" s="7"/>
      <c r="AL1840" s="7"/>
      <c r="AM1840" s="7"/>
      <c r="AN1840" s="7"/>
      <c r="AP1840" s="7"/>
      <c r="AQ1840" s="7"/>
      <c r="AR1840" s="7"/>
      <c r="AS1840" s="7"/>
      <c r="AT1840" s="7"/>
      <c r="AU1840" s="7"/>
    </row>
    <row r="1841" spans="4:47" ht="13.5" x14ac:dyDescent="0.25">
      <c r="D1841" s="7"/>
      <c r="G1841" s="7"/>
      <c r="M1841" s="7"/>
      <c r="P1841" s="7"/>
      <c r="Q1841" s="7"/>
      <c r="V1841" s="7"/>
      <c r="W1841" s="7"/>
      <c r="X1841" s="7"/>
      <c r="Y1841" s="7"/>
      <c r="Z1841" s="7"/>
      <c r="AA1841" s="7"/>
      <c r="AB1841" s="7"/>
      <c r="AC1841" s="7"/>
      <c r="AD1841" s="7"/>
      <c r="AE1841" s="7"/>
      <c r="AF1841" s="7"/>
      <c r="AH1841" s="7"/>
      <c r="AI1841" s="7"/>
      <c r="AJ1841" s="7"/>
      <c r="AL1841" s="7"/>
      <c r="AM1841" s="7"/>
      <c r="AN1841" s="7"/>
      <c r="AP1841" s="7"/>
      <c r="AQ1841" s="7"/>
      <c r="AR1841" s="7"/>
      <c r="AS1841" s="7"/>
      <c r="AT1841" s="7"/>
      <c r="AU1841" s="7"/>
    </row>
    <row r="1842" spans="4:47" ht="13.5" x14ac:dyDescent="0.25">
      <c r="D1842" s="7"/>
      <c r="G1842" s="7"/>
      <c r="M1842" s="7"/>
      <c r="P1842" s="7"/>
      <c r="Q1842" s="7"/>
      <c r="V1842" s="7"/>
      <c r="W1842" s="7"/>
      <c r="X1842" s="7"/>
      <c r="Y1842" s="7"/>
      <c r="Z1842" s="7"/>
      <c r="AA1842" s="7"/>
      <c r="AB1842" s="7"/>
      <c r="AC1842" s="7"/>
      <c r="AD1842" s="7"/>
      <c r="AE1842" s="7"/>
      <c r="AF1842" s="7"/>
      <c r="AH1842" s="7"/>
      <c r="AI1842" s="7"/>
      <c r="AJ1842" s="7"/>
      <c r="AL1842" s="7"/>
      <c r="AM1842" s="7"/>
      <c r="AN1842" s="7"/>
      <c r="AP1842" s="7"/>
      <c r="AQ1842" s="7"/>
      <c r="AR1842" s="7"/>
      <c r="AS1842" s="7"/>
      <c r="AT1842" s="7"/>
      <c r="AU1842" s="7"/>
    </row>
    <row r="1843" spans="4:47" ht="13.5" x14ac:dyDescent="0.25">
      <c r="D1843" s="7"/>
      <c r="G1843" s="7"/>
      <c r="M1843" s="7"/>
      <c r="P1843" s="7"/>
      <c r="Q1843" s="7"/>
      <c r="V1843" s="7"/>
      <c r="W1843" s="7"/>
      <c r="X1843" s="7"/>
      <c r="Y1843" s="7"/>
      <c r="Z1843" s="7"/>
      <c r="AA1843" s="7"/>
      <c r="AB1843" s="7"/>
      <c r="AC1843" s="7"/>
      <c r="AD1843" s="7"/>
      <c r="AE1843" s="7"/>
      <c r="AF1843" s="7"/>
      <c r="AH1843" s="7"/>
      <c r="AI1843" s="7"/>
      <c r="AJ1843" s="7"/>
      <c r="AL1843" s="7"/>
      <c r="AM1843" s="7"/>
      <c r="AN1843" s="7"/>
      <c r="AP1843" s="7"/>
      <c r="AQ1843" s="7"/>
      <c r="AR1843" s="7"/>
      <c r="AS1843" s="7"/>
      <c r="AT1843" s="7"/>
      <c r="AU1843" s="7"/>
    </row>
    <row r="1844" spans="4:47" ht="13.5" x14ac:dyDescent="0.25">
      <c r="D1844" s="7"/>
      <c r="G1844" s="7"/>
      <c r="M1844" s="7"/>
      <c r="P1844" s="7"/>
      <c r="Q1844" s="7"/>
      <c r="V1844" s="7"/>
      <c r="W1844" s="7"/>
      <c r="X1844" s="7"/>
      <c r="Y1844" s="7"/>
      <c r="Z1844" s="7"/>
      <c r="AA1844" s="7"/>
      <c r="AB1844" s="7"/>
      <c r="AC1844" s="7"/>
      <c r="AD1844" s="7"/>
      <c r="AE1844" s="7"/>
      <c r="AF1844" s="7"/>
      <c r="AH1844" s="7"/>
      <c r="AI1844" s="7"/>
      <c r="AJ1844" s="7"/>
      <c r="AL1844" s="7"/>
      <c r="AM1844" s="7"/>
      <c r="AN1844" s="7"/>
      <c r="AP1844" s="7"/>
      <c r="AQ1844" s="7"/>
      <c r="AR1844" s="7"/>
      <c r="AS1844" s="7"/>
      <c r="AT1844" s="7"/>
      <c r="AU1844" s="7"/>
    </row>
    <row r="1845" spans="4:47" ht="13.5" x14ac:dyDescent="0.25">
      <c r="D1845" s="7"/>
      <c r="G1845" s="7"/>
      <c r="M1845" s="7"/>
      <c r="P1845" s="7"/>
      <c r="Q1845" s="7"/>
      <c r="V1845" s="7"/>
      <c r="W1845" s="7"/>
      <c r="X1845" s="7"/>
      <c r="Y1845" s="7"/>
      <c r="Z1845" s="7"/>
      <c r="AA1845" s="7"/>
      <c r="AB1845" s="7"/>
      <c r="AC1845" s="7"/>
      <c r="AD1845" s="7"/>
      <c r="AE1845" s="7"/>
      <c r="AF1845" s="7"/>
      <c r="AH1845" s="7"/>
      <c r="AI1845" s="7"/>
      <c r="AJ1845" s="7"/>
      <c r="AL1845" s="7"/>
      <c r="AM1845" s="7"/>
      <c r="AN1845" s="7"/>
      <c r="AP1845" s="7"/>
      <c r="AQ1845" s="7"/>
      <c r="AR1845" s="7"/>
      <c r="AS1845" s="7"/>
      <c r="AT1845" s="7"/>
      <c r="AU1845" s="7"/>
    </row>
    <row r="1846" spans="4:47" ht="13.5" x14ac:dyDescent="0.25">
      <c r="D1846" s="7"/>
      <c r="G1846" s="7"/>
      <c r="M1846" s="7"/>
      <c r="P1846" s="7"/>
      <c r="Q1846" s="7"/>
      <c r="V1846" s="7"/>
      <c r="W1846" s="7"/>
      <c r="X1846" s="7"/>
      <c r="Y1846" s="7"/>
      <c r="Z1846" s="7"/>
      <c r="AA1846" s="7"/>
      <c r="AB1846" s="7"/>
      <c r="AC1846" s="7"/>
      <c r="AD1846" s="7"/>
      <c r="AE1846" s="7"/>
      <c r="AF1846" s="7"/>
      <c r="AH1846" s="7"/>
      <c r="AI1846" s="7"/>
      <c r="AJ1846" s="7"/>
      <c r="AL1846" s="7"/>
      <c r="AM1846" s="7"/>
      <c r="AN1846" s="7"/>
      <c r="AP1846" s="7"/>
      <c r="AQ1846" s="7"/>
      <c r="AR1846" s="7"/>
      <c r="AS1846" s="7"/>
      <c r="AT1846" s="7"/>
      <c r="AU1846" s="7"/>
    </row>
    <row r="1847" spans="4:47" ht="13.5" x14ac:dyDescent="0.25">
      <c r="D1847" s="7"/>
      <c r="G1847" s="7"/>
      <c r="M1847" s="7"/>
      <c r="P1847" s="7"/>
      <c r="Q1847" s="7"/>
      <c r="V1847" s="7"/>
      <c r="W1847" s="7"/>
      <c r="X1847" s="7"/>
      <c r="Y1847" s="7"/>
      <c r="Z1847" s="7"/>
      <c r="AA1847" s="7"/>
      <c r="AB1847" s="7"/>
      <c r="AC1847" s="7"/>
      <c r="AD1847" s="7"/>
      <c r="AE1847" s="7"/>
      <c r="AF1847" s="7"/>
      <c r="AH1847" s="7"/>
      <c r="AI1847" s="7"/>
      <c r="AJ1847" s="7"/>
      <c r="AL1847" s="7"/>
      <c r="AM1847" s="7"/>
      <c r="AN1847" s="7"/>
      <c r="AP1847" s="7"/>
      <c r="AQ1847" s="7"/>
      <c r="AR1847" s="7"/>
      <c r="AS1847" s="7"/>
      <c r="AT1847" s="7"/>
      <c r="AU1847" s="7"/>
    </row>
    <row r="1848" spans="4:47" ht="13.5" x14ac:dyDescent="0.25">
      <c r="D1848" s="7"/>
      <c r="G1848" s="7"/>
      <c r="M1848" s="7"/>
      <c r="P1848" s="7"/>
      <c r="Q1848" s="7"/>
      <c r="V1848" s="7"/>
      <c r="W1848" s="7"/>
      <c r="X1848" s="7"/>
      <c r="Y1848" s="7"/>
      <c r="Z1848" s="7"/>
      <c r="AA1848" s="7"/>
      <c r="AB1848" s="7"/>
      <c r="AC1848" s="7"/>
      <c r="AD1848" s="7"/>
      <c r="AE1848" s="7"/>
      <c r="AF1848" s="7"/>
      <c r="AH1848" s="7"/>
      <c r="AI1848" s="7"/>
      <c r="AJ1848" s="7"/>
      <c r="AL1848" s="7"/>
      <c r="AM1848" s="7"/>
      <c r="AN1848" s="7"/>
      <c r="AP1848" s="7"/>
      <c r="AQ1848" s="7"/>
      <c r="AR1848" s="7"/>
      <c r="AS1848" s="7"/>
      <c r="AT1848" s="7"/>
      <c r="AU1848" s="7"/>
    </row>
    <row r="1849" spans="4:47" ht="13.5" x14ac:dyDescent="0.25">
      <c r="D1849" s="7"/>
      <c r="G1849" s="7"/>
      <c r="M1849" s="7"/>
      <c r="P1849" s="7"/>
      <c r="Q1849" s="7"/>
      <c r="V1849" s="7"/>
      <c r="W1849" s="7"/>
      <c r="X1849" s="7"/>
      <c r="Y1849" s="7"/>
      <c r="Z1849" s="7"/>
      <c r="AA1849" s="7"/>
      <c r="AB1849" s="7"/>
      <c r="AC1849" s="7"/>
      <c r="AD1849" s="7"/>
      <c r="AE1849" s="7"/>
      <c r="AF1849" s="7"/>
      <c r="AH1849" s="7"/>
      <c r="AI1849" s="7"/>
      <c r="AJ1849" s="7"/>
      <c r="AL1849" s="7"/>
      <c r="AM1849" s="7"/>
      <c r="AN1849" s="7"/>
      <c r="AP1849" s="7"/>
      <c r="AQ1849" s="7"/>
      <c r="AR1849" s="7"/>
      <c r="AS1849" s="7"/>
      <c r="AT1849" s="7"/>
      <c r="AU1849" s="7"/>
    </row>
    <row r="1850" spans="4:47" ht="13.5" x14ac:dyDescent="0.25">
      <c r="D1850" s="7"/>
      <c r="G1850" s="7"/>
      <c r="M1850" s="7"/>
      <c r="P1850" s="7"/>
      <c r="Q1850" s="7"/>
      <c r="V1850" s="7"/>
      <c r="W1850" s="7"/>
      <c r="X1850" s="7"/>
      <c r="Y1850" s="7"/>
      <c r="Z1850" s="7"/>
      <c r="AA1850" s="7"/>
      <c r="AB1850" s="7"/>
      <c r="AC1850" s="7"/>
      <c r="AD1850" s="7"/>
      <c r="AE1850" s="7"/>
      <c r="AF1850" s="7"/>
      <c r="AH1850" s="7"/>
      <c r="AI1850" s="7"/>
      <c r="AJ1850" s="7"/>
      <c r="AL1850" s="7"/>
      <c r="AM1850" s="7"/>
      <c r="AN1850" s="7"/>
      <c r="AP1850" s="7"/>
      <c r="AQ1850" s="7"/>
      <c r="AR1850" s="7"/>
      <c r="AS1850" s="7"/>
      <c r="AT1850" s="7"/>
      <c r="AU1850" s="7"/>
    </row>
    <row r="1851" spans="4:47" ht="13.5" x14ac:dyDescent="0.25">
      <c r="D1851" s="7"/>
      <c r="G1851" s="7"/>
      <c r="M1851" s="7"/>
      <c r="P1851" s="7"/>
      <c r="Q1851" s="7"/>
      <c r="V1851" s="7"/>
      <c r="W1851" s="7"/>
      <c r="X1851" s="7"/>
      <c r="Y1851" s="7"/>
      <c r="Z1851" s="7"/>
      <c r="AA1851" s="7"/>
      <c r="AB1851" s="7"/>
      <c r="AC1851" s="7"/>
      <c r="AD1851" s="7"/>
      <c r="AE1851" s="7"/>
      <c r="AF1851" s="7"/>
      <c r="AH1851" s="7"/>
      <c r="AI1851" s="7"/>
      <c r="AJ1851" s="7"/>
      <c r="AL1851" s="7"/>
      <c r="AM1851" s="7"/>
      <c r="AN1851" s="7"/>
      <c r="AP1851" s="7"/>
      <c r="AQ1851" s="7"/>
      <c r="AR1851" s="7"/>
      <c r="AS1851" s="7"/>
      <c r="AT1851" s="7"/>
      <c r="AU1851" s="7"/>
    </row>
    <row r="1852" spans="4:47" ht="13.5" x14ac:dyDescent="0.25">
      <c r="D1852" s="7"/>
      <c r="G1852" s="7"/>
      <c r="M1852" s="7"/>
      <c r="P1852" s="7"/>
      <c r="Q1852" s="7"/>
      <c r="V1852" s="7"/>
      <c r="W1852" s="7"/>
      <c r="X1852" s="7"/>
      <c r="Y1852" s="7"/>
      <c r="Z1852" s="7"/>
      <c r="AA1852" s="7"/>
      <c r="AB1852" s="7"/>
      <c r="AC1852" s="7"/>
      <c r="AD1852" s="7"/>
      <c r="AE1852" s="7"/>
      <c r="AF1852" s="7"/>
      <c r="AH1852" s="7"/>
      <c r="AI1852" s="7"/>
      <c r="AJ1852" s="7"/>
      <c r="AL1852" s="7"/>
      <c r="AM1852" s="7"/>
      <c r="AN1852" s="7"/>
      <c r="AP1852" s="7"/>
      <c r="AQ1852" s="7"/>
      <c r="AR1852" s="7"/>
      <c r="AS1852" s="7"/>
      <c r="AT1852" s="7"/>
      <c r="AU1852" s="7"/>
    </row>
    <row r="1853" spans="4:47" ht="13.5" x14ac:dyDescent="0.25">
      <c r="D1853" s="7"/>
      <c r="G1853" s="7"/>
      <c r="M1853" s="7"/>
      <c r="P1853" s="7"/>
      <c r="Q1853" s="7"/>
      <c r="V1853" s="7"/>
      <c r="W1853" s="7"/>
      <c r="X1853" s="7"/>
      <c r="Y1853" s="7"/>
      <c r="Z1853" s="7"/>
      <c r="AA1853" s="7"/>
      <c r="AB1853" s="7"/>
      <c r="AC1853" s="7"/>
      <c r="AD1853" s="7"/>
      <c r="AE1853" s="7"/>
      <c r="AF1853" s="7"/>
      <c r="AH1853" s="7"/>
      <c r="AI1853" s="7"/>
      <c r="AJ1853" s="7"/>
      <c r="AL1853" s="7"/>
      <c r="AM1853" s="7"/>
      <c r="AN1853" s="7"/>
      <c r="AP1853" s="7"/>
      <c r="AQ1853" s="7"/>
      <c r="AR1853" s="7"/>
      <c r="AS1853" s="7"/>
      <c r="AT1853" s="7"/>
      <c r="AU1853" s="7"/>
    </row>
    <row r="1854" spans="4:47" ht="13.5" x14ac:dyDescent="0.25">
      <c r="D1854" s="7"/>
      <c r="G1854" s="7"/>
      <c r="M1854" s="7"/>
      <c r="P1854" s="7"/>
      <c r="Q1854" s="7"/>
      <c r="V1854" s="7"/>
      <c r="W1854" s="7"/>
      <c r="X1854" s="7"/>
      <c r="Y1854" s="7"/>
      <c r="Z1854" s="7"/>
      <c r="AA1854" s="7"/>
      <c r="AB1854" s="7"/>
      <c r="AC1854" s="7"/>
      <c r="AD1854" s="7"/>
      <c r="AE1854" s="7"/>
      <c r="AF1854" s="7"/>
      <c r="AH1854" s="7"/>
      <c r="AI1854" s="7"/>
      <c r="AJ1854" s="7"/>
      <c r="AL1854" s="7"/>
      <c r="AM1854" s="7"/>
      <c r="AN1854" s="7"/>
      <c r="AP1854" s="7"/>
      <c r="AQ1854" s="7"/>
      <c r="AR1854" s="7"/>
      <c r="AS1854" s="7"/>
      <c r="AT1854" s="7"/>
      <c r="AU1854" s="7"/>
    </row>
    <row r="1855" spans="4:47" ht="13.5" x14ac:dyDescent="0.25">
      <c r="D1855" s="7"/>
      <c r="G1855" s="7"/>
      <c r="M1855" s="7"/>
      <c r="P1855" s="7"/>
      <c r="Q1855" s="7"/>
      <c r="V1855" s="7"/>
      <c r="W1855" s="7"/>
      <c r="X1855" s="7"/>
      <c r="Y1855" s="7"/>
      <c r="Z1855" s="7"/>
      <c r="AA1855" s="7"/>
      <c r="AB1855" s="7"/>
      <c r="AC1855" s="7"/>
      <c r="AD1855" s="7"/>
      <c r="AE1855" s="7"/>
      <c r="AF1855" s="7"/>
      <c r="AH1855" s="7"/>
      <c r="AI1855" s="7"/>
      <c r="AJ1855" s="7"/>
      <c r="AL1855" s="7"/>
      <c r="AM1855" s="7"/>
      <c r="AN1855" s="7"/>
      <c r="AP1855" s="7"/>
      <c r="AQ1855" s="7"/>
      <c r="AR1855" s="7"/>
      <c r="AS1855" s="7"/>
      <c r="AT1855" s="7"/>
      <c r="AU1855" s="7"/>
    </row>
    <row r="1856" spans="4:47" ht="13.5" x14ac:dyDescent="0.25">
      <c r="D1856" s="7"/>
      <c r="G1856" s="7"/>
      <c r="M1856" s="7"/>
      <c r="P1856" s="7"/>
      <c r="Q1856" s="7"/>
      <c r="V1856" s="7"/>
      <c r="W1856" s="7"/>
      <c r="X1856" s="7"/>
      <c r="Y1856" s="7"/>
      <c r="Z1856" s="7"/>
      <c r="AA1856" s="7"/>
      <c r="AB1856" s="7"/>
      <c r="AC1856" s="7"/>
      <c r="AD1856" s="7"/>
      <c r="AE1856" s="7"/>
      <c r="AF1856" s="7"/>
      <c r="AH1856" s="7"/>
      <c r="AI1856" s="7"/>
      <c r="AJ1856" s="7"/>
      <c r="AL1856" s="7"/>
      <c r="AM1856" s="7"/>
      <c r="AN1856" s="7"/>
      <c r="AP1856" s="7"/>
      <c r="AQ1856" s="7"/>
      <c r="AR1856" s="7"/>
      <c r="AS1856" s="7"/>
      <c r="AT1856" s="7"/>
      <c r="AU1856" s="7"/>
    </row>
    <row r="1857" spans="4:47" ht="13.5" x14ac:dyDescent="0.25">
      <c r="D1857" s="7"/>
      <c r="G1857" s="7"/>
      <c r="M1857" s="7"/>
      <c r="P1857" s="7"/>
      <c r="Q1857" s="7"/>
      <c r="V1857" s="7"/>
      <c r="W1857" s="7"/>
      <c r="X1857" s="7"/>
      <c r="Y1857" s="7"/>
      <c r="Z1857" s="7"/>
      <c r="AA1857" s="7"/>
      <c r="AB1857" s="7"/>
      <c r="AC1857" s="7"/>
      <c r="AD1857" s="7"/>
      <c r="AE1857" s="7"/>
      <c r="AF1857" s="7"/>
      <c r="AH1857" s="7"/>
      <c r="AI1857" s="7"/>
      <c r="AJ1857" s="7"/>
      <c r="AL1857" s="7"/>
      <c r="AM1857" s="7"/>
      <c r="AN1857" s="7"/>
      <c r="AP1857" s="7"/>
      <c r="AQ1857" s="7"/>
      <c r="AR1857" s="7"/>
      <c r="AS1857" s="7"/>
      <c r="AT1857" s="7"/>
      <c r="AU1857" s="7"/>
    </row>
    <row r="1858" spans="4:47" ht="13.5" x14ac:dyDescent="0.25">
      <c r="D1858" s="7"/>
      <c r="G1858" s="7"/>
      <c r="M1858" s="7"/>
      <c r="P1858" s="7"/>
      <c r="Q1858" s="7"/>
      <c r="V1858" s="7"/>
      <c r="W1858" s="7"/>
      <c r="X1858" s="7"/>
      <c r="Y1858" s="7"/>
      <c r="Z1858" s="7"/>
      <c r="AA1858" s="7"/>
      <c r="AB1858" s="7"/>
      <c r="AC1858" s="7"/>
      <c r="AD1858" s="7"/>
      <c r="AE1858" s="7"/>
      <c r="AF1858" s="7"/>
      <c r="AH1858" s="7"/>
      <c r="AI1858" s="7"/>
      <c r="AJ1858" s="7"/>
      <c r="AL1858" s="7"/>
      <c r="AM1858" s="7"/>
      <c r="AN1858" s="7"/>
      <c r="AP1858" s="7"/>
      <c r="AQ1858" s="7"/>
      <c r="AR1858" s="7"/>
      <c r="AS1858" s="7"/>
      <c r="AT1858" s="7"/>
      <c r="AU1858" s="7"/>
    </row>
    <row r="1859" spans="4:47" ht="13.5" x14ac:dyDescent="0.25">
      <c r="D1859" s="7"/>
      <c r="G1859" s="7"/>
      <c r="M1859" s="7"/>
      <c r="P1859" s="7"/>
      <c r="Q1859" s="7"/>
      <c r="V1859" s="7"/>
      <c r="W1859" s="7"/>
      <c r="X1859" s="7"/>
      <c r="Y1859" s="7"/>
      <c r="Z1859" s="7"/>
      <c r="AA1859" s="7"/>
      <c r="AB1859" s="7"/>
      <c r="AC1859" s="7"/>
      <c r="AD1859" s="7"/>
      <c r="AE1859" s="7"/>
      <c r="AF1859" s="7"/>
      <c r="AH1859" s="7"/>
      <c r="AI1859" s="7"/>
      <c r="AJ1859" s="7"/>
      <c r="AL1859" s="7"/>
      <c r="AM1859" s="7"/>
      <c r="AN1859" s="7"/>
      <c r="AP1859" s="7"/>
      <c r="AQ1859" s="7"/>
      <c r="AR1859" s="7"/>
      <c r="AS1859" s="7"/>
      <c r="AT1859" s="7"/>
      <c r="AU1859" s="7"/>
    </row>
    <row r="1860" spans="4:47" ht="13.5" x14ac:dyDescent="0.25">
      <c r="D1860" s="7"/>
      <c r="G1860" s="7"/>
      <c r="M1860" s="7"/>
      <c r="P1860" s="7"/>
      <c r="Q1860" s="7"/>
      <c r="V1860" s="7"/>
      <c r="W1860" s="7"/>
      <c r="X1860" s="7"/>
      <c r="Y1860" s="7"/>
      <c r="Z1860" s="7"/>
      <c r="AA1860" s="7"/>
      <c r="AB1860" s="7"/>
      <c r="AC1860" s="7"/>
      <c r="AD1860" s="7"/>
      <c r="AE1860" s="7"/>
      <c r="AF1860" s="7"/>
      <c r="AH1860" s="7"/>
      <c r="AI1860" s="7"/>
      <c r="AJ1860" s="7"/>
      <c r="AL1860" s="7"/>
      <c r="AM1860" s="7"/>
      <c r="AN1860" s="7"/>
      <c r="AP1860" s="7"/>
      <c r="AQ1860" s="7"/>
      <c r="AR1860" s="7"/>
      <c r="AS1860" s="7"/>
      <c r="AT1860" s="7"/>
      <c r="AU1860" s="7"/>
    </row>
    <row r="1861" spans="4:47" ht="13.5" x14ac:dyDescent="0.25">
      <c r="D1861" s="7"/>
      <c r="G1861" s="7"/>
      <c r="M1861" s="7"/>
      <c r="P1861" s="7"/>
      <c r="Q1861" s="7"/>
      <c r="V1861" s="7"/>
      <c r="W1861" s="7"/>
      <c r="X1861" s="7"/>
      <c r="Y1861" s="7"/>
      <c r="Z1861" s="7"/>
      <c r="AA1861" s="7"/>
      <c r="AB1861" s="7"/>
      <c r="AC1861" s="7"/>
      <c r="AD1861" s="7"/>
      <c r="AE1861" s="7"/>
      <c r="AF1861" s="7"/>
      <c r="AH1861" s="7"/>
      <c r="AI1861" s="7"/>
      <c r="AJ1861" s="7"/>
      <c r="AL1861" s="7"/>
      <c r="AM1861" s="7"/>
      <c r="AN1861" s="7"/>
      <c r="AP1861" s="7"/>
      <c r="AQ1861" s="7"/>
      <c r="AR1861" s="7"/>
      <c r="AS1861" s="7"/>
      <c r="AT1861" s="7"/>
      <c r="AU1861" s="7"/>
    </row>
    <row r="1862" spans="4:47" ht="13.5" x14ac:dyDescent="0.25">
      <c r="D1862" s="7"/>
      <c r="G1862" s="7"/>
      <c r="M1862" s="7"/>
      <c r="P1862" s="7"/>
      <c r="Q1862" s="7"/>
      <c r="V1862" s="7"/>
      <c r="W1862" s="7"/>
      <c r="X1862" s="7"/>
      <c r="Y1862" s="7"/>
      <c r="Z1862" s="7"/>
      <c r="AA1862" s="7"/>
      <c r="AB1862" s="7"/>
      <c r="AC1862" s="7"/>
      <c r="AD1862" s="7"/>
      <c r="AE1862" s="7"/>
      <c r="AF1862" s="7"/>
      <c r="AH1862" s="7"/>
      <c r="AI1862" s="7"/>
      <c r="AJ1862" s="7"/>
      <c r="AL1862" s="7"/>
      <c r="AM1862" s="7"/>
      <c r="AN1862" s="7"/>
      <c r="AP1862" s="7"/>
      <c r="AQ1862" s="7"/>
      <c r="AR1862" s="7"/>
      <c r="AS1862" s="7"/>
      <c r="AT1862" s="7"/>
      <c r="AU1862" s="7"/>
    </row>
    <row r="1863" spans="4:47" ht="13.5" x14ac:dyDescent="0.25">
      <c r="D1863" s="7"/>
      <c r="G1863" s="7"/>
      <c r="M1863" s="7"/>
      <c r="P1863" s="7"/>
      <c r="Q1863" s="7"/>
      <c r="V1863" s="7"/>
      <c r="W1863" s="7"/>
      <c r="X1863" s="7"/>
      <c r="Y1863" s="7"/>
      <c r="Z1863" s="7"/>
      <c r="AA1863" s="7"/>
      <c r="AB1863" s="7"/>
      <c r="AC1863" s="7"/>
      <c r="AD1863" s="7"/>
      <c r="AE1863" s="7"/>
      <c r="AF1863" s="7"/>
      <c r="AH1863" s="7"/>
      <c r="AI1863" s="7"/>
      <c r="AJ1863" s="7"/>
      <c r="AL1863" s="7"/>
      <c r="AM1863" s="7"/>
      <c r="AN1863" s="7"/>
      <c r="AP1863" s="7"/>
      <c r="AQ1863" s="7"/>
      <c r="AR1863" s="7"/>
      <c r="AS1863" s="7"/>
      <c r="AT1863" s="7"/>
      <c r="AU1863" s="7"/>
    </row>
    <row r="1864" spans="4:47" ht="13.5" x14ac:dyDescent="0.25">
      <c r="D1864" s="7"/>
      <c r="G1864" s="7"/>
      <c r="M1864" s="7"/>
      <c r="P1864" s="7"/>
      <c r="Q1864" s="7"/>
      <c r="V1864" s="7"/>
      <c r="W1864" s="7"/>
      <c r="X1864" s="7"/>
      <c r="Y1864" s="7"/>
      <c r="Z1864" s="7"/>
      <c r="AA1864" s="7"/>
      <c r="AB1864" s="7"/>
      <c r="AC1864" s="7"/>
      <c r="AD1864" s="7"/>
      <c r="AE1864" s="7"/>
      <c r="AF1864" s="7"/>
      <c r="AH1864" s="7"/>
      <c r="AI1864" s="7"/>
      <c r="AJ1864" s="7"/>
      <c r="AL1864" s="7"/>
      <c r="AM1864" s="7"/>
      <c r="AN1864" s="7"/>
      <c r="AP1864" s="7"/>
      <c r="AQ1864" s="7"/>
      <c r="AR1864" s="7"/>
      <c r="AS1864" s="7"/>
      <c r="AT1864" s="7"/>
      <c r="AU1864" s="7"/>
    </row>
    <row r="1865" spans="4:47" ht="13.5" x14ac:dyDescent="0.25">
      <c r="D1865" s="7"/>
      <c r="G1865" s="7"/>
      <c r="M1865" s="7"/>
      <c r="P1865" s="7"/>
      <c r="Q1865" s="7"/>
      <c r="V1865" s="7"/>
      <c r="W1865" s="7"/>
      <c r="X1865" s="7"/>
      <c r="Y1865" s="7"/>
      <c r="Z1865" s="7"/>
      <c r="AA1865" s="7"/>
      <c r="AB1865" s="7"/>
      <c r="AC1865" s="7"/>
      <c r="AD1865" s="7"/>
      <c r="AE1865" s="7"/>
      <c r="AF1865" s="7"/>
      <c r="AH1865" s="7"/>
      <c r="AI1865" s="7"/>
      <c r="AJ1865" s="7"/>
      <c r="AL1865" s="7"/>
      <c r="AM1865" s="7"/>
      <c r="AN1865" s="7"/>
      <c r="AP1865" s="7"/>
      <c r="AQ1865" s="7"/>
      <c r="AR1865" s="7"/>
      <c r="AS1865" s="7"/>
      <c r="AT1865" s="7"/>
      <c r="AU1865" s="7"/>
    </row>
    <row r="1866" spans="4:47" ht="13.5" x14ac:dyDescent="0.25">
      <c r="D1866" s="7"/>
      <c r="G1866" s="7"/>
      <c r="M1866" s="7"/>
      <c r="P1866" s="7"/>
      <c r="Q1866" s="7"/>
      <c r="V1866" s="7"/>
      <c r="W1866" s="7"/>
      <c r="X1866" s="7"/>
      <c r="Y1866" s="7"/>
      <c r="Z1866" s="7"/>
      <c r="AA1866" s="7"/>
      <c r="AB1866" s="7"/>
      <c r="AC1866" s="7"/>
      <c r="AD1866" s="7"/>
      <c r="AE1866" s="7"/>
      <c r="AF1866" s="7"/>
      <c r="AH1866" s="7"/>
      <c r="AI1866" s="7"/>
      <c r="AJ1866" s="7"/>
      <c r="AL1866" s="7"/>
      <c r="AM1866" s="7"/>
      <c r="AN1866" s="7"/>
      <c r="AP1866" s="7"/>
      <c r="AQ1866" s="7"/>
      <c r="AR1866" s="7"/>
      <c r="AS1866" s="7"/>
      <c r="AT1866" s="7"/>
      <c r="AU1866" s="7"/>
    </row>
    <row r="1867" spans="4:47" ht="13.5" x14ac:dyDescent="0.25">
      <c r="D1867" s="7"/>
      <c r="G1867" s="7"/>
      <c r="M1867" s="7"/>
      <c r="P1867" s="7"/>
      <c r="Q1867" s="7"/>
      <c r="V1867" s="7"/>
      <c r="W1867" s="7"/>
      <c r="X1867" s="7"/>
      <c r="Y1867" s="7"/>
      <c r="Z1867" s="7"/>
      <c r="AA1867" s="7"/>
      <c r="AB1867" s="7"/>
      <c r="AC1867" s="7"/>
      <c r="AD1867" s="7"/>
      <c r="AE1867" s="7"/>
      <c r="AF1867" s="7"/>
      <c r="AH1867" s="7"/>
      <c r="AI1867" s="7"/>
      <c r="AJ1867" s="7"/>
      <c r="AL1867" s="7"/>
      <c r="AM1867" s="7"/>
      <c r="AN1867" s="7"/>
      <c r="AP1867" s="7"/>
      <c r="AQ1867" s="7"/>
      <c r="AR1867" s="7"/>
      <c r="AS1867" s="7"/>
      <c r="AT1867" s="7"/>
      <c r="AU1867" s="7"/>
    </row>
    <row r="1868" spans="4:47" ht="13.5" x14ac:dyDescent="0.25">
      <c r="D1868" s="7"/>
      <c r="G1868" s="7"/>
      <c r="M1868" s="7"/>
      <c r="P1868" s="7"/>
      <c r="Q1868" s="7"/>
      <c r="V1868" s="7"/>
      <c r="W1868" s="7"/>
      <c r="X1868" s="7"/>
      <c r="Y1868" s="7"/>
      <c r="Z1868" s="7"/>
      <c r="AA1868" s="7"/>
      <c r="AB1868" s="7"/>
      <c r="AC1868" s="7"/>
      <c r="AD1868" s="7"/>
      <c r="AE1868" s="7"/>
      <c r="AF1868" s="7"/>
      <c r="AH1868" s="7"/>
      <c r="AI1868" s="7"/>
      <c r="AJ1868" s="7"/>
      <c r="AL1868" s="7"/>
      <c r="AM1868" s="7"/>
      <c r="AN1868" s="7"/>
      <c r="AP1868" s="7"/>
      <c r="AQ1868" s="7"/>
      <c r="AR1868" s="7"/>
      <c r="AS1868" s="7"/>
      <c r="AT1868" s="7"/>
      <c r="AU1868" s="7"/>
    </row>
    <row r="1869" spans="4:47" ht="13.5" x14ac:dyDescent="0.25">
      <c r="D1869" s="7"/>
      <c r="G1869" s="7"/>
      <c r="M1869" s="7"/>
      <c r="P1869" s="7"/>
      <c r="Q1869" s="7"/>
      <c r="V1869" s="7"/>
      <c r="W1869" s="7"/>
      <c r="X1869" s="7"/>
      <c r="Y1869" s="7"/>
      <c r="Z1869" s="7"/>
      <c r="AA1869" s="7"/>
      <c r="AB1869" s="7"/>
      <c r="AC1869" s="7"/>
      <c r="AD1869" s="7"/>
      <c r="AE1869" s="7"/>
      <c r="AF1869" s="7"/>
      <c r="AH1869" s="7"/>
      <c r="AI1869" s="7"/>
      <c r="AJ1869" s="7"/>
      <c r="AL1869" s="7"/>
      <c r="AM1869" s="7"/>
      <c r="AN1869" s="7"/>
      <c r="AP1869" s="7"/>
      <c r="AQ1869" s="7"/>
      <c r="AR1869" s="7"/>
      <c r="AS1869" s="7"/>
      <c r="AT1869" s="7"/>
      <c r="AU1869" s="7"/>
    </row>
    <row r="1870" spans="4:47" ht="13.5" x14ac:dyDescent="0.25">
      <c r="D1870" s="7"/>
      <c r="G1870" s="7"/>
      <c r="M1870" s="7"/>
      <c r="P1870" s="7"/>
      <c r="Q1870" s="7"/>
      <c r="V1870" s="7"/>
      <c r="W1870" s="7"/>
      <c r="X1870" s="7"/>
      <c r="Y1870" s="7"/>
      <c r="Z1870" s="7"/>
      <c r="AA1870" s="7"/>
      <c r="AB1870" s="7"/>
      <c r="AC1870" s="7"/>
      <c r="AD1870" s="7"/>
      <c r="AE1870" s="7"/>
      <c r="AF1870" s="7"/>
      <c r="AH1870" s="7"/>
      <c r="AI1870" s="7"/>
      <c r="AJ1870" s="7"/>
      <c r="AL1870" s="7"/>
      <c r="AM1870" s="7"/>
      <c r="AN1870" s="7"/>
      <c r="AP1870" s="7"/>
      <c r="AQ1870" s="7"/>
      <c r="AR1870" s="7"/>
      <c r="AS1870" s="7"/>
      <c r="AT1870" s="7"/>
      <c r="AU1870" s="7"/>
    </row>
    <row r="1871" spans="4:47" ht="13.5" x14ac:dyDescent="0.25">
      <c r="D1871" s="7"/>
      <c r="G1871" s="7"/>
      <c r="M1871" s="7"/>
      <c r="P1871" s="7"/>
      <c r="Q1871" s="7"/>
      <c r="V1871" s="7"/>
      <c r="W1871" s="7"/>
      <c r="X1871" s="7"/>
      <c r="Y1871" s="7"/>
      <c r="Z1871" s="7"/>
      <c r="AA1871" s="7"/>
      <c r="AB1871" s="7"/>
      <c r="AC1871" s="7"/>
      <c r="AD1871" s="7"/>
      <c r="AE1871" s="7"/>
      <c r="AF1871" s="7"/>
      <c r="AH1871" s="7"/>
      <c r="AI1871" s="7"/>
      <c r="AJ1871" s="7"/>
      <c r="AL1871" s="7"/>
      <c r="AM1871" s="7"/>
      <c r="AN1871" s="7"/>
      <c r="AP1871" s="7"/>
      <c r="AQ1871" s="7"/>
      <c r="AR1871" s="7"/>
      <c r="AS1871" s="7"/>
      <c r="AT1871" s="7"/>
      <c r="AU1871" s="7"/>
    </row>
    <row r="1872" spans="4:47" ht="13.5" x14ac:dyDescent="0.25">
      <c r="D1872" s="7"/>
      <c r="G1872" s="7"/>
      <c r="M1872" s="7"/>
      <c r="P1872" s="7"/>
      <c r="Q1872" s="7"/>
      <c r="V1872" s="7"/>
      <c r="W1872" s="7"/>
      <c r="X1872" s="7"/>
      <c r="Y1872" s="7"/>
      <c r="Z1872" s="7"/>
      <c r="AA1872" s="7"/>
      <c r="AB1872" s="7"/>
      <c r="AC1872" s="7"/>
      <c r="AD1872" s="7"/>
      <c r="AE1872" s="7"/>
      <c r="AF1872" s="7"/>
      <c r="AH1872" s="7"/>
      <c r="AI1872" s="7"/>
      <c r="AJ1872" s="7"/>
      <c r="AL1872" s="7"/>
      <c r="AM1872" s="7"/>
      <c r="AN1872" s="7"/>
      <c r="AP1872" s="7"/>
      <c r="AQ1872" s="7"/>
      <c r="AR1872" s="7"/>
      <c r="AS1872" s="7"/>
      <c r="AT1872" s="7"/>
      <c r="AU1872" s="7"/>
    </row>
    <row r="1873" spans="4:47" ht="13.5" x14ac:dyDescent="0.25">
      <c r="D1873" s="7"/>
      <c r="G1873" s="7"/>
      <c r="M1873" s="7"/>
      <c r="P1873" s="7"/>
      <c r="Q1873" s="7"/>
      <c r="V1873" s="7"/>
      <c r="W1873" s="7"/>
      <c r="X1873" s="7"/>
      <c r="Y1873" s="7"/>
      <c r="Z1873" s="7"/>
      <c r="AA1873" s="7"/>
      <c r="AB1873" s="7"/>
      <c r="AC1873" s="7"/>
      <c r="AD1873" s="7"/>
      <c r="AE1873" s="7"/>
      <c r="AF1873" s="7"/>
      <c r="AH1873" s="7"/>
      <c r="AI1873" s="7"/>
      <c r="AJ1873" s="7"/>
      <c r="AL1873" s="7"/>
      <c r="AM1873" s="7"/>
      <c r="AN1873" s="7"/>
      <c r="AP1873" s="7"/>
      <c r="AQ1873" s="7"/>
      <c r="AR1873" s="7"/>
      <c r="AS1873" s="7"/>
      <c r="AT1873" s="7"/>
      <c r="AU1873" s="7"/>
    </row>
    <row r="1874" spans="4:47" ht="13.5" x14ac:dyDescent="0.25">
      <c r="D1874" s="7"/>
      <c r="G1874" s="7"/>
      <c r="M1874" s="7"/>
      <c r="P1874" s="7"/>
      <c r="Q1874" s="7"/>
      <c r="V1874" s="7"/>
      <c r="W1874" s="7"/>
      <c r="X1874" s="7"/>
      <c r="Y1874" s="7"/>
      <c r="Z1874" s="7"/>
      <c r="AA1874" s="7"/>
      <c r="AB1874" s="7"/>
      <c r="AC1874" s="7"/>
      <c r="AD1874" s="7"/>
      <c r="AE1874" s="7"/>
      <c r="AF1874" s="7"/>
      <c r="AH1874" s="7"/>
      <c r="AI1874" s="7"/>
      <c r="AJ1874" s="7"/>
      <c r="AL1874" s="7"/>
      <c r="AM1874" s="7"/>
      <c r="AN1874" s="7"/>
      <c r="AP1874" s="7"/>
      <c r="AQ1874" s="7"/>
      <c r="AR1874" s="7"/>
      <c r="AS1874" s="7"/>
      <c r="AT1874" s="7"/>
      <c r="AU1874" s="7"/>
    </row>
    <row r="1875" spans="4:47" ht="13.5" x14ac:dyDescent="0.25">
      <c r="D1875" s="7"/>
      <c r="G1875" s="7"/>
      <c r="M1875" s="7"/>
      <c r="P1875" s="7"/>
      <c r="Q1875" s="7"/>
      <c r="V1875" s="7"/>
      <c r="W1875" s="7"/>
      <c r="X1875" s="7"/>
      <c r="Y1875" s="7"/>
      <c r="Z1875" s="7"/>
      <c r="AA1875" s="7"/>
      <c r="AB1875" s="7"/>
      <c r="AC1875" s="7"/>
      <c r="AD1875" s="7"/>
      <c r="AE1875" s="7"/>
      <c r="AF1875" s="7"/>
      <c r="AH1875" s="7"/>
      <c r="AI1875" s="7"/>
      <c r="AJ1875" s="7"/>
      <c r="AL1875" s="7"/>
      <c r="AM1875" s="7"/>
      <c r="AN1875" s="7"/>
      <c r="AP1875" s="7"/>
      <c r="AQ1875" s="7"/>
      <c r="AR1875" s="7"/>
      <c r="AS1875" s="7"/>
      <c r="AT1875" s="7"/>
      <c r="AU1875" s="7"/>
    </row>
    <row r="1876" spans="4:47" ht="13.5" x14ac:dyDescent="0.25">
      <c r="D1876" s="7"/>
      <c r="G1876" s="7"/>
      <c r="M1876" s="7"/>
      <c r="P1876" s="7"/>
      <c r="Q1876" s="7"/>
      <c r="V1876" s="7"/>
      <c r="W1876" s="7"/>
      <c r="X1876" s="7"/>
      <c r="Y1876" s="7"/>
      <c r="Z1876" s="7"/>
      <c r="AA1876" s="7"/>
      <c r="AB1876" s="7"/>
      <c r="AC1876" s="7"/>
      <c r="AD1876" s="7"/>
      <c r="AE1876" s="7"/>
      <c r="AF1876" s="7"/>
      <c r="AH1876" s="7"/>
      <c r="AI1876" s="7"/>
      <c r="AJ1876" s="7"/>
      <c r="AL1876" s="7"/>
      <c r="AM1876" s="7"/>
      <c r="AN1876" s="7"/>
      <c r="AP1876" s="7"/>
      <c r="AQ1876" s="7"/>
      <c r="AR1876" s="7"/>
      <c r="AS1876" s="7"/>
      <c r="AT1876" s="7"/>
      <c r="AU1876" s="7"/>
    </row>
    <row r="1877" spans="4:47" ht="13.5" x14ac:dyDescent="0.25">
      <c r="D1877" s="7"/>
      <c r="G1877" s="7"/>
      <c r="M1877" s="7"/>
      <c r="P1877" s="7"/>
      <c r="Q1877" s="7"/>
      <c r="V1877" s="7"/>
      <c r="W1877" s="7"/>
      <c r="X1877" s="7"/>
      <c r="Y1877" s="7"/>
      <c r="Z1877" s="7"/>
      <c r="AA1877" s="7"/>
      <c r="AB1877" s="7"/>
      <c r="AC1877" s="7"/>
      <c r="AD1877" s="7"/>
      <c r="AE1877" s="7"/>
      <c r="AF1877" s="7"/>
      <c r="AH1877" s="7"/>
      <c r="AI1877" s="7"/>
      <c r="AJ1877" s="7"/>
      <c r="AL1877" s="7"/>
      <c r="AM1877" s="7"/>
      <c r="AN1877" s="7"/>
      <c r="AP1877" s="7"/>
      <c r="AQ1877" s="7"/>
      <c r="AR1877" s="7"/>
      <c r="AS1877" s="7"/>
      <c r="AT1877" s="7"/>
      <c r="AU1877" s="7"/>
    </row>
    <row r="1878" spans="4:47" ht="13.5" x14ac:dyDescent="0.25">
      <c r="D1878" s="7"/>
      <c r="G1878" s="7"/>
      <c r="M1878" s="7"/>
      <c r="P1878" s="7"/>
      <c r="Q1878" s="7"/>
      <c r="V1878" s="7"/>
      <c r="W1878" s="7"/>
      <c r="X1878" s="7"/>
      <c r="Y1878" s="7"/>
      <c r="Z1878" s="7"/>
      <c r="AA1878" s="7"/>
      <c r="AB1878" s="7"/>
      <c r="AC1878" s="7"/>
      <c r="AD1878" s="7"/>
      <c r="AE1878" s="7"/>
      <c r="AF1878" s="7"/>
      <c r="AH1878" s="7"/>
      <c r="AI1878" s="7"/>
      <c r="AJ1878" s="7"/>
      <c r="AL1878" s="7"/>
      <c r="AM1878" s="7"/>
      <c r="AN1878" s="7"/>
      <c r="AP1878" s="7"/>
      <c r="AQ1878" s="7"/>
      <c r="AR1878" s="7"/>
      <c r="AS1878" s="7"/>
      <c r="AT1878" s="7"/>
      <c r="AU1878" s="7"/>
    </row>
    <row r="1879" spans="4:47" ht="13.5" x14ac:dyDescent="0.25">
      <c r="D1879" s="7"/>
      <c r="G1879" s="7"/>
      <c r="M1879" s="7"/>
      <c r="P1879" s="7"/>
      <c r="Q1879" s="7"/>
      <c r="V1879" s="7"/>
      <c r="W1879" s="7"/>
      <c r="X1879" s="7"/>
      <c r="Y1879" s="7"/>
      <c r="Z1879" s="7"/>
      <c r="AA1879" s="7"/>
      <c r="AB1879" s="7"/>
      <c r="AC1879" s="7"/>
      <c r="AD1879" s="7"/>
      <c r="AE1879" s="7"/>
      <c r="AF1879" s="7"/>
      <c r="AH1879" s="7"/>
      <c r="AI1879" s="7"/>
      <c r="AJ1879" s="7"/>
      <c r="AL1879" s="7"/>
      <c r="AM1879" s="7"/>
      <c r="AN1879" s="7"/>
      <c r="AP1879" s="7"/>
      <c r="AQ1879" s="7"/>
      <c r="AR1879" s="7"/>
      <c r="AS1879" s="7"/>
      <c r="AT1879" s="7"/>
      <c r="AU1879" s="7"/>
    </row>
    <row r="1880" spans="4:47" ht="13.5" x14ac:dyDescent="0.25">
      <c r="D1880" s="7"/>
      <c r="G1880" s="7"/>
      <c r="M1880" s="7"/>
      <c r="P1880" s="7"/>
      <c r="Q1880" s="7"/>
      <c r="V1880" s="7"/>
      <c r="W1880" s="7"/>
      <c r="X1880" s="7"/>
      <c r="Y1880" s="7"/>
      <c r="Z1880" s="7"/>
      <c r="AA1880" s="7"/>
      <c r="AB1880" s="7"/>
      <c r="AC1880" s="7"/>
      <c r="AD1880" s="7"/>
      <c r="AE1880" s="7"/>
      <c r="AF1880" s="7"/>
      <c r="AH1880" s="7"/>
      <c r="AI1880" s="7"/>
      <c r="AJ1880" s="7"/>
      <c r="AL1880" s="7"/>
      <c r="AM1880" s="7"/>
      <c r="AN1880" s="7"/>
      <c r="AP1880" s="7"/>
      <c r="AQ1880" s="7"/>
      <c r="AR1880" s="7"/>
      <c r="AS1880" s="7"/>
      <c r="AT1880" s="7"/>
      <c r="AU1880" s="7"/>
    </row>
    <row r="1881" spans="4:47" ht="13.5" x14ac:dyDescent="0.25">
      <c r="D1881" s="7"/>
      <c r="G1881" s="7"/>
      <c r="M1881" s="7"/>
      <c r="P1881" s="7"/>
      <c r="Q1881" s="7"/>
      <c r="V1881" s="7"/>
      <c r="W1881" s="7"/>
      <c r="X1881" s="7"/>
      <c r="Y1881" s="7"/>
      <c r="Z1881" s="7"/>
      <c r="AA1881" s="7"/>
      <c r="AB1881" s="7"/>
      <c r="AC1881" s="7"/>
      <c r="AD1881" s="7"/>
      <c r="AE1881" s="7"/>
      <c r="AF1881" s="7"/>
      <c r="AH1881" s="7"/>
      <c r="AI1881" s="7"/>
      <c r="AJ1881" s="7"/>
      <c r="AL1881" s="7"/>
      <c r="AM1881" s="7"/>
      <c r="AN1881" s="7"/>
      <c r="AP1881" s="7"/>
      <c r="AQ1881" s="7"/>
      <c r="AR1881" s="7"/>
      <c r="AS1881" s="7"/>
      <c r="AT1881" s="7"/>
      <c r="AU1881" s="7"/>
    </row>
    <row r="1882" spans="4:47" ht="13.5" x14ac:dyDescent="0.25">
      <c r="D1882" s="7"/>
      <c r="G1882" s="7"/>
      <c r="M1882" s="7"/>
      <c r="P1882" s="7"/>
      <c r="Q1882" s="7"/>
      <c r="V1882" s="7"/>
      <c r="W1882" s="7"/>
      <c r="X1882" s="7"/>
      <c r="Y1882" s="7"/>
      <c r="Z1882" s="7"/>
      <c r="AA1882" s="7"/>
      <c r="AB1882" s="7"/>
      <c r="AC1882" s="7"/>
      <c r="AD1882" s="7"/>
      <c r="AE1882" s="7"/>
      <c r="AF1882" s="7"/>
      <c r="AH1882" s="7"/>
      <c r="AI1882" s="7"/>
      <c r="AJ1882" s="7"/>
      <c r="AL1882" s="7"/>
      <c r="AM1882" s="7"/>
      <c r="AN1882" s="7"/>
      <c r="AP1882" s="7"/>
      <c r="AQ1882" s="7"/>
      <c r="AR1882" s="7"/>
      <c r="AS1882" s="7"/>
      <c r="AT1882" s="7"/>
      <c r="AU1882" s="7"/>
    </row>
    <row r="1883" spans="4:47" ht="13.5" x14ac:dyDescent="0.25">
      <c r="D1883" s="7"/>
      <c r="G1883" s="7"/>
      <c r="M1883" s="7"/>
      <c r="P1883" s="7"/>
      <c r="Q1883" s="7"/>
      <c r="V1883" s="7"/>
      <c r="W1883" s="7"/>
      <c r="X1883" s="7"/>
      <c r="Y1883" s="7"/>
      <c r="Z1883" s="7"/>
      <c r="AA1883" s="7"/>
      <c r="AB1883" s="7"/>
      <c r="AC1883" s="7"/>
      <c r="AD1883" s="7"/>
      <c r="AE1883" s="7"/>
      <c r="AF1883" s="7"/>
      <c r="AH1883" s="7"/>
      <c r="AI1883" s="7"/>
      <c r="AJ1883" s="7"/>
      <c r="AL1883" s="7"/>
      <c r="AM1883" s="7"/>
      <c r="AN1883" s="7"/>
      <c r="AP1883" s="7"/>
      <c r="AQ1883" s="7"/>
      <c r="AR1883" s="7"/>
      <c r="AS1883" s="7"/>
      <c r="AT1883" s="7"/>
      <c r="AU1883" s="7"/>
    </row>
    <row r="1884" spans="4:47" ht="13.5" x14ac:dyDescent="0.25">
      <c r="D1884" s="7"/>
      <c r="G1884" s="7"/>
      <c r="M1884" s="7"/>
      <c r="P1884" s="7"/>
      <c r="Q1884" s="7"/>
      <c r="V1884" s="7"/>
      <c r="W1884" s="7"/>
      <c r="X1884" s="7"/>
      <c r="Y1884" s="7"/>
      <c r="Z1884" s="7"/>
      <c r="AA1884" s="7"/>
      <c r="AB1884" s="7"/>
      <c r="AC1884" s="7"/>
      <c r="AD1884" s="7"/>
      <c r="AE1884" s="7"/>
      <c r="AF1884" s="7"/>
      <c r="AH1884" s="7"/>
      <c r="AI1884" s="7"/>
      <c r="AJ1884" s="7"/>
      <c r="AL1884" s="7"/>
      <c r="AM1884" s="7"/>
      <c r="AN1884" s="7"/>
      <c r="AP1884" s="7"/>
      <c r="AQ1884" s="7"/>
      <c r="AR1884" s="7"/>
      <c r="AS1884" s="7"/>
      <c r="AT1884" s="7"/>
      <c r="AU1884" s="7"/>
    </row>
    <row r="1885" spans="4:47" ht="13.5" x14ac:dyDescent="0.25">
      <c r="D1885" s="7"/>
      <c r="G1885" s="7"/>
      <c r="M1885" s="7"/>
      <c r="P1885" s="7"/>
      <c r="Q1885" s="7"/>
      <c r="V1885" s="7"/>
      <c r="W1885" s="7"/>
      <c r="X1885" s="7"/>
      <c r="Y1885" s="7"/>
      <c r="Z1885" s="7"/>
      <c r="AA1885" s="7"/>
      <c r="AB1885" s="7"/>
      <c r="AC1885" s="7"/>
      <c r="AD1885" s="7"/>
      <c r="AE1885" s="7"/>
      <c r="AF1885" s="7"/>
      <c r="AH1885" s="7"/>
      <c r="AI1885" s="7"/>
      <c r="AJ1885" s="7"/>
      <c r="AL1885" s="7"/>
      <c r="AM1885" s="7"/>
      <c r="AN1885" s="7"/>
      <c r="AP1885" s="7"/>
      <c r="AQ1885" s="7"/>
      <c r="AR1885" s="7"/>
      <c r="AS1885" s="7"/>
      <c r="AT1885" s="7"/>
      <c r="AU1885" s="7"/>
    </row>
    <row r="1886" spans="4:47" ht="13.5" x14ac:dyDescent="0.25">
      <c r="D1886" s="7"/>
      <c r="G1886" s="7"/>
      <c r="M1886" s="7"/>
      <c r="P1886" s="7"/>
      <c r="Q1886" s="7"/>
      <c r="V1886" s="7"/>
      <c r="W1886" s="7"/>
      <c r="X1886" s="7"/>
      <c r="Y1886" s="7"/>
      <c r="Z1886" s="7"/>
      <c r="AA1886" s="7"/>
      <c r="AB1886" s="7"/>
      <c r="AC1886" s="7"/>
      <c r="AD1886" s="7"/>
      <c r="AE1886" s="7"/>
      <c r="AF1886" s="7"/>
      <c r="AH1886" s="7"/>
      <c r="AI1886" s="7"/>
      <c r="AJ1886" s="7"/>
      <c r="AL1886" s="7"/>
      <c r="AM1886" s="7"/>
      <c r="AN1886" s="7"/>
      <c r="AP1886" s="7"/>
      <c r="AQ1886" s="7"/>
      <c r="AR1886" s="7"/>
      <c r="AS1886" s="7"/>
      <c r="AT1886" s="7"/>
      <c r="AU1886" s="7"/>
    </row>
    <row r="1887" spans="4:47" ht="13.5" x14ac:dyDescent="0.25">
      <c r="D1887" s="7"/>
      <c r="G1887" s="7"/>
      <c r="M1887" s="7"/>
      <c r="P1887" s="7"/>
      <c r="Q1887" s="7"/>
      <c r="V1887" s="7"/>
      <c r="W1887" s="7"/>
      <c r="X1887" s="7"/>
      <c r="Y1887" s="7"/>
      <c r="Z1887" s="7"/>
      <c r="AA1887" s="7"/>
      <c r="AB1887" s="7"/>
      <c r="AC1887" s="7"/>
      <c r="AD1887" s="7"/>
      <c r="AE1887" s="7"/>
      <c r="AF1887" s="7"/>
      <c r="AH1887" s="7"/>
      <c r="AI1887" s="7"/>
      <c r="AJ1887" s="7"/>
      <c r="AL1887" s="7"/>
      <c r="AM1887" s="7"/>
      <c r="AN1887" s="7"/>
      <c r="AP1887" s="7"/>
      <c r="AQ1887" s="7"/>
      <c r="AR1887" s="7"/>
      <c r="AS1887" s="7"/>
      <c r="AT1887" s="7"/>
      <c r="AU1887" s="7"/>
    </row>
    <row r="1888" spans="4:47" ht="13.5" x14ac:dyDescent="0.25">
      <c r="D1888" s="7"/>
      <c r="G1888" s="7"/>
      <c r="M1888" s="7"/>
      <c r="P1888" s="7"/>
      <c r="Q1888" s="7"/>
      <c r="V1888" s="7"/>
      <c r="W1888" s="7"/>
      <c r="X1888" s="7"/>
      <c r="Y1888" s="7"/>
      <c r="Z1888" s="7"/>
      <c r="AA1888" s="7"/>
      <c r="AB1888" s="7"/>
      <c r="AC1888" s="7"/>
      <c r="AD1888" s="7"/>
      <c r="AE1888" s="7"/>
      <c r="AF1888" s="7"/>
      <c r="AH1888" s="7"/>
      <c r="AI1888" s="7"/>
      <c r="AJ1888" s="7"/>
      <c r="AL1888" s="7"/>
      <c r="AM1888" s="7"/>
      <c r="AN1888" s="7"/>
      <c r="AP1888" s="7"/>
      <c r="AQ1888" s="7"/>
      <c r="AR1888" s="7"/>
      <c r="AS1888" s="7"/>
      <c r="AT1888" s="7"/>
      <c r="AU1888" s="7"/>
    </row>
    <row r="1889" spans="4:47" ht="13.5" x14ac:dyDescent="0.25">
      <c r="D1889" s="7"/>
      <c r="G1889" s="7"/>
      <c r="M1889" s="7"/>
      <c r="P1889" s="7"/>
      <c r="Q1889" s="7"/>
      <c r="V1889" s="7"/>
      <c r="W1889" s="7"/>
      <c r="X1889" s="7"/>
      <c r="Y1889" s="7"/>
      <c r="Z1889" s="7"/>
      <c r="AA1889" s="7"/>
      <c r="AB1889" s="7"/>
      <c r="AC1889" s="7"/>
      <c r="AD1889" s="7"/>
      <c r="AE1889" s="7"/>
      <c r="AF1889" s="7"/>
      <c r="AH1889" s="7"/>
      <c r="AI1889" s="7"/>
      <c r="AJ1889" s="7"/>
      <c r="AL1889" s="7"/>
      <c r="AM1889" s="7"/>
      <c r="AN1889" s="7"/>
      <c r="AP1889" s="7"/>
      <c r="AQ1889" s="7"/>
      <c r="AR1889" s="7"/>
      <c r="AS1889" s="7"/>
      <c r="AT1889" s="7"/>
      <c r="AU1889" s="7"/>
    </row>
    <row r="1890" spans="4:47" ht="13.5" x14ac:dyDescent="0.25">
      <c r="D1890" s="7"/>
      <c r="G1890" s="7"/>
      <c r="M1890" s="7"/>
      <c r="P1890" s="7"/>
      <c r="Q1890" s="7"/>
      <c r="V1890" s="7"/>
      <c r="W1890" s="7"/>
      <c r="X1890" s="7"/>
      <c r="Y1890" s="7"/>
      <c r="Z1890" s="7"/>
      <c r="AA1890" s="7"/>
      <c r="AB1890" s="7"/>
      <c r="AC1890" s="7"/>
      <c r="AD1890" s="7"/>
      <c r="AE1890" s="7"/>
      <c r="AF1890" s="7"/>
      <c r="AH1890" s="7"/>
      <c r="AI1890" s="7"/>
      <c r="AJ1890" s="7"/>
      <c r="AL1890" s="7"/>
      <c r="AM1890" s="7"/>
      <c r="AN1890" s="7"/>
      <c r="AP1890" s="7"/>
      <c r="AQ1890" s="7"/>
      <c r="AR1890" s="7"/>
      <c r="AS1890" s="7"/>
      <c r="AT1890" s="7"/>
      <c r="AU1890" s="7"/>
    </row>
    <row r="1891" spans="4:47" ht="13.5" x14ac:dyDescent="0.25">
      <c r="D1891" s="7"/>
      <c r="G1891" s="7"/>
      <c r="M1891" s="7"/>
      <c r="P1891" s="7"/>
      <c r="Q1891" s="7"/>
      <c r="V1891" s="7"/>
      <c r="W1891" s="7"/>
      <c r="X1891" s="7"/>
      <c r="Y1891" s="7"/>
      <c r="Z1891" s="7"/>
      <c r="AA1891" s="7"/>
      <c r="AB1891" s="7"/>
      <c r="AC1891" s="7"/>
      <c r="AD1891" s="7"/>
      <c r="AE1891" s="7"/>
      <c r="AF1891" s="7"/>
      <c r="AH1891" s="7"/>
      <c r="AI1891" s="7"/>
      <c r="AJ1891" s="7"/>
      <c r="AL1891" s="7"/>
      <c r="AM1891" s="7"/>
      <c r="AN1891" s="7"/>
      <c r="AP1891" s="7"/>
      <c r="AQ1891" s="7"/>
      <c r="AR1891" s="7"/>
      <c r="AS1891" s="7"/>
      <c r="AT1891" s="7"/>
      <c r="AU1891" s="7"/>
    </row>
    <row r="1892" spans="4:47" ht="13.5" x14ac:dyDescent="0.25">
      <c r="D1892" s="7"/>
      <c r="G1892" s="7"/>
      <c r="M1892" s="7"/>
      <c r="P1892" s="7"/>
      <c r="Q1892" s="7"/>
      <c r="V1892" s="7"/>
      <c r="W1892" s="7"/>
      <c r="X1892" s="7"/>
      <c r="Y1892" s="7"/>
      <c r="Z1892" s="7"/>
      <c r="AA1892" s="7"/>
      <c r="AB1892" s="7"/>
      <c r="AC1892" s="7"/>
      <c r="AD1892" s="7"/>
      <c r="AE1892" s="7"/>
      <c r="AF1892" s="7"/>
      <c r="AH1892" s="7"/>
      <c r="AI1892" s="7"/>
      <c r="AJ1892" s="7"/>
      <c r="AL1892" s="7"/>
      <c r="AM1892" s="7"/>
      <c r="AN1892" s="7"/>
      <c r="AP1892" s="7"/>
      <c r="AQ1892" s="7"/>
      <c r="AR1892" s="7"/>
      <c r="AS1892" s="7"/>
      <c r="AT1892" s="7"/>
      <c r="AU1892" s="7"/>
    </row>
    <row r="1893" spans="4:47" ht="13.5" x14ac:dyDescent="0.25">
      <c r="D1893" s="7"/>
      <c r="G1893" s="7"/>
      <c r="M1893" s="7"/>
      <c r="P1893" s="7"/>
      <c r="Q1893" s="7"/>
      <c r="V1893" s="7"/>
      <c r="W1893" s="7"/>
      <c r="X1893" s="7"/>
      <c r="Y1893" s="7"/>
      <c r="Z1893" s="7"/>
      <c r="AA1893" s="7"/>
      <c r="AB1893" s="7"/>
      <c r="AC1893" s="7"/>
      <c r="AD1893" s="7"/>
      <c r="AE1893" s="7"/>
      <c r="AF1893" s="7"/>
      <c r="AH1893" s="7"/>
      <c r="AI1893" s="7"/>
      <c r="AJ1893" s="7"/>
      <c r="AL1893" s="7"/>
      <c r="AM1893" s="7"/>
      <c r="AN1893" s="7"/>
      <c r="AP1893" s="7"/>
      <c r="AQ1893" s="7"/>
      <c r="AR1893" s="7"/>
      <c r="AS1893" s="7"/>
      <c r="AT1893" s="7"/>
      <c r="AU1893" s="7"/>
    </row>
    <row r="1894" spans="4:47" ht="13.5" x14ac:dyDescent="0.25">
      <c r="D1894" s="7"/>
      <c r="G1894" s="7"/>
      <c r="M1894" s="7"/>
      <c r="P1894" s="7"/>
      <c r="Q1894" s="7"/>
      <c r="V1894" s="7"/>
      <c r="W1894" s="7"/>
      <c r="X1894" s="7"/>
      <c r="Y1894" s="7"/>
      <c r="Z1894" s="7"/>
      <c r="AA1894" s="7"/>
      <c r="AB1894" s="7"/>
      <c r="AC1894" s="7"/>
      <c r="AD1894" s="7"/>
      <c r="AE1894" s="7"/>
      <c r="AF1894" s="7"/>
      <c r="AH1894" s="7"/>
      <c r="AI1894" s="7"/>
      <c r="AJ1894" s="7"/>
      <c r="AL1894" s="7"/>
      <c r="AM1894" s="7"/>
      <c r="AN1894" s="7"/>
      <c r="AP1894" s="7"/>
      <c r="AQ1894" s="7"/>
      <c r="AR1894" s="7"/>
      <c r="AS1894" s="7"/>
      <c r="AT1894" s="7"/>
      <c r="AU1894" s="7"/>
    </row>
    <row r="1895" spans="4:47" ht="13.5" x14ac:dyDescent="0.25">
      <c r="D1895" s="7"/>
      <c r="G1895" s="7"/>
      <c r="M1895" s="7"/>
      <c r="P1895" s="7"/>
      <c r="Q1895" s="7"/>
      <c r="V1895" s="7"/>
      <c r="W1895" s="7"/>
      <c r="X1895" s="7"/>
      <c r="Y1895" s="7"/>
      <c r="Z1895" s="7"/>
      <c r="AA1895" s="7"/>
      <c r="AB1895" s="7"/>
      <c r="AC1895" s="7"/>
      <c r="AD1895" s="7"/>
      <c r="AE1895" s="7"/>
      <c r="AF1895" s="7"/>
      <c r="AH1895" s="7"/>
      <c r="AI1895" s="7"/>
      <c r="AJ1895" s="7"/>
      <c r="AL1895" s="7"/>
      <c r="AM1895" s="7"/>
      <c r="AN1895" s="7"/>
      <c r="AP1895" s="7"/>
      <c r="AQ1895" s="7"/>
      <c r="AR1895" s="7"/>
      <c r="AS1895" s="7"/>
      <c r="AT1895" s="7"/>
      <c r="AU1895" s="7"/>
    </row>
    <row r="1896" spans="4:47" ht="13.5" x14ac:dyDescent="0.25">
      <c r="D1896" s="7"/>
      <c r="G1896" s="7"/>
      <c r="M1896" s="7"/>
      <c r="P1896" s="7"/>
      <c r="Q1896" s="7"/>
      <c r="V1896" s="7"/>
      <c r="W1896" s="7"/>
      <c r="X1896" s="7"/>
      <c r="Y1896" s="7"/>
      <c r="Z1896" s="7"/>
      <c r="AA1896" s="7"/>
      <c r="AB1896" s="7"/>
      <c r="AC1896" s="7"/>
      <c r="AD1896" s="7"/>
      <c r="AE1896" s="7"/>
      <c r="AF1896" s="7"/>
      <c r="AH1896" s="7"/>
      <c r="AI1896" s="7"/>
      <c r="AJ1896" s="7"/>
      <c r="AL1896" s="7"/>
      <c r="AM1896" s="7"/>
      <c r="AN1896" s="7"/>
      <c r="AP1896" s="7"/>
      <c r="AQ1896" s="7"/>
      <c r="AR1896" s="7"/>
      <c r="AS1896" s="7"/>
      <c r="AT1896" s="7"/>
      <c r="AU1896" s="7"/>
    </row>
    <row r="1897" spans="4:47" ht="13.5" x14ac:dyDescent="0.25">
      <c r="D1897" s="7"/>
      <c r="G1897" s="7"/>
      <c r="M1897" s="7"/>
      <c r="P1897" s="7"/>
      <c r="Q1897" s="7"/>
      <c r="V1897" s="7"/>
      <c r="W1897" s="7"/>
      <c r="X1897" s="7"/>
      <c r="Y1897" s="7"/>
      <c r="Z1897" s="7"/>
      <c r="AA1897" s="7"/>
      <c r="AB1897" s="7"/>
      <c r="AC1897" s="7"/>
      <c r="AD1897" s="7"/>
      <c r="AE1897" s="7"/>
      <c r="AF1897" s="7"/>
      <c r="AH1897" s="7"/>
      <c r="AI1897" s="7"/>
      <c r="AJ1897" s="7"/>
      <c r="AL1897" s="7"/>
      <c r="AM1897" s="7"/>
      <c r="AN1897" s="7"/>
      <c r="AP1897" s="7"/>
      <c r="AQ1897" s="7"/>
      <c r="AR1897" s="7"/>
      <c r="AS1897" s="7"/>
      <c r="AT1897" s="7"/>
      <c r="AU1897" s="7"/>
    </row>
    <row r="1898" spans="4:47" ht="13.5" x14ac:dyDescent="0.25">
      <c r="D1898" s="7"/>
      <c r="G1898" s="7"/>
      <c r="M1898" s="7"/>
      <c r="P1898" s="7"/>
      <c r="Q1898" s="7"/>
      <c r="V1898" s="7"/>
      <c r="W1898" s="7"/>
      <c r="X1898" s="7"/>
      <c r="Y1898" s="7"/>
      <c r="Z1898" s="7"/>
      <c r="AA1898" s="7"/>
      <c r="AB1898" s="7"/>
      <c r="AC1898" s="7"/>
      <c r="AD1898" s="7"/>
      <c r="AE1898" s="7"/>
      <c r="AF1898" s="7"/>
      <c r="AH1898" s="7"/>
      <c r="AI1898" s="7"/>
      <c r="AJ1898" s="7"/>
      <c r="AL1898" s="7"/>
      <c r="AM1898" s="7"/>
      <c r="AN1898" s="7"/>
      <c r="AP1898" s="7"/>
      <c r="AQ1898" s="7"/>
      <c r="AR1898" s="7"/>
      <c r="AS1898" s="7"/>
      <c r="AT1898" s="7"/>
      <c r="AU1898" s="7"/>
    </row>
    <row r="1899" spans="4:47" ht="13.5" x14ac:dyDescent="0.25">
      <c r="D1899" s="7"/>
      <c r="G1899" s="7"/>
      <c r="M1899" s="7"/>
      <c r="P1899" s="7"/>
      <c r="Q1899" s="7"/>
      <c r="V1899" s="7"/>
      <c r="W1899" s="7"/>
      <c r="X1899" s="7"/>
      <c r="Y1899" s="7"/>
      <c r="Z1899" s="7"/>
      <c r="AA1899" s="7"/>
      <c r="AB1899" s="7"/>
      <c r="AC1899" s="7"/>
      <c r="AD1899" s="7"/>
      <c r="AE1899" s="7"/>
      <c r="AF1899" s="7"/>
      <c r="AH1899" s="7"/>
      <c r="AI1899" s="7"/>
      <c r="AJ1899" s="7"/>
      <c r="AL1899" s="7"/>
      <c r="AM1899" s="7"/>
      <c r="AN1899" s="7"/>
      <c r="AP1899" s="7"/>
      <c r="AQ1899" s="7"/>
      <c r="AR1899" s="7"/>
      <c r="AS1899" s="7"/>
      <c r="AT1899" s="7"/>
      <c r="AU1899" s="7"/>
    </row>
    <row r="1900" spans="4:47" ht="13.5" x14ac:dyDescent="0.25">
      <c r="D1900" s="7"/>
      <c r="G1900" s="7"/>
      <c r="M1900" s="7"/>
      <c r="P1900" s="7"/>
      <c r="Q1900" s="7"/>
      <c r="V1900" s="7"/>
      <c r="W1900" s="7"/>
      <c r="X1900" s="7"/>
      <c r="Y1900" s="7"/>
      <c r="Z1900" s="7"/>
      <c r="AA1900" s="7"/>
      <c r="AB1900" s="7"/>
      <c r="AC1900" s="7"/>
      <c r="AD1900" s="7"/>
      <c r="AE1900" s="7"/>
      <c r="AF1900" s="7"/>
      <c r="AH1900" s="7"/>
      <c r="AI1900" s="7"/>
      <c r="AJ1900" s="7"/>
      <c r="AL1900" s="7"/>
      <c r="AM1900" s="7"/>
      <c r="AN1900" s="7"/>
      <c r="AP1900" s="7"/>
      <c r="AQ1900" s="7"/>
      <c r="AR1900" s="7"/>
      <c r="AS1900" s="7"/>
      <c r="AT1900" s="7"/>
      <c r="AU1900" s="7"/>
    </row>
    <row r="1901" spans="4:47" ht="13.5" x14ac:dyDescent="0.25">
      <c r="D1901" s="7"/>
      <c r="G1901" s="7"/>
      <c r="M1901" s="7"/>
      <c r="P1901" s="7"/>
      <c r="Q1901" s="7"/>
      <c r="V1901" s="7"/>
      <c r="W1901" s="7"/>
      <c r="X1901" s="7"/>
      <c r="Y1901" s="7"/>
      <c r="Z1901" s="7"/>
      <c r="AA1901" s="7"/>
      <c r="AB1901" s="7"/>
      <c r="AC1901" s="7"/>
      <c r="AD1901" s="7"/>
      <c r="AE1901" s="7"/>
      <c r="AF1901" s="7"/>
      <c r="AH1901" s="7"/>
      <c r="AI1901" s="7"/>
      <c r="AJ1901" s="7"/>
      <c r="AL1901" s="7"/>
      <c r="AM1901" s="7"/>
      <c r="AN1901" s="7"/>
      <c r="AP1901" s="7"/>
      <c r="AQ1901" s="7"/>
      <c r="AR1901" s="7"/>
      <c r="AS1901" s="7"/>
      <c r="AT1901" s="7"/>
      <c r="AU1901" s="7"/>
    </row>
    <row r="1902" spans="4:47" ht="13.5" x14ac:dyDescent="0.25">
      <c r="D1902" s="7"/>
      <c r="G1902" s="7"/>
      <c r="M1902" s="7"/>
      <c r="P1902" s="7"/>
      <c r="Q1902" s="7"/>
      <c r="V1902" s="7"/>
      <c r="W1902" s="7"/>
      <c r="X1902" s="7"/>
      <c r="Y1902" s="7"/>
      <c r="Z1902" s="7"/>
      <c r="AA1902" s="7"/>
      <c r="AB1902" s="7"/>
      <c r="AC1902" s="7"/>
      <c r="AD1902" s="7"/>
      <c r="AE1902" s="7"/>
      <c r="AF1902" s="7"/>
      <c r="AH1902" s="7"/>
      <c r="AI1902" s="7"/>
      <c r="AJ1902" s="7"/>
      <c r="AL1902" s="7"/>
      <c r="AM1902" s="7"/>
      <c r="AN1902" s="7"/>
      <c r="AP1902" s="7"/>
      <c r="AQ1902" s="7"/>
      <c r="AR1902" s="7"/>
      <c r="AS1902" s="7"/>
      <c r="AT1902" s="7"/>
      <c r="AU1902" s="7"/>
    </row>
    <row r="1903" spans="4:47" ht="13.5" x14ac:dyDescent="0.25">
      <c r="D1903" s="7"/>
      <c r="G1903" s="7"/>
      <c r="M1903" s="7"/>
      <c r="P1903" s="7"/>
      <c r="Q1903" s="7"/>
      <c r="V1903" s="7"/>
      <c r="W1903" s="7"/>
      <c r="X1903" s="7"/>
      <c r="Y1903" s="7"/>
      <c r="Z1903" s="7"/>
      <c r="AA1903" s="7"/>
      <c r="AB1903" s="7"/>
      <c r="AC1903" s="7"/>
      <c r="AD1903" s="7"/>
      <c r="AE1903" s="7"/>
      <c r="AF1903" s="7"/>
      <c r="AH1903" s="7"/>
      <c r="AI1903" s="7"/>
      <c r="AJ1903" s="7"/>
      <c r="AL1903" s="7"/>
      <c r="AM1903" s="7"/>
      <c r="AN1903" s="7"/>
      <c r="AP1903" s="7"/>
      <c r="AQ1903" s="7"/>
      <c r="AR1903" s="7"/>
      <c r="AS1903" s="7"/>
      <c r="AT1903" s="7"/>
      <c r="AU1903" s="7"/>
    </row>
    <row r="1904" spans="4:47" ht="13.5" x14ac:dyDescent="0.25">
      <c r="D1904" s="7"/>
      <c r="G1904" s="7"/>
      <c r="M1904" s="7"/>
      <c r="P1904" s="7"/>
      <c r="Q1904" s="7"/>
      <c r="V1904" s="7"/>
      <c r="W1904" s="7"/>
      <c r="X1904" s="7"/>
      <c r="Y1904" s="7"/>
      <c r="Z1904" s="7"/>
      <c r="AA1904" s="7"/>
      <c r="AB1904" s="7"/>
      <c r="AC1904" s="7"/>
      <c r="AD1904" s="7"/>
      <c r="AE1904" s="7"/>
      <c r="AF1904" s="7"/>
      <c r="AH1904" s="7"/>
      <c r="AI1904" s="7"/>
      <c r="AJ1904" s="7"/>
      <c r="AL1904" s="7"/>
      <c r="AM1904" s="7"/>
      <c r="AN1904" s="7"/>
      <c r="AP1904" s="7"/>
      <c r="AQ1904" s="7"/>
      <c r="AR1904" s="7"/>
      <c r="AS1904" s="7"/>
      <c r="AT1904" s="7"/>
      <c r="AU1904" s="7"/>
    </row>
    <row r="1905" spans="4:47" ht="13.5" x14ac:dyDescent="0.25">
      <c r="D1905" s="7"/>
      <c r="G1905" s="7"/>
      <c r="M1905" s="7"/>
      <c r="P1905" s="7"/>
      <c r="Q1905" s="7"/>
      <c r="V1905" s="7"/>
      <c r="W1905" s="7"/>
      <c r="X1905" s="7"/>
      <c r="Y1905" s="7"/>
      <c r="Z1905" s="7"/>
      <c r="AA1905" s="7"/>
      <c r="AB1905" s="7"/>
      <c r="AC1905" s="7"/>
      <c r="AD1905" s="7"/>
      <c r="AE1905" s="7"/>
      <c r="AF1905" s="7"/>
      <c r="AH1905" s="7"/>
      <c r="AI1905" s="7"/>
      <c r="AJ1905" s="7"/>
      <c r="AL1905" s="7"/>
      <c r="AM1905" s="7"/>
      <c r="AN1905" s="7"/>
      <c r="AP1905" s="7"/>
      <c r="AQ1905" s="7"/>
      <c r="AR1905" s="7"/>
      <c r="AS1905" s="7"/>
      <c r="AT1905" s="7"/>
      <c r="AU1905" s="7"/>
    </row>
    <row r="1906" spans="4:47" ht="13.5" x14ac:dyDescent="0.25">
      <c r="D1906" s="7"/>
      <c r="G1906" s="7"/>
      <c r="M1906" s="7"/>
      <c r="P1906" s="7"/>
      <c r="Q1906" s="7"/>
      <c r="V1906" s="7"/>
      <c r="W1906" s="7"/>
      <c r="X1906" s="7"/>
      <c r="Y1906" s="7"/>
      <c r="Z1906" s="7"/>
      <c r="AA1906" s="7"/>
      <c r="AB1906" s="7"/>
      <c r="AC1906" s="7"/>
      <c r="AD1906" s="7"/>
      <c r="AE1906" s="7"/>
      <c r="AF1906" s="7"/>
      <c r="AH1906" s="7"/>
      <c r="AI1906" s="7"/>
      <c r="AJ1906" s="7"/>
      <c r="AL1906" s="7"/>
      <c r="AM1906" s="7"/>
      <c r="AN1906" s="7"/>
      <c r="AP1906" s="7"/>
      <c r="AQ1906" s="7"/>
      <c r="AR1906" s="7"/>
      <c r="AS1906" s="7"/>
      <c r="AT1906" s="7"/>
      <c r="AU1906" s="7"/>
    </row>
    <row r="1907" spans="4:47" ht="13.5" x14ac:dyDescent="0.25">
      <c r="D1907" s="7"/>
      <c r="G1907" s="7"/>
      <c r="M1907" s="7"/>
      <c r="P1907" s="7"/>
      <c r="Q1907" s="7"/>
      <c r="V1907" s="7"/>
      <c r="W1907" s="7"/>
      <c r="X1907" s="7"/>
      <c r="Y1907" s="7"/>
      <c r="Z1907" s="7"/>
      <c r="AA1907" s="7"/>
      <c r="AB1907" s="7"/>
      <c r="AC1907" s="7"/>
      <c r="AD1907" s="7"/>
      <c r="AE1907" s="7"/>
      <c r="AF1907" s="7"/>
      <c r="AH1907" s="7"/>
      <c r="AI1907" s="7"/>
      <c r="AJ1907" s="7"/>
      <c r="AL1907" s="7"/>
      <c r="AM1907" s="7"/>
      <c r="AN1907" s="7"/>
      <c r="AP1907" s="7"/>
      <c r="AQ1907" s="7"/>
      <c r="AR1907" s="7"/>
      <c r="AS1907" s="7"/>
      <c r="AT1907" s="7"/>
      <c r="AU1907" s="7"/>
    </row>
    <row r="1908" spans="4:47" ht="13.5" x14ac:dyDescent="0.25">
      <c r="D1908" s="7"/>
      <c r="G1908" s="7"/>
      <c r="M1908" s="7"/>
      <c r="P1908" s="7"/>
      <c r="Q1908" s="7"/>
      <c r="V1908" s="7"/>
      <c r="W1908" s="7"/>
      <c r="X1908" s="7"/>
      <c r="Y1908" s="7"/>
      <c r="Z1908" s="7"/>
      <c r="AA1908" s="7"/>
      <c r="AB1908" s="7"/>
      <c r="AC1908" s="7"/>
      <c r="AD1908" s="7"/>
      <c r="AE1908" s="7"/>
      <c r="AF1908" s="7"/>
      <c r="AH1908" s="7"/>
      <c r="AI1908" s="7"/>
      <c r="AJ1908" s="7"/>
      <c r="AL1908" s="7"/>
      <c r="AM1908" s="7"/>
      <c r="AN1908" s="7"/>
      <c r="AP1908" s="7"/>
      <c r="AQ1908" s="7"/>
      <c r="AR1908" s="7"/>
      <c r="AS1908" s="7"/>
      <c r="AT1908" s="7"/>
      <c r="AU1908" s="7"/>
    </row>
    <row r="1909" spans="4:47" ht="13.5" x14ac:dyDescent="0.25">
      <c r="D1909" s="7"/>
      <c r="G1909" s="7"/>
      <c r="M1909" s="7"/>
      <c r="P1909" s="7"/>
      <c r="Q1909" s="7"/>
      <c r="V1909" s="7"/>
      <c r="W1909" s="7"/>
      <c r="X1909" s="7"/>
      <c r="Y1909" s="7"/>
      <c r="Z1909" s="7"/>
      <c r="AA1909" s="7"/>
      <c r="AB1909" s="7"/>
      <c r="AC1909" s="7"/>
      <c r="AD1909" s="7"/>
      <c r="AE1909" s="7"/>
      <c r="AF1909" s="7"/>
      <c r="AH1909" s="7"/>
      <c r="AI1909" s="7"/>
      <c r="AJ1909" s="7"/>
      <c r="AL1909" s="7"/>
      <c r="AM1909" s="7"/>
      <c r="AN1909" s="7"/>
      <c r="AP1909" s="7"/>
      <c r="AQ1909" s="7"/>
      <c r="AR1909" s="7"/>
      <c r="AS1909" s="7"/>
      <c r="AT1909" s="7"/>
      <c r="AU1909" s="7"/>
    </row>
    <row r="1910" spans="4:47" ht="13.5" x14ac:dyDescent="0.25">
      <c r="D1910" s="7"/>
      <c r="G1910" s="7"/>
      <c r="M1910" s="7"/>
      <c r="P1910" s="7"/>
      <c r="Q1910" s="7"/>
      <c r="V1910" s="7"/>
      <c r="W1910" s="7"/>
      <c r="X1910" s="7"/>
      <c r="Y1910" s="7"/>
      <c r="Z1910" s="7"/>
      <c r="AA1910" s="7"/>
      <c r="AB1910" s="7"/>
      <c r="AC1910" s="7"/>
      <c r="AD1910" s="7"/>
      <c r="AE1910" s="7"/>
      <c r="AF1910" s="7"/>
      <c r="AH1910" s="7"/>
      <c r="AI1910" s="7"/>
      <c r="AJ1910" s="7"/>
      <c r="AL1910" s="7"/>
      <c r="AM1910" s="7"/>
      <c r="AN1910" s="7"/>
      <c r="AP1910" s="7"/>
      <c r="AQ1910" s="7"/>
      <c r="AR1910" s="7"/>
      <c r="AS1910" s="7"/>
      <c r="AT1910" s="7"/>
      <c r="AU1910" s="7"/>
    </row>
    <row r="1911" spans="4:47" ht="13.5" x14ac:dyDescent="0.25">
      <c r="D1911" s="7"/>
      <c r="G1911" s="7"/>
      <c r="M1911" s="7"/>
      <c r="P1911" s="7"/>
      <c r="Q1911" s="7"/>
      <c r="V1911" s="7"/>
      <c r="W1911" s="7"/>
      <c r="X1911" s="7"/>
      <c r="Y1911" s="7"/>
      <c r="Z1911" s="7"/>
      <c r="AA1911" s="7"/>
      <c r="AB1911" s="7"/>
      <c r="AC1911" s="7"/>
      <c r="AD1911" s="7"/>
      <c r="AE1911" s="7"/>
      <c r="AF1911" s="7"/>
      <c r="AH1911" s="7"/>
      <c r="AI1911" s="7"/>
      <c r="AJ1911" s="7"/>
      <c r="AL1911" s="7"/>
      <c r="AM1911" s="7"/>
      <c r="AN1911" s="7"/>
      <c r="AP1911" s="7"/>
      <c r="AQ1911" s="7"/>
      <c r="AR1911" s="7"/>
      <c r="AS1911" s="7"/>
      <c r="AT1911" s="7"/>
      <c r="AU1911" s="7"/>
    </row>
    <row r="1912" spans="4:47" ht="13.5" x14ac:dyDescent="0.25">
      <c r="D1912" s="7"/>
      <c r="G1912" s="7"/>
      <c r="M1912" s="7"/>
      <c r="P1912" s="7"/>
      <c r="Q1912" s="7"/>
      <c r="V1912" s="7"/>
      <c r="W1912" s="7"/>
      <c r="X1912" s="7"/>
      <c r="Y1912" s="7"/>
      <c r="Z1912" s="7"/>
      <c r="AA1912" s="7"/>
      <c r="AB1912" s="7"/>
      <c r="AC1912" s="7"/>
      <c r="AD1912" s="7"/>
      <c r="AE1912" s="7"/>
      <c r="AF1912" s="7"/>
      <c r="AH1912" s="7"/>
      <c r="AI1912" s="7"/>
      <c r="AJ1912" s="7"/>
      <c r="AL1912" s="7"/>
      <c r="AM1912" s="7"/>
      <c r="AN1912" s="7"/>
      <c r="AP1912" s="7"/>
      <c r="AQ1912" s="7"/>
      <c r="AR1912" s="7"/>
      <c r="AS1912" s="7"/>
      <c r="AT1912" s="7"/>
      <c r="AU1912" s="7"/>
    </row>
    <row r="1913" spans="4:47" ht="13.5" x14ac:dyDescent="0.25">
      <c r="D1913" s="7"/>
      <c r="G1913" s="7"/>
      <c r="M1913" s="7"/>
      <c r="P1913" s="7"/>
      <c r="Q1913" s="7"/>
      <c r="V1913" s="7"/>
      <c r="W1913" s="7"/>
      <c r="X1913" s="7"/>
      <c r="Y1913" s="7"/>
      <c r="Z1913" s="7"/>
      <c r="AA1913" s="7"/>
      <c r="AB1913" s="7"/>
      <c r="AC1913" s="7"/>
      <c r="AD1913" s="7"/>
      <c r="AE1913" s="7"/>
      <c r="AF1913" s="7"/>
      <c r="AH1913" s="7"/>
      <c r="AI1913" s="7"/>
      <c r="AJ1913" s="7"/>
      <c r="AL1913" s="7"/>
      <c r="AM1913" s="7"/>
      <c r="AN1913" s="7"/>
      <c r="AP1913" s="7"/>
      <c r="AQ1913" s="7"/>
      <c r="AR1913" s="7"/>
      <c r="AS1913" s="7"/>
      <c r="AT1913" s="7"/>
      <c r="AU1913" s="7"/>
    </row>
    <row r="1914" spans="4:47" ht="13.5" x14ac:dyDescent="0.25">
      <c r="D1914" s="7"/>
      <c r="G1914" s="7"/>
      <c r="M1914" s="7"/>
      <c r="P1914" s="7"/>
      <c r="Q1914" s="7"/>
      <c r="V1914" s="7"/>
      <c r="W1914" s="7"/>
      <c r="X1914" s="7"/>
      <c r="Y1914" s="7"/>
      <c r="Z1914" s="7"/>
      <c r="AA1914" s="7"/>
      <c r="AB1914" s="7"/>
      <c r="AC1914" s="7"/>
      <c r="AD1914" s="7"/>
      <c r="AE1914" s="7"/>
      <c r="AF1914" s="7"/>
      <c r="AH1914" s="7"/>
      <c r="AI1914" s="7"/>
      <c r="AJ1914" s="7"/>
      <c r="AL1914" s="7"/>
      <c r="AM1914" s="7"/>
      <c r="AN1914" s="7"/>
      <c r="AP1914" s="7"/>
      <c r="AQ1914" s="7"/>
      <c r="AR1914" s="7"/>
      <c r="AS1914" s="7"/>
      <c r="AT1914" s="7"/>
      <c r="AU1914" s="7"/>
    </row>
    <row r="1915" spans="4:47" ht="13.5" x14ac:dyDescent="0.25">
      <c r="D1915" s="7"/>
      <c r="G1915" s="7"/>
      <c r="M1915" s="7"/>
      <c r="P1915" s="7"/>
      <c r="Q1915" s="7"/>
      <c r="V1915" s="7"/>
      <c r="W1915" s="7"/>
      <c r="X1915" s="7"/>
      <c r="Y1915" s="7"/>
      <c r="Z1915" s="7"/>
      <c r="AA1915" s="7"/>
      <c r="AB1915" s="7"/>
      <c r="AC1915" s="7"/>
      <c r="AD1915" s="7"/>
      <c r="AE1915" s="7"/>
      <c r="AF1915" s="7"/>
      <c r="AH1915" s="7"/>
      <c r="AI1915" s="7"/>
      <c r="AJ1915" s="7"/>
      <c r="AL1915" s="7"/>
      <c r="AM1915" s="7"/>
      <c r="AN1915" s="7"/>
      <c r="AP1915" s="7"/>
      <c r="AQ1915" s="7"/>
      <c r="AR1915" s="7"/>
      <c r="AS1915" s="7"/>
      <c r="AT1915" s="7"/>
      <c r="AU1915" s="7"/>
    </row>
    <row r="1916" spans="4:47" ht="13.5" x14ac:dyDescent="0.25">
      <c r="D1916" s="7"/>
      <c r="G1916" s="7"/>
      <c r="M1916" s="7"/>
      <c r="P1916" s="7"/>
      <c r="Q1916" s="7"/>
      <c r="V1916" s="7"/>
      <c r="W1916" s="7"/>
      <c r="X1916" s="7"/>
      <c r="Y1916" s="7"/>
      <c r="Z1916" s="7"/>
      <c r="AA1916" s="7"/>
      <c r="AB1916" s="7"/>
      <c r="AC1916" s="7"/>
      <c r="AD1916" s="7"/>
      <c r="AE1916" s="7"/>
      <c r="AF1916" s="7"/>
      <c r="AH1916" s="7"/>
      <c r="AI1916" s="7"/>
      <c r="AJ1916" s="7"/>
      <c r="AL1916" s="7"/>
      <c r="AM1916" s="7"/>
      <c r="AN1916" s="7"/>
      <c r="AP1916" s="7"/>
      <c r="AQ1916" s="7"/>
      <c r="AR1916" s="7"/>
      <c r="AS1916" s="7"/>
      <c r="AT1916" s="7"/>
      <c r="AU1916" s="7"/>
    </row>
    <row r="1917" spans="4:47" ht="13.5" x14ac:dyDescent="0.25">
      <c r="D1917" s="7"/>
      <c r="G1917" s="7"/>
      <c r="M1917" s="7"/>
      <c r="P1917" s="7"/>
      <c r="Q1917" s="7"/>
      <c r="V1917" s="7"/>
      <c r="W1917" s="7"/>
      <c r="X1917" s="7"/>
      <c r="Y1917" s="7"/>
      <c r="Z1917" s="7"/>
      <c r="AA1917" s="7"/>
      <c r="AB1917" s="7"/>
      <c r="AC1917" s="7"/>
      <c r="AD1917" s="7"/>
      <c r="AE1917" s="7"/>
      <c r="AF1917" s="7"/>
      <c r="AH1917" s="7"/>
      <c r="AI1917" s="7"/>
      <c r="AJ1917" s="7"/>
      <c r="AL1917" s="7"/>
      <c r="AM1917" s="7"/>
      <c r="AN1917" s="7"/>
      <c r="AP1917" s="7"/>
      <c r="AQ1917" s="7"/>
      <c r="AR1917" s="7"/>
      <c r="AS1917" s="7"/>
      <c r="AT1917" s="7"/>
      <c r="AU1917" s="7"/>
    </row>
    <row r="1918" spans="4:47" ht="13.5" x14ac:dyDescent="0.25">
      <c r="D1918" s="7"/>
      <c r="G1918" s="7"/>
      <c r="M1918" s="7"/>
      <c r="P1918" s="7"/>
      <c r="Q1918" s="7"/>
      <c r="V1918" s="7"/>
      <c r="W1918" s="7"/>
      <c r="X1918" s="7"/>
      <c r="Y1918" s="7"/>
      <c r="Z1918" s="7"/>
      <c r="AA1918" s="7"/>
      <c r="AB1918" s="7"/>
      <c r="AC1918" s="7"/>
      <c r="AD1918" s="7"/>
      <c r="AE1918" s="7"/>
      <c r="AF1918" s="7"/>
      <c r="AH1918" s="7"/>
      <c r="AI1918" s="7"/>
      <c r="AJ1918" s="7"/>
      <c r="AL1918" s="7"/>
      <c r="AM1918" s="7"/>
      <c r="AN1918" s="7"/>
      <c r="AP1918" s="7"/>
      <c r="AQ1918" s="7"/>
      <c r="AR1918" s="7"/>
      <c r="AS1918" s="7"/>
      <c r="AT1918" s="7"/>
      <c r="AU1918" s="7"/>
    </row>
    <row r="1919" spans="4:47" ht="13.5" x14ac:dyDescent="0.25">
      <c r="D1919" s="7"/>
      <c r="G1919" s="7"/>
      <c r="M1919" s="7"/>
      <c r="P1919" s="7"/>
      <c r="Q1919" s="7"/>
      <c r="V1919" s="7"/>
      <c r="W1919" s="7"/>
      <c r="X1919" s="7"/>
      <c r="Y1919" s="7"/>
      <c r="Z1919" s="7"/>
      <c r="AA1919" s="7"/>
      <c r="AB1919" s="7"/>
      <c r="AC1919" s="7"/>
      <c r="AD1919" s="7"/>
      <c r="AE1919" s="7"/>
      <c r="AF1919" s="7"/>
      <c r="AH1919" s="7"/>
      <c r="AI1919" s="7"/>
      <c r="AJ1919" s="7"/>
      <c r="AL1919" s="7"/>
      <c r="AM1919" s="7"/>
      <c r="AN1919" s="7"/>
      <c r="AP1919" s="7"/>
      <c r="AQ1919" s="7"/>
      <c r="AR1919" s="7"/>
      <c r="AS1919" s="7"/>
      <c r="AT1919" s="7"/>
      <c r="AU1919" s="7"/>
    </row>
    <row r="1920" spans="4:47" ht="13.5" x14ac:dyDescent="0.25">
      <c r="D1920" s="7"/>
      <c r="G1920" s="7"/>
      <c r="M1920" s="7"/>
      <c r="P1920" s="7"/>
      <c r="Q1920" s="7"/>
      <c r="V1920" s="7"/>
      <c r="W1920" s="7"/>
      <c r="X1920" s="7"/>
      <c r="Y1920" s="7"/>
      <c r="Z1920" s="7"/>
      <c r="AA1920" s="7"/>
      <c r="AB1920" s="7"/>
      <c r="AC1920" s="7"/>
      <c r="AD1920" s="7"/>
      <c r="AE1920" s="7"/>
      <c r="AF1920" s="7"/>
      <c r="AH1920" s="7"/>
      <c r="AI1920" s="7"/>
      <c r="AJ1920" s="7"/>
      <c r="AL1920" s="7"/>
      <c r="AM1920" s="7"/>
      <c r="AN1920" s="7"/>
      <c r="AP1920" s="7"/>
      <c r="AQ1920" s="7"/>
      <c r="AR1920" s="7"/>
      <c r="AS1920" s="7"/>
      <c r="AT1920" s="7"/>
      <c r="AU1920" s="7"/>
    </row>
    <row r="1921" spans="4:47" ht="13.5" x14ac:dyDescent="0.25">
      <c r="D1921" s="7"/>
      <c r="G1921" s="7"/>
      <c r="M1921" s="7"/>
      <c r="P1921" s="7"/>
      <c r="Q1921" s="7"/>
      <c r="V1921" s="7"/>
      <c r="W1921" s="7"/>
      <c r="X1921" s="7"/>
      <c r="Y1921" s="7"/>
      <c r="Z1921" s="7"/>
      <c r="AA1921" s="7"/>
      <c r="AB1921" s="7"/>
      <c r="AC1921" s="7"/>
      <c r="AD1921" s="7"/>
      <c r="AE1921" s="7"/>
      <c r="AF1921" s="7"/>
      <c r="AH1921" s="7"/>
      <c r="AI1921" s="7"/>
      <c r="AJ1921" s="7"/>
      <c r="AL1921" s="7"/>
      <c r="AM1921" s="7"/>
      <c r="AN1921" s="7"/>
      <c r="AP1921" s="7"/>
      <c r="AQ1921" s="7"/>
      <c r="AR1921" s="7"/>
      <c r="AS1921" s="7"/>
      <c r="AT1921" s="7"/>
      <c r="AU1921" s="7"/>
    </row>
    <row r="1922" spans="4:47" ht="13.5" x14ac:dyDescent="0.25">
      <c r="D1922" s="7"/>
      <c r="G1922" s="7"/>
      <c r="M1922" s="7"/>
      <c r="P1922" s="7"/>
      <c r="Q1922" s="7"/>
      <c r="V1922" s="7"/>
      <c r="W1922" s="7"/>
      <c r="X1922" s="7"/>
      <c r="Y1922" s="7"/>
      <c r="Z1922" s="7"/>
      <c r="AA1922" s="7"/>
      <c r="AB1922" s="7"/>
      <c r="AC1922" s="7"/>
      <c r="AD1922" s="7"/>
      <c r="AE1922" s="7"/>
      <c r="AF1922" s="7"/>
      <c r="AH1922" s="7"/>
      <c r="AI1922" s="7"/>
      <c r="AJ1922" s="7"/>
      <c r="AL1922" s="7"/>
      <c r="AM1922" s="7"/>
      <c r="AN1922" s="7"/>
      <c r="AP1922" s="7"/>
      <c r="AQ1922" s="7"/>
      <c r="AR1922" s="7"/>
      <c r="AS1922" s="7"/>
      <c r="AT1922" s="7"/>
      <c r="AU1922" s="7"/>
    </row>
    <row r="1923" spans="4:47" ht="13.5" x14ac:dyDescent="0.25">
      <c r="D1923" s="7"/>
      <c r="G1923" s="7"/>
      <c r="M1923" s="7"/>
      <c r="P1923" s="7"/>
      <c r="Q1923" s="7"/>
      <c r="V1923" s="7"/>
      <c r="W1923" s="7"/>
      <c r="X1923" s="7"/>
      <c r="Y1923" s="7"/>
      <c r="Z1923" s="7"/>
      <c r="AA1923" s="7"/>
      <c r="AB1923" s="7"/>
      <c r="AC1923" s="7"/>
      <c r="AD1923" s="7"/>
      <c r="AE1923" s="7"/>
      <c r="AF1923" s="7"/>
      <c r="AH1923" s="7"/>
      <c r="AI1923" s="7"/>
      <c r="AJ1923" s="7"/>
      <c r="AL1923" s="7"/>
      <c r="AM1923" s="7"/>
      <c r="AN1923" s="7"/>
      <c r="AP1923" s="7"/>
      <c r="AQ1923" s="7"/>
      <c r="AR1923" s="7"/>
      <c r="AS1923" s="7"/>
      <c r="AT1923" s="7"/>
      <c r="AU1923" s="7"/>
    </row>
    <row r="1924" spans="4:47" ht="13.5" x14ac:dyDescent="0.25">
      <c r="D1924" s="7"/>
      <c r="G1924" s="7"/>
      <c r="M1924" s="7"/>
      <c r="P1924" s="7"/>
      <c r="Q1924" s="7"/>
      <c r="V1924" s="7"/>
      <c r="W1924" s="7"/>
      <c r="X1924" s="7"/>
      <c r="Y1924" s="7"/>
      <c r="Z1924" s="7"/>
      <c r="AA1924" s="7"/>
      <c r="AB1924" s="7"/>
      <c r="AC1924" s="7"/>
      <c r="AD1924" s="7"/>
      <c r="AE1924" s="7"/>
      <c r="AF1924" s="7"/>
      <c r="AH1924" s="7"/>
      <c r="AI1924" s="7"/>
      <c r="AJ1924" s="7"/>
      <c r="AL1924" s="7"/>
      <c r="AM1924" s="7"/>
      <c r="AN1924" s="7"/>
      <c r="AP1924" s="7"/>
      <c r="AQ1924" s="7"/>
      <c r="AR1924" s="7"/>
      <c r="AS1924" s="7"/>
      <c r="AT1924" s="7"/>
      <c r="AU1924" s="7"/>
    </row>
    <row r="1925" spans="4:47" ht="13.5" x14ac:dyDescent="0.25">
      <c r="D1925" s="7"/>
      <c r="G1925" s="7"/>
      <c r="M1925" s="7"/>
      <c r="P1925" s="7"/>
      <c r="Q1925" s="7"/>
      <c r="V1925" s="7"/>
      <c r="W1925" s="7"/>
      <c r="X1925" s="7"/>
      <c r="Y1925" s="7"/>
      <c r="Z1925" s="7"/>
      <c r="AA1925" s="7"/>
      <c r="AB1925" s="7"/>
      <c r="AC1925" s="7"/>
      <c r="AD1925" s="7"/>
      <c r="AE1925" s="7"/>
      <c r="AF1925" s="7"/>
      <c r="AH1925" s="7"/>
      <c r="AI1925" s="7"/>
      <c r="AJ1925" s="7"/>
      <c r="AL1925" s="7"/>
      <c r="AM1925" s="7"/>
      <c r="AN1925" s="7"/>
      <c r="AP1925" s="7"/>
      <c r="AQ1925" s="7"/>
      <c r="AR1925" s="7"/>
      <c r="AS1925" s="7"/>
      <c r="AT1925" s="7"/>
      <c r="AU1925" s="7"/>
    </row>
    <row r="1926" spans="4:47" ht="13.5" x14ac:dyDescent="0.25">
      <c r="D1926" s="7"/>
      <c r="G1926" s="7"/>
      <c r="M1926" s="7"/>
      <c r="P1926" s="7"/>
      <c r="Q1926" s="7"/>
      <c r="V1926" s="7"/>
      <c r="W1926" s="7"/>
      <c r="X1926" s="7"/>
      <c r="Y1926" s="7"/>
      <c r="Z1926" s="7"/>
      <c r="AA1926" s="7"/>
      <c r="AB1926" s="7"/>
      <c r="AC1926" s="7"/>
      <c r="AD1926" s="7"/>
      <c r="AE1926" s="7"/>
      <c r="AF1926" s="7"/>
      <c r="AH1926" s="7"/>
      <c r="AI1926" s="7"/>
      <c r="AJ1926" s="7"/>
      <c r="AL1926" s="7"/>
      <c r="AM1926" s="7"/>
      <c r="AN1926" s="7"/>
      <c r="AP1926" s="7"/>
      <c r="AQ1926" s="7"/>
      <c r="AR1926" s="7"/>
      <c r="AS1926" s="7"/>
      <c r="AT1926" s="7"/>
      <c r="AU1926" s="7"/>
    </row>
    <row r="1927" spans="4:47" ht="13.5" x14ac:dyDescent="0.25">
      <c r="D1927" s="7"/>
      <c r="G1927" s="7"/>
      <c r="M1927" s="7"/>
      <c r="P1927" s="7"/>
      <c r="Q1927" s="7"/>
      <c r="V1927" s="7"/>
      <c r="W1927" s="7"/>
      <c r="X1927" s="7"/>
      <c r="Y1927" s="7"/>
      <c r="Z1927" s="7"/>
      <c r="AA1927" s="7"/>
      <c r="AB1927" s="7"/>
      <c r="AC1927" s="7"/>
      <c r="AD1927" s="7"/>
      <c r="AE1927" s="7"/>
      <c r="AF1927" s="7"/>
      <c r="AH1927" s="7"/>
      <c r="AI1927" s="7"/>
      <c r="AJ1927" s="7"/>
      <c r="AL1927" s="7"/>
      <c r="AM1927" s="7"/>
      <c r="AN1927" s="7"/>
      <c r="AP1927" s="7"/>
      <c r="AQ1927" s="7"/>
      <c r="AR1927" s="7"/>
      <c r="AS1927" s="7"/>
      <c r="AT1927" s="7"/>
      <c r="AU1927" s="7"/>
    </row>
    <row r="1928" spans="4:47" ht="13.5" x14ac:dyDescent="0.25">
      <c r="D1928" s="7"/>
      <c r="G1928" s="7"/>
      <c r="M1928" s="7"/>
      <c r="P1928" s="7"/>
      <c r="Q1928" s="7"/>
      <c r="V1928" s="7"/>
      <c r="W1928" s="7"/>
      <c r="X1928" s="7"/>
      <c r="Y1928" s="7"/>
      <c r="Z1928" s="7"/>
      <c r="AA1928" s="7"/>
      <c r="AB1928" s="7"/>
      <c r="AC1928" s="7"/>
      <c r="AD1928" s="7"/>
      <c r="AE1928" s="7"/>
      <c r="AF1928" s="7"/>
      <c r="AH1928" s="7"/>
      <c r="AI1928" s="7"/>
      <c r="AJ1928" s="7"/>
      <c r="AL1928" s="7"/>
      <c r="AM1928" s="7"/>
      <c r="AN1928" s="7"/>
      <c r="AP1928" s="7"/>
      <c r="AQ1928" s="7"/>
      <c r="AR1928" s="7"/>
      <c r="AS1928" s="7"/>
      <c r="AT1928" s="7"/>
      <c r="AU1928" s="7"/>
    </row>
    <row r="1929" spans="4:47" ht="13.5" x14ac:dyDescent="0.25">
      <c r="D1929" s="7"/>
      <c r="G1929" s="7"/>
      <c r="M1929" s="7"/>
      <c r="P1929" s="7"/>
      <c r="Q1929" s="7"/>
      <c r="V1929" s="7"/>
      <c r="W1929" s="7"/>
      <c r="X1929" s="7"/>
      <c r="Y1929" s="7"/>
      <c r="Z1929" s="7"/>
      <c r="AA1929" s="7"/>
      <c r="AB1929" s="7"/>
      <c r="AC1929" s="7"/>
      <c r="AD1929" s="7"/>
      <c r="AE1929" s="7"/>
      <c r="AF1929" s="7"/>
      <c r="AH1929" s="7"/>
      <c r="AI1929" s="7"/>
      <c r="AJ1929" s="7"/>
      <c r="AL1929" s="7"/>
      <c r="AM1929" s="7"/>
      <c r="AN1929" s="7"/>
      <c r="AP1929" s="7"/>
      <c r="AQ1929" s="7"/>
      <c r="AR1929" s="7"/>
      <c r="AS1929" s="7"/>
      <c r="AT1929" s="7"/>
      <c r="AU1929" s="7"/>
    </row>
    <row r="1930" spans="4:47" ht="13.5" x14ac:dyDescent="0.25">
      <c r="D1930" s="7"/>
      <c r="G1930" s="7"/>
      <c r="M1930" s="7"/>
      <c r="P1930" s="7"/>
      <c r="Q1930" s="7"/>
      <c r="V1930" s="7"/>
      <c r="W1930" s="7"/>
      <c r="X1930" s="7"/>
      <c r="Y1930" s="7"/>
      <c r="Z1930" s="7"/>
      <c r="AA1930" s="7"/>
      <c r="AB1930" s="7"/>
      <c r="AC1930" s="7"/>
      <c r="AD1930" s="7"/>
      <c r="AE1930" s="7"/>
      <c r="AF1930" s="7"/>
      <c r="AH1930" s="7"/>
      <c r="AI1930" s="7"/>
      <c r="AJ1930" s="7"/>
      <c r="AL1930" s="7"/>
      <c r="AM1930" s="7"/>
      <c r="AN1930" s="7"/>
      <c r="AP1930" s="7"/>
      <c r="AQ1930" s="7"/>
      <c r="AR1930" s="7"/>
      <c r="AS1930" s="7"/>
      <c r="AT1930" s="7"/>
      <c r="AU1930" s="7"/>
    </row>
    <row r="1931" spans="4:47" ht="13.5" x14ac:dyDescent="0.25">
      <c r="D1931" s="7"/>
      <c r="G1931" s="7"/>
      <c r="M1931" s="7"/>
      <c r="P1931" s="7"/>
      <c r="Q1931" s="7"/>
      <c r="V1931" s="7"/>
      <c r="W1931" s="7"/>
      <c r="X1931" s="7"/>
      <c r="Y1931" s="7"/>
      <c r="Z1931" s="7"/>
      <c r="AA1931" s="7"/>
      <c r="AB1931" s="7"/>
      <c r="AC1931" s="7"/>
      <c r="AD1931" s="7"/>
      <c r="AE1931" s="7"/>
      <c r="AF1931" s="7"/>
      <c r="AH1931" s="7"/>
      <c r="AI1931" s="7"/>
      <c r="AJ1931" s="7"/>
      <c r="AL1931" s="7"/>
      <c r="AM1931" s="7"/>
      <c r="AN1931" s="7"/>
      <c r="AP1931" s="7"/>
      <c r="AQ1931" s="7"/>
      <c r="AR1931" s="7"/>
      <c r="AS1931" s="7"/>
      <c r="AT1931" s="7"/>
      <c r="AU1931" s="7"/>
    </row>
    <row r="1932" spans="4:47" ht="13.5" x14ac:dyDescent="0.25">
      <c r="D1932" s="7"/>
      <c r="G1932" s="7"/>
      <c r="M1932" s="7"/>
      <c r="P1932" s="7"/>
      <c r="Q1932" s="7"/>
      <c r="V1932" s="7"/>
      <c r="W1932" s="7"/>
      <c r="X1932" s="7"/>
      <c r="Y1932" s="7"/>
      <c r="Z1932" s="7"/>
      <c r="AA1932" s="7"/>
      <c r="AB1932" s="7"/>
      <c r="AC1932" s="7"/>
      <c r="AD1932" s="7"/>
      <c r="AE1932" s="7"/>
      <c r="AF1932" s="7"/>
      <c r="AH1932" s="7"/>
      <c r="AI1932" s="7"/>
      <c r="AJ1932" s="7"/>
      <c r="AL1932" s="7"/>
      <c r="AM1932" s="7"/>
      <c r="AN1932" s="7"/>
      <c r="AP1932" s="7"/>
      <c r="AQ1932" s="7"/>
      <c r="AR1932" s="7"/>
      <c r="AS1932" s="7"/>
      <c r="AT1932" s="7"/>
      <c r="AU1932" s="7"/>
    </row>
    <row r="1933" spans="4:47" ht="13.5" x14ac:dyDescent="0.25">
      <c r="D1933" s="7"/>
      <c r="G1933" s="7"/>
      <c r="M1933" s="7"/>
      <c r="P1933" s="7"/>
      <c r="Q1933" s="7"/>
      <c r="V1933" s="7"/>
      <c r="W1933" s="7"/>
      <c r="X1933" s="7"/>
      <c r="Y1933" s="7"/>
      <c r="Z1933" s="7"/>
      <c r="AA1933" s="7"/>
      <c r="AB1933" s="7"/>
      <c r="AC1933" s="7"/>
      <c r="AD1933" s="7"/>
      <c r="AE1933" s="7"/>
      <c r="AF1933" s="7"/>
      <c r="AH1933" s="7"/>
      <c r="AI1933" s="7"/>
      <c r="AJ1933" s="7"/>
      <c r="AL1933" s="7"/>
      <c r="AM1933" s="7"/>
      <c r="AN1933" s="7"/>
      <c r="AP1933" s="7"/>
      <c r="AQ1933" s="7"/>
      <c r="AR1933" s="7"/>
      <c r="AS1933" s="7"/>
      <c r="AT1933" s="7"/>
      <c r="AU1933" s="7"/>
    </row>
    <row r="1934" spans="4:47" ht="13.5" x14ac:dyDescent="0.25">
      <c r="D1934" s="7"/>
      <c r="G1934" s="7"/>
      <c r="M1934" s="7"/>
      <c r="P1934" s="7"/>
      <c r="Q1934" s="7"/>
      <c r="V1934" s="7"/>
      <c r="W1934" s="7"/>
      <c r="X1934" s="7"/>
      <c r="Y1934" s="7"/>
      <c r="Z1934" s="7"/>
      <c r="AA1934" s="7"/>
      <c r="AB1934" s="7"/>
      <c r="AC1934" s="7"/>
      <c r="AD1934" s="7"/>
      <c r="AE1934" s="7"/>
      <c r="AF1934" s="7"/>
      <c r="AH1934" s="7"/>
      <c r="AI1934" s="7"/>
      <c r="AJ1934" s="7"/>
      <c r="AL1934" s="7"/>
      <c r="AM1934" s="7"/>
      <c r="AN1934" s="7"/>
      <c r="AP1934" s="7"/>
      <c r="AQ1934" s="7"/>
      <c r="AR1934" s="7"/>
      <c r="AS1934" s="7"/>
      <c r="AT1934" s="7"/>
      <c r="AU1934" s="7"/>
    </row>
    <row r="1935" spans="4:47" ht="13.5" x14ac:dyDescent="0.25">
      <c r="D1935" s="7"/>
      <c r="G1935" s="7"/>
      <c r="M1935" s="7"/>
      <c r="P1935" s="7"/>
      <c r="Q1935" s="7"/>
      <c r="V1935" s="7"/>
      <c r="W1935" s="7"/>
      <c r="X1935" s="7"/>
      <c r="Y1935" s="7"/>
      <c r="Z1935" s="7"/>
      <c r="AA1935" s="7"/>
      <c r="AB1935" s="7"/>
      <c r="AC1935" s="7"/>
      <c r="AD1935" s="7"/>
      <c r="AE1935" s="7"/>
      <c r="AF1935" s="7"/>
      <c r="AH1935" s="7"/>
      <c r="AI1935" s="7"/>
      <c r="AJ1935" s="7"/>
      <c r="AL1935" s="7"/>
      <c r="AM1935" s="7"/>
      <c r="AN1935" s="7"/>
      <c r="AP1935" s="7"/>
      <c r="AQ1935" s="7"/>
      <c r="AR1935" s="7"/>
      <c r="AS1935" s="7"/>
      <c r="AT1935" s="7"/>
      <c r="AU1935" s="7"/>
    </row>
    <row r="1936" spans="4:47" ht="13.5" x14ac:dyDescent="0.25">
      <c r="D1936" s="7"/>
      <c r="G1936" s="7"/>
      <c r="M1936" s="7"/>
      <c r="P1936" s="7"/>
      <c r="Q1936" s="7"/>
      <c r="V1936" s="7"/>
      <c r="W1936" s="7"/>
      <c r="X1936" s="7"/>
      <c r="Y1936" s="7"/>
      <c r="Z1936" s="7"/>
      <c r="AA1936" s="7"/>
      <c r="AB1936" s="7"/>
      <c r="AC1936" s="7"/>
      <c r="AD1936" s="7"/>
      <c r="AE1936" s="7"/>
      <c r="AF1936" s="7"/>
      <c r="AH1936" s="7"/>
      <c r="AI1936" s="7"/>
      <c r="AJ1936" s="7"/>
      <c r="AL1936" s="7"/>
      <c r="AM1936" s="7"/>
      <c r="AN1936" s="7"/>
      <c r="AP1936" s="7"/>
      <c r="AQ1936" s="7"/>
      <c r="AR1936" s="7"/>
      <c r="AS1936" s="7"/>
      <c r="AT1936" s="7"/>
      <c r="AU1936" s="7"/>
    </row>
    <row r="1937" spans="4:47" ht="13.5" x14ac:dyDescent="0.25">
      <c r="D1937" s="7"/>
      <c r="G1937" s="7"/>
      <c r="M1937" s="7"/>
      <c r="P1937" s="7"/>
      <c r="Q1937" s="7"/>
      <c r="V1937" s="7"/>
      <c r="W1937" s="7"/>
      <c r="X1937" s="7"/>
      <c r="Y1937" s="7"/>
      <c r="Z1937" s="7"/>
      <c r="AA1937" s="7"/>
      <c r="AB1937" s="7"/>
      <c r="AC1937" s="7"/>
      <c r="AD1937" s="7"/>
      <c r="AE1937" s="7"/>
      <c r="AF1937" s="7"/>
      <c r="AH1937" s="7"/>
      <c r="AI1937" s="7"/>
      <c r="AJ1937" s="7"/>
      <c r="AL1937" s="7"/>
      <c r="AM1937" s="7"/>
      <c r="AN1937" s="7"/>
      <c r="AP1937" s="7"/>
      <c r="AQ1937" s="7"/>
      <c r="AR1937" s="7"/>
      <c r="AS1937" s="7"/>
      <c r="AT1937" s="7"/>
      <c r="AU1937" s="7"/>
    </row>
    <row r="1938" spans="4:47" ht="13.5" x14ac:dyDescent="0.25">
      <c r="D1938" s="7"/>
      <c r="G1938" s="7"/>
      <c r="M1938" s="7"/>
      <c r="P1938" s="7"/>
      <c r="Q1938" s="7"/>
      <c r="V1938" s="7"/>
      <c r="W1938" s="7"/>
      <c r="X1938" s="7"/>
      <c r="Y1938" s="7"/>
      <c r="Z1938" s="7"/>
      <c r="AA1938" s="7"/>
      <c r="AB1938" s="7"/>
      <c r="AC1938" s="7"/>
      <c r="AD1938" s="7"/>
      <c r="AE1938" s="7"/>
      <c r="AF1938" s="7"/>
      <c r="AH1938" s="7"/>
      <c r="AI1938" s="7"/>
      <c r="AJ1938" s="7"/>
      <c r="AL1938" s="7"/>
      <c r="AM1938" s="7"/>
      <c r="AN1938" s="7"/>
      <c r="AP1938" s="7"/>
      <c r="AQ1938" s="7"/>
      <c r="AR1938" s="7"/>
      <c r="AS1938" s="7"/>
      <c r="AT1938" s="7"/>
      <c r="AU1938" s="7"/>
    </row>
    <row r="1939" spans="4:47" ht="13.5" x14ac:dyDescent="0.25">
      <c r="D1939" s="7"/>
      <c r="G1939" s="7"/>
      <c r="M1939" s="7"/>
      <c r="P1939" s="7"/>
      <c r="Q1939" s="7"/>
      <c r="V1939" s="7"/>
      <c r="W1939" s="7"/>
      <c r="X1939" s="7"/>
      <c r="Y1939" s="7"/>
      <c r="Z1939" s="7"/>
      <c r="AA1939" s="7"/>
      <c r="AB1939" s="7"/>
      <c r="AC1939" s="7"/>
      <c r="AD1939" s="7"/>
      <c r="AE1939" s="7"/>
      <c r="AF1939" s="7"/>
      <c r="AH1939" s="7"/>
      <c r="AI1939" s="7"/>
      <c r="AJ1939" s="7"/>
      <c r="AL1939" s="7"/>
      <c r="AM1939" s="7"/>
      <c r="AN1939" s="7"/>
      <c r="AP1939" s="7"/>
      <c r="AQ1939" s="7"/>
      <c r="AR1939" s="7"/>
      <c r="AS1939" s="7"/>
      <c r="AT1939" s="7"/>
      <c r="AU1939" s="7"/>
    </row>
    <row r="1940" spans="4:47" ht="13.5" x14ac:dyDescent="0.25">
      <c r="D1940" s="7"/>
      <c r="G1940" s="7"/>
      <c r="M1940" s="7"/>
      <c r="P1940" s="7"/>
      <c r="Q1940" s="7"/>
      <c r="V1940" s="7"/>
      <c r="W1940" s="7"/>
      <c r="X1940" s="7"/>
      <c r="Y1940" s="7"/>
      <c r="Z1940" s="7"/>
      <c r="AA1940" s="7"/>
      <c r="AB1940" s="7"/>
      <c r="AC1940" s="7"/>
      <c r="AD1940" s="7"/>
      <c r="AE1940" s="7"/>
      <c r="AF1940" s="7"/>
      <c r="AH1940" s="7"/>
      <c r="AI1940" s="7"/>
      <c r="AJ1940" s="7"/>
      <c r="AL1940" s="7"/>
      <c r="AM1940" s="7"/>
      <c r="AN1940" s="7"/>
      <c r="AP1940" s="7"/>
      <c r="AQ1940" s="7"/>
      <c r="AR1940" s="7"/>
      <c r="AS1940" s="7"/>
      <c r="AT1940" s="7"/>
      <c r="AU1940" s="7"/>
    </row>
    <row r="1941" spans="4:47" ht="13.5" x14ac:dyDescent="0.25">
      <c r="D1941" s="7"/>
      <c r="G1941" s="7"/>
      <c r="M1941" s="7"/>
      <c r="P1941" s="7"/>
      <c r="Q1941" s="7"/>
      <c r="V1941" s="7"/>
      <c r="W1941" s="7"/>
      <c r="X1941" s="7"/>
      <c r="Y1941" s="7"/>
      <c r="Z1941" s="7"/>
      <c r="AA1941" s="7"/>
      <c r="AB1941" s="7"/>
      <c r="AC1941" s="7"/>
      <c r="AD1941" s="7"/>
      <c r="AE1941" s="7"/>
      <c r="AF1941" s="7"/>
      <c r="AH1941" s="7"/>
      <c r="AI1941" s="7"/>
      <c r="AJ1941" s="7"/>
      <c r="AL1941" s="7"/>
      <c r="AM1941" s="7"/>
      <c r="AN1941" s="7"/>
      <c r="AP1941" s="7"/>
      <c r="AQ1941" s="7"/>
      <c r="AR1941" s="7"/>
      <c r="AS1941" s="7"/>
      <c r="AT1941" s="7"/>
      <c r="AU1941" s="7"/>
    </row>
    <row r="1942" spans="4:47" ht="13.5" x14ac:dyDescent="0.25">
      <c r="D1942" s="7"/>
      <c r="G1942" s="7"/>
      <c r="M1942" s="7"/>
      <c r="P1942" s="7"/>
      <c r="Q1942" s="7"/>
      <c r="V1942" s="7"/>
      <c r="W1942" s="7"/>
      <c r="X1942" s="7"/>
      <c r="Y1942" s="7"/>
      <c r="Z1942" s="7"/>
      <c r="AA1942" s="7"/>
      <c r="AB1942" s="7"/>
      <c r="AC1942" s="7"/>
      <c r="AD1942" s="7"/>
      <c r="AE1942" s="7"/>
      <c r="AF1942" s="7"/>
      <c r="AH1942" s="7"/>
      <c r="AI1942" s="7"/>
      <c r="AJ1942" s="7"/>
      <c r="AL1942" s="7"/>
      <c r="AM1942" s="7"/>
      <c r="AN1942" s="7"/>
      <c r="AP1942" s="7"/>
      <c r="AQ1942" s="7"/>
      <c r="AR1942" s="7"/>
      <c r="AS1942" s="7"/>
      <c r="AT1942" s="7"/>
      <c r="AU1942" s="7"/>
    </row>
    <row r="1943" spans="4:47" ht="13.5" x14ac:dyDescent="0.25">
      <c r="D1943" s="7"/>
      <c r="G1943" s="7"/>
      <c r="M1943" s="7"/>
      <c r="P1943" s="7"/>
      <c r="Q1943" s="7"/>
      <c r="V1943" s="7"/>
      <c r="W1943" s="7"/>
      <c r="X1943" s="7"/>
      <c r="Y1943" s="7"/>
      <c r="Z1943" s="7"/>
      <c r="AA1943" s="7"/>
      <c r="AB1943" s="7"/>
      <c r="AC1943" s="7"/>
      <c r="AD1943" s="7"/>
      <c r="AE1943" s="7"/>
      <c r="AF1943" s="7"/>
      <c r="AH1943" s="7"/>
      <c r="AI1943" s="7"/>
      <c r="AJ1943" s="7"/>
      <c r="AL1943" s="7"/>
      <c r="AM1943" s="7"/>
      <c r="AN1943" s="7"/>
      <c r="AP1943" s="7"/>
      <c r="AQ1943" s="7"/>
      <c r="AR1943" s="7"/>
      <c r="AS1943" s="7"/>
      <c r="AT1943" s="7"/>
      <c r="AU1943" s="7"/>
    </row>
    <row r="1944" spans="4:47" ht="13.5" x14ac:dyDescent="0.25">
      <c r="D1944" s="7"/>
      <c r="G1944" s="7"/>
      <c r="M1944" s="7"/>
      <c r="P1944" s="7"/>
      <c r="Q1944" s="7"/>
      <c r="V1944" s="7"/>
      <c r="W1944" s="7"/>
      <c r="X1944" s="7"/>
      <c r="Y1944" s="7"/>
      <c r="Z1944" s="7"/>
      <c r="AA1944" s="7"/>
      <c r="AB1944" s="7"/>
      <c r="AC1944" s="7"/>
      <c r="AD1944" s="7"/>
      <c r="AE1944" s="7"/>
      <c r="AF1944" s="7"/>
      <c r="AH1944" s="7"/>
      <c r="AI1944" s="7"/>
      <c r="AJ1944" s="7"/>
      <c r="AL1944" s="7"/>
      <c r="AM1944" s="7"/>
      <c r="AN1944" s="7"/>
      <c r="AP1944" s="7"/>
      <c r="AQ1944" s="7"/>
      <c r="AR1944" s="7"/>
      <c r="AS1944" s="7"/>
      <c r="AT1944" s="7"/>
      <c r="AU1944" s="7"/>
    </row>
    <row r="1945" spans="4:47" ht="13.5" x14ac:dyDescent="0.25">
      <c r="D1945" s="7"/>
      <c r="G1945" s="7"/>
      <c r="M1945" s="7"/>
      <c r="P1945" s="7"/>
      <c r="Q1945" s="7"/>
      <c r="V1945" s="7"/>
      <c r="W1945" s="7"/>
      <c r="X1945" s="7"/>
      <c r="Y1945" s="7"/>
      <c r="Z1945" s="7"/>
      <c r="AA1945" s="7"/>
      <c r="AB1945" s="7"/>
      <c r="AC1945" s="7"/>
      <c r="AD1945" s="7"/>
      <c r="AE1945" s="7"/>
      <c r="AF1945" s="7"/>
      <c r="AH1945" s="7"/>
      <c r="AI1945" s="7"/>
      <c r="AJ1945" s="7"/>
      <c r="AL1945" s="7"/>
      <c r="AM1945" s="7"/>
      <c r="AN1945" s="7"/>
      <c r="AP1945" s="7"/>
      <c r="AQ1945" s="7"/>
      <c r="AR1945" s="7"/>
      <c r="AS1945" s="7"/>
      <c r="AT1945" s="7"/>
      <c r="AU1945" s="7"/>
    </row>
    <row r="1946" spans="4:47" ht="13.5" x14ac:dyDescent="0.25">
      <c r="D1946" s="7"/>
      <c r="G1946" s="7"/>
      <c r="M1946" s="7"/>
      <c r="P1946" s="7"/>
      <c r="Q1946" s="7"/>
      <c r="V1946" s="7"/>
      <c r="W1946" s="7"/>
      <c r="X1946" s="7"/>
      <c r="Y1946" s="7"/>
      <c r="Z1946" s="7"/>
      <c r="AA1946" s="7"/>
      <c r="AB1946" s="7"/>
      <c r="AC1946" s="7"/>
      <c r="AD1946" s="7"/>
      <c r="AE1946" s="7"/>
      <c r="AF1946" s="7"/>
      <c r="AH1946" s="7"/>
      <c r="AI1946" s="7"/>
      <c r="AJ1946" s="7"/>
      <c r="AL1946" s="7"/>
      <c r="AM1946" s="7"/>
      <c r="AN1946" s="7"/>
      <c r="AP1946" s="7"/>
      <c r="AQ1946" s="7"/>
      <c r="AR1946" s="7"/>
      <c r="AS1946" s="7"/>
      <c r="AT1946" s="7"/>
      <c r="AU1946" s="7"/>
    </row>
    <row r="1947" spans="4:47" ht="13.5" x14ac:dyDescent="0.25">
      <c r="D1947" s="7"/>
      <c r="G1947" s="7"/>
      <c r="M1947" s="7"/>
      <c r="P1947" s="7"/>
      <c r="Q1947" s="7"/>
      <c r="V1947" s="7"/>
      <c r="W1947" s="7"/>
      <c r="X1947" s="7"/>
      <c r="Y1947" s="7"/>
      <c r="Z1947" s="7"/>
      <c r="AA1947" s="7"/>
      <c r="AB1947" s="7"/>
      <c r="AC1947" s="7"/>
      <c r="AD1947" s="7"/>
      <c r="AE1947" s="7"/>
      <c r="AF1947" s="7"/>
      <c r="AH1947" s="7"/>
      <c r="AI1947" s="7"/>
      <c r="AJ1947" s="7"/>
      <c r="AL1947" s="7"/>
      <c r="AM1947" s="7"/>
      <c r="AN1947" s="7"/>
      <c r="AP1947" s="7"/>
      <c r="AQ1947" s="7"/>
      <c r="AR1947" s="7"/>
      <c r="AS1947" s="7"/>
      <c r="AT1947" s="7"/>
      <c r="AU1947" s="7"/>
    </row>
    <row r="1948" spans="4:47" ht="13.5" x14ac:dyDescent="0.25">
      <c r="D1948" s="7"/>
      <c r="G1948" s="7"/>
      <c r="M1948" s="7"/>
      <c r="P1948" s="7"/>
      <c r="Q1948" s="7"/>
      <c r="V1948" s="7"/>
      <c r="W1948" s="7"/>
      <c r="X1948" s="7"/>
      <c r="Y1948" s="7"/>
      <c r="Z1948" s="7"/>
      <c r="AA1948" s="7"/>
      <c r="AB1948" s="7"/>
      <c r="AC1948" s="7"/>
      <c r="AD1948" s="7"/>
      <c r="AE1948" s="7"/>
      <c r="AF1948" s="7"/>
      <c r="AH1948" s="7"/>
      <c r="AI1948" s="7"/>
      <c r="AJ1948" s="7"/>
      <c r="AL1948" s="7"/>
      <c r="AM1948" s="7"/>
      <c r="AN1948" s="7"/>
      <c r="AP1948" s="7"/>
      <c r="AQ1948" s="7"/>
      <c r="AR1948" s="7"/>
      <c r="AS1948" s="7"/>
      <c r="AT1948" s="7"/>
      <c r="AU1948" s="7"/>
    </row>
    <row r="1949" spans="4:47" ht="13.5" x14ac:dyDescent="0.25">
      <c r="D1949" s="7"/>
      <c r="G1949" s="7"/>
      <c r="M1949" s="7"/>
      <c r="P1949" s="7"/>
      <c r="Q1949" s="7"/>
      <c r="V1949" s="7"/>
      <c r="W1949" s="7"/>
      <c r="X1949" s="7"/>
      <c r="Y1949" s="7"/>
      <c r="Z1949" s="7"/>
      <c r="AA1949" s="7"/>
      <c r="AB1949" s="7"/>
      <c r="AC1949" s="7"/>
      <c r="AD1949" s="7"/>
      <c r="AE1949" s="7"/>
      <c r="AF1949" s="7"/>
      <c r="AH1949" s="7"/>
      <c r="AI1949" s="7"/>
      <c r="AJ1949" s="7"/>
      <c r="AL1949" s="7"/>
      <c r="AM1949" s="7"/>
      <c r="AN1949" s="7"/>
      <c r="AP1949" s="7"/>
      <c r="AQ1949" s="7"/>
      <c r="AR1949" s="7"/>
      <c r="AS1949" s="7"/>
      <c r="AT1949" s="7"/>
      <c r="AU1949" s="7"/>
    </row>
    <row r="1950" spans="4:47" ht="13.5" x14ac:dyDescent="0.25">
      <c r="D1950" s="7"/>
      <c r="G1950" s="7"/>
      <c r="M1950" s="7"/>
      <c r="P1950" s="7"/>
      <c r="Q1950" s="7"/>
      <c r="V1950" s="7"/>
      <c r="W1950" s="7"/>
      <c r="X1950" s="7"/>
      <c r="Y1950" s="7"/>
      <c r="Z1950" s="7"/>
      <c r="AA1950" s="7"/>
      <c r="AB1950" s="7"/>
      <c r="AC1950" s="7"/>
      <c r="AD1950" s="7"/>
      <c r="AE1950" s="7"/>
      <c r="AF1950" s="7"/>
      <c r="AH1950" s="7"/>
      <c r="AI1950" s="7"/>
      <c r="AJ1950" s="7"/>
      <c r="AL1950" s="7"/>
      <c r="AM1950" s="7"/>
      <c r="AN1950" s="7"/>
      <c r="AP1950" s="7"/>
      <c r="AQ1950" s="7"/>
      <c r="AR1950" s="7"/>
      <c r="AS1950" s="7"/>
      <c r="AT1950" s="7"/>
      <c r="AU1950" s="7"/>
    </row>
    <row r="1951" spans="4:47" ht="13.5" x14ac:dyDescent="0.25">
      <c r="D1951" s="7"/>
      <c r="G1951" s="7"/>
      <c r="M1951" s="7"/>
      <c r="P1951" s="7"/>
      <c r="Q1951" s="7"/>
      <c r="V1951" s="7"/>
      <c r="W1951" s="7"/>
      <c r="X1951" s="7"/>
      <c r="Y1951" s="7"/>
      <c r="Z1951" s="7"/>
      <c r="AA1951" s="7"/>
      <c r="AB1951" s="7"/>
      <c r="AC1951" s="7"/>
      <c r="AD1951" s="7"/>
      <c r="AE1951" s="7"/>
      <c r="AF1951" s="7"/>
      <c r="AH1951" s="7"/>
      <c r="AI1951" s="7"/>
      <c r="AJ1951" s="7"/>
      <c r="AL1951" s="7"/>
      <c r="AM1951" s="7"/>
      <c r="AN1951" s="7"/>
      <c r="AP1951" s="7"/>
      <c r="AQ1951" s="7"/>
      <c r="AR1951" s="7"/>
      <c r="AS1951" s="7"/>
      <c r="AT1951" s="7"/>
      <c r="AU1951" s="7"/>
    </row>
    <row r="1952" spans="4:47" ht="13.5" x14ac:dyDescent="0.25">
      <c r="D1952" s="7"/>
      <c r="G1952" s="7"/>
      <c r="M1952" s="7"/>
      <c r="P1952" s="7"/>
      <c r="Q1952" s="7"/>
      <c r="V1952" s="7"/>
      <c r="W1952" s="7"/>
      <c r="X1952" s="7"/>
      <c r="Y1952" s="7"/>
      <c r="Z1952" s="7"/>
      <c r="AA1952" s="7"/>
      <c r="AB1952" s="7"/>
      <c r="AC1952" s="7"/>
      <c r="AD1952" s="7"/>
      <c r="AE1952" s="7"/>
      <c r="AF1952" s="7"/>
      <c r="AH1952" s="7"/>
      <c r="AI1952" s="7"/>
      <c r="AJ1952" s="7"/>
      <c r="AL1952" s="7"/>
      <c r="AM1952" s="7"/>
      <c r="AN1952" s="7"/>
      <c r="AP1952" s="7"/>
      <c r="AQ1952" s="7"/>
      <c r="AR1952" s="7"/>
      <c r="AS1952" s="7"/>
      <c r="AT1952" s="7"/>
      <c r="AU1952" s="7"/>
    </row>
    <row r="1953" spans="4:47" ht="13.5" x14ac:dyDescent="0.25">
      <c r="D1953" s="7"/>
      <c r="G1953" s="7"/>
      <c r="M1953" s="7"/>
      <c r="P1953" s="7"/>
      <c r="Q1953" s="7"/>
      <c r="V1953" s="7"/>
      <c r="W1953" s="7"/>
      <c r="X1953" s="7"/>
      <c r="Y1953" s="7"/>
      <c r="Z1953" s="7"/>
      <c r="AA1953" s="7"/>
      <c r="AB1953" s="7"/>
      <c r="AC1953" s="7"/>
      <c r="AD1953" s="7"/>
      <c r="AE1953" s="7"/>
      <c r="AF1953" s="7"/>
      <c r="AH1953" s="7"/>
      <c r="AI1953" s="7"/>
      <c r="AJ1953" s="7"/>
      <c r="AL1953" s="7"/>
      <c r="AM1953" s="7"/>
      <c r="AN1953" s="7"/>
      <c r="AP1953" s="7"/>
      <c r="AQ1953" s="7"/>
      <c r="AR1953" s="7"/>
      <c r="AS1953" s="7"/>
      <c r="AT1953" s="7"/>
      <c r="AU1953" s="7"/>
    </row>
    <row r="1954" spans="4:47" ht="13.5" x14ac:dyDescent="0.25">
      <c r="D1954" s="7"/>
      <c r="G1954" s="7"/>
      <c r="M1954" s="7"/>
      <c r="P1954" s="7"/>
      <c r="Q1954" s="7"/>
      <c r="V1954" s="7"/>
      <c r="W1954" s="7"/>
      <c r="X1954" s="7"/>
      <c r="Y1954" s="7"/>
      <c r="Z1954" s="7"/>
      <c r="AA1954" s="7"/>
      <c r="AB1954" s="7"/>
      <c r="AC1954" s="7"/>
      <c r="AD1954" s="7"/>
      <c r="AE1954" s="7"/>
      <c r="AF1954" s="7"/>
      <c r="AH1954" s="7"/>
      <c r="AI1954" s="7"/>
      <c r="AJ1954" s="7"/>
      <c r="AL1954" s="7"/>
      <c r="AM1954" s="7"/>
      <c r="AN1954" s="7"/>
      <c r="AP1954" s="7"/>
      <c r="AQ1954" s="7"/>
      <c r="AR1954" s="7"/>
      <c r="AS1954" s="7"/>
      <c r="AT1954" s="7"/>
      <c r="AU1954" s="7"/>
    </row>
    <row r="1955" spans="4:47" ht="13.5" x14ac:dyDescent="0.25">
      <c r="D1955" s="7"/>
      <c r="G1955" s="7"/>
      <c r="M1955" s="7"/>
      <c r="P1955" s="7"/>
      <c r="Q1955" s="7"/>
      <c r="V1955" s="7"/>
      <c r="W1955" s="7"/>
      <c r="X1955" s="7"/>
      <c r="Y1955" s="7"/>
      <c r="Z1955" s="7"/>
      <c r="AA1955" s="7"/>
      <c r="AB1955" s="7"/>
      <c r="AC1955" s="7"/>
      <c r="AD1955" s="7"/>
      <c r="AE1955" s="7"/>
      <c r="AF1955" s="7"/>
      <c r="AH1955" s="7"/>
      <c r="AI1955" s="7"/>
      <c r="AJ1955" s="7"/>
      <c r="AL1955" s="7"/>
      <c r="AM1955" s="7"/>
      <c r="AN1955" s="7"/>
      <c r="AP1955" s="7"/>
      <c r="AQ1955" s="7"/>
      <c r="AR1955" s="7"/>
      <c r="AS1955" s="7"/>
      <c r="AT1955" s="7"/>
      <c r="AU1955" s="7"/>
    </row>
    <row r="1956" spans="4:47" ht="13.5" x14ac:dyDescent="0.25">
      <c r="D1956" s="7"/>
      <c r="G1956" s="7"/>
      <c r="M1956" s="7"/>
      <c r="P1956" s="7"/>
      <c r="Q1956" s="7"/>
      <c r="V1956" s="7"/>
      <c r="W1956" s="7"/>
      <c r="X1956" s="7"/>
      <c r="Y1956" s="7"/>
      <c r="Z1956" s="7"/>
      <c r="AA1956" s="7"/>
      <c r="AB1956" s="7"/>
      <c r="AC1956" s="7"/>
      <c r="AD1956" s="7"/>
      <c r="AE1956" s="7"/>
      <c r="AF1956" s="7"/>
      <c r="AH1956" s="7"/>
      <c r="AI1956" s="7"/>
      <c r="AJ1956" s="7"/>
      <c r="AL1956" s="7"/>
      <c r="AM1956" s="7"/>
      <c r="AN1956" s="7"/>
      <c r="AP1956" s="7"/>
      <c r="AQ1956" s="7"/>
      <c r="AR1956" s="7"/>
      <c r="AS1956" s="7"/>
      <c r="AT1956" s="7"/>
      <c r="AU1956" s="7"/>
    </row>
    <row r="1957" spans="4:47" ht="13.5" x14ac:dyDescent="0.25">
      <c r="D1957" s="7"/>
      <c r="G1957" s="7"/>
      <c r="M1957" s="7"/>
      <c r="P1957" s="7"/>
      <c r="Q1957" s="7"/>
      <c r="V1957" s="7"/>
      <c r="W1957" s="7"/>
      <c r="X1957" s="7"/>
      <c r="Y1957" s="7"/>
      <c r="Z1957" s="7"/>
      <c r="AA1957" s="7"/>
      <c r="AB1957" s="7"/>
      <c r="AC1957" s="7"/>
      <c r="AD1957" s="7"/>
      <c r="AE1957" s="7"/>
      <c r="AF1957" s="7"/>
      <c r="AH1957" s="7"/>
      <c r="AI1957" s="7"/>
      <c r="AJ1957" s="7"/>
      <c r="AL1957" s="7"/>
      <c r="AM1957" s="7"/>
      <c r="AN1957" s="7"/>
      <c r="AP1957" s="7"/>
      <c r="AQ1957" s="7"/>
      <c r="AR1957" s="7"/>
      <c r="AS1957" s="7"/>
      <c r="AT1957" s="7"/>
      <c r="AU1957" s="7"/>
    </row>
    <row r="1958" spans="4:47" ht="13.5" x14ac:dyDescent="0.25">
      <c r="D1958" s="7"/>
      <c r="G1958" s="7"/>
      <c r="M1958" s="7"/>
      <c r="P1958" s="7"/>
      <c r="Q1958" s="7"/>
      <c r="V1958" s="7"/>
      <c r="W1958" s="7"/>
      <c r="X1958" s="7"/>
      <c r="Y1958" s="7"/>
      <c r="Z1958" s="7"/>
      <c r="AA1958" s="7"/>
      <c r="AB1958" s="7"/>
      <c r="AC1958" s="7"/>
      <c r="AD1958" s="7"/>
      <c r="AE1958" s="7"/>
      <c r="AF1958" s="7"/>
      <c r="AH1958" s="7"/>
      <c r="AI1958" s="7"/>
      <c r="AJ1958" s="7"/>
      <c r="AL1958" s="7"/>
      <c r="AM1958" s="7"/>
      <c r="AN1958" s="7"/>
      <c r="AP1958" s="7"/>
      <c r="AQ1958" s="7"/>
      <c r="AR1958" s="7"/>
      <c r="AS1958" s="7"/>
      <c r="AT1958" s="7"/>
      <c r="AU1958" s="7"/>
    </row>
    <row r="1959" spans="4:47" ht="13.5" x14ac:dyDescent="0.25">
      <c r="D1959" s="7"/>
      <c r="G1959" s="7"/>
      <c r="M1959" s="7"/>
      <c r="P1959" s="7"/>
      <c r="Q1959" s="7"/>
      <c r="V1959" s="7"/>
      <c r="W1959" s="7"/>
      <c r="X1959" s="7"/>
      <c r="Y1959" s="7"/>
      <c r="Z1959" s="7"/>
      <c r="AA1959" s="7"/>
      <c r="AB1959" s="7"/>
      <c r="AC1959" s="7"/>
      <c r="AD1959" s="7"/>
      <c r="AE1959" s="7"/>
      <c r="AF1959" s="7"/>
      <c r="AH1959" s="7"/>
      <c r="AI1959" s="7"/>
      <c r="AJ1959" s="7"/>
      <c r="AL1959" s="7"/>
      <c r="AM1959" s="7"/>
      <c r="AN1959" s="7"/>
      <c r="AP1959" s="7"/>
      <c r="AQ1959" s="7"/>
      <c r="AR1959" s="7"/>
      <c r="AS1959" s="7"/>
      <c r="AT1959" s="7"/>
      <c r="AU1959" s="7"/>
    </row>
    <row r="1960" spans="4:47" ht="13.5" x14ac:dyDescent="0.25">
      <c r="D1960" s="7"/>
      <c r="G1960" s="7"/>
      <c r="M1960" s="7"/>
      <c r="P1960" s="7"/>
      <c r="Q1960" s="7"/>
      <c r="V1960" s="7"/>
      <c r="W1960" s="7"/>
      <c r="X1960" s="7"/>
      <c r="Y1960" s="7"/>
      <c r="Z1960" s="7"/>
      <c r="AA1960" s="7"/>
      <c r="AB1960" s="7"/>
      <c r="AC1960" s="7"/>
      <c r="AD1960" s="7"/>
      <c r="AE1960" s="7"/>
      <c r="AF1960" s="7"/>
      <c r="AH1960" s="7"/>
      <c r="AI1960" s="7"/>
      <c r="AJ1960" s="7"/>
      <c r="AL1960" s="7"/>
      <c r="AM1960" s="7"/>
      <c r="AN1960" s="7"/>
      <c r="AP1960" s="7"/>
      <c r="AQ1960" s="7"/>
      <c r="AR1960" s="7"/>
      <c r="AS1960" s="7"/>
      <c r="AT1960" s="7"/>
      <c r="AU1960" s="7"/>
    </row>
    <row r="1961" spans="4:47" ht="13.5" x14ac:dyDescent="0.25">
      <c r="D1961" s="7"/>
      <c r="G1961" s="7"/>
      <c r="M1961" s="7"/>
      <c r="P1961" s="7"/>
      <c r="Q1961" s="7"/>
      <c r="V1961" s="7"/>
      <c r="W1961" s="7"/>
      <c r="X1961" s="7"/>
      <c r="Y1961" s="7"/>
      <c r="Z1961" s="7"/>
      <c r="AA1961" s="7"/>
      <c r="AB1961" s="7"/>
      <c r="AC1961" s="7"/>
      <c r="AD1961" s="7"/>
      <c r="AE1961" s="7"/>
      <c r="AF1961" s="7"/>
      <c r="AH1961" s="7"/>
      <c r="AI1961" s="7"/>
      <c r="AJ1961" s="7"/>
      <c r="AL1961" s="7"/>
      <c r="AM1961" s="7"/>
      <c r="AN1961" s="7"/>
      <c r="AP1961" s="7"/>
      <c r="AQ1961" s="7"/>
      <c r="AR1961" s="7"/>
      <c r="AS1961" s="7"/>
      <c r="AT1961" s="7"/>
      <c r="AU1961" s="7"/>
    </row>
    <row r="1962" spans="4:47" ht="13.5" x14ac:dyDescent="0.25">
      <c r="D1962" s="7"/>
      <c r="G1962" s="7"/>
      <c r="M1962" s="7"/>
      <c r="P1962" s="7"/>
      <c r="Q1962" s="7"/>
      <c r="V1962" s="7"/>
      <c r="W1962" s="7"/>
      <c r="X1962" s="7"/>
      <c r="Y1962" s="7"/>
      <c r="Z1962" s="7"/>
      <c r="AA1962" s="7"/>
      <c r="AB1962" s="7"/>
      <c r="AC1962" s="7"/>
      <c r="AD1962" s="7"/>
      <c r="AE1962" s="7"/>
      <c r="AF1962" s="7"/>
      <c r="AH1962" s="7"/>
      <c r="AI1962" s="7"/>
      <c r="AJ1962" s="7"/>
      <c r="AL1962" s="7"/>
      <c r="AM1962" s="7"/>
      <c r="AN1962" s="7"/>
      <c r="AP1962" s="7"/>
      <c r="AQ1962" s="7"/>
      <c r="AR1962" s="7"/>
      <c r="AS1962" s="7"/>
      <c r="AT1962" s="7"/>
      <c r="AU1962" s="7"/>
    </row>
    <row r="1963" spans="4:47" ht="13.5" x14ac:dyDescent="0.25">
      <c r="D1963" s="7"/>
      <c r="G1963" s="7"/>
      <c r="M1963" s="7"/>
      <c r="P1963" s="7"/>
      <c r="Q1963" s="7"/>
      <c r="V1963" s="7"/>
      <c r="W1963" s="7"/>
      <c r="X1963" s="7"/>
      <c r="Y1963" s="7"/>
      <c r="Z1963" s="7"/>
      <c r="AA1963" s="7"/>
      <c r="AB1963" s="7"/>
      <c r="AC1963" s="7"/>
      <c r="AD1963" s="7"/>
      <c r="AE1963" s="7"/>
      <c r="AF1963" s="7"/>
      <c r="AH1963" s="7"/>
      <c r="AI1963" s="7"/>
      <c r="AJ1963" s="7"/>
      <c r="AL1963" s="7"/>
      <c r="AM1963" s="7"/>
      <c r="AN1963" s="7"/>
      <c r="AP1963" s="7"/>
      <c r="AQ1963" s="7"/>
      <c r="AR1963" s="7"/>
      <c r="AS1963" s="7"/>
      <c r="AT1963" s="7"/>
      <c r="AU1963" s="7"/>
    </row>
    <row r="1964" spans="4:47" ht="13.5" x14ac:dyDescent="0.25">
      <c r="D1964" s="7"/>
      <c r="G1964" s="7"/>
      <c r="M1964" s="7"/>
      <c r="P1964" s="7"/>
      <c r="Q1964" s="7"/>
      <c r="V1964" s="7"/>
      <c r="W1964" s="7"/>
      <c r="X1964" s="7"/>
      <c r="Y1964" s="7"/>
      <c r="Z1964" s="7"/>
      <c r="AA1964" s="7"/>
      <c r="AB1964" s="7"/>
      <c r="AC1964" s="7"/>
      <c r="AD1964" s="7"/>
      <c r="AE1964" s="7"/>
      <c r="AF1964" s="7"/>
      <c r="AH1964" s="7"/>
      <c r="AI1964" s="7"/>
      <c r="AJ1964" s="7"/>
      <c r="AL1964" s="7"/>
      <c r="AM1964" s="7"/>
      <c r="AN1964" s="7"/>
      <c r="AP1964" s="7"/>
      <c r="AQ1964" s="7"/>
      <c r="AR1964" s="7"/>
      <c r="AS1964" s="7"/>
      <c r="AT1964" s="7"/>
      <c r="AU1964" s="7"/>
    </row>
    <row r="1965" spans="4:47" ht="13.5" x14ac:dyDescent="0.25">
      <c r="D1965" s="7"/>
      <c r="G1965" s="7"/>
      <c r="M1965" s="7"/>
      <c r="P1965" s="7"/>
      <c r="Q1965" s="7"/>
      <c r="V1965" s="7"/>
      <c r="W1965" s="7"/>
      <c r="X1965" s="7"/>
      <c r="Y1965" s="7"/>
      <c r="Z1965" s="7"/>
      <c r="AA1965" s="7"/>
      <c r="AB1965" s="7"/>
      <c r="AC1965" s="7"/>
      <c r="AD1965" s="7"/>
      <c r="AE1965" s="7"/>
      <c r="AF1965" s="7"/>
      <c r="AH1965" s="7"/>
      <c r="AI1965" s="7"/>
      <c r="AJ1965" s="7"/>
      <c r="AL1965" s="7"/>
      <c r="AM1965" s="7"/>
      <c r="AN1965" s="7"/>
      <c r="AP1965" s="7"/>
      <c r="AQ1965" s="7"/>
      <c r="AR1965" s="7"/>
      <c r="AS1965" s="7"/>
      <c r="AT1965" s="7"/>
      <c r="AU1965" s="7"/>
    </row>
    <row r="1966" spans="4:47" ht="13.5" x14ac:dyDescent="0.25">
      <c r="D1966" s="7"/>
      <c r="G1966" s="7"/>
      <c r="M1966" s="7"/>
      <c r="P1966" s="7"/>
      <c r="Q1966" s="7"/>
      <c r="V1966" s="7"/>
      <c r="W1966" s="7"/>
      <c r="X1966" s="7"/>
      <c r="Y1966" s="7"/>
      <c r="Z1966" s="7"/>
      <c r="AA1966" s="7"/>
      <c r="AB1966" s="7"/>
      <c r="AC1966" s="7"/>
      <c r="AD1966" s="7"/>
      <c r="AE1966" s="7"/>
      <c r="AF1966" s="7"/>
      <c r="AH1966" s="7"/>
      <c r="AI1966" s="7"/>
      <c r="AJ1966" s="7"/>
      <c r="AL1966" s="7"/>
      <c r="AM1966" s="7"/>
      <c r="AN1966" s="7"/>
      <c r="AP1966" s="7"/>
      <c r="AQ1966" s="7"/>
      <c r="AR1966" s="7"/>
      <c r="AS1966" s="7"/>
      <c r="AT1966" s="7"/>
      <c r="AU1966" s="7"/>
    </row>
    <row r="1967" spans="4:47" ht="13.5" x14ac:dyDescent="0.25">
      <c r="D1967" s="7"/>
      <c r="G1967" s="7"/>
      <c r="M1967" s="7"/>
      <c r="P1967" s="7"/>
      <c r="Q1967" s="7"/>
      <c r="V1967" s="7"/>
      <c r="W1967" s="7"/>
      <c r="X1967" s="7"/>
      <c r="Y1967" s="7"/>
      <c r="Z1967" s="7"/>
      <c r="AA1967" s="7"/>
      <c r="AB1967" s="7"/>
      <c r="AC1967" s="7"/>
      <c r="AD1967" s="7"/>
      <c r="AE1967" s="7"/>
      <c r="AF1967" s="7"/>
      <c r="AH1967" s="7"/>
      <c r="AI1967" s="7"/>
      <c r="AJ1967" s="7"/>
      <c r="AL1967" s="7"/>
      <c r="AM1967" s="7"/>
      <c r="AN1967" s="7"/>
      <c r="AP1967" s="7"/>
      <c r="AQ1967" s="7"/>
      <c r="AR1967" s="7"/>
      <c r="AS1967" s="7"/>
      <c r="AT1967" s="7"/>
      <c r="AU1967" s="7"/>
    </row>
    <row r="1968" spans="4:47" ht="13.5" x14ac:dyDescent="0.25">
      <c r="D1968" s="7"/>
      <c r="G1968" s="7"/>
      <c r="M1968" s="7"/>
      <c r="P1968" s="7"/>
      <c r="Q1968" s="7"/>
      <c r="V1968" s="7"/>
      <c r="W1968" s="7"/>
      <c r="X1968" s="7"/>
      <c r="Y1968" s="7"/>
      <c r="Z1968" s="7"/>
      <c r="AA1968" s="7"/>
      <c r="AB1968" s="7"/>
      <c r="AC1968" s="7"/>
      <c r="AD1968" s="7"/>
      <c r="AE1968" s="7"/>
      <c r="AF1968" s="7"/>
      <c r="AH1968" s="7"/>
      <c r="AI1968" s="7"/>
      <c r="AJ1968" s="7"/>
      <c r="AL1968" s="7"/>
      <c r="AM1968" s="7"/>
      <c r="AN1968" s="7"/>
      <c r="AP1968" s="7"/>
      <c r="AQ1968" s="7"/>
      <c r="AR1968" s="7"/>
      <c r="AS1968" s="7"/>
      <c r="AT1968" s="7"/>
      <c r="AU1968" s="7"/>
    </row>
    <row r="1969" spans="4:47" ht="13.5" x14ac:dyDescent="0.25">
      <c r="D1969" s="7"/>
      <c r="G1969" s="7"/>
      <c r="M1969" s="7"/>
      <c r="P1969" s="7"/>
      <c r="Q1969" s="7"/>
      <c r="V1969" s="7"/>
      <c r="W1969" s="7"/>
      <c r="X1969" s="7"/>
      <c r="Y1969" s="7"/>
      <c r="Z1969" s="7"/>
      <c r="AA1969" s="7"/>
      <c r="AB1969" s="7"/>
      <c r="AC1969" s="7"/>
      <c r="AD1969" s="7"/>
      <c r="AE1969" s="7"/>
      <c r="AF1969" s="7"/>
      <c r="AH1969" s="7"/>
      <c r="AI1969" s="7"/>
      <c r="AJ1969" s="7"/>
      <c r="AL1969" s="7"/>
      <c r="AM1969" s="7"/>
      <c r="AN1969" s="7"/>
      <c r="AP1969" s="7"/>
      <c r="AQ1969" s="7"/>
      <c r="AR1969" s="7"/>
      <c r="AS1969" s="7"/>
      <c r="AT1969" s="7"/>
      <c r="AU1969" s="7"/>
    </row>
    <row r="1970" spans="4:47" ht="13.5" x14ac:dyDescent="0.25">
      <c r="D1970" s="7"/>
      <c r="G1970" s="7"/>
      <c r="M1970" s="7"/>
      <c r="P1970" s="7"/>
      <c r="Q1970" s="7"/>
      <c r="V1970" s="7"/>
      <c r="W1970" s="7"/>
      <c r="X1970" s="7"/>
      <c r="Y1970" s="7"/>
      <c r="Z1970" s="7"/>
      <c r="AA1970" s="7"/>
      <c r="AB1970" s="7"/>
      <c r="AC1970" s="7"/>
      <c r="AD1970" s="7"/>
      <c r="AE1970" s="7"/>
      <c r="AF1970" s="7"/>
      <c r="AH1970" s="7"/>
      <c r="AI1970" s="7"/>
      <c r="AJ1970" s="7"/>
      <c r="AL1970" s="7"/>
      <c r="AM1970" s="7"/>
      <c r="AN1970" s="7"/>
      <c r="AP1970" s="7"/>
      <c r="AQ1970" s="7"/>
      <c r="AR1970" s="7"/>
      <c r="AS1970" s="7"/>
      <c r="AT1970" s="7"/>
      <c r="AU1970" s="7"/>
    </row>
    <row r="1971" spans="4:47" ht="13.5" x14ac:dyDescent="0.25">
      <c r="D1971" s="7"/>
      <c r="G1971" s="7"/>
      <c r="M1971" s="7"/>
      <c r="P1971" s="7"/>
      <c r="Q1971" s="7"/>
      <c r="V1971" s="7"/>
      <c r="W1971" s="7"/>
      <c r="X1971" s="7"/>
      <c r="Y1971" s="7"/>
      <c r="Z1971" s="7"/>
      <c r="AA1971" s="7"/>
      <c r="AB1971" s="7"/>
      <c r="AC1971" s="7"/>
      <c r="AD1971" s="7"/>
      <c r="AE1971" s="7"/>
      <c r="AF1971" s="7"/>
      <c r="AH1971" s="7"/>
      <c r="AI1971" s="7"/>
      <c r="AJ1971" s="7"/>
      <c r="AL1971" s="7"/>
      <c r="AM1971" s="7"/>
      <c r="AN1971" s="7"/>
      <c r="AP1971" s="7"/>
      <c r="AQ1971" s="7"/>
      <c r="AR1971" s="7"/>
      <c r="AS1971" s="7"/>
      <c r="AT1971" s="7"/>
      <c r="AU1971" s="7"/>
    </row>
    <row r="1972" spans="4:47" ht="13.5" x14ac:dyDescent="0.25">
      <c r="D1972" s="7"/>
      <c r="G1972" s="7"/>
      <c r="M1972" s="7"/>
      <c r="P1972" s="7"/>
      <c r="Q1972" s="7"/>
      <c r="V1972" s="7"/>
      <c r="W1972" s="7"/>
      <c r="X1972" s="7"/>
      <c r="Y1972" s="7"/>
      <c r="Z1972" s="7"/>
      <c r="AA1972" s="7"/>
      <c r="AB1972" s="7"/>
      <c r="AC1972" s="7"/>
      <c r="AD1972" s="7"/>
      <c r="AE1972" s="7"/>
      <c r="AF1972" s="7"/>
      <c r="AH1972" s="7"/>
      <c r="AI1972" s="7"/>
      <c r="AJ1972" s="7"/>
      <c r="AL1972" s="7"/>
      <c r="AM1972" s="7"/>
      <c r="AN1972" s="7"/>
      <c r="AP1972" s="7"/>
      <c r="AQ1972" s="7"/>
      <c r="AR1972" s="7"/>
      <c r="AS1972" s="7"/>
      <c r="AT1972" s="7"/>
      <c r="AU1972" s="7"/>
    </row>
    <row r="1973" spans="4:47" ht="13.5" x14ac:dyDescent="0.25">
      <c r="D1973" s="7"/>
      <c r="G1973" s="7"/>
      <c r="M1973" s="7"/>
      <c r="P1973" s="7"/>
      <c r="Q1973" s="7"/>
      <c r="V1973" s="7"/>
      <c r="W1973" s="7"/>
      <c r="X1973" s="7"/>
      <c r="Y1973" s="7"/>
      <c r="Z1973" s="7"/>
      <c r="AA1973" s="7"/>
      <c r="AB1973" s="7"/>
      <c r="AC1973" s="7"/>
      <c r="AD1973" s="7"/>
      <c r="AE1973" s="7"/>
      <c r="AF1973" s="7"/>
      <c r="AH1973" s="7"/>
      <c r="AI1973" s="7"/>
      <c r="AJ1973" s="7"/>
      <c r="AL1973" s="7"/>
      <c r="AM1973" s="7"/>
      <c r="AN1973" s="7"/>
      <c r="AP1973" s="7"/>
      <c r="AQ1973" s="7"/>
      <c r="AR1973" s="7"/>
      <c r="AS1973" s="7"/>
      <c r="AT1973" s="7"/>
      <c r="AU1973" s="7"/>
    </row>
    <row r="1974" spans="4:47" ht="13.5" x14ac:dyDescent="0.25">
      <c r="D1974" s="7"/>
      <c r="G1974" s="7"/>
      <c r="M1974" s="7"/>
      <c r="P1974" s="7"/>
      <c r="Q1974" s="7"/>
      <c r="V1974" s="7"/>
      <c r="W1974" s="7"/>
      <c r="X1974" s="7"/>
      <c r="Y1974" s="7"/>
      <c r="Z1974" s="7"/>
      <c r="AA1974" s="7"/>
      <c r="AB1974" s="7"/>
      <c r="AC1974" s="7"/>
      <c r="AD1974" s="7"/>
      <c r="AE1974" s="7"/>
      <c r="AF1974" s="7"/>
      <c r="AH1974" s="7"/>
      <c r="AI1974" s="7"/>
      <c r="AJ1974" s="7"/>
      <c r="AL1974" s="7"/>
      <c r="AM1974" s="7"/>
      <c r="AN1974" s="7"/>
      <c r="AP1974" s="7"/>
      <c r="AQ1974" s="7"/>
      <c r="AR1974" s="7"/>
      <c r="AS1974" s="7"/>
      <c r="AT1974" s="7"/>
      <c r="AU1974" s="7"/>
    </row>
    <row r="1975" spans="4:47" ht="13.5" x14ac:dyDescent="0.25">
      <c r="D1975" s="7"/>
      <c r="G1975" s="7"/>
      <c r="M1975" s="7"/>
      <c r="P1975" s="7"/>
      <c r="Q1975" s="7"/>
      <c r="V1975" s="7"/>
      <c r="W1975" s="7"/>
      <c r="X1975" s="7"/>
      <c r="Y1975" s="7"/>
      <c r="Z1975" s="7"/>
      <c r="AA1975" s="7"/>
      <c r="AB1975" s="7"/>
      <c r="AC1975" s="7"/>
      <c r="AD1975" s="7"/>
      <c r="AE1975" s="7"/>
      <c r="AF1975" s="7"/>
      <c r="AH1975" s="7"/>
      <c r="AI1975" s="7"/>
      <c r="AJ1975" s="7"/>
      <c r="AL1975" s="7"/>
      <c r="AM1975" s="7"/>
      <c r="AN1975" s="7"/>
      <c r="AP1975" s="7"/>
      <c r="AQ1975" s="7"/>
      <c r="AR1975" s="7"/>
      <c r="AS1975" s="7"/>
      <c r="AT1975" s="7"/>
      <c r="AU1975" s="7"/>
    </row>
    <row r="1976" spans="4:47" ht="13.5" x14ac:dyDescent="0.25">
      <c r="D1976" s="7"/>
      <c r="G1976" s="7"/>
      <c r="M1976" s="7"/>
      <c r="P1976" s="7"/>
      <c r="Q1976" s="7"/>
      <c r="V1976" s="7"/>
      <c r="W1976" s="7"/>
      <c r="X1976" s="7"/>
      <c r="Y1976" s="7"/>
      <c r="Z1976" s="7"/>
      <c r="AA1976" s="7"/>
      <c r="AB1976" s="7"/>
      <c r="AC1976" s="7"/>
      <c r="AD1976" s="7"/>
      <c r="AE1976" s="7"/>
      <c r="AF1976" s="7"/>
      <c r="AH1976" s="7"/>
      <c r="AI1976" s="7"/>
      <c r="AJ1976" s="7"/>
      <c r="AL1976" s="7"/>
      <c r="AM1976" s="7"/>
      <c r="AN1976" s="7"/>
      <c r="AP1976" s="7"/>
      <c r="AQ1976" s="7"/>
      <c r="AR1976" s="7"/>
      <c r="AS1976" s="7"/>
      <c r="AT1976" s="7"/>
      <c r="AU1976" s="7"/>
    </row>
    <row r="1977" spans="4:47" ht="13.5" x14ac:dyDescent="0.25">
      <c r="D1977" s="7"/>
      <c r="G1977" s="7"/>
      <c r="M1977" s="7"/>
      <c r="P1977" s="7"/>
      <c r="Q1977" s="7"/>
      <c r="V1977" s="7"/>
      <c r="W1977" s="7"/>
      <c r="X1977" s="7"/>
      <c r="Y1977" s="7"/>
      <c r="Z1977" s="7"/>
      <c r="AA1977" s="7"/>
      <c r="AB1977" s="7"/>
      <c r="AC1977" s="7"/>
      <c r="AD1977" s="7"/>
      <c r="AE1977" s="7"/>
      <c r="AF1977" s="7"/>
      <c r="AH1977" s="7"/>
      <c r="AI1977" s="7"/>
      <c r="AJ1977" s="7"/>
      <c r="AL1977" s="7"/>
      <c r="AM1977" s="7"/>
      <c r="AN1977" s="7"/>
      <c r="AP1977" s="7"/>
      <c r="AQ1977" s="7"/>
      <c r="AR1977" s="7"/>
      <c r="AS1977" s="7"/>
      <c r="AT1977" s="7"/>
      <c r="AU1977" s="7"/>
    </row>
    <row r="1978" spans="4:47" ht="13.5" x14ac:dyDescent="0.25">
      <c r="D1978" s="7"/>
      <c r="G1978" s="7"/>
      <c r="M1978" s="7"/>
      <c r="P1978" s="7"/>
      <c r="Q1978" s="7"/>
      <c r="V1978" s="7"/>
      <c r="W1978" s="7"/>
      <c r="X1978" s="7"/>
      <c r="Y1978" s="7"/>
      <c r="Z1978" s="7"/>
      <c r="AA1978" s="7"/>
      <c r="AB1978" s="7"/>
      <c r="AC1978" s="7"/>
      <c r="AD1978" s="7"/>
      <c r="AE1978" s="7"/>
      <c r="AF1978" s="7"/>
      <c r="AH1978" s="7"/>
      <c r="AI1978" s="7"/>
      <c r="AJ1978" s="7"/>
      <c r="AL1978" s="7"/>
      <c r="AM1978" s="7"/>
      <c r="AN1978" s="7"/>
      <c r="AP1978" s="7"/>
      <c r="AQ1978" s="7"/>
      <c r="AR1978" s="7"/>
      <c r="AS1978" s="7"/>
      <c r="AT1978" s="7"/>
      <c r="AU1978" s="7"/>
    </row>
    <row r="1979" spans="4:47" ht="13.5" x14ac:dyDescent="0.25">
      <c r="D1979" s="7"/>
      <c r="G1979" s="7"/>
      <c r="M1979" s="7"/>
      <c r="P1979" s="7"/>
      <c r="Q1979" s="7"/>
      <c r="V1979" s="7"/>
      <c r="W1979" s="7"/>
      <c r="X1979" s="7"/>
      <c r="Y1979" s="7"/>
      <c r="Z1979" s="7"/>
      <c r="AA1979" s="7"/>
      <c r="AB1979" s="7"/>
      <c r="AC1979" s="7"/>
      <c r="AD1979" s="7"/>
      <c r="AE1979" s="7"/>
      <c r="AF1979" s="7"/>
      <c r="AH1979" s="7"/>
      <c r="AI1979" s="7"/>
      <c r="AJ1979" s="7"/>
      <c r="AL1979" s="7"/>
      <c r="AM1979" s="7"/>
      <c r="AN1979" s="7"/>
      <c r="AP1979" s="7"/>
      <c r="AQ1979" s="7"/>
      <c r="AR1979" s="7"/>
      <c r="AS1979" s="7"/>
      <c r="AT1979" s="7"/>
      <c r="AU1979" s="7"/>
    </row>
    <row r="1980" spans="4:47" ht="13.5" x14ac:dyDescent="0.25">
      <c r="D1980" s="7"/>
      <c r="G1980" s="7"/>
      <c r="M1980" s="7"/>
      <c r="P1980" s="7"/>
      <c r="Q1980" s="7"/>
      <c r="V1980" s="7"/>
      <c r="W1980" s="7"/>
      <c r="X1980" s="7"/>
      <c r="Y1980" s="7"/>
      <c r="Z1980" s="7"/>
      <c r="AA1980" s="7"/>
      <c r="AB1980" s="7"/>
      <c r="AC1980" s="7"/>
      <c r="AD1980" s="7"/>
      <c r="AE1980" s="7"/>
      <c r="AF1980" s="7"/>
      <c r="AH1980" s="7"/>
      <c r="AI1980" s="7"/>
      <c r="AJ1980" s="7"/>
      <c r="AL1980" s="7"/>
      <c r="AM1980" s="7"/>
      <c r="AN1980" s="7"/>
      <c r="AP1980" s="7"/>
      <c r="AQ1980" s="7"/>
      <c r="AR1980" s="7"/>
      <c r="AS1980" s="7"/>
      <c r="AT1980" s="7"/>
      <c r="AU1980" s="7"/>
    </row>
    <row r="1981" spans="4:47" ht="13.5" x14ac:dyDescent="0.25">
      <c r="D1981" s="7"/>
      <c r="G1981" s="7"/>
      <c r="M1981" s="7"/>
      <c r="P1981" s="7"/>
      <c r="Q1981" s="7"/>
      <c r="V1981" s="7"/>
      <c r="W1981" s="7"/>
      <c r="X1981" s="7"/>
      <c r="Y1981" s="7"/>
      <c r="Z1981" s="7"/>
      <c r="AA1981" s="7"/>
      <c r="AB1981" s="7"/>
      <c r="AC1981" s="7"/>
      <c r="AD1981" s="7"/>
      <c r="AE1981" s="7"/>
      <c r="AF1981" s="7"/>
      <c r="AH1981" s="7"/>
      <c r="AI1981" s="7"/>
      <c r="AJ1981" s="7"/>
      <c r="AL1981" s="7"/>
      <c r="AM1981" s="7"/>
      <c r="AN1981" s="7"/>
      <c r="AP1981" s="7"/>
      <c r="AQ1981" s="7"/>
      <c r="AR1981" s="7"/>
      <c r="AS1981" s="7"/>
      <c r="AT1981" s="7"/>
      <c r="AU1981" s="7"/>
    </row>
    <row r="1982" spans="4:47" ht="13.5" x14ac:dyDescent="0.25">
      <c r="D1982" s="7"/>
      <c r="G1982" s="7"/>
      <c r="M1982" s="7"/>
      <c r="P1982" s="7"/>
      <c r="Q1982" s="7"/>
      <c r="V1982" s="7"/>
      <c r="W1982" s="7"/>
      <c r="X1982" s="7"/>
      <c r="Y1982" s="7"/>
      <c r="Z1982" s="7"/>
      <c r="AA1982" s="7"/>
      <c r="AB1982" s="7"/>
      <c r="AC1982" s="7"/>
      <c r="AD1982" s="7"/>
      <c r="AE1982" s="7"/>
      <c r="AF1982" s="7"/>
      <c r="AH1982" s="7"/>
      <c r="AI1982" s="7"/>
      <c r="AJ1982" s="7"/>
      <c r="AL1982" s="7"/>
      <c r="AM1982" s="7"/>
      <c r="AN1982" s="7"/>
      <c r="AP1982" s="7"/>
      <c r="AQ1982" s="7"/>
      <c r="AR1982" s="7"/>
      <c r="AS1982" s="7"/>
      <c r="AT1982" s="7"/>
      <c r="AU1982" s="7"/>
    </row>
    <row r="1983" spans="4:47" ht="13.5" x14ac:dyDescent="0.25">
      <c r="D1983" s="7"/>
      <c r="G1983" s="7"/>
      <c r="M1983" s="7"/>
      <c r="P1983" s="7"/>
      <c r="Q1983" s="7"/>
      <c r="V1983" s="7"/>
      <c r="W1983" s="7"/>
      <c r="X1983" s="7"/>
      <c r="Y1983" s="7"/>
      <c r="Z1983" s="7"/>
      <c r="AA1983" s="7"/>
      <c r="AB1983" s="7"/>
      <c r="AC1983" s="7"/>
      <c r="AD1983" s="7"/>
      <c r="AE1983" s="7"/>
      <c r="AF1983" s="7"/>
      <c r="AH1983" s="7"/>
      <c r="AI1983" s="7"/>
      <c r="AJ1983" s="7"/>
      <c r="AL1983" s="7"/>
      <c r="AM1983" s="7"/>
      <c r="AN1983" s="7"/>
      <c r="AP1983" s="7"/>
      <c r="AQ1983" s="7"/>
      <c r="AR1983" s="7"/>
      <c r="AS1983" s="7"/>
      <c r="AT1983" s="7"/>
      <c r="AU1983" s="7"/>
    </row>
    <row r="1984" spans="4:47" ht="13.5" x14ac:dyDescent="0.25">
      <c r="D1984" s="7"/>
      <c r="G1984" s="7"/>
      <c r="M1984" s="7"/>
      <c r="P1984" s="7"/>
      <c r="Q1984" s="7"/>
      <c r="V1984" s="7"/>
      <c r="W1984" s="7"/>
      <c r="X1984" s="7"/>
      <c r="Y1984" s="7"/>
      <c r="Z1984" s="7"/>
      <c r="AA1984" s="7"/>
      <c r="AB1984" s="7"/>
      <c r="AC1984" s="7"/>
      <c r="AD1984" s="7"/>
      <c r="AE1984" s="7"/>
      <c r="AF1984" s="7"/>
      <c r="AH1984" s="7"/>
      <c r="AI1984" s="7"/>
      <c r="AJ1984" s="7"/>
      <c r="AL1984" s="7"/>
      <c r="AM1984" s="7"/>
      <c r="AN1984" s="7"/>
      <c r="AP1984" s="7"/>
      <c r="AQ1984" s="7"/>
      <c r="AR1984" s="7"/>
      <c r="AS1984" s="7"/>
      <c r="AT1984" s="7"/>
      <c r="AU1984" s="7"/>
    </row>
    <row r="1985" spans="4:47" ht="13.5" x14ac:dyDescent="0.25">
      <c r="D1985" s="7"/>
      <c r="G1985" s="7"/>
      <c r="M1985" s="7"/>
      <c r="P1985" s="7"/>
      <c r="Q1985" s="7"/>
      <c r="V1985" s="7"/>
      <c r="W1985" s="7"/>
      <c r="X1985" s="7"/>
      <c r="Y1985" s="7"/>
      <c r="Z1985" s="7"/>
      <c r="AA1985" s="7"/>
      <c r="AB1985" s="7"/>
      <c r="AC1985" s="7"/>
      <c r="AD1985" s="7"/>
      <c r="AE1985" s="7"/>
      <c r="AF1985" s="7"/>
      <c r="AH1985" s="7"/>
      <c r="AI1985" s="7"/>
      <c r="AJ1985" s="7"/>
      <c r="AL1985" s="7"/>
      <c r="AM1985" s="7"/>
      <c r="AN1985" s="7"/>
      <c r="AP1985" s="7"/>
      <c r="AQ1985" s="7"/>
      <c r="AR1985" s="7"/>
      <c r="AS1985" s="7"/>
      <c r="AT1985" s="7"/>
      <c r="AU1985" s="7"/>
    </row>
    <row r="1986" spans="4:47" ht="13.5" x14ac:dyDescent="0.25">
      <c r="D1986" s="7"/>
      <c r="G1986" s="7"/>
      <c r="M1986" s="7"/>
      <c r="P1986" s="7"/>
      <c r="Q1986" s="7"/>
      <c r="V1986" s="7"/>
      <c r="W1986" s="7"/>
      <c r="X1986" s="7"/>
      <c r="Y1986" s="7"/>
      <c r="Z1986" s="7"/>
      <c r="AA1986" s="7"/>
      <c r="AB1986" s="7"/>
      <c r="AC1986" s="7"/>
      <c r="AD1986" s="7"/>
      <c r="AE1986" s="7"/>
      <c r="AF1986" s="7"/>
      <c r="AH1986" s="7"/>
      <c r="AI1986" s="7"/>
      <c r="AJ1986" s="7"/>
      <c r="AL1986" s="7"/>
      <c r="AM1986" s="7"/>
      <c r="AN1986" s="7"/>
      <c r="AP1986" s="7"/>
      <c r="AQ1986" s="7"/>
      <c r="AR1986" s="7"/>
      <c r="AS1986" s="7"/>
      <c r="AT1986" s="7"/>
      <c r="AU1986" s="7"/>
    </row>
    <row r="1987" spans="4:47" ht="13.5" x14ac:dyDescent="0.25">
      <c r="D1987" s="7"/>
      <c r="G1987" s="7"/>
      <c r="M1987" s="7"/>
      <c r="P1987" s="7"/>
      <c r="Q1987" s="7"/>
      <c r="V1987" s="7"/>
      <c r="W1987" s="7"/>
      <c r="X1987" s="7"/>
      <c r="Y1987" s="7"/>
      <c r="Z1987" s="7"/>
      <c r="AA1987" s="7"/>
      <c r="AB1987" s="7"/>
      <c r="AC1987" s="7"/>
      <c r="AD1987" s="7"/>
      <c r="AE1987" s="7"/>
      <c r="AF1987" s="7"/>
      <c r="AH1987" s="7"/>
      <c r="AI1987" s="7"/>
      <c r="AJ1987" s="7"/>
      <c r="AL1987" s="7"/>
      <c r="AM1987" s="7"/>
      <c r="AN1987" s="7"/>
      <c r="AP1987" s="7"/>
      <c r="AQ1987" s="7"/>
      <c r="AR1987" s="7"/>
      <c r="AS1987" s="7"/>
      <c r="AT1987" s="7"/>
      <c r="AU1987" s="7"/>
    </row>
    <row r="1988" spans="4:47" ht="13.5" x14ac:dyDescent="0.25">
      <c r="D1988" s="7"/>
      <c r="G1988" s="7"/>
      <c r="M1988" s="7"/>
      <c r="P1988" s="7"/>
      <c r="Q1988" s="7"/>
      <c r="V1988" s="7"/>
      <c r="W1988" s="7"/>
      <c r="X1988" s="7"/>
      <c r="Y1988" s="7"/>
      <c r="Z1988" s="7"/>
      <c r="AA1988" s="7"/>
      <c r="AB1988" s="7"/>
      <c r="AC1988" s="7"/>
      <c r="AD1988" s="7"/>
      <c r="AE1988" s="7"/>
      <c r="AF1988" s="7"/>
      <c r="AH1988" s="7"/>
      <c r="AI1988" s="7"/>
      <c r="AJ1988" s="7"/>
      <c r="AL1988" s="7"/>
      <c r="AM1988" s="7"/>
      <c r="AN1988" s="7"/>
      <c r="AP1988" s="7"/>
      <c r="AQ1988" s="7"/>
      <c r="AR1988" s="7"/>
      <c r="AS1988" s="7"/>
      <c r="AT1988" s="7"/>
      <c r="AU1988" s="7"/>
    </row>
    <row r="1989" spans="4:47" ht="13.5" x14ac:dyDescent="0.25">
      <c r="D1989" s="7"/>
      <c r="G1989" s="7"/>
      <c r="M1989" s="7"/>
      <c r="P1989" s="7"/>
      <c r="Q1989" s="7"/>
      <c r="V1989" s="7"/>
      <c r="W1989" s="7"/>
      <c r="X1989" s="7"/>
      <c r="Y1989" s="7"/>
      <c r="Z1989" s="7"/>
      <c r="AA1989" s="7"/>
      <c r="AB1989" s="7"/>
      <c r="AC1989" s="7"/>
      <c r="AD1989" s="7"/>
      <c r="AE1989" s="7"/>
      <c r="AF1989" s="7"/>
      <c r="AH1989" s="7"/>
      <c r="AI1989" s="7"/>
      <c r="AJ1989" s="7"/>
      <c r="AL1989" s="7"/>
      <c r="AM1989" s="7"/>
      <c r="AN1989" s="7"/>
      <c r="AP1989" s="7"/>
      <c r="AQ1989" s="7"/>
      <c r="AR1989" s="7"/>
      <c r="AS1989" s="7"/>
      <c r="AT1989" s="7"/>
      <c r="AU1989" s="7"/>
    </row>
    <row r="1990" spans="4:47" ht="13.5" x14ac:dyDescent="0.25">
      <c r="D1990" s="7"/>
      <c r="G1990" s="7"/>
      <c r="M1990" s="7"/>
      <c r="P1990" s="7"/>
      <c r="Q1990" s="7"/>
      <c r="V1990" s="7"/>
      <c r="W1990" s="7"/>
      <c r="X1990" s="7"/>
      <c r="Y1990" s="7"/>
      <c r="Z1990" s="7"/>
      <c r="AA1990" s="7"/>
      <c r="AB1990" s="7"/>
      <c r="AC1990" s="7"/>
      <c r="AD1990" s="7"/>
      <c r="AE1990" s="7"/>
      <c r="AF1990" s="7"/>
      <c r="AH1990" s="7"/>
      <c r="AI1990" s="7"/>
      <c r="AJ1990" s="7"/>
      <c r="AL1990" s="7"/>
      <c r="AM1990" s="7"/>
      <c r="AN1990" s="7"/>
      <c r="AP1990" s="7"/>
      <c r="AQ1990" s="7"/>
      <c r="AR1990" s="7"/>
      <c r="AS1990" s="7"/>
      <c r="AT1990" s="7"/>
      <c r="AU1990" s="7"/>
    </row>
    <row r="1991" spans="4:47" ht="13.5" x14ac:dyDescent="0.25">
      <c r="D1991" s="7"/>
      <c r="G1991" s="7"/>
      <c r="M1991" s="7"/>
      <c r="P1991" s="7"/>
      <c r="Q1991" s="7"/>
      <c r="V1991" s="7"/>
      <c r="W1991" s="7"/>
      <c r="X1991" s="7"/>
      <c r="Y1991" s="7"/>
      <c r="Z1991" s="7"/>
      <c r="AA1991" s="7"/>
      <c r="AB1991" s="7"/>
      <c r="AC1991" s="7"/>
      <c r="AD1991" s="7"/>
      <c r="AE1991" s="7"/>
      <c r="AF1991" s="7"/>
      <c r="AH1991" s="7"/>
      <c r="AI1991" s="7"/>
      <c r="AJ1991" s="7"/>
      <c r="AL1991" s="7"/>
      <c r="AM1991" s="7"/>
      <c r="AN1991" s="7"/>
      <c r="AP1991" s="7"/>
      <c r="AQ1991" s="7"/>
      <c r="AR1991" s="7"/>
      <c r="AS1991" s="7"/>
      <c r="AT1991" s="7"/>
      <c r="AU1991" s="7"/>
    </row>
    <row r="1992" spans="4:47" ht="13.5" x14ac:dyDescent="0.25">
      <c r="D1992" s="7"/>
      <c r="G1992" s="7"/>
      <c r="M1992" s="7"/>
      <c r="P1992" s="7"/>
      <c r="Q1992" s="7"/>
      <c r="V1992" s="7"/>
      <c r="W1992" s="7"/>
      <c r="X1992" s="7"/>
      <c r="Y1992" s="7"/>
      <c r="Z1992" s="7"/>
      <c r="AA1992" s="7"/>
      <c r="AB1992" s="7"/>
      <c r="AC1992" s="7"/>
      <c r="AD1992" s="7"/>
      <c r="AE1992" s="7"/>
      <c r="AF1992" s="7"/>
      <c r="AH1992" s="7"/>
      <c r="AI1992" s="7"/>
      <c r="AJ1992" s="7"/>
      <c r="AL1992" s="7"/>
      <c r="AM1992" s="7"/>
      <c r="AN1992" s="7"/>
      <c r="AP1992" s="7"/>
      <c r="AQ1992" s="7"/>
      <c r="AR1992" s="7"/>
      <c r="AS1992" s="7"/>
      <c r="AT1992" s="7"/>
      <c r="AU1992" s="7"/>
    </row>
    <row r="1993" spans="4:47" ht="13.5" x14ac:dyDescent="0.25">
      <c r="D1993" s="7"/>
      <c r="G1993" s="7"/>
      <c r="M1993" s="7"/>
      <c r="P1993" s="7"/>
      <c r="Q1993" s="7"/>
      <c r="V1993" s="7"/>
      <c r="W1993" s="7"/>
      <c r="X1993" s="7"/>
      <c r="Y1993" s="7"/>
      <c r="Z1993" s="7"/>
      <c r="AA1993" s="7"/>
      <c r="AB1993" s="7"/>
      <c r="AC1993" s="7"/>
      <c r="AD1993" s="7"/>
      <c r="AE1993" s="7"/>
      <c r="AF1993" s="7"/>
      <c r="AH1993" s="7"/>
      <c r="AI1993" s="7"/>
      <c r="AJ1993" s="7"/>
      <c r="AL1993" s="7"/>
      <c r="AM1993" s="7"/>
      <c r="AN1993" s="7"/>
      <c r="AP1993" s="7"/>
      <c r="AQ1993" s="7"/>
      <c r="AR1993" s="7"/>
      <c r="AS1993" s="7"/>
      <c r="AT1993" s="7"/>
      <c r="AU1993" s="7"/>
    </row>
    <row r="1994" spans="4:47" ht="13.5" x14ac:dyDescent="0.25">
      <c r="D1994" s="7"/>
      <c r="G1994" s="7"/>
      <c r="M1994" s="7"/>
      <c r="P1994" s="7"/>
      <c r="Q1994" s="7"/>
      <c r="V1994" s="7"/>
      <c r="W1994" s="7"/>
      <c r="X1994" s="7"/>
      <c r="Y1994" s="7"/>
      <c r="Z1994" s="7"/>
      <c r="AA1994" s="7"/>
      <c r="AB1994" s="7"/>
      <c r="AC1994" s="7"/>
      <c r="AD1994" s="7"/>
      <c r="AE1994" s="7"/>
      <c r="AF1994" s="7"/>
      <c r="AH1994" s="7"/>
      <c r="AI1994" s="7"/>
      <c r="AJ1994" s="7"/>
      <c r="AL1994" s="7"/>
      <c r="AM1994" s="7"/>
      <c r="AN1994" s="7"/>
      <c r="AP1994" s="7"/>
      <c r="AQ1994" s="7"/>
      <c r="AR1994" s="7"/>
      <c r="AS1994" s="7"/>
      <c r="AT1994" s="7"/>
      <c r="AU1994" s="7"/>
    </row>
    <row r="1995" spans="4:47" ht="13.5" x14ac:dyDescent="0.25">
      <c r="D1995" s="7"/>
      <c r="G1995" s="7"/>
      <c r="M1995" s="7"/>
      <c r="P1995" s="7"/>
      <c r="Q1995" s="7"/>
      <c r="V1995" s="7"/>
      <c r="W1995" s="7"/>
      <c r="X1995" s="7"/>
      <c r="Y1995" s="7"/>
      <c r="Z1995" s="7"/>
      <c r="AA1995" s="7"/>
      <c r="AB1995" s="7"/>
      <c r="AC1995" s="7"/>
      <c r="AD1995" s="7"/>
      <c r="AE1995" s="7"/>
      <c r="AF1995" s="7"/>
      <c r="AH1995" s="7"/>
      <c r="AI1995" s="7"/>
      <c r="AJ1995" s="7"/>
      <c r="AL1995" s="7"/>
      <c r="AM1995" s="7"/>
      <c r="AN1995" s="7"/>
      <c r="AP1995" s="7"/>
      <c r="AQ1995" s="7"/>
      <c r="AR1995" s="7"/>
      <c r="AS1995" s="7"/>
      <c r="AT1995" s="7"/>
      <c r="AU1995" s="7"/>
    </row>
    <row r="1996" spans="4:47" ht="13.5" x14ac:dyDescent="0.25">
      <c r="D1996" s="7"/>
      <c r="G1996" s="7"/>
      <c r="M1996" s="7"/>
      <c r="P1996" s="7"/>
      <c r="Q1996" s="7"/>
      <c r="V1996" s="7"/>
      <c r="W1996" s="7"/>
      <c r="X1996" s="7"/>
      <c r="Y1996" s="7"/>
      <c r="Z1996" s="7"/>
      <c r="AA1996" s="7"/>
      <c r="AB1996" s="7"/>
      <c r="AC1996" s="7"/>
      <c r="AD1996" s="7"/>
      <c r="AE1996" s="7"/>
      <c r="AF1996" s="7"/>
      <c r="AH1996" s="7"/>
      <c r="AI1996" s="7"/>
      <c r="AJ1996" s="7"/>
      <c r="AL1996" s="7"/>
      <c r="AM1996" s="7"/>
      <c r="AN1996" s="7"/>
      <c r="AP1996" s="7"/>
      <c r="AQ1996" s="7"/>
      <c r="AR1996" s="7"/>
      <c r="AS1996" s="7"/>
      <c r="AT1996" s="7"/>
      <c r="AU1996" s="7"/>
    </row>
    <row r="1997" spans="4:47" ht="13.5" x14ac:dyDescent="0.25">
      <c r="D1997" s="7"/>
      <c r="G1997" s="7"/>
      <c r="M1997" s="7"/>
      <c r="P1997" s="7"/>
      <c r="Q1997" s="7"/>
      <c r="V1997" s="7"/>
      <c r="W1997" s="7"/>
      <c r="X1997" s="7"/>
      <c r="Y1997" s="7"/>
      <c r="Z1997" s="7"/>
      <c r="AA1997" s="7"/>
      <c r="AB1997" s="7"/>
      <c r="AC1997" s="7"/>
      <c r="AD1997" s="7"/>
      <c r="AE1997" s="7"/>
      <c r="AF1997" s="7"/>
      <c r="AH1997" s="7"/>
      <c r="AI1997" s="7"/>
      <c r="AJ1997" s="7"/>
      <c r="AL1997" s="7"/>
      <c r="AM1997" s="7"/>
      <c r="AN1997" s="7"/>
      <c r="AP1997" s="7"/>
      <c r="AQ1997" s="7"/>
      <c r="AR1997" s="7"/>
      <c r="AS1997" s="7"/>
      <c r="AT1997" s="7"/>
      <c r="AU1997" s="7"/>
    </row>
    <row r="1998" spans="4:47" ht="13.5" x14ac:dyDescent="0.25">
      <c r="D1998" s="7"/>
      <c r="G1998" s="7"/>
      <c r="M1998" s="7"/>
      <c r="P1998" s="7"/>
      <c r="Q1998" s="7"/>
      <c r="V1998" s="7"/>
      <c r="W1998" s="7"/>
      <c r="X1998" s="7"/>
      <c r="Y1998" s="7"/>
      <c r="Z1998" s="7"/>
      <c r="AA1998" s="7"/>
      <c r="AB1998" s="7"/>
      <c r="AC1998" s="7"/>
      <c r="AD1998" s="7"/>
      <c r="AE1998" s="7"/>
      <c r="AF1998" s="7"/>
      <c r="AH1998" s="7"/>
      <c r="AI1998" s="7"/>
      <c r="AJ1998" s="7"/>
      <c r="AL1998" s="7"/>
      <c r="AM1998" s="7"/>
      <c r="AN1998" s="7"/>
      <c r="AP1998" s="7"/>
      <c r="AQ1998" s="7"/>
      <c r="AR1998" s="7"/>
      <c r="AS1998" s="7"/>
      <c r="AT1998" s="7"/>
      <c r="AU1998" s="7"/>
    </row>
    <row r="1999" spans="4:47" ht="13.5" x14ac:dyDescent="0.25">
      <c r="D1999" s="7"/>
      <c r="G1999" s="7"/>
      <c r="M1999" s="7"/>
      <c r="P1999" s="7"/>
      <c r="Q1999" s="7"/>
      <c r="V1999" s="7"/>
      <c r="W1999" s="7"/>
      <c r="X1999" s="7"/>
      <c r="Y1999" s="7"/>
      <c r="Z1999" s="7"/>
      <c r="AA1999" s="7"/>
      <c r="AB1999" s="7"/>
      <c r="AC1999" s="7"/>
      <c r="AD1999" s="7"/>
      <c r="AE1999" s="7"/>
      <c r="AF1999" s="7"/>
      <c r="AH1999" s="7"/>
      <c r="AI1999" s="7"/>
      <c r="AJ1999" s="7"/>
      <c r="AL1999" s="7"/>
      <c r="AM1999" s="7"/>
      <c r="AN1999" s="7"/>
      <c r="AP1999" s="7"/>
      <c r="AQ1999" s="7"/>
      <c r="AR1999" s="7"/>
      <c r="AS1999" s="7"/>
      <c r="AT1999" s="7"/>
      <c r="AU1999" s="7"/>
    </row>
    <row r="2000" spans="4:47" ht="13.5" x14ac:dyDescent="0.25">
      <c r="D2000" s="7"/>
      <c r="G2000" s="7"/>
      <c r="M2000" s="7"/>
      <c r="P2000" s="7"/>
      <c r="Q2000" s="7"/>
      <c r="V2000" s="7"/>
      <c r="W2000" s="7"/>
      <c r="X2000" s="7"/>
      <c r="Y2000" s="7"/>
      <c r="Z2000" s="7"/>
      <c r="AA2000" s="7"/>
      <c r="AB2000" s="7"/>
      <c r="AC2000" s="7"/>
      <c r="AD2000" s="7"/>
      <c r="AE2000" s="7"/>
      <c r="AF2000" s="7"/>
      <c r="AH2000" s="7"/>
      <c r="AI2000" s="7"/>
      <c r="AJ2000" s="7"/>
      <c r="AL2000" s="7"/>
      <c r="AM2000" s="7"/>
      <c r="AN2000" s="7"/>
      <c r="AP2000" s="7"/>
      <c r="AQ2000" s="7"/>
      <c r="AR2000" s="7"/>
      <c r="AS2000" s="7"/>
      <c r="AT2000" s="7"/>
      <c r="AU2000" s="7"/>
    </row>
    <row r="2001" spans="4:47" ht="13.5" x14ac:dyDescent="0.25">
      <c r="D2001" s="7"/>
      <c r="G2001" s="7"/>
      <c r="M2001" s="7"/>
      <c r="P2001" s="7"/>
      <c r="Q2001" s="7"/>
      <c r="V2001" s="7"/>
      <c r="W2001" s="7"/>
      <c r="X2001" s="7"/>
      <c r="Y2001" s="7"/>
      <c r="Z2001" s="7"/>
      <c r="AA2001" s="7"/>
      <c r="AB2001" s="7"/>
      <c r="AC2001" s="7"/>
      <c r="AD2001" s="7"/>
      <c r="AE2001" s="7"/>
      <c r="AF2001" s="7"/>
      <c r="AH2001" s="7"/>
      <c r="AI2001" s="7"/>
      <c r="AJ2001" s="7"/>
      <c r="AL2001" s="7"/>
      <c r="AM2001" s="7"/>
      <c r="AN2001" s="7"/>
      <c r="AP2001" s="7"/>
      <c r="AQ2001" s="7"/>
      <c r="AR2001" s="7"/>
      <c r="AS2001" s="7"/>
      <c r="AT2001" s="7"/>
      <c r="AU2001" s="7"/>
    </row>
    <row r="2002" spans="4:47" ht="13.5" x14ac:dyDescent="0.25">
      <c r="D2002" s="7"/>
      <c r="G2002" s="7"/>
      <c r="M2002" s="7"/>
      <c r="P2002" s="7"/>
      <c r="Q2002" s="7"/>
      <c r="V2002" s="7"/>
      <c r="W2002" s="7"/>
      <c r="X2002" s="7"/>
      <c r="Y2002" s="7"/>
      <c r="Z2002" s="7"/>
      <c r="AA2002" s="7"/>
      <c r="AB2002" s="7"/>
      <c r="AC2002" s="7"/>
      <c r="AD2002" s="7"/>
      <c r="AE2002" s="7"/>
      <c r="AF2002" s="7"/>
      <c r="AH2002" s="7"/>
      <c r="AI2002" s="7"/>
      <c r="AJ2002" s="7"/>
      <c r="AL2002" s="7"/>
      <c r="AM2002" s="7"/>
      <c r="AN2002" s="7"/>
      <c r="AP2002" s="7"/>
      <c r="AQ2002" s="7"/>
      <c r="AR2002" s="7"/>
      <c r="AS2002" s="7"/>
      <c r="AT2002" s="7"/>
      <c r="AU2002" s="7"/>
    </row>
    <row r="2003" spans="4:47" ht="13.5" x14ac:dyDescent="0.25">
      <c r="D2003" s="7"/>
      <c r="G2003" s="7"/>
      <c r="M2003" s="7"/>
      <c r="P2003" s="7"/>
      <c r="Q2003" s="7"/>
      <c r="V2003" s="7"/>
      <c r="W2003" s="7"/>
      <c r="X2003" s="7"/>
      <c r="Y2003" s="7"/>
      <c r="Z2003" s="7"/>
      <c r="AA2003" s="7"/>
      <c r="AB2003" s="7"/>
      <c r="AC2003" s="7"/>
      <c r="AD2003" s="7"/>
      <c r="AE2003" s="7"/>
      <c r="AF2003" s="7"/>
      <c r="AH2003" s="7"/>
      <c r="AI2003" s="7"/>
      <c r="AJ2003" s="7"/>
      <c r="AL2003" s="7"/>
      <c r="AM2003" s="7"/>
      <c r="AN2003" s="7"/>
      <c r="AP2003" s="7"/>
      <c r="AQ2003" s="7"/>
      <c r="AR2003" s="7"/>
      <c r="AS2003" s="7"/>
      <c r="AT2003" s="7"/>
      <c r="AU2003" s="7"/>
    </row>
    <row r="2004" spans="4:47" ht="13.5" x14ac:dyDescent="0.25">
      <c r="D2004" s="7"/>
      <c r="G2004" s="7"/>
      <c r="M2004" s="7"/>
      <c r="P2004" s="7"/>
      <c r="Q2004" s="7"/>
      <c r="V2004" s="7"/>
      <c r="W2004" s="7"/>
      <c r="X2004" s="7"/>
      <c r="Y2004" s="7"/>
      <c r="Z2004" s="7"/>
      <c r="AA2004" s="7"/>
      <c r="AB2004" s="7"/>
      <c r="AC2004" s="7"/>
      <c r="AD2004" s="7"/>
      <c r="AE2004" s="7"/>
      <c r="AF2004" s="7"/>
      <c r="AH2004" s="7"/>
      <c r="AI2004" s="7"/>
      <c r="AJ2004" s="7"/>
      <c r="AL2004" s="7"/>
      <c r="AM2004" s="7"/>
      <c r="AN2004" s="7"/>
      <c r="AP2004" s="7"/>
      <c r="AQ2004" s="7"/>
      <c r="AR2004" s="7"/>
      <c r="AS2004" s="7"/>
      <c r="AT2004" s="7"/>
      <c r="AU2004" s="7"/>
    </row>
    <row r="2005" spans="4:47" ht="13.5" x14ac:dyDescent="0.25">
      <c r="D2005" s="7"/>
      <c r="G2005" s="7"/>
      <c r="M2005" s="7"/>
      <c r="P2005" s="7"/>
      <c r="Q2005" s="7"/>
      <c r="V2005" s="7"/>
      <c r="W2005" s="7"/>
      <c r="X2005" s="7"/>
      <c r="Y2005" s="7"/>
      <c r="Z2005" s="7"/>
      <c r="AA2005" s="7"/>
      <c r="AB2005" s="7"/>
      <c r="AC2005" s="7"/>
      <c r="AD2005" s="7"/>
      <c r="AE2005" s="7"/>
      <c r="AF2005" s="7"/>
      <c r="AH2005" s="7"/>
      <c r="AI2005" s="7"/>
      <c r="AJ2005" s="7"/>
      <c r="AL2005" s="7"/>
      <c r="AM2005" s="7"/>
      <c r="AN2005" s="7"/>
      <c r="AP2005" s="7"/>
      <c r="AQ2005" s="7"/>
      <c r="AR2005" s="7"/>
      <c r="AS2005" s="7"/>
      <c r="AT2005" s="7"/>
      <c r="AU2005" s="7"/>
    </row>
    <row r="2006" spans="4:47" ht="13.5" x14ac:dyDescent="0.25">
      <c r="D2006" s="7"/>
      <c r="G2006" s="7"/>
      <c r="M2006" s="7"/>
      <c r="P2006" s="7"/>
      <c r="Q2006" s="7"/>
      <c r="V2006" s="7"/>
      <c r="W2006" s="7"/>
      <c r="X2006" s="7"/>
      <c r="Y2006" s="7"/>
      <c r="Z2006" s="7"/>
      <c r="AA2006" s="7"/>
      <c r="AB2006" s="7"/>
      <c r="AC2006" s="7"/>
      <c r="AD2006" s="7"/>
      <c r="AE2006" s="7"/>
      <c r="AF2006" s="7"/>
      <c r="AH2006" s="7"/>
      <c r="AI2006" s="7"/>
      <c r="AJ2006" s="7"/>
      <c r="AL2006" s="7"/>
      <c r="AM2006" s="7"/>
      <c r="AN2006" s="7"/>
      <c r="AP2006" s="7"/>
      <c r="AQ2006" s="7"/>
      <c r="AR2006" s="7"/>
      <c r="AS2006" s="7"/>
      <c r="AT2006" s="7"/>
      <c r="AU2006" s="7"/>
    </row>
    <row r="2007" spans="4:47" ht="13.5" x14ac:dyDescent="0.25">
      <c r="D2007" s="7"/>
      <c r="G2007" s="7"/>
      <c r="M2007" s="7"/>
      <c r="P2007" s="7"/>
      <c r="Q2007" s="7"/>
      <c r="V2007" s="7"/>
      <c r="W2007" s="7"/>
      <c r="X2007" s="7"/>
      <c r="Y2007" s="7"/>
      <c r="Z2007" s="7"/>
      <c r="AA2007" s="7"/>
      <c r="AB2007" s="7"/>
      <c r="AC2007" s="7"/>
      <c r="AD2007" s="7"/>
      <c r="AE2007" s="7"/>
      <c r="AF2007" s="7"/>
      <c r="AH2007" s="7"/>
      <c r="AI2007" s="7"/>
      <c r="AJ2007" s="7"/>
      <c r="AL2007" s="7"/>
      <c r="AM2007" s="7"/>
      <c r="AN2007" s="7"/>
      <c r="AP2007" s="7"/>
      <c r="AQ2007" s="7"/>
      <c r="AR2007" s="7"/>
      <c r="AS2007" s="7"/>
      <c r="AT2007" s="7"/>
      <c r="AU2007" s="7"/>
    </row>
    <row r="2008" spans="4:47" ht="13.5" x14ac:dyDescent="0.25">
      <c r="D2008" s="7"/>
      <c r="G2008" s="7"/>
      <c r="M2008" s="7"/>
      <c r="P2008" s="7"/>
      <c r="Q2008" s="7"/>
      <c r="V2008" s="7"/>
      <c r="W2008" s="7"/>
      <c r="X2008" s="7"/>
      <c r="Y2008" s="7"/>
      <c r="Z2008" s="7"/>
      <c r="AA2008" s="7"/>
      <c r="AB2008" s="7"/>
      <c r="AC2008" s="7"/>
      <c r="AD2008" s="7"/>
      <c r="AE2008" s="7"/>
      <c r="AF2008" s="7"/>
      <c r="AH2008" s="7"/>
      <c r="AI2008" s="7"/>
      <c r="AJ2008" s="7"/>
      <c r="AL2008" s="7"/>
      <c r="AM2008" s="7"/>
      <c r="AN2008" s="7"/>
      <c r="AP2008" s="7"/>
      <c r="AQ2008" s="7"/>
      <c r="AR2008" s="7"/>
      <c r="AS2008" s="7"/>
      <c r="AT2008" s="7"/>
      <c r="AU2008" s="7"/>
    </row>
    <row r="2009" spans="4:47" ht="13.5" x14ac:dyDescent="0.25">
      <c r="D2009" s="7"/>
      <c r="G2009" s="7"/>
      <c r="M2009" s="7"/>
      <c r="P2009" s="7"/>
      <c r="Q2009" s="7"/>
      <c r="V2009" s="7"/>
      <c r="W2009" s="7"/>
      <c r="X2009" s="7"/>
      <c r="Y2009" s="7"/>
      <c r="Z2009" s="7"/>
      <c r="AA2009" s="7"/>
      <c r="AB2009" s="7"/>
      <c r="AC2009" s="7"/>
      <c r="AD2009" s="7"/>
      <c r="AE2009" s="7"/>
      <c r="AF2009" s="7"/>
      <c r="AH2009" s="7"/>
      <c r="AI2009" s="7"/>
      <c r="AJ2009" s="7"/>
      <c r="AL2009" s="7"/>
      <c r="AM2009" s="7"/>
      <c r="AN2009" s="7"/>
      <c r="AP2009" s="7"/>
      <c r="AQ2009" s="7"/>
      <c r="AR2009" s="7"/>
      <c r="AS2009" s="7"/>
      <c r="AT2009" s="7"/>
      <c r="AU2009" s="7"/>
    </row>
    <row r="2010" spans="4:47" ht="13.5" x14ac:dyDescent="0.25">
      <c r="D2010" s="7"/>
      <c r="G2010" s="7"/>
      <c r="M2010" s="7"/>
      <c r="P2010" s="7"/>
      <c r="Q2010" s="7"/>
      <c r="V2010" s="7"/>
      <c r="W2010" s="7"/>
      <c r="X2010" s="7"/>
      <c r="Y2010" s="7"/>
      <c r="Z2010" s="7"/>
      <c r="AA2010" s="7"/>
      <c r="AB2010" s="7"/>
      <c r="AC2010" s="7"/>
      <c r="AD2010" s="7"/>
      <c r="AE2010" s="7"/>
      <c r="AF2010" s="7"/>
      <c r="AH2010" s="7"/>
      <c r="AI2010" s="7"/>
      <c r="AJ2010" s="7"/>
      <c r="AL2010" s="7"/>
      <c r="AM2010" s="7"/>
      <c r="AN2010" s="7"/>
      <c r="AP2010" s="7"/>
      <c r="AQ2010" s="7"/>
      <c r="AR2010" s="7"/>
      <c r="AS2010" s="7"/>
      <c r="AT2010" s="7"/>
      <c r="AU2010" s="7"/>
    </row>
    <row r="2011" spans="4:47" ht="13.5" x14ac:dyDescent="0.25">
      <c r="D2011" s="7"/>
      <c r="G2011" s="7"/>
      <c r="M2011" s="7"/>
      <c r="P2011" s="7"/>
      <c r="Q2011" s="7"/>
      <c r="V2011" s="7"/>
      <c r="W2011" s="7"/>
      <c r="X2011" s="7"/>
      <c r="Y2011" s="7"/>
      <c r="Z2011" s="7"/>
      <c r="AA2011" s="7"/>
      <c r="AB2011" s="7"/>
      <c r="AC2011" s="7"/>
      <c r="AD2011" s="7"/>
      <c r="AE2011" s="7"/>
      <c r="AF2011" s="7"/>
      <c r="AH2011" s="7"/>
      <c r="AI2011" s="7"/>
      <c r="AJ2011" s="7"/>
      <c r="AL2011" s="7"/>
      <c r="AM2011" s="7"/>
      <c r="AN2011" s="7"/>
      <c r="AP2011" s="7"/>
      <c r="AQ2011" s="7"/>
      <c r="AR2011" s="7"/>
      <c r="AS2011" s="7"/>
      <c r="AT2011" s="7"/>
      <c r="AU2011" s="7"/>
    </row>
    <row r="2012" spans="4:47" ht="13.5" x14ac:dyDescent="0.25">
      <c r="D2012" s="7"/>
      <c r="G2012" s="7"/>
      <c r="M2012" s="7"/>
      <c r="P2012" s="7"/>
      <c r="Q2012" s="7"/>
      <c r="V2012" s="7"/>
      <c r="W2012" s="7"/>
      <c r="X2012" s="7"/>
      <c r="Y2012" s="7"/>
      <c r="Z2012" s="7"/>
      <c r="AA2012" s="7"/>
      <c r="AB2012" s="7"/>
      <c r="AC2012" s="7"/>
      <c r="AD2012" s="7"/>
      <c r="AE2012" s="7"/>
      <c r="AF2012" s="7"/>
      <c r="AH2012" s="7"/>
      <c r="AI2012" s="7"/>
      <c r="AJ2012" s="7"/>
      <c r="AL2012" s="7"/>
      <c r="AM2012" s="7"/>
      <c r="AN2012" s="7"/>
      <c r="AP2012" s="7"/>
      <c r="AQ2012" s="7"/>
      <c r="AR2012" s="7"/>
      <c r="AS2012" s="7"/>
      <c r="AT2012" s="7"/>
      <c r="AU2012" s="7"/>
    </row>
    <row r="2013" spans="4:47" ht="13.5" x14ac:dyDescent="0.25">
      <c r="D2013" s="7"/>
      <c r="G2013" s="7"/>
      <c r="M2013" s="7"/>
      <c r="P2013" s="7"/>
      <c r="Q2013" s="7"/>
      <c r="V2013" s="7"/>
      <c r="W2013" s="7"/>
      <c r="X2013" s="7"/>
      <c r="Y2013" s="7"/>
      <c r="Z2013" s="7"/>
      <c r="AA2013" s="7"/>
      <c r="AB2013" s="7"/>
      <c r="AC2013" s="7"/>
      <c r="AD2013" s="7"/>
      <c r="AE2013" s="7"/>
      <c r="AF2013" s="7"/>
      <c r="AH2013" s="7"/>
      <c r="AI2013" s="7"/>
      <c r="AJ2013" s="7"/>
      <c r="AL2013" s="7"/>
      <c r="AM2013" s="7"/>
      <c r="AN2013" s="7"/>
      <c r="AP2013" s="7"/>
      <c r="AQ2013" s="7"/>
      <c r="AR2013" s="7"/>
      <c r="AS2013" s="7"/>
      <c r="AT2013" s="7"/>
      <c r="AU2013" s="7"/>
    </row>
    <row r="2014" spans="4:47" ht="13.5" x14ac:dyDescent="0.25">
      <c r="D2014" s="7"/>
      <c r="G2014" s="7"/>
      <c r="M2014" s="7"/>
      <c r="P2014" s="7"/>
      <c r="Q2014" s="7"/>
      <c r="V2014" s="7"/>
      <c r="W2014" s="7"/>
      <c r="X2014" s="7"/>
      <c r="Y2014" s="7"/>
      <c r="Z2014" s="7"/>
      <c r="AA2014" s="7"/>
      <c r="AB2014" s="7"/>
      <c r="AC2014" s="7"/>
      <c r="AD2014" s="7"/>
      <c r="AE2014" s="7"/>
      <c r="AF2014" s="7"/>
      <c r="AH2014" s="7"/>
      <c r="AI2014" s="7"/>
      <c r="AJ2014" s="7"/>
      <c r="AL2014" s="7"/>
      <c r="AM2014" s="7"/>
      <c r="AN2014" s="7"/>
      <c r="AP2014" s="7"/>
      <c r="AQ2014" s="7"/>
      <c r="AR2014" s="7"/>
      <c r="AS2014" s="7"/>
      <c r="AT2014" s="7"/>
      <c r="AU2014" s="7"/>
    </row>
    <row r="2015" spans="4:47" ht="13.5" x14ac:dyDescent="0.25">
      <c r="D2015" s="7"/>
      <c r="G2015" s="7"/>
      <c r="M2015" s="7"/>
      <c r="P2015" s="7"/>
      <c r="Q2015" s="7"/>
      <c r="V2015" s="7"/>
      <c r="W2015" s="7"/>
      <c r="X2015" s="7"/>
      <c r="Y2015" s="7"/>
      <c r="Z2015" s="7"/>
      <c r="AA2015" s="7"/>
      <c r="AB2015" s="7"/>
      <c r="AC2015" s="7"/>
      <c r="AD2015" s="7"/>
      <c r="AE2015" s="7"/>
      <c r="AF2015" s="7"/>
      <c r="AH2015" s="7"/>
      <c r="AI2015" s="7"/>
      <c r="AJ2015" s="7"/>
      <c r="AL2015" s="7"/>
      <c r="AM2015" s="7"/>
      <c r="AN2015" s="7"/>
      <c r="AP2015" s="7"/>
      <c r="AQ2015" s="7"/>
      <c r="AR2015" s="7"/>
      <c r="AS2015" s="7"/>
      <c r="AT2015" s="7"/>
      <c r="AU2015" s="7"/>
    </row>
    <row r="2016" spans="4:47" ht="13.5" x14ac:dyDescent="0.25">
      <c r="D2016" s="7"/>
      <c r="G2016" s="7"/>
      <c r="M2016" s="7"/>
      <c r="P2016" s="7"/>
      <c r="Q2016" s="7"/>
      <c r="V2016" s="7"/>
      <c r="W2016" s="7"/>
      <c r="X2016" s="7"/>
      <c r="Y2016" s="7"/>
      <c r="Z2016" s="7"/>
      <c r="AA2016" s="7"/>
      <c r="AB2016" s="7"/>
      <c r="AC2016" s="7"/>
      <c r="AD2016" s="7"/>
      <c r="AE2016" s="7"/>
      <c r="AF2016" s="7"/>
      <c r="AH2016" s="7"/>
      <c r="AI2016" s="7"/>
      <c r="AJ2016" s="7"/>
      <c r="AL2016" s="7"/>
      <c r="AM2016" s="7"/>
      <c r="AN2016" s="7"/>
      <c r="AP2016" s="7"/>
      <c r="AQ2016" s="7"/>
      <c r="AR2016" s="7"/>
      <c r="AS2016" s="7"/>
      <c r="AT2016" s="7"/>
      <c r="AU2016" s="7"/>
    </row>
    <row r="2017" spans="4:47" ht="13.5" x14ac:dyDescent="0.25">
      <c r="D2017" s="7"/>
      <c r="G2017" s="7"/>
      <c r="M2017" s="7"/>
      <c r="P2017" s="7"/>
      <c r="Q2017" s="7"/>
      <c r="V2017" s="7"/>
      <c r="W2017" s="7"/>
      <c r="X2017" s="7"/>
      <c r="Y2017" s="7"/>
      <c r="Z2017" s="7"/>
      <c r="AA2017" s="7"/>
      <c r="AB2017" s="7"/>
      <c r="AC2017" s="7"/>
      <c r="AD2017" s="7"/>
      <c r="AE2017" s="7"/>
      <c r="AF2017" s="7"/>
      <c r="AH2017" s="7"/>
      <c r="AI2017" s="7"/>
      <c r="AJ2017" s="7"/>
      <c r="AL2017" s="7"/>
      <c r="AM2017" s="7"/>
      <c r="AN2017" s="7"/>
      <c r="AP2017" s="7"/>
      <c r="AQ2017" s="7"/>
      <c r="AR2017" s="7"/>
      <c r="AS2017" s="7"/>
      <c r="AT2017" s="7"/>
      <c r="AU2017" s="7"/>
    </row>
    <row r="2018" spans="4:47" ht="13.5" x14ac:dyDescent="0.25">
      <c r="D2018" s="7"/>
      <c r="G2018" s="7"/>
      <c r="M2018" s="7"/>
      <c r="P2018" s="7"/>
      <c r="Q2018" s="7"/>
      <c r="V2018" s="7"/>
      <c r="W2018" s="7"/>
      <c r="X2018" s="7"/>
      <c r="Y2018" s="7"/>
      <c r="Z2018" s="7"/>
      <c r="AA2018" s="7"/>
      <c r="AB2018" s="7"/>
      <c r="AC2018" s="7"/>
      <c r="AD2018" s="7"/>
      <c r="AE2018" s="7"/>
      <c r="AF2018" s="7"/>
      <c r="AH2018" s="7"/>
      <c r="AI2018" s="7"/>
      <c r="AJ2018" s="7"/>
      <c r="AL2018" s="7"/>
      <c r="AM2018" s="7"/>
      <c r="AN2018" s="7"/>
      <c r="AP2018" s="7"/>
      <c r="AQ2018" s="7"/>
      <c r="AR2018" s="7"/>
      <c r="AS2018" s="7"/>
      <c r="AT2018" s="7"/>
      <c r="AU2018" s="7"/>
    </row>
    <row r="2019" spans="4:47" ht="13.5" x14ac:dyDescent="0.25">
      <c r="D2019" s="7"/>
      <c r="G2019" s="7"/>
      <c r="M2019" s="7"/>
      <c r="P2019" s="7"/>
      <c r="Q2019" s="7"/>
      <c r="V2019" s="7"/>
      <c r="W2019" s="7"/>
      <c r="X2019" s="7"/>
      <c r="Y2019" s="7"/>
      <c r="Z2019" s="7"/>
      <c r="AA2019" s="7"/>
      <c r="AB2019" s="7"/>
      <c r="AC2019" s="7"/>
      <c r="AD2019" s="7"/>
      <c r="AE2019" s="7"/>
      <c r="AF2019" s="7"/>
      <c r="AH2019" s="7"/>
      <c r="AI2019" s="7"/>
      <c r="AJ2019" s="7"/>
      <c r="AL2019" s="7"/>
      <c r="AM2019" s="7"/>
      <c r="AN2019" s="7"/>
      <c r="AP2019" s="7"/>
      <c r="AQ2019" s="7"/>
      <c r="AR2019" s="7"/>
      <c r="AS2019" s="7"/>
      <c r="AT2019" s="7"/>
      <c r="AU2019" s="7"/>
    </row>
    <row r="2020" spans="4:47" ht="13.5" x14ac:dyDescent="0.25">
      <c r="D2020" s="7"/>
      <c r="G2020" s="7"/>
      <c r="M2020" s="7"/>
      <c r="P2020" s="7"/>
      <c r="Q2020" s="7"/>
      <c r="V2020" s="7"/>
      <c r="W2020" s="7"/>
      <c r="X2020" s="7"/>
      <c r="Y2020" s="7"/>
      <c r="Z2020" s="7"/>
      <c r="AA2020" s="7"/>
      <c r="AB2020" s="7"/>
      <c r="AC2020" s="7"/>
      <c r="AD2020" s="7"/>
      <c r="AE2020" s="7"/>
      <c r="AF2020" s="7"/>
      <c r="AH2020" s="7"/>
      <c r="AI2020" s="7"/>
      <c r="AJ2020" s="7"/>
      <c r="AL2020" s="7"/>
      <c r="AM2020" s="7"/>
      <c r="AN2020" s="7"/>
      <c r="AP2020" s="7"/>
      <c r="AQ2020" s="7"/>
      <c r="AR2020" s="7"/>
      <c r="AS2020" s="7"/>
      <c r="AT2020" s="7"/>
      <c r="AU2020" s="7"/>
    </row>
    <row r="2021" spans="4:47" ht="13.5" x14ac:dyDescent="0.25">
      <c r="D2021" s="7"/>
      <c r="G2021" s="7"/>
      <c r="M2021" s="7"/>
      <c r="P2021" s="7"/>
      <c r="Q2021" s="7"/>
      <c r="V2021" s="7"/>
      <c r="W2021" s="7"/>
      <c r="X2021" s="7"/>
      <c r="Y2021" s="7"/>
      <c r="Z2021" s="7"/>
      <c r="AA2021" s="7"/>
      <c r="AB2021" s="7"/>
      <c r="AC2021" s="7"/>
      <c r="AD2021" s="7"/>
      <c r="AE2021" s="7"/>
      <c r="AF2021" s="7"/>
      <c r="AH2021" s="7"/>
      <c r="AI2021" s="7"/>
      <c r="AJ2021" s="7"/>
      <c r="AL2021" s="7"/>
      <c r="AM2021" s="7"/>
      <c r="AN2021" s="7"/>
      <c r="AP2021" s="7"/>
      <c r="AQ2021" s="7"/>
      <c r="AR2021" s="7"/>
      <c r="AS2021" s="7"/>
      <c r="AT2021" s="7"/>
      <c r="AU2021" s="7"/>
    </row>
    <row r="2022" spans="4:47" ht="13.5" x14ac:dyDescent="0.25">
      <c r="D2022" s="7"/>
      <c r="G2022" s="7"/>
      <c r="M2022" s="7"/>
      <c r="P2022" s="7"/>
      <c r="Q2022" s="7"/>
      <c r="V2022" s="7"/>
      <c r="W2022" s="7"/>
      <c r="X2022" s="7"/>
      <c r="Y2022" s="7"/>
      <c r="Z2022" s="7"/>
      <c r="AA2022" s="7"/>
      <c r="AB2022" s="7"/>
      <c r="AC2022" s="7"/>
      <c r="AD2022" s="7"/>
      <c r="AE2022" s="7"/>
      <c r="AF2022" s="7"/>
      <c r="AH2022" s="7"/>
      <c r="AI2022" s="7"/>
      <c r="AJ2022" s="7"/>
      <c r="AL2022" s="7"/>
      <c r="AM2022" s="7"/>
      <c r="AN2022" s="7"/>
      <c r="AP2022" s="7"/>
      <c r="AQ2022" s="7"/>
      <c r="AR2022" s="7"/>
      <c r="AS2022" s="7"/>
      <c r="AT2022" s="7"/>
      <c r="AU2022" s="7"/>
    </row>
    <row r="2023" spans="4:47" ht="13.5" x14ac:dyDescent="0.25">
      <c r="D2023" s="7"/>
      <c r="G2023" s="7"/>
      <c r="M2023" s="7"/>
      <c r="P2023" s="7"/>
      <c r="Q2023" s="7"/>
      <c r="V2023" s="7"/>
      <c r="W2023" s="7"/>
      <c r="X2023" s="7"/>
      <c r="Y2023" s="7"/>
      <c r="Z2023" s="7"/>
      <c r="AA2023" s="7"/>
      <c r="AB2023" s="7"/>
      <c r="AC2023" s="7"/>
      <c r="AD2023" s="7"/>
      <c r="AE2023" s="7"/>
      <c r="AF2023" s="7"/>
      <c r="AH2023" s="7"/>
      <c r="AI2023" s="7"/>
      <c r="AJ2023" s="7"/>
      <c r="AL2023" s="7"/>
      <c r="AM2023" s="7"/>
      <c r="AN2023" s="7"/>
      <c r="AP2023" s="7"/>
      <c r="AQ2023" s="7"/>
      <c r="AR2023" s="7"/>
      <c r="AS2023" s="7"/>
      <c r="AT2023" s="7"/>
      <c r="AU2023" s="7"/>
    </row>
    <row r="2024" spans="4:47" ht="13.5" x14ac:dyDescent="0.25">
      <c r="D2024" s="7"/>
      <c r="G2024" s="7"/>
      <c r="M2024" s="7"/>
      <c r="P2024" s="7"/>
      <c r="Q2024" s="7"/>
      <c r="V2024" s="7"/>
      <c r="W2024" s="7"/>
      <c r="X2024" s="7"/>
      <c r="Y2024" s="7"/>
      <c r="Z2024" s="7"/>
      <c r="AA2024" s="7"/>
      <c r="AB2024" s="7"/>
      <c r="AC2024" s="7"/>
      <c r="AD2024" s="7"/>
      <c r="AE2024" s="7"/>
      <c r="AF2024" s="7"/>
      <c r="AH2024" s="7"/>
      <c r="AI2024" s="7"/>
      <c r="AJ2024" s="7"/>
      <c r="AL2024" s="7"/>
      <c r="AM2024" s="7"/>
      <c r="AN2024" s="7"/>
      <c r="AP2024" s="7"/>
      <c r="AQ2024" s="7"/>
      <c r="AR2024" s="7"/>
      <c r="AS2024" s="7"/>
      <c r="AT2024" s="7"/>
      <c r="AU2024" s="7"/>
    </row>
    <row r="2025" spans="4:47" ht="13.5" x14ac:dyDescent="0.25">
      <c r="D2025" s="7"/>
      <c r="G2025" s="7"/>
      <c r="M2025" s="7"/>
      <c r="P2025" s="7"/>
      <c r="Q2025" s="7"/>
      <c r="V2025" s="7"/>
      <c r="W2025" s="7"/>
      <c r="X2025" s="7"/>
      <c r="Y2025" s="7"/>
      <c r="Z2025" s="7"/>
      <c r="AA2025" s="7"/>
      <c r="AB2025" s="7"/>
      <c r="AC2025" s="7"/>
      <c r="AD2025" s="7"/>
      <c r="AE2025" s="7"/>
      <c r="AF2025" s="7"/>
      <c r="AH2025" s="7"/>
      <c r="AI2025" s="7"/>
      <c r="AJ2025" s="7"/>
      <c r="AL2025" s="7"/>
      <c r="AM2025" s="7"/>
      <c r="AN2025" s="7"/>
      <c r="AP2025" s="7"/>
      <c r="AQ2025" s="7"/>
      <c r="AR2025" s="7"/>
      <c r="AS2025" s="7"/>
      <c r="AT2025" s="7"/>
      <c r="AU2025" s="7"/>
    </row>
    <row r="2026" spans="4:47" ht="13.5" x14ac:dyDescent="0.25">
      <c r="D2026" s="7"/>
      <c r="G2026" s="7"/>
      <c r="M2026" s="7"/>
      <c r="P2026" s="7"/>
      <c r="Q2026" s="7"/>
      <c r="V2026" s="7"/>
      <c r="W2026" s="7"/>
      <c r="X2026" s="7"/>
      <c r="Y2026" s="7"/>
      <c r="Z2026" s="7"/>
      <c r="AA2026" s="7"/>
      <c r="AB2026" s="7"/>
      <c r="AC2026" s="7"/>
      <c r="AD2026" s="7"/>
      <c r="AE2026" s="7"/>
      <c r="AF2026" s="7"/>
      <c r="AH2026" s="7"/>
      <c r="AI2026" s="7"/>
      <c r="AJ2026" s="7"/>
      <c r="AL2026" s="7"/>
      <c r="AM2026" s="7"/>
      <c r="AN2026" s="7"/>
      <c r="AP2026" s="7"/>
      <c r="AQ2026" s="7"/>
      <c r="AR2026" s="7"/>
      <c r="AS2026" s="7"/>
      <c r="AT2026" s="7"/>
      <c r="AU2026" s="7"/>
    </row>
    <row r="2027" spans="4:47" ht="13.5" x14ac:dyDescent="0.25">
      <c r="D2027" s="7"/>
      <c r="G2027" s="7"/>
      <c r="M2027" s="7"/>
      <c r="P2027" s="7"/>
      <c r="Q2027" s="7"/>
      <c r="V2027" s="7"/>
      <c r="W2027" s="7"/>
      <c r="X2027" s="7"/>
      <c r="Y2027" s="7"/>
      <c r="Z2027" s="7"/>
      <c r="AA2027" s="7"/>
      <c r="AB2027" s="7"/>
      <c r="AC2027" s="7"/>
      <c r="AD2027" s="7"/>
      <c r="AE2027" s="7"/>
      <c r="AF2027" s="7"/>
      <c r="AH2027" s="7"/>
      <c r="AI2027" s="7"/>
      <c r="AJ2027" s="7"/>
      <c r="AL2027" s="7"/>
      <c r="AM2027" s="7"/>
      <c r="AN2027" s="7"/>
      <c r="AP2027" s="7"/>
      <c r="AQ2027" s="7"/>
      <c r="AR2027" s="7"/>
      <c r="AS2027" s="7"/>
      <c r="AT2027" s="7"/>
      <c r="AU2027" s="7"/>
    </row>
    <row r="2028" spans="4:47" ht="13.5" x14ac:dyDescent="0.25">
      <c r="D2028" s="7"/>
      <c r="G2028" s="7"/>
      <c r="M2028" s="7"/>
      <c r="P2028" s="7"/>
      <c r="Q2028" s="7"/>
      <c r="V2028" s="7"/>
      <c r="W2028" s="7"/>
      <c r="X2028" s="7"/>
      <c r="Y2028" s="7"/>
      <c r="Z2028" s="7"/>
      <c r="AA2028" s="7"/>
      <c r="AB2028" s="7"/>
      <c r="AC2028" s="7"/>
      <c r="AD2028" s="7"/>
      <c r="AE2028" s="7"/>
      <c r="AF2028" s="7"/>
      <c r="AH2028" s="7"/>
      <c r="AI2028" s="7"/>
      <c r="AJ2028" s="7"/>
      <c r="AL2028" s="7"/>
      <c r="AM2028" s="7"/>
      <c r="AN2028" s="7"/>
      <c r="AP2028" s="7"/>
      <c r="AQ2028" s="7"/>
      <c r="AR2028" s="7"/>
      <c r="AS2028" s="7"/>
      <c r="AT2028" s="7"/>
      <c r="AU2028" s="7"/>
    </row>
    <row r="2029" spans="4:47" ht="13.5" x14ac:dyDescent="0.25">
      <c r="D2029" s="7"/>
      <c r="G2029" s="7"/>
      <c r="M2029" s="7"/>
      <c r="P2029" s="7"/>
      <c r="Q2029" s="7"/>
      <c r="V2029" s="7"/>
      <c r="W2029" s="7"/>
      <c r="X2029" s="7"/>
      <c r="Y2029" s="7"/>
      <c r="Z2029" s="7"/>
      <c r="AA2029" s="7"/>
      <c r="AB2029" s="7"/>
      <c r="AC2029" s="7"/>
      <c r="AD2029" s="7"/>
      <c r="AE2029" s="7"/>
      <c r="AF2029" s="7"/>
      <c r="AH2029" s="7"/>
      <c r="AI2029" s="7"/>
      <c r="AJ2029" s="7"/>
      <c r="AL2029" s="7"/>
      <c r="AM2029" s="7"/>
      <c r="AN2029" s="7"/>
      <c r="AP2029" s="7"/>
      <c r="AQ2029" s="7"/>
      <c r="AR2029" s="7"/>
      <c r="AS2029" s="7"/>
      <c r="AT2029" s="7"/>
      <c r="AU2029" s="7"/>
    </row>
    <row r="2030" spans="4:47" ht="13.5" x14ac:dyDescent="0.25">
      <c r="D2030" s="7"/>
      <c r="G2030" s="7"/>
      <c r="M2030" s="7"/>
      <c r="P2030" s="7"/>
      <c r="Q2030" s="7"/>
      <c r="V2030" s="7"/>
      <c r="W2030" s="7"/>
      <c r="X2030" s="7"/>
      <c r="Y2030" s="7"/>
      <c r="Z2030" s="7"/>
      <c r="AA2030" s="7"/>
      <c r="AB2030" s="7"/>
      <c r="AC2030" s="7"/>
      <c r="AD2030" s="7"/>
      <c r="AE2030" s="7"/>
      <c r="AF2030" s="7"/>
      <c r="AH2030" s="7"/>
      <c r="AI2030" s="7"/>
      <c r="AJ2030" s="7"/>
      <c r="AL2030" s="7"/>
      <c r="AM2030" s="7"/>
      <c r="AN2030" s="7"/>
      <c r="AP2030" s="7"/>
      <c r="AQ2030" s="7"/>
      <c r="AR2030" s="7"/>
      <c r="AS2030" s="7"/>
      <c r="AT2030" s="7"/>
      <c r="AU2030" s="7"/>
    </row>
    <row r="2031" spans="4:47" ht="13.5" x14ac:dyDescent="0.25">
      <c r="D2031" s="7"/>
      <c r="G2031" s="7"/>
      <c r="M2031" s="7"/>
      <c r="P2031" s="7"/>
      <c r="Q2031" s="7"/>
      <c r="V2031" s="7"/>
      <c r="W2031" s="7"/>
      <c r="X2031" s="7"/>
      <c r="Y2031" s="7"/>
      <c r="Z2031" s="7"/>
      <c r="AA2031" s="7"/>
      <c r="AB2031" s="7"/>
      <c r="AC2031" s="7"/>
      <c r="AD2031" s="7"/>
      <c r="AE2031" s="7"/>
      <c r="AF2031" s="7"/>
      <c r="AH2031" s="7"/>
      <c r="AI2031" s="7"/>
      <c r="AJ2031" s="7"/>
      <c r="AL2031" s="7"/>
      <c r="AM2031" s="7"/>
      <c r="AN2031" s="7"/>
      <c r="AP2031" s="7"/>
      <c r="AQ2031" s="7"/>
      <c r="AR2031" s="7"/>
      <c r="AS2031" s="7"/>
      <c r="AT2031" s="7"/>
      <c r="AU2031" s="7"/>
    </row>
    <row r="2032" spans="4:47" ht="13.5" x14ac:dyDescent="0.25">
      <c r="D2032" s="7"/>
      <c r="G2032" s="7"/>
      <c r="M2032" s="7"/>
      <c r="P2032" s="7"/>
      <c r="Q2032" s="7"/>
      <c r="V2032" s="7"/>
      <c r="W2032" s="7"/>
      <c r="X2032" s="7"/>
      <c r="Y2032" s="7"/>
      <c r="Z2032" s="7"/>
      <c r="AA2032" s="7"/>
      <c r="AB2032" s="7"/>
      <c r="AC2032" s="7"/>
      <c r="AD2032" s="7"/>
      <c r="AE2032" s="7"/>
      <c r="AF2032" s="7"/>
      <c r="AH2032" s="7"/>
      <c r="AI2032" s="7"/>
      <c r="AJ2032" s="7"/>
      <c r="AL2032" s="7"/>
      <c r="AM2032" s="7"/>
      <c r="AN2032" s="7"/>
      <c r="AP2032" s="7"/>
      <c r="AQ2032" s="7"/>
      <c r="AR2032" s="7"/>
      <c r="AS2032" s="7"/>
      <c r="AT2032" s="7"/>
      <c r="AU2032" s="7"/>
    </row>
    <row r="2033" spans="4:47" ht="13.5" x14ac:dyDescent="0.25">
      <c r="D2033" s="7"/>
      <c r="G2033" s="7"/>
      <c r="M2033" s="7"/>
      <c r="P2033" s="7"/>
      <c r="Q2033" s="7"/>
      <c r="V2033" s="7"/>
      <c r="W2033" s="7"/>
      <c r="X2033" s="7"/>
      <c r="Y2033" s="7"/>
      <c r="Z2033" s="7"/>
      <c r="AA2033" s="7"/>
      <c r="AB2033" s="7"/>
      <c r="AC2033" s="7"/>
      <c r="AD2033" s="7"/>
      <c r="AE2033" s="7"/>
      <c r="AF2033" s="7"/>
      <c r="AH2033" s="7"/>
      <c r="AI2033" s="7"/>
      <c r="AJ2033" s="7"/>
      <c r="AL2033" s="7"/>
      <c r="AM2033" s="7"/>
      <c r="AN2033" s="7"/>
      <c r="AP2033" s="7"/>
      <c r="AQ2033" s="7"/>
      <c r="AR2033" s="7"/>
      <c r="AS2033" s="7"/>
      <c r="AT2033" s="7"/>
      <c r="AU2033" s="7"/>
    </row>
    <row r="2034" spans="4:47" ht="13.5" x14ac:dyDescent="0.25">
      <c r="D2034" s="7"/>
      <c r="G2034" s="7"/>
      <c r="M2034" s="7"/>
      <c r="P2034" s="7"/>
      <c r="Q2034" s="7"/>
      <c r="V2034" s="7"/>
      <c r="W2034" s="7"/>
      <c r="X2034" s="7"/>
      <c r="Y2034" s="7"/>
      <c r="Z2034" s="7"/>
      <c r="AA2034" s="7"/>
      <c r="AB2034" s="7"/>
      <c r="AC2034" s="7"/>
      <c r="AD2034" s="7"/>
      <c r="AE2034" s="7"/>
      <c r="AF2034" s="7"/>
      <c r="AH2034" s="7"/>
      <c r="AI2034" s="7"/>
      <c r="AJ2034" s="7"/>
      <c r="AL2034" s="7"/>
      <c r="AM2034" s="7"/>
      <c r="AN2034" s="7"/>
      <c r="AP2034" s="7"/>
      <c r="AQ2034" s="7"/>
      <c r="AR2034" s="7"/>
      <c r="AS2034" s="7"/>
      <c r="AT2034" s="7"/>
      <c r="AU2034" s="7"/>
    </row>
    <row r="2035" spans="4:47" ht="13.5" x14ac:dyDescent="0.25">
      <c r="D2035" s="7"/>
      <c r="G2035" s="7"/>
      <c r="M2035" s="7"/>
      <c r="P2035" s="7"/>
      <c r="Q2035" s="7"/>
      <c r="V2035" s="7"/>
      <c r="W2035" s="7"/>
      <c r="X2035" s="7"/>
      <c r="Y2035" s="7"/>
      <c r="Z2035" s="7"/>
      <c r="AA2035" s="7"/>
      <c r="AB2035" s="7"/>
      <c r="AC2035" s="7"/>
      <c r="AD2035" s="7"/>
      <c r="AE2035" s="7"/>
      <c r="AF2035" s="7"/>
      <c r="AH2035" s="7"/>
      <c r="AI2035" s="7"/>
      <c r="AJ2035" s="7"/>
      <c r="AL2035" s="7"/>
      <c r="AM2035" s="7"/>
      <c r="AN2035" s="7"/>
      <c r="AP2035" s="7"/>
      <c r="AQ2035" s="7"/>
      <c r="AR2035" s="7"/>
      <c r="AS2035" s="7"/>
      <c r="AT2035" s="7"/>
      <c r="AU2035" s="7"/>
    </row>
    <row r="2036" spans="4:47" ht="13.5" x14ac:dyDescent="0.25">
      <c r="D2036" s="7"/>
      <c r="G2036" s="7"/>
      <c r="M2036" s="7"/>
      <c r="P2036" s="7"/>
      <c r="Q2036" s="7"/>
      <c r="V2036" s="7"/>
      <c r="W2036" s="7"/>
      <c r="X2036" s="7"/>
      <c r="Y2036" s="7"/>
      <c r="Z2036" s="7"/>
      <c r="AA2036" s="7"/>
      <c r="AB2036" s="7"/>
      <c r="AC2036" s="7"/>
      <c r="AD2036" s="7"/>
      <c r="AE2036" s="7"/>
      <c r="AF2036" s="7"/>
      <c r="AH2036" s="7"/>
      <c r="AI2036" s="7"/>
      <c r="AJ2036" s="7"/>
      <c r="AL2036" s="7"/>
      <c r="AM2036" s="7"/>
      <c r="AN2036" s="7"/>
      <c r="AP2036" s="7"/>
      <c r="AQ2036" s="7"/>
      <c r="AR2036" s="7"/>
      <c r="AS2036" s="7"/>
      <c r="AT2036" s="7"/>
      <c r="AU2036" s="7"/>
    </row>
    <row r="2037" spans="4:47" ht="13.5" x14ac:dyDescent="0.25">
      <c r="D2037" s="7"/>
      <c r="G2037" s="7"/>
      <c r="M2037" s="7"/>
      <c r="P2037" s="7"/>
      <c r="Q2037" s="7"/>
      <c r="V2037" s="7"/>
      <c r="W2037" s="7"/>
      <c r="X2037" s="7"/>
      <c r="Y2037" s="7"/>
      <c r="Z2037" s="7"/>
      <c r="AA2037" s="7"/>
      <c r="AB2037" s="7"/>
      <c r="AC2037" s="7"/>
      <c r="AD2037" s="7"/>
      <c r="AE2037" s="7"/>
      <c r="AF2037" s="7"/>
      <c r="AH2037" s="7"/>
      <c r="AI2037" s="7"/>
      <c r="AJ2037" s="7"/>
      <c r="AL2037" s="7"/>
      <c r="AM2037" s="7"/>
      <c r="AN2037" s="7"/>
      <c r="AP2037" s="7"/>
      <c r="AQ2037" s="7"/>
      <c r="AR2037" s="7"/>
      <c r="AS2037" s="7"/>
      <c r="AT2037" s="7"/>
      <c r="AU2037" s="7"/>
    </row>
    <row r="2038" spans="4:47" ht="13.5" x14ac:dyDescent="0.25">
      <c r="D2038" s="7"/>
      <c r="G2038" s="7"/>
      <c r="M2038" s="7"/>
      <c r="P2038" s="7"/>
      <c r="Q2038" s="7"/>
      <c r="V2038" s="7"/>
      <c r="W2038" s="7"/>
      <c r="X2038" s="7"/>
      <c r="Y2038" s="7"/>
      <c r="Z2038" s="7"/>
      <c r="AA2038" s="7"/>
      <c r="AB2038" s="7"/>
      <c r="AC2038" s="7"/>
      <c r="AD2038" s="7"/>
      <c r="AE2038" s="7"/>
      <c r="AF2038" s="7"/>
      <c r="AH2038" s="7"/>
      <c r="AI2038" s="7"/>
      <c r="AJ2038" s="7"/>
      <c r="AL2038" s="7"/>
      <c r="AM2038" s="7"/>
      <c r="AN2038" s="7"/>
      <c r="AP2038" s="7"/>
      <c r="AQ2038" s="7"/>
      <c r="AR2038" s="7"/>
      <c r="AS2038" s="7"/>
      <c r="AT2038" s="7"/>
      <c r="AU2038" s="7"/>
    </row>
    <row r="2039" spans="4:47" ht="13.5" x14ac:dyDescent="0.25">
      <c r="D2039" s="7"/>
      <c r="G2039" s="7"/>
      <c r="M2039" s="7"/>
      <c r="P2039" s="7"/>
      <c r="Q2039" s="7"/>
      <c r="V2039" s="7"/>
      <c r="W2039" s="7"/>
      <c r="X2039" s="7"/>
      <c r="Y2039" s="7"/>
      <c r="Z2039" s="7"/>
      <c r="AA2039" s="7"/>
      <c r="AB2039" s="7"/>
      <c r="AC2039" s="7"/>
      <c r="AD2039" s="7"/>
      <c r="AE2039" s="7"/>
      <c r="AF2039" s="7"/>
      <c r="AH2039" s="7"/>
      <c r="AI2039" s="7"/>
      <c r="AJ2039" s="7"/>
      <c r="AL2039" s="7"/>
      <c r="AM2039" s="7"/>
      <c r="AN2039" s="7"/>
      <c r="AP2039" s="7"/>
      <c r="AQ2039" s="7"/>
      <c r="AR2039" s="7"/>
      <c r="AS2039" s="7"/>
      <c r="AT2039" s="7"/>
      <c r="AU2039" s="7"/>
    </row>
    <row r="2040" spans="4:47" ht="13.5" x14ac:dyDescent="0.25">
      <c r="D2040" s="7"/>
      <c r="G2040" s="7"/>
      <c r="M2040" s="7"/>
      <c r="P2040" s="7"/>
      <c r="Q2040" s="7"/>
      <c r="V2040" s="7"/>
      <c r="W2040" s="7"/>
      <c r="X2040" s="7"/>
      <c r="Y2040" s="7"/>
      <c r="Z2040" s="7"/>
      <c r="AA2040" s="7"/>
      <c r="AB2040" s="7"/>
      <c r="AC2040" s="7"/>
      <c r="AD2040" s="7"/>
      <c r="AE2040" s="7"/>
      <c r="AF2040" s="7"/>
      <c r="AH2040" s="7"/>
      <c r="AI2040" s="7"/>
      <c r="AJ2040" s="7"/>
      <c r="AL2040" s="7"/>
      <c r="AM2040" s="7"/>
      <c r="AN2040" s="7"/>
      <c r="AP2040" s="7"/>
      <c r="AQ2040" s="7"/>
      <c r="AR2040" s="7"/>
      <c r="AS2040" s="7"/>
      <c r="AT2040" s="7"/>
      <c r="AU2040" s="7"/>
    </row>
    <row r="2041" spans="4:47" ht="13.5" x14ac:dyDescent="0.25">
      <c r="D2041" s="7"/>
      <c r="G2041" s="7"/>
      <c r="M2041" s="7"/>
      <c r="P2041" s="7"/>
      <c r="Q2041" s="7"/>
      <c r="V2041" s="7"/>
      <c r="W2041" s="7"/>
      <c r="X2041" s="7"/>
      <c r="Y2041" s="7"/>
      <c r="Z2041" s="7"/>
      <c r="AA2041" s="7"/>
      <c r="AB2041" s="7"/>
      <c r="AC2041" s="7"/>
      <c r="AD2041" s="7"/>
      <c r="AE2041" s="7"/>
      <c r="AF2041" s="7"/>
      <c r="AH2041" s="7"/>
      <c r="AI2041" s="7"/>
      <c r="AJ2041" s="7"/>
      <c r="AL2041" s="7"/>
      <c r="AM2041" s="7"/>
      <c r="AN2041" s="7"/>
      <c r="AP2041" s="7"/>
      <c r="AQ2041" s="7"/>
      <c r="AR2041" s="7"/>
      <c r="AS2041" s="7"/>
      <c r="AT2041" s="7"/>
      <c r="AU2041" s="7"/>
    </row>
    <row r="2042" spans="4:47" ht="13.5" x14ac:dyDescent="0.25">
      <c r="D2042" s="7"/>
      <c r="G2042" s="7"/>
      <c r="M2042" s="7"/>
      <c r="P2042" s="7"/>
      <c r="Q2042" s="7"/>
      <c r="V2042" s="7"/>
      <c r="W2042" s="7"/>
      <c r="X2042" s="7"/>
      <c r="Y2042" s="7"/>
      <c r="Z2042" s="7"/>
      <c r="AA2042" s="7"/>
      <c r="AB2042" s="7"/>
      <c r="AC2042" s="7"/>
      <c r="AD2042" s="7"/>
      <c r="AE2042" s="7"/>
      <c r="AF2042" s="7"/>
      <c r="AH2042" s="7"/>
      <c r="AI2042" s="7"/>
      <c r="AJ2042" s="7"/>
      <c r="AL2042" s="7"/>
      <c r="AM2042" s="7"/>
      <c r="AN2042" s="7"/>
      <c r="AP2042" s="7"/>
      <c r="AQ2042" s="7"/>
      <c r="AR2042" s="7"/>
      <c r="AS2042" s="7"/>
      <c r="AT2042" s="7"/>
      <c r="AU2042" s="7"/>
    </row>
    <row r="2043" spans="4:47" ht="13.5" x14ac:dyDescent="0.25">
      <c r="D2043" s="7"/>
      <c r="G2043" s="7"/>
      <c r="M2043" s="7"/>
      <c r="P2043" s="7"/>
      <c r="Q2043" s="7"/>
      <c r="V2043" s="7"/>
      <c r="W2043" s="7"/>
      <c r="X2043" s="7"/>
      <c r="Y2043" s="7"/>
      <c r="Z2043" s="7"/>
      <c r="AA2043" s="7"/>
      <c r="AB2043" s="7"/>
      <c r="AC2043" s="7"/>
      <c r="AD2043" s="7"/>
      <c r="AE2043" s="7"/>
      <c r="AF2043" s="7"/>
      <c r="AH2043" s="7"/>
      <c r="AI2043" s="7"/>
      <c r="AJ2043" s="7"/>
      <c r="AL2043" s="7"/>
      <c r="AM2043" s="7"/>
      <c r="AN2043" s="7"/>
      <c r="AP2043" s="7"/>
      <c r="AQ2043" s="7"/>
      <c r="AR2043" s="7"/>
      <c r="AS2043" s="7"/>
      <c r="AT2043" s="7"/>
      <c r="AU2043" s="7"/>
    </row>
    <row r="2044" spans="4:47" ht="13.5" x14ac:dyDescent="0.25">
      <c r="D2044" s="7"/>
      <c r="G2044" s="7"/>
      <c r="M2044" s="7"/>
      <c r="P2044" s="7"/>
      <c r="Q2044" s="7"/>
      <c r="V2044" s="7"/>
      <c r="W2044" s="7"/>
      <c r="X2044" s="7"/>
      <c r="Y2044" s="7"/>
      <c r="Z2044" s="7"/>
      <c r="AA2044" s="7"/>
      <c r="AB2044" s="7"/>
      <c r="AC2044" s="7"/>
      <c r="AD2044" s="7"/>
      <c r="AE2044" s="7"/>
      <c r="AF2044" s="7"/>
      <c r="AH2044" s="7"/>
      <c r="AI2044" s="7"/>
      <c r="AJ2044" s="7"/>
      <c r="AL2044" s="7"/>
      <c r="AM2044" s="7"/>
      <c r="AN2044" s="7"/>
      <c r="AP2044" s="7"/>
      <c r="AQ2044" s="7"/>
      <c r="AR2044" s="7"/>
      <c r="AS2044" s="7"/>
      <c r="AT2044" s="7"/>
      <c r="AU2044" s="7"/>
    </row>
    <row r="2045" spans="4:47" ht="13.5" x14ac:dyDescent="0.25">
      <c r="D2045" s="7"/>
      <c r="G2045" s="7"/>
      <c r="M2045" s="7"/>
      <c r="P2045" s="7"/>
      <c r="Q2045" s="7"/>
      <c r="V2045" s="7"/>
      <c r="W2045" s="7"/>
      <c r="X2045" s="7"/>
      <c r="Y2045" s="7"/>
      <c r="Z2045" s="7"/>
      <c r="AA2045" s="7"/>
      <c r="AB2045" s="7"/>
      <c r="AC2045" s="7"/>
      <c r="AD2045" s="7"/>
      <c r="AE2045" s="7"/>
      <c r="AF2045" s="7"/>
      <c r="AH2045" s="7"/>
      <c r="AI2045" s="7"/>
      <c r="AJ2045" s="7"/>
      <c r="AL2045" s="7"/>
      <c r="AM2045" s="7"/>
      <c r="AN2045" s="7"/>
      <c r="AP2045" s="7"/>
      <c r="AQ2045" s="7"/>
      <c r="AR2045" s="7"/>
      <c r="AS2045" s="7"/>
      <c r="AT2045" s="7"/>
      <c r="AU2045" s="7"/>
    </row>
    <row r="2046" spans="4:47" ht="13.5" x14ac:dyDescent="0.25">
      <c r="D2046" s="7"/>
      <c r="G2046" s="7"/>
      <c r="M2046" s="7"/>
      <c r="P2046" s="7"/>
      <c r="Q2046" s="7"/>
      <c r="V2046" s="7"/>
      <c r="W2046" s="7"/>
      <c r="X2046" s="7"/>
      <c r="Y2046" s="7"/>
      <c r="Z2046" s="7"/>
      <c r="AA2046" s="7"/>
      <c r="AB2046" s="7"/>
      <c r="AC2046" s="7"/>
      <c r="AD2046" s="7"/>
      <c r="AE2046" s="7"/>
      <c r="AF2046" s="7"/>
      <c r="AH2046" s="7"/>
      <c r="AI2046" s="7"/>
      <c r="AJ2046" s="7"/>
      <c r="AL2046" s="7"/>
      <c r="AM2046" s="7"/>
      <c r="AN2046" s="7"/>
      <c r="AP2046" s="7"/>
      <c r="AQ2046" s="7"/>
      <c r="AR2046" s="7"/>
      <c r="AS2046" s="7"/>
      <c r="AT2046" s="7"/>
      <c r="AU2046" s="7"/>
    </row>
    <row r="2047" spans="4:47" ht="13.5" x14ac:dyDescent="0.25">
      <c r="D2047" s="7"/>
      <c r="G2047" s="7"/>
      <c r="M2047" s="7"/>
      <c r="P2047" s="7"/>
      <c r="Q2047" s="7"/>
      <c r="V2047" s="7"/>
      <c r="W2047" s="7"/>
      <c r="X2047" s="7"/>
      <c r="Y2047" s="7"/>
      <c r="Z2047" s="7"/>
      <c r="AA2047" s="7"/>
      <c r="AB2047" s="7"/>
      <c r="AC2047" s="7"/>
      <c r="AD2047" s="7"/>
      <c r="AE2047" s="7"/>
      <c r="AF2047" s="7"/>
      <c r="AH2047" s="7"/>
      <c r="AI2047" s="7"/>
      <c r="AJ2047" s="7"/>
      <c r="AL2047" s="7"/>
      <c r="AM2047" s="7"/>
      <c r="AN2047" s="7"/>
      <c r="AP2047" s="7"/>
      <c r="AQ2047" s="7"/>
      <c r="AR2047" s="7"/>
      <c r="AS2047" s="7"/>
      <c r="AT2047" s="7"/>
      <c r="AU2047" s="7"/>
    </row>
    <row r="2048" spans="4:47" ht="13.5" x14ac:dyDescent="0.25">
      <c r="D2048" s="7"/>
      <c r="G2048" s="7"/>
      <c r="M2048" s="7"/>
      <c r="P2048" s="7"/>
      <c r="Q2048" s="7"/>
      <c r="V2048" s="7"/>
      <c r="W2048" s="7"/>
      <c r="X2048" s="7"/>
      <c r="Y2048" s="7"/>
      <c r="Z2048" s="7"/>
      <c r="AA2048" s="7"/>
      <c r="AB2048" s="7"/>
      <c r="AC2048" s="7"/>
      <c r="AD2048" s="7"/>
      <c r="AE2048" s="7"/>
      <c r="AF2048" s="7"/>
      <c r="AH2048" s="7"/>
      <c r="AI2048" s="7"/>
      <c r="AJ2048" s="7"/>
      <c r="AL2048" s="7"/>
      <c r="AM2048" s="7"/>
      <c r="AN2048" s="7"/>
      <c r="AP2048" s="7"/>
      <c r="AQ2048" s="7"/>
      <c r="AR2048" s="7"/>
      <c r="AS2048" s="7"/>
      <c r="AT2048" s="7"/>
      <c r="AU2048" s="7"/>
    </row>
    <row r="2049" spans="4:47" ht="13.5" x14ac:dyDescent="0.25">
      <c r="D2049" s="7"/>
      <c r="G2049" s="7"/>
      <c r="M2049" s="7"/>
      <c r="P2049" s="7"/>
      <c r="Q2049" s="7"/>
      <c r="V2049" s="7"/>
      <c r="W2049" s="7"/>
      <c r="X2049" s="7"/>
      <c r="Y2049" s="7"/>
      <c r="Z2049" s="7"/>
      <c r="AA2049" s="7"/>
      <c r="AB2049" s="7"/>
      <c r="AC2049" s="7"/>
      <c r="AD2049" s="7"/>
      <c r="AE2049" s="7"/>
      <c r="AF2049" s="7"/>
      <c r="AH2049" s="7"/>
      <c r="AI2049" s="7"/>
      <c r="AJ2049" s="7"/>
      <c r="AL2049" s="7"/>
      <c r="AM2049" s="7"/>
      <c r="AN2049" s="7"/>
      <c r="AP2049" s="7"/>
      <c r="AQ2049" s="7"/>
      <c r="AR2049" s="7"/>
      <c r="AS2049" s="7"/>
      <c r="AT2049" s="7"/>
      <c r="AU2049" s="7"/>
    </row>
    <row r="2050" spans="4:47" ht="13.5" x14ac:dyDescent="0.25">
      <c r="D2050" s="7"/>
      <c r="G2050" s="7"/>
      <c r="M2050" s="7"/>
      <c r="P2050" s="7"/>
      <c r="Q2050" s="7"/>
      <c r="V2050" s="7"/>
      <c r="W2050" s="7"/>
      <c r="X2050" s="7"/>
      <c r="Y2050" s="7"/>
      <c r="Z2050" s="7"/>
      <c r="AA2050" s="7"/>
      <c r="AB2050" s="7"/>
      <c r="AC2050" s="7"/>
      <c r="AD2050" s="7"/>
      <c r="AE2050" s="7"/>
      <c r="AF2050" s="7"/>
      <c r="AH2050" s="7"/>
      <c r="AI2050" s="7"/>
      <c r="AJ2050" s="7"/>
      <c r="AL2050" s="7"/>
      <c r="AM2050" s="7"/>
      <c r="AN2050" s="7"/>
      <c r="AP2050" s="7"/>
      <c r="AQ2050" s="7"/>
      <c r="AR2050" s="7"/>
      <c r="AS2050" s="7"/>
      <c r="AT2050" s="7"/>
      <c r="AU2050" s="7"/>
    </row>
    <row r="2051" spans="4:47" ht="13.5" x14ac:dyDescent="0.25">
      <c r="D2051" s="7"/>
      <c r="G2051" s="7"/>
      <c r="M2051" s="7"/>
      <c r="P2051" s="7"/>
      <c r="Q2051" s="7"/>
      <c r="V2051" s="7"/>
      <c r="W2051" s="7"/>
      <c r="X2051" s="7"/>
      <c r="Y2051" s="7"/>
      <c r="Z2051" s="7"/>
      <c r="AA2051" s="7"/>
      <c r="AB2051" s="7"/>
      <c r="AC2051" s="7"/>
      <c r="AD2051" s="7"/>
      <c r="AE2051" s="7"/>
      <c r="AF2051" s="7"/>
      <c r="AH2051" s="7"/>
      <c r="AI2051" s="7"/>
      <c r="AJ2051" s="7"/>
      <c r="AL2051" s="7"/>
      <c r="AM2051" s="7"/>
      <c r="AN2051" s="7"/>
      <c r="AP2051" s="7"/>
      <c r="AQ2051" s="7"/>
      <c r="AR2051" s="7"/>
      <c r="AS2051" s="7"/>
      <c r="AT2051" s="7"/>
      <c r="AU2051" s="7"/>
    </row>
    <row r="2052" spans="4:47" ht="13.5" x14ac:dyDescent="0.25">
      <c r="D2052" s="7"/>
      <c r="G2052" s="7"/>
      <c r="M2052" s="7"/>
      <c r="P2052" s="7"/>
      <c r="Q2052" s="7"/>
      <c r="V2052" s="7"/>
      <c r="W2052" s="7"/>
      <c r="X2052" s="7"/>
      <c r="Y2052" s="7"/>
      <c r="Z2052" s="7"/>
      <c r="AA2052" s="7"/>
      <c r="AB2052" s="7"/>
      <c r="AC2052" s="7"/>
      <c r="AD2052" s="7"/>
      <c r="AE2052" s="7"/>
      <c r="AF2052" s="7"/>
      <c r="AH2052" s="7"/>
      <c r="AI2052" s="7"/>
      <c r="AJ2052" s="7"/>
      <c r="AL2052" s="7"/>
      <c r="AM2052" s="7"/>
      <c r="AN2052" s="7"/>
      <c r="AP2052" s="7"/>
      <c r="AQ2052" s="7"/>
      <c r="AR2052" s="7"/>
      <c r="AS2052" s="7"/>
      <c r="AT2052" s="7"/>
      <c r="AU2052" s="7"/>
    </row>
    <row r="2053" spans="4:47" ht="13.5" x14ac:dyDescent="0.25">
      <c r="D2053" s="7"/>
      <c r="G2053" s="7"/>
      <c r="M2053" s="7"/>
      <c r="P2053" s="7"/>
      <c r="Q2053" s="7"/>
      <c r="V2053" s="7"/>
      <c r="W2053" s="7"/>
      <c r="X2053" s="7"/>
      <c r="Y2053" s="7"/>
      <c r="Z2053" s="7"/>
      <c r="AA2053" s="7"/>
      <c r="AB2053" s="7"/>
      <c r="AC2053" s="7"/>
      <c r="AD2053" s="7"/>
      <c r="AE2053" s="7"/>
      <c r="AF2053" s="7"/>
      <c r="AH2053" s="7"/>
      <c r="AI2053" s="7"/>
      <c r="AJ2053" s="7"/>
      <c r="AL2053" s="7"/>
      <c r="AM2053" s="7"/>
      <c r="AN2053" s="7"/>
      <c r="AP2053" s="7"/>
      <c r="AQ2053" s="7"/>
      <c r="AR2053" s="7"/>
      <c r="AS2053" s="7"/>
      <c r="AT2053" s="7"/>
      <c r="AU2053" s="7"/>
    </row>
    <row r="2054" spans="4:47" ht="13.5" x14ac:dyDescent="0.25">
      <c r="D2054" s="7"/>
      <c r="G2054" s="7"/>
      <c r="M2054" s="7"/>
      <c r="P2054" s="7"/>
      <c r="Q2054" s="7"/>
      <c r="V2054" s="7"/>
      <c r="W2054" s="7"/>
      <c r="X2054" s="7"/>
      <c r="Y2054" s="7"/>
      <c r="Z2054" s="7"/>
      <c r="AA2054" s="7"/>
      <c r="AB2054" s="7"/>
      <c r="AC2054" s="7"/>
      <c r="AD2054" s="7"/>
      <c r="AE2054" s="7"/>
      <c r="AF2054" s="7"/>
      <c r="AH2054" s="7"/>
      <c r="AI2054" s="7"/>
      <c r="AJ2054" s="7"/>
      <c r="AL2054" s="7"/>
      <c r="AM2054" s="7"/>
      <c r="AN2054" s="7"/>
      <c r="AP2054" s="7"/>
      <c r="AQ2054" s="7"/>
      <c r="AR2054" s="7"/>
      <c r="AS2054" s="7"/>
      <c r="AT2054" s="7"/>
      <c r="AU2054" s="7"/>
    </row>
    <row r="2055" spans="4:47" ht="13.5" x14ac:dyDescent="0.25">
      <c r="D2055" s="7"/>
      <c r="G2055" s="7"/>
      <c r="M2055" s="7"/>
      <c r="P2055" s="7"/>
      <c r="Q2055" s="7"/>
      <c r="V2055" s="7"/>
      <c r="W2055" s="7"/>
      <c r="X2055" s="7"/>
      <c r="Y2055" s="7"/>
      <c r="Z2055" s="7"/>
      <c r="AA2055" s="7"/>
      <c r="AB2055" s="7"/>
      <c r="AC2055" s="7"/>
      <c r="AD2055" s="7"/>
      <c r="AE2055" s="7"/>
      <c r="AF2055" s="7"/>
      <c r="AH2055" s="7"/>
      <c r="AI2055" s="7"/>
      <c r="AJ2055" s="7"/>
      <c r="AL2055" s="7"/>
      <c r="AM2055" s="7"/>
      <c r="AN2055" s="7"/>
      <c r="AP2055" s="7"/>
      <c r="AQ2055" s="7"/>
      <c r="AR2055" s="7"/>
      <c r="AS2055" s="7"/>
      <c r="AT2055" s="7"/>
      <c r="AU2055" s="7"/>
    </row>
    <row r="2056" spans="4:47" ht="13.5" x14ac:dyDescent="0.25">
      <c r="D2056" s="7"/>
      <c r="G2056" s="7"/>
      <c r="M2056" s="7"/>
      <c r="P2056" s="7"/>
      <c r="Q2056" s="7"/>
      <c r="V2056" s="7"/>
      <c r="W2056" s="7"/>
      <c r="X2056" s="7"/>
      <c r="Y2056" s="7"/>
      <c r="Z2056" s="7"/>
      <c r="AA2056" s="7"/>
      <c r="AB2056" s="7"/>
      <c r="AC2056" s="7"/>
      <c r="AD2056" s="7"/>
      <c r="AE2056" s="7"/>
      <c r="AF2056" s="7"/>
      <c r="AH2056" s="7"/>
      <c r="AI2056" s="7"/>
      <c r="AJ2056" s="7"/>
      <c r="AL2056" s="7"/>
      <c r="AM2056" s="7"/>
      <c r="AN2056" s="7"/>
      <c r="AP2056" s="7"/>
      <c r="AQ2056" s="7"/>
      <c r="AR2056" s="7"/>
      <c r="AS2056" s="7"/>
      <c r="AT2056" s="7"/>
      <c r="AU2056" s="7"/>
    </row>
    <row r="2057" spans="4:47" ht="13.5" x14ac:dyDescent="0.25">
      <c r="D2057" s="7"/>
      <c r="G2057" s="7"/>
      <c r="M2057" s="7"/>
      <c r="P2057" s="7"/>
      <c r="Q2057" s="7"/>
      <c r="V2057" s="7"/>
      <c r="W2057" s="7"/>
      <c r="X2057" s="7"/>
      <c r="Y2057" s="7"/>
      <c r="Z2057" s="7"/>
      <c r="AA2057" s="7"/>
      <c r="AB2057" s="7"/>
      <c r="AC2057" s="7"/>
      <c r="AD2057" s="7"/>
      <c r="AE2057" s="7"/>
      <c r="AF2057" s="7"/>
      <c r="AH2057" s="7"/>
      <c r="AI2057" s="7"/>
      <c r="AJ2057" s="7"/>
      <c r="AL2057" s="7"/>
      <c r="AM2057" s="7"/>
      <c r="AN2057" s="7"/>
      <c r="AP2057" s="7"/>
      <c r="AQ2057" s="7"/>
      <c r="AR2057" s="7"/>
      <c r="AS2057" s="7"/>
      <c r="AT2057" s="7"/>
      <c r="AU2057" s="7"/>
    </row>
    <row r="2058" spans="4:47" ht="13.5" x14ac:dyDescent="0.25">
      <c r="D2058" s="7"/>
      <c r="G2058" s="7"/>
      <c r="M2058" s="7"/>
      <c r="P2058" s="7"/>
      <c r="Q2058" s="7"/>
      <c r="V2058" s="7"/>
      <c r="W2058" s="7"/>
      <c r="X2058" s="7"/>
      <c r="Y2058" s="7"/>
      <c r="Z2058" s="7"/>
      <c r="AA2058" s="7"/>
      <c r="AB2058" s="7"/>
      <c r="AC2058" s="7"/>
      <c r="AD2058" s="7"/>
      <c r="AE2058" s="7"/>
      <c r="AF2058" s="7"/>
      <c r="AH2058" s="7"/>
      <c r="AI2058" s="7"/>
      <c r="AJ2058" s="7"/>
      <c r="AL2058" s="7"/>
      <c r="AM2058" s="7"/>
      <c r="AN2058" s="7"/>
      <c r="AP2058" s="7"/>
      <c r="AQ2058" s="7"/>
      <c r="AR2058" s="7"/>
      <c r="AS2058" s="7"/>
      <c r="AT2058" s="7"/>
      <c r="AU2058" s="7"/>
    </row>
    <row r="2059" spans="4:47" ht="13.5" x14ac:dyDescent="0.25">
      <c r="D2059" s="7"/>
      <c r="G2059" s="7"/>
      <c r="M2059" s="7"/>
      <c r="P2059" s="7"/>
      <c r="Q2059" s="7"/>
      <c r="V2059" s="7"/>
      <c r="W2059" s="7"/>
      <c r="X2059" s="7"/>
      <c r="Y2059" s="7"/>
      <c r="Z2059" s="7"/>
      <c r="AA2059" s="7"/>
      <c r="AB2059" s="7"/>
      <c r="AC2059" s="7"/>
      <c r="AD2059" s="7"/>
      <c r="AE2059" s="7"/>
      <c r="AF2059" s="7"/>
      <c r="AH2059" s="7"/>
      <c r="AI2059" s="7"/>
      <c r="AJ2059" s="7"/>
      <c r="AL2059" s="7"/>
      <c r="AM2059" s="7"/>
      <c r="AN2059" s="7"/>
      <c r="AP2059" s="7"/>
      <c r="AQ2059" s="7"/>
      <c r="AR2059" s="7"/>
      <c r="AS2059" s="7"/>
      <c r="AT2059" s="7"/>
      <c r="AU2059" s="7"/>
    </row>
    <row r="2060" spans="4:47" ht="13.5" x14ac:dyDescent="0.25">
      <c r="D2060" s="7"/>
      <c r="G2060" s="7"/>
      <c r="M2060" s="7"/>
      <c r="P2060" s="7"/>
      <c r="Q2060" s="7"/>
      <c r="V2060" s="7"/>
      <c r="W2060" s="7"/>
      <c r="X2060" s="7"/>
      <c r="Y2060" s="7"/>
      <c r="Z2060" s="7"/>
      <c r="AA2060" s="7"/>
      <c r="AB2060" s="7"/>
      <c r="AC2060" s="7"/>
      <c r="AD2060" s="7"/>
      <c r="AE2060" s="7"/>
      <c r="AF2060" s="7"/>
      <c r="AH2060" s="7"/>
      <c r="AI2060" s="7"/>
      <c r="AJ2060" s="7"/>
      <c r="AL2060" s="7"/>
      <c r="AM2060" s="7"/>
      <c r="AN2060" s="7"/>
      <c r="AP2060" s="7"/>
      <c r="AQ2060" s="7"/>
      <c r="AR2060" s="7"/>
      <c r="AS2060" s="7"/>
      <c r="AT2060" s="7"/>
      <c r="AU2060" s="7"/>
    </row>
    <row r="2061" spans="4:47" ht="13.5" x14ac:dyDescent="0.25">
      <c r="D2061" s="7"/>
      <c r="G2061" s="7"/>
      <c r="M2061" s="7"/>
      <c r="P2061" s="7"/>
      <c r="Q2061" s="7"/>
      <c r="V2061" s="7"/>
      <c r="W2061" s="7"/>
      <c r="X2061" s="7"/>
      <c r="Y2061" s="7"/>
      <c r="Z2061" s="7"/>
      <c r="AA2061" s="7"/>
      <c r="AB2061" s="7"/>
      <c r="AC2061" s="7"/>
      <c r="AD2061" s="7"/>
      <c r="AE2061" s="7"/>
      <c r="AF2061" s="7"/>
      <c r="AH2061" s="7"/>
      <c r="AI2061" s="7"/>
      <c r="AJ2061" s="7"/>
      <c r="AL2061" s="7"/>
      <c r="AM2061" s="7"/>
      <c r="AN2061" s="7"/>
      <c r="AP2061" s="7"/>
      <c r="AQ2061" s="7"/>
      <c r="AR2061" s="7"/>
      <c r="AS2061" s="7"/>
      <c r="AT2061" s="7"/>
      <c r="AU2061" s="7"/>
    </row>
    <row r="2062" spans="4:47" ht="13.5" x14ac:dyDescent="0.25">
      <c r="D2062" s="7"/>
      <c r="G2062" s="7"/>
      <c r="M2062" s="7"/>
      <c r="P2062" s="7"/>
      <c r="Q2062" s="7"/>
      <c r="V2062" s="7"/>
      <c r="W2062" s="7"/>
      <c r="X2062" s="7"/>
      <c r="Y2062" s="7"/>
      <c r="Z2062" s="7"/>
      <c r="AA2062" s="7"/>
      <c r="AB2062" s="7"/>
      <c r="AC2062" s="7"/>
      <c r="AD2062" s="7"/>
      <c r="AE2062" s="7"/>
      <c r="AF2062" s="7"/>
      <c r="AH2062" s="7"/>
      <c r="AI2062" s="7"/>
      <c r="AJ2062" s="7"/>
      <c r="AL2062" s="7"/>
      <c r="AM2062" s="7"/>
      <c r="AN2062" s="7"/>
      <c r="AP2062" s="7"/>
      <c r="AQ2062" s="7"/>
      <c r="AR2062" s="7"/>
      <c r="AS2062" s="7"/>
      <c r="AT2062" s="7"/>
      <c r="AU2062" s="7"/>
    </row>
    <row r="2063" spans="4:47" ht="13.5" x14ac:dyDescent="0.25">
      <c r="D2063" s="7"/>
      <c r="G2063" s="7"/>
      <c r="M2063" s="7"/>
      <c r="P2063" s="7"/>
      <c r="Q2063" s="7"/>
      <c r="V2063" s="7"/>
      <c r="W2063" s="7"/>
      <c r="X2063" s="7"/>
      <c r="Y2063" s="7"/>
      <c r="Z2063" s="7"/>
      <c r="AA2063" s="7"/>
      <c r="AB2063" s="7"/>
      <c r="AC2063" s="7"/>
      <c r="AD2063" s="7"/>
      <c r="AE2063" s="7"/>
      <c r="AF2063" s="7"/>
      <c r="AH2063" s="7"/>
      <c r="AI2063" s="7"/>
      <c r="AJ2063" s="7"/>
      <c r="AL2063" s="7"/>
      <c r="AM2063" s="7"/>
      <c r="AN2063" s="7"/>
      <c r="AP2063" s="7"/>
      <c r="AQ2063" s="7"/>
      <c r="AR2063" s="7"/>
      <c r="AS2063" s="7"/>
      <c r="AT2063" s="7"/>
      <c r="AU2063" s="7"/>
    </row>
    <row r="2064" spans="4:47" ht="13.5" x14ac:dyDescent="0.25">
      <c r="D2064" s="7"/>
      <c r="G2064" s="7"/>
      <c r="M2064" s="7"/>
      <c r="P2064" s="7"/>
      <c r="Q2064" s="7"/>
      <c r="V2064" s="7"/>
      <c r="W2064" s="7"/>
      <c r="X2064" s="7"/>
      <c r="Y2064" s="7"/>
      <c r="Z2064" s="7"/>
      <c r="AA2064" s="7"/>
      <c r="AB2064" s="7"/>
      <c r="AC2064" s="7"/>
      <c r="AD2064" s="7"/>
      <c r="AE2064" s="7"/>
      <c r="AF2064" s="7"/>
      <c r="AH2064" s="7"/>
      <c r="AI2064" s="7"/>
      <c r="AJ2064" s="7"/>
      <c r="AL2064" s="7"/>
      <c r="AM2064" s="7"/>
      <c r="AN2064" s="7"/>
      <c r="AP2064" s="7"/>
      <c r="AQ2064" s="7"/>
      <c r="AR2064" s="7"/>
      <c r="AS2064" s="7"/>
      <c r="AT2064" s="7"/>
      <c r="AU2064" s="7"/>
    </row>
    <row r="2065" spans="4:47" ht="13.5" x14ac:dyDescent="0.25">
      <c r="D2065" s="7"/>
      <c r="G2065" s="7"/>
      <c r="M2065" s="7"/>
      <c r="P2065" s="7"/>
      <c r="Q2065" s="7"/>
      <c r="V2065" s="7"/>
      <c r="W2065" s="7"/>
      <c r="X2065" s="7"/>
      <c r="Y2065" s="7"/>
      <c r="Z2065" s="7"/>
      <c r="AA2065" s="7"/>
      <c r="AB2065" s="7"/>
      <c r="AC2065" s="7"/>
      <c r="AD2065" s="7"/>
      <c r="AE2065" s="7"/>
      <c r="AF2065" s="7"/>
      <c r="AH2065" s="7"/>
      <c r="AI2065" s="7"/>
      <c r="AJ2065" s="7"/>
      <c r="AL2065" s="7"/>
      <c r="AM2065" s="7"/>
      <c r="AN2065" s="7"/>
      <c r="AP2065" s="7"/>
      <c r="AQ2065" s="7"/>
      <c r="AR2065" s="7"/>
      <c r="AS2065" s="7"/>
      <c r="AT2065" s="7"/>
      <c r="AU2065" s="7"/>
    </row>
    <row r="2066" spans="4:47" ht="13.5" x14ac:dyDescent="0.25">
      <c r="D2066" s="7"/>
      <c r="G2066" s="7"/>
      <c r="M2066" s="7"/>
      <c r="P2066" s="7"/>
      <c r="Q2066" s="7"/>
      <c r="V2066" s="7"/>
      <c r="W2066" s="7"/>
      <c r="X2066" s="7"/>
      <c r="Y2066" s="7"/>
      <c r="Z2066" s="7"/>
      <c r="AA2066" s="7"/>
      <c r="AB2066" s="7"/>
      <c r="AC2066" s="7"/>
      <c r="AD2066" s="7"/>
      <c r="AE2066" s="7"/>
      <c r="AF2066" s="7"/>
      <c r="AH2066" s="7"/>
      <c r="AI2066" s="7"/>
      <c r="AJ2066" s="7"/>
      <c r="AL2066" s="7"/>
      <c r="AM2066" s="7"/>
      <c r="AN2066" s="7"/>
      <c r="AP2066" s="7"/>
      <c r="AQ2066" s="7"/>
      <c r="AR2066" s="7"/>
      <c r="AS2066" s="7"/>
      <c r="AT2066" s="7"/>
      <c r="AU2066" s="7"/>
    </row>
    <row r="2067" spans="4:47" ht="13.5" x14ac:dyDescent="0.25">
      <c r="D2067" s="7"/>
      <c r="G2067" s="7"/>
      <c r="M2067" s="7"/>
      <c r="P2067" s="7"/>
      <c r="Q2067" s="7"/>
      <c r="V2067" s="7"/>
      <c r="W2067" s="7"/>
      <c r="X2067" s="7"/>
      <c r="Y2067" s="7"/>
      <c r="Z2067" s="7"/>
      <c r="AA2067" s="7"/>
      <c r="AB2067" s="7"/>
      <c r="AC2067" s="7"/>
      <c r="AD2067" s="7"/>
      <c r="AE2067" s="7"/>
      <c r="AF2067" s="7"/>
      <c r="AH2067" s="7"/>
      <c r="AI2067" s="7"/>
      <c r="AJ2067" s="7"/>
      <c r="AL2067" s="7"/>
      <c r="AM2067" s="7"/>
      <c r="AN2067" s="7"/>
      <c r="AP2067" s="7"/>
      <c r="AQ2067" s="7"/>
      <c r="AR2067" s="7"/>
      <c r="AS2067" s="7"/>
      <c r="AT2067" s="7"/>
      <c r="AU2067" s="7"/>
    </row>
    <row r="2068" spans="4:47" ht="13.5" x14ac:dyDescent="0.25">
      <c r="D2068" s="7"/>
      <c r="G2068" s="7"/>
      <c r="M2068" s="7"/>
      <c r="P2068" s="7"/>
      <c r="Q2068" s="7"/>
      <c r="V2068" s="7"/>
      <c r="W2068" s="7"/>
      <c r="X2068" s="7"/>
      <c r="Y2068" s="7"/>
      <c r="Z2068" s="7"/>
      <c r="AA2068" s="7"/>
      <c r="AB2068" s="7"/>
      <c r="AC2068" s="7"/>
      <c r="AD2068" s="7"/>
      <c r="AE2068" s="7"/>
      <c r="AF2068" s="7"/>
      <c r="AH2068" s="7"/>
      <c r="AI2068" s="7"/>
      <c r="AJ2068" s="7"/>
      <c r="AL2068" s="7"/>
      <c r="AM2068" s="7"/>
      <c r="AN2068" s="7"/>
      <c r="AP2068" s="7"/>
      <c r="AQ2068" s="7"/>
      <c r="AR2068" s="7"/>
      <c r="AS2068" s="7"/>
      <c r="AT2068" s="7"/>
      <c r="AU2068" s="7"/>
    </row>
    <row r="2069" spans="4:47" ht="13.5" x14ac:dyDescent="0.25">
      <c r="D2069" s="7"/>
      <c r="G2069" s="7"/>
      <c r="M2069" s="7"/>
      <c r="P2069" s="7"/>
      <c r="Q2069" s="7"/>
      <c r="V2069" s="7"/>
      <c r="W2069" s="7"/>
      <c r="X2069" s="7"/>
      <c r="Y2069" s="7"/>
      <c r="Z2069" s="7"/>
      <c r="AA2069" s="7"/>
      <c r="AB2069" s="7"/>
      <c r="AC2069" s="7"/>
      <c r="AD2069" s="7"/>
      <c r="AE2069" s="7"/>
      <c r="AF2069" s="7"/>
      <c r="AH2069" s="7"/>
      <c r="AI2069" s="7"/>
      <c r="AJ2069" s="7"/>
      <c r="AL2069" s="7"/>
      <c r="AM2069" s="7"/>
      <c r="AN2069" s="7"/>
      <c r="AP2069" s="7"/>
      <c r="AQ2069" s="7"/>
      <c r="AR2069" s="7"/>
      <c r="AS2069" s="7"/>
      <c r="AT2069" s="7"/>
      <c r="AU2069" s="7"/>
    </row>
    <row r="2070" spans="4:47" ht="13.5" x14ac:dyDescent="0.25">
      <c r="D2070" s="7"/>
      <c r="G2070" s="7"/>
      <c r="M2070" s="7"/>
      <c r="P2070" s="7"/>
      <c r="Q2070" s="7"/>
      <c r="V2070" s="7"/>
      <c r="W2070" s="7"/>
      <c r="X2070" s="7"/>
      <c r="Y2070" s="7"/>
      <c r="Z2070" s="7"/>
      <c r="AA2070" s="7"/>
      <c r="AB2070" s="7"/>
      <c r="AC2070" s="7"/>
      <c r="AD2070" s="7"/>
      <c r="AE2070" s="7"/>
      <c r="AF2070" s="7"/>
      <c r="AH2070" s="7"/>
      <c r="AI2070" s="7"/>
      <c r="AJ2070" s="7"/>
      <c r="AL2070" s="7"/>
      <c r="AM2070" s="7"/>
      <c r="AN2070" s="7"/>
      <c r="AP2070" s="7"/>
      <c r="AQ2070" s="7"/>
      <c r="AR2070" s="7"/>
      <c r="AS2070" s="7"/>
      <c r="AT2070" s="7"/>
      <c r="AU2070" s="7"/>
    </row>
    <row r="2071" spans="4:47" ht="13.5" x14ac:dyDescent="0.25">
      <c r="D2071" s="7"/>
      <c r="G2071" s="7"/>
      <c r="M2071" s="7"/>
      <c r="P2071" s="7"/>
      <c r="Q2071" s="7"/>
      <c r="V2071" s="7"/>
      <c r="W2071" s="7"/>
      <c r="X2071" s="7"/>
      <c r="Y2071" s="7"/>
      <c r="Z2071" s="7"/>
      <c r="AA2071" s="7"/>
      <c r="AB2071" s="7"/>
      <c r="AC2071" s="7"/>
      <c r="AD2071" s="7"/>
      <c r="AE2071" s="7"/>
      <c r="AF2071" s="7"/>
      <c r="AH2071" s="7"/>
      <c r="AI2071" s="7"/>
      <c r="AJ2071" s="7"/>
      <c r="AL2071" s="7"/>
      <c r="AM2071" s="7"/>
      <c r="AN2071" s="7"/>
      <c r="AP2071" s="7"/>
      <c r="AQ2071" s="7"/>
      <c r="AR2071" s="7"/>
      <c r="AS2071" s="7"/>
      <c r="AT2071" s="7"/>
      <c r="AU2071" s="7"/>
    </row>
    <row r="2072" spans="4:47" ht="13.5" x14ac:dyDescent="0.25">
      <c r="D2072" s="7"/>
      <c r="G2072" s="7"/>
      <c r="M2072" s="7"/>
      <c r="P2072" s="7"/>
      <c r="Q2072" s="7"/>
      <c r="V2072" s="7"/>
      <c r="W2072" s="7"/>
      <c r="X2072" s="7"/>
      <c r="Y2072" s="7"/>
      <c r="Z2072" s="7"/>
      <c r="AA2072" s="7"/>
      <c r="AB2072" s="7"/>
      <c r="AC2072" s="7"/>
      <c r="AD2072" s="7"/>
      <c r="AE2072" s="7"/>
      <c r="AF2072" s="7"/>
      <c r="AH2072" s="7"/>
      <c r="AI2072" s="7"/>
      <c r="AJ2072" s="7"/>
      <c r="AL2072" s="7"/>
      <c r="AM2072" s="7"/>
      <c r="AN2072" s="7"/>
      <c r="AP2072" s="7"/>
      <c r="AQ2072" s="7"/>
      <c r="AR2072" s="7"/>
      <c r="AS2072" s="7"/>
      <c r="AT2072" s="7"/>
      <c r="AU2072" s="7"/>
    </row>
    <row r="2073" spans="4:47" ht="13.5" x14ac:dyDescent="0.25">
      <c r="D2073" s="7"/>
      <c r="G2073" s="7"/>
      <c r="M2073" s="7"/>
      <c r="P2073" s="7"/>
      <c r="Q2073" s="7"/>
      <c r="V2073" s="7"/>
      <c r="W2073" s="7"/>
      <c r="X2073" s="7"/>
      <c r="Y2073" s="7"/>
      <c r="Z2073" s="7"/>
      <c r="AA2073" s="7"/>
      <c r="AB2073" s="7"/>
      <c r="AC2073" s="7"/>
      <c r="AD2073" s="7"/>
      <c r="AE2073" s="7"/>
      <c r="AF2073" s="7"/>
      <c r="AH2073" s="7"/>
      <c r="AI2073" s="7"/>
      <c r="AJ2073" s="7"/>
      <c r="AL2073" s="7"/>
      <c r="AM2073" s="7"/>
      <c r="AN2073" s="7"/>
      <c r="AP2073" s="7"/>
      <c r="AQ2073" s="7"/>
      <c r="AR2073" s="7"/>
      <c r="AS2073" s="7"/>
      <c r="AT2073" s="7"/>
      <c r="AU2073" s="7"/>
    </row>
    <row r="2074" spans="4:47" ht="13.5" x14ac:dyDescent="0.25">
      <c r="D2074" s="7"/>
      <c r="G2074" s="7"/>
      <c r="M2074" s="7"/>
      <c r="P2074" s="7"/>
      <c r="Q2074" s="7"/>
      <c r="V2074" s="7"/>
      <c r="W2074" s="7"/>
      <c r="X2074" s="7"/>
      <c r="Y2074" s="7"/>
      <c r="Z2074" s="7"/>
      <c r="AA2074" s="7"/>
      <c r="AB2074" s="7"/>
      <c r="AC2074" s="7"/>
      <c r="AD2074" s="7"/>
      <c r="AE2074" s="7"/>
      <c r="AF2074" s="7"/>
      <c r="AH2074" s="7"/>
      <c r="AI2074" s="7"/>
      <c r="AJ2074" s="7"/>
      <c r="AL2074" s="7"/>
      <c r="AM2074" s="7"/>
      <c r="AN2074" s="7"/>
      <c r="AP2074" s="7"/>
      <c r="AQ2074" s="7"/>
      <c r="AR2074" s="7"/>
      <c r="AS2074" s="7"/>
      <c r="AT2074" s="7"/>
      <c r="AU2074" s="7"/>
    </row>
    <row r="2075" spans="4:47" ht="13.5" x14ac:dyDescent="0.25">
      <c r="D2075" s="7"/>
      <c r="G2075" s="7"/>
      <c r="M2075" s="7"/>
      <c r="P2075" s="7"/>
      <c r="Q2075" s="7"/>
      <c r="V2075" s="7"/>
      <c r="W2075" s="7"/>
      <c r="X2075" s="7"/>
      <c r="Y2075" s="7"/>
      <c r="Z2075" s="7"/>
      <c r="AA2075" s="7"/>
      <c r="AB2075" s="7"/>
      <c r="AC2075" s="7"/>
      <c r="AD2075" s="7"/>
      <c r="AE2075" s="7"/>
      <c r="AF2075" s="7"/>
      <c r="AH2075" s="7"/>
      <c r="AI2075" s="7"/>
      <c r="AJ2075" s="7"/>
      <c r="AL2075" s="7"/>
      <c r="AM2075" s="7"/>
      <c r="AN2075" s="7"/>
      <c r="AP2075" s="7"/>
      <c r="AQ2075" s="7"/>
      <c r="AR2075" s="7"/>
      <c r="AS2075" s="7"/>
      <c r="AT2075" s="7"/>
      <c r="AU2075" s="7"/>
    </row>
    <row r="2076" spans="4:47" ht="13.5" x14ac:dyDescent="0.25">
      <c r="D2076" s="7"/>
      <c r="G2076" s="7"/>
      <c r="M2076" s="7"/>
      <c r="P2076" s="7"/>
      <c r="Q2076" s="7"/>
      <c r="V2076" s="7"/>
      <c r="W2076" s="7"/>
      <c r="X2076" s="7"/>
      <c r="Y2076" s="7"/>
      <c r="Z2076" s="7"/>
      <c r="AA2076" s="7"/>
      <c r="AB2076" s="7"/>
      <c r="AC2076" s="7"/>
      <c r="AD2076" s="7"/>
      <c r="AE2076" s="7"/>
      <c r="AF2076" s="7"/>
      <c r="AH2076" s="7"/>
      <c r="AI2076" s="7"/>
      <c r="AJ2076" s="7"/>
      <c r="AL2076" s="7"/>
      <c r="AM2076" s="7"/>
      <c r="AN2076" s="7"/>
      <c r="AP2076" s="7"/>
      <c r="AQ2076" s="7"/>
      <c r="AR2076" s="7"/>
      <c r="AS2076" s="7"/>
      <c r="AT2076" s="7"/>
      <c r="AU2076" s="7"/>
    </row>
    <row r="2077" spans="4:47" ht="13.5" x14ac:dyDescent="0.25">
      <c r="D2077" s="7"/>
      <c r="G2077" s="7"/>
      <c r="M2077" s="7"/>
      <c r="P2077" s="7"/>
      <c r="Q2077" s="7"/>
      <c r="V2077" s="7"/>
      <c r="W2077" s="7"/>
      <c r="X2077" s="7"/>
      <c r="Y2077" s="7"/>
      <c r="Z2077" s="7"/>
      <c r="AA2077" s="7"/>
      <c r="AB2077" s="7"/>
      <c r="AC2077" s="7"/>
      <c r="AD2077" s="7"/>
      <c r="AE2077" s="7"/>
      <c r="AF2077" s="7"/>
      <c r="AH2077" s="7"/>
      <c r="AI2077" s="7"/>
      <c r="AJ2077" s="7"/>
      <c r="AL2077" s="7"/>
      <c r="AM2077" s="7"/>
      <c r="AN2077" s="7"/>
      <c r="AP2077" s="7"/>
      <c r="AQ2077" s="7"/>
      <c r="AR2077" s="7"/>
      <c r="AS2077" s="7"/>
      <c r="AT2077" s="7"/>
      <c r="AU2077" s="7"/>
    </row>
    <row r="2078" spans="4:47" ht="13.5" x14ac:dyDescent="0.25">
      <c r="D2078" s="7"/>
      <c r="G2078" s="7"/>
      <c r="M2078" s="7"/>
      <c r="P2078" s="7"/>
      <c r="Q2078" s="7"/>
      <c r="V2078" s="7"/>
      <c r="W2078" s="7"/>
      <c r="X2078" s="7"/>
      <c r="Y2078" s="7"/>
      <c r="Z2078" s="7"/>
      <c r="AA2078" s="7"/>
      <c r="AB2078" s="7"/>
      <c r="AC2078" s="7"/>
      <c r="AD2078" s="7"/>
      <c r="AE2078" s="7"/>
      <c r="AF2078" s="7"/>
      <c r="AH2078" s="7"/>
      <c r="AI2078" s="7"/>
      <c r="AJ2078" s="7"/>
      <c r="AL2078" s="7"/>
      <c r="AM2078" s="7"/>
      <c r="AN2078" s="7"/>
      <c r="AP2078" s="7"/>
      <c r="AQ2078" s="7"/>
      <c r="AR2078" s="7"/>
      <c r="AS2078" s="7"/>
      <c r="AT2078" s="7"/>
      <c r="AU2078" s="7"/>
    </row>
    <row r="2079" spans="4:47" ht="13.5" x14ac:dyDescent="0.25">
      <c r="D2079" s="7"/>
      <c r="G2079" s="7"/>
      <c r="M2079" s="7"/>
      <c r="P2079" s="7"/>
      <c r="Q2079" s="7"/>
      <c r="V2079" s="7"/>
      <c r="W2079" s="7"/>
      <c r="X2079" s="7"/>
      <c r="Y2079" s="7"/>
      <c r="Z2079" s="7"/>
      <c r="AA2079" s="7"/>
      <c r="AB2079" s="7"/>
      <c r="AC2079" s="7"/>
      <c r="AD2079" s="7"/>
      <c r="AE2079" s="7"/>
      <c r="AF2079" s="7"/>
      <c r="AH2079" s="7"/>
      <c r="AI2079" s="7"/>
      <c r="AJ2079" s="7"/>
      <c r="AL2079" s="7"/>
      <c r="AM2079" s="7"/>
      <c r="AN2079" s="7"/>
      <c r="AP2079" s="7"/>
      <c r="AQ2079" s="7"/>
      <c r="AR2079" s="7"/>
      <c r="AS2079" s="7"/>
      <c r="AT2079" s="7"/>
      <c r="AU2079" s="7"/>
    </row>
    <row r="2080" spans="4:47" ht="13.5" x14ac:dyDescent="0.25">
      <c r="D2080" s="7"/>
      <c r="G2080" s="7"/>
      <c r="M2080" s="7"/>
      <c r="P2080" s="7"/>
      <c r="Q2080" s="7"/>
      <c r="V2080" s="7"/>
      <c r="W2080" s="7"/>
      <c r="X2080" s="7"/>
      <c r="Y2080" s="7"/>
      <c r="Z2080" s="7"/>
      <c r="AA2080" s="7"/>
      <c r="AB2080" s="7"/>
      <c r="AC2080" s="7"/>
      <c r="AD2080" s="7"/>
      <c r="AE2080" s="7"/>
      <c r="AF2080" s="7"/>
      <c r="AH2080" s="7"/>
      <c r="AI2080" s="7"/>
      <c r="AJ2080" s="7"/>
      <c r="AL2080" s="7"/>
      <c r="AM2080" s="7"/>
      <c r="AN2080" s="7"/>
      <c r="AP2080" s="7"/>
      <c r="AQ2080" s="7"/>
      <c r="AR2080" s="7"/>
      <c r="AS2080" s="7"/>
      <c r="AT2080" s="7"/>
      <c r="AU2080" s="7"/>
    </row>
    <row r="2081" spans="4:47" ht="13.5" x14ac:dyDescent="0.25">
      <c r="D2081" s="7"/>
      <c r="G2081" s="7"/>
      <c r="M2081" s="7"/>
      <c r="P2081" s="7"/>
      <c r="Q2081" s="7"/>
      <c r="V2081" s="7"/>
      <c r="W2081" s="7"/>
      <c r="X2081" s="7"/>
      <c r="Y2081" s="7"/>
      <c r="Z2081" s="7"/>
      <c r="AA2081" s="7"/>
      <c r="AB2081" s="7"/>
      <c r="AC2081" s="7"/>
      <c r="AD2081" s="7"/>
      <c r="AE2081" s="7"/>
      <c r="AF2081" s="7"/>
      <c r="AH2081" s="7"/>
      <c r="AI2081" s="7"/>
      <c r="AJ2081" s="7"/>
      <c r="AL2081" s="7"/>
      <c r="AM2081" s="7"/>
      <c r="AN2081" s="7"/>
      <c r="AP2081" s="7"/>
      <c r="AQ2081" s="7"/>
      <c r="AR2081" s="7"/>
      <c r="AS2081" s="7"/>
      <c r="AT2081" s="7"/>
      <c r="AU2081" s="7"/>
    </row>
    <row r="2082" spans="4:47" ht="13.5" x14ac:dyDescent="0.25">
      <c r="D2082" s="7"/>
      <c r="G2082" s="7"/>
      <c r="M2082" s="7"/>
      <c r="P2082" s="7"/>
      <c r="Q2082" s="7"/>
      <c r="V2082" s="7"/>
      <c r="W2082" s="7"/>
      <c r="X2082" s="7"/>
      <c r="Y2082" s="7"/>
      <c r="Z2082" s="7"/>
      <c r="AA2082" s="7"/>
      <c r="AB2082" s="7"/>
      <c r="AC2082" s="7"/>
      <c r="AD2082" s="7"/>
      <c r="AE2082" s="7"/>
      <c r="AF2082" s="7"/>
      <c r="AH2082" s="7"/>
      <c r="AI2082" s="7"/>
      <c r="AJ2082" s="7"/>
      <c r="AL2082" s="7"/>
      <c r="AM2082" s="7"/>
      <c r="AN2082" s="7"/>
      <c r="AP2082" s="7"/>
      <c r="AQ2082" s="7"/>
      <c r="AR2082" s="7"/>
      <c r="AS2082" s="7"/>
      <c r="AT2082" s="7"/>
      <c r="AU2082" s="7"/>
    </row>
    <row r="2083" spans="4:47" ht="13.5" x14ac:dyDescent="0.25">
      <c r="D2083" s="7"/>
      <c r="G2083" s="7"/>
      <c r="M2083" s="7"/>
      <c r="P2083" s="7"/>
      <c r="Q2083" s="7"/>
      <c r="V2083" s="7"/>
      <c r="W2083" s="7"/>
      <c r="X2083" s="7"/>
      <c r="Y2083" s="7"/>
      <c r="Z2083" s="7"/>
      <c r="AA2083" s="7"/>
      <c r="AB2083" s="7"/>
      <c r="AC2083" s="7"/>
      <c r="AD2083" s="7"/>
      <c r="AE2083" s="7"/>
      <c r="AF2083" s="7"/>
      <c r="AH2083" s="7"/>
      <c r="AI2083" s="7"/>
      <c r="AJ2083" s="7"/>
      <c r="AL2083" s="7"/>
      <c r="AM2083" s="7"/>
      <c r="AN2083" s="7"/>
      <c r="AP2083" s="7"/>
      <c r="AQ2083" s="7"/>
      <c r="AR2083" s="7"/>
      <c r="AS2083" s="7"/>
      <c r="AT2083" s="7"/>
      <c r="AU2083" s="7"/>
    </row>
    <row r="2084" spans="4:47" ht="13.5" x14ac:dyDescent="0.25">
      <c r="D2084" s="7"/>
      <c r="G2084" s="7"/>
      <c r="M2084" s="7"/>
      <c r="P2084" s="7"/>
      <c r="Q2084" s="7"/>
      <c r="V2084" s="7"/>
      <c r="W2084" s="7"/>
      <c r="X2084" s="7"/>
      <c r="Y2084" s="7"/>
      <c r="Z2084" s="7"/>
      <c r="AA2084" s="7"/>
      <c r="AB2084" s="7"/>
      <c r="AC2084" s="7"/>
      <c r="AD2084" s="7"/>
      <c r="AE2084" s="7"/>
      <c r="AF2084" s="7"/>
      <c r="AH2084" s="7"/>
      <c r="AI2084" s="7"/>
      <c r="AJ2084" s="7"/>
      <c r="AL2084" s="7"/>
      <c r="AM2084" s="7"/>
      <c r="AN2084" s="7"/>
      <c r="AP2084" s="7"/>
      <c r="AQ2084" s="7"/>
      <c r="AR2084" s="7"/>
      <c r="AS2084" s="7"/>
      <c r="AT2084" s="7"/>
      <c r="AU2084" s="7"/>
    </row>
    <row r="2085" spans="4:47" ht="13.5" x14ac:dyDescent="0.25">
      <c r="D2085" s="7"/>
      <c r="G2085" s="7"/>
      <c r="M2085" s="7"/>
      <c r="P2085" s="7"/>
      <c r="Q2085" s="7"/>
      <c r="V2085" s="7"/>
      <c r="W2085" s="7"/>
      <c r="X2085" s="7"/>
      <c r="Y2085" s="7"/>
      <c r="Z2085" s="7"/>
      <c r="AA2085" s="7"/>
      <c r="AB2085" s="7"/>
      <c r="AC2085" s="7"/>
      <c r="AD2085" s="7"/>
      <c r="AE2085" s="7"/>
      <c r="AF2085" s="7"/>
      <c r="AH2085" s="7"/>
      <c r="AI2085" s="7"/>
      <c r="AJ2085" s="7"/>
      <c r="AL2085" s="7"/>
      <c r="AM2085" s="7"/>
      <c r="AN2085" s="7"/>
      <c r="AP2085" s="7"/>
      <c r="AQ2085" s="7"/>
      <c r="AR2085" s="7"/>
      <c r="AS2085" s="7"/>
      <c r="AT2085" s="7"/>
      <c r="AU2085" s="7"/>
    </row>
    <row r="2086" spans="4:47" ht="13.5" x14ac:dyDescent="0.25">
      <c r="D2086" s="7"/>
      <c r="G2086" s="7"/>
      <c r="M2086" s="7"/>
      <c r="P2086" s="7"/>
      <c r="Q2086" s="7"/>
      <c r="V2086" s="7"/>
      <c r="W2086" s="7"/>
      <c r="X2086" s="7"/>
      <c r="Y2086" s="7"/>
      <c r="Z2086" s="7"/>
      <c r="AA2086" s="7"/>
      <c r="AB2086" s="7"/>
      <c r="AC2086" s="7"/>
      <c r="AD2086" s="7"/>
      <c r="AE2086" s="7"/>
      <c r="AF2086" s="7"/>
      <c r="AH2086" s="7"/>
      <c r="AI2086" s="7"/>
      <c r="AJ2086" s="7"/>
      <c r="AL2086" s="7"/>
      <c r="AM2086" s="7"/>
      <c r="AN2086" s="7"/>
      <c r="AP2086" s="7"/>
      <c r="AQ2086" s="7"/>
      <c r="AR2086" s="7"/>
      <c r="AS2086" s="7"/>
      <c r="AT2086" s="7"/>
      <c r="AU2086" s="7"/>
    </row>
    <row r="2087" spans="4:47" ht="13.5" x14ac:dyDescent="0.25">
      <c r="D2087" s="7"/>
      <c r="G2087" s="7"/>
      <c r="M2087" s="7"/>
      <c r="P2087" s="7"/>
      <c r="Q2087" s="7"/>
      <c r="V2087" s="7"/>
      <c r="W2087" s="7"/>
      <c r="X2087" s="7"/>
      <c r="Y2087" s="7"/>
      <c r="Z2087" s="7"/>
      <c r="AA2087" s="7"/>
      <c r="AB2087" s="7"/>
      <c r="AC2087" s="7"/>
      <c r="AD2087" s="7"/>
      <c r="AE2087" s="7"/>
      <c r="AF2087" s="7"/>
      <c r="AH2087" s="7"/>
      <c r="AI2087" s="7"/>
      <c r="AJ2087" s="7"/>
      <c r="AL2087" s="7"/>
      <c r="AM2087" s="7"/>
      <c r="AN2087" s="7"/>
      <c r="AP2087" s="7"/>
      <c r="AQ2087" s="7"/>
      <c r="AR2087" s="7"/>
      <c r="AS2087" s="7"/>
      <c r="AT2087" s="7"/>
      <c r="AU2087" s="7"/>
    </row>
    <row r="2088" spans="4:47" ht="13.5" x14ac:dyDescent="0.25">
      <c r="D2088" s="7"/>
      <c r="G2088" s="7"/>
      <c r="M2088" s="7"/>
      <c r="P2088" s="7"/>
      <c r="Q2088" s="7"/>
      <c r="V2088" s="7"/>
      <c r="W2088" s="7"/>
      <c r="X2088" s="7"/>
      <c r="Y2088" s="7"/>
      <c r="Z2088" s="7"/>
      <c r="AA2088" s="7"/>
      <c r="AB2088" s="7"/>
      <c r="AC2088" s="7"/>
      <c r="AD2088" s="7"/>
      <c r="AE2088" s="7"/>
      <c r="AF2088" s="7"/>
      <c r="AH2088" s="7"/>
      <c r="AI2088" s="7"/>
      <c r="AJ2088" s="7"/>
      <c r="AL2088" s="7"/>
      <c r="AM2088" s="7"/>
      <c r="AN2088" s="7"/>
      <c r="AP2088" s="7"/>
      <c r="AQ2088" s="7"/>
      <c r="AR2088" s="7"/>
      <c r="AS2088" s="7"/>
      <c r="AT2088" s="7"/>
      <c r="AU2088" s="7"/>
    </row>
    <row r="2089" spans="4:47" ht="13.5" x14ac:dyDescent="0.25">
      <c r="D2089" s="7"/>
      <c r="G2089" s="7"/>
      <c r="M2089" s="7"/>
      <c r="P2089" s="7"/>
      <c r="Q2089" s="7"/>
      <c r="V2089" s="7"/>
      <c r="W2089" s="7"/>
      <c r="X2089" s="7"/>
      <c r="Y2089" s="7"/>
      <c r="Z2089" s="7"/>
      <c r="AA2089" s="7"/>
      <c r="AB2089" s="7"/>
      <c r="AC2089" s="7"/>
      <c r="AD2089" s="7"/>
      <c r="AE2089" s="7"/>
      <c r="AF2089" s="7"/>
      <c r="AH2089" s="7"/>
      <c r="AI2089" s="7"/>
      <c r="AJ2089" s="7"/>
      <c r="AL2089" s="7"/>
      <c r="AM2089" s="7"/>
      <c r="AN2089" s="7"/>
      <c r="AP2089" s="7"/>
      <c r="AQ2089" s="7"/>
      <c r="AR2089" s="7"/>
      <c r="AS2089" s="7"/>
      <c r="AT2089" s="7"/>
      <c r="AU2089" s="7"/>
    </row>
    <row r="2090" spans="4:47" ht="13.5" x14ac:dyDescent="0.25">
      <c r="D2090" s="7"/>
      <c r="G2090" s="7"/>
      <c r="M2090" s="7"/>
      <c r="P2090" s="7"/>
      <c r="Q2090" s="7"/>
      <c r="V2090" s="7"/>
      <c r="W2090" s="7"/>
      <c r="X2090" s="7"/>
      <c r="Y2090" s="7"/>
      <c r="Z2090" s="7"/>
      <c r="AA2090" s="7"/>
      <c r="AB2090" s="7"/>
      <c r="AC2090" s="7"/>
      <c r="AD2090" s="7"/>
      <c r="AE2090" s="7"/>
      <c r="AF2090" s="7"/>
      <c r="AH2090" s="7"/>
      <c r="AI2090" s="7"/>
      <c r="AJ2090" s="7"/>
      <c r="AL2090" s="7"/>
      <c r="AM2090" s="7"/>
      <c r="AN2090" s="7"/>
      <c r="AP2090" s="7"/>
      <c r="AQ2090" s="7"/>
      <c r="AR2090" s="7"/>
      <c r="AS2090" s="7"/>
      <c r="AT2090" s="7"/>
      <c r="AU2090" s="7"/>
    </row>
    <row r="2091" spans="4:47" ht="13.5" x14ac:dyDescent="0.25">
      <c r="D2091" s="7"/>
      <c r="G2091" s="7"/>
      <c r="M2091" s="7"/>
      <c r="P2091" s="7"/>
      <c r="Q2091" s="7"/>
      <c r="V2091" s="7"/>
      <c r="W2091" s="7"/>
      <c r="X2091" s="7"/>
      <c r="Y2091" s="7"/>
      <c r="Z2091" s="7"/>
      <c r="AA2091" s="7"/>
      <c r="AB2091" s="7"/>
      <c r="AC2091" s="7"/>
      <c r="AD2091" s="7"/>
      <c r="AE2091" s="7"/>
      <c r="AF2091" s="7"/>
      <c r="AH2091" s="7"/>
      <c r="AI2091" s="7"/>
      <c r="AJ2091" s="7"/>
      <c r="AL2091" s="7"/>
      <c r="AM2091" s="7"/>
      <c r="AN2091" s="7"/>
      <c r="AP2091" s="7"/>
      <c r="AQ2091" s="7"/>
      <c r="AR2091" s="7"/>
      <c r="AS2091" s="7"/>
      <c r="AT2091" s="7"/>
      <c r="AU2091" s="7"/>
    </row>
    <row r="2092" spans="4:47" ht="13.5" x14ac:dyDescent="0.25">
      <c r="D2092" s="7"/>
      <c r="G2092" s="7"/>
      <c r="M2092" s="7"/>
      <c r="P2092" s="7"/>
      <c r="Q2092" s="7"/>
      <c r="V2092" s="7"/>
      <c r="W2092" s="7"/>
      <c r="X2092" s="7"/>
      <c r="Y2092" s="7"/>
      <c r="Z2092" s="7"/>
      <c r="AA2092" s="7"/>
      <c r="AB2092" s="7"/>
      <c r="AC2092" s="7"/>
      <c r="AD2092" s="7"/>
      <c r="AE2092" s="7"/>
      <c r="AF2092" s="7"/>
      <c r="AH2092" s="7"/>
      <c r="AI2092" s="7"/>
      <c r="AJ2092" s="7"/>
      <c r="AL2092" s="7"/>
      <c r="AM2092" s="7"/>
      <c r="AN2092" s="7"/>
      <c r="AP2092" s="7"/>
      <c r="AQ2092" s="7"/>
      <c r="AR2092" s="7"/>
      <c r="AS2092" s="7"/>
      <c r="AT2092" s="7"/>
      <c r="AU2092" s="7"/>
    </row>
    <row r="2093" spans="4:47" ht="13.5" x14ac:dyDescent="0.25">
      <c r="D2093" s="7"/>
      <c r="G2093" s="7"/>
      <c r="M2093" s="7"/>
      <c r="P2093" s="7"/>
      <c r="Q2093" s="7"/>
      <c r="V2093" s="7"/>
      <c r="W2093" s="7"/>
      <c r="X2093" s="7"/>
      <c r="Y2093" s="7"/>
      <c r="Z2093" s="7"/>
      <c r="AA2093" s="7"/>
      <c r="AB2093" s="7"/>
      <c r="AC2093" s="7"/>
      <c r="AD2093" s="7"/>
      <c r="AE2093" s="7"/>
      <c r="AF2093" s="7"/>
      <c r="AH2093" s="7"/>
      <c r="AI2093" s="7"/>
      <c r="AJ2093" s="7"/>
      <c r="AL2093" s="7"/>
      <c r="AM2093" s="7"/>
      <c r="AN2093" s="7"/>
      <c r="AP2093" s="7"/>
      <c r="AQ2093" s="7"/>
      <c r="AR2093" s="7"/>
      <c r="AS2093" s="7"/>
      <c r="AT2093" s="7"/>
      <c r="AU2093" s="7"/>
    </row>
    <row r="2094" spans="4:47" ht="13.5" x14ac:dyDescent="0.25">
      <c r="D2094" s="7"/>
      <c r="G2094" s="7"/>
      <c r="M2094" s="7"/>
      <c r="P2094" s="7"/>
      <c r="Q2094" s="7"/>
      <c r="V2094" s="7"/>
      <c r="W2094" s="7"/>
      <c r="X2094" s="7"/>
      <c r="Y2094" s="7"/>
      <c r="Z2094" s="7"/>
      <c r="AA2094" s="7"/>
      <c r="AB2094" s="7"/>
      <c r="AC2094" s="7"/>
      <c r="AD2094" s="7"/>
      <c r="AE2094" s="7"/>
      <c r="AF2094" s="7"/>
      <c r="AH2094" s="7"/>
      <c r="AI2094" s="7"/>
      <c r="AJ2094" s="7"/>
      <c r="AL2094" s="7"/>
      <c r="AM2094" s="7"/>
      <c r="AN2094" s="7"/>
      <c r="AP2094" s="7"/>
      <c r="AQ2094" s="7"/>
      <c r="AR2094" s="7"/>
      <c r="AS2094" s="7"/>
      <c r="AT2094" s="7"/>
      <c r="AU2094" s="7"/>
    </row>
    <row r="2095" spans="4:47" ht="13.5" x14ac:dyDescent="0.25">
      <c r="D2095" s="7"/>
      <c r="G2095" s="7"/>
      <c r="M2095" s="7"/>
      <c r="P2095" s="7"/>
      <c r="Q2095" s="7"/>
      <c r="V2095" s="7"/>
      <c r="W2095" s="7"/>
      <c r="X2095" s="7"/>
      <c r="Y2095" s="7"/>
      <c r="Z2095" s="7"/>
      <c r="AA2095" s="7"/>
      <c r="AB2095" s="7"/>
      <c r="AC2095" s="7"/>
      <c r="AD2095" s="7"/>
      <c r="AE2095" s="7"/>
      <c r="AF2095" s="7"/>
      <c r="AH2095" s="7"/>
      <c r="AI2095" s="7"/>
      <c r="AJ2095" s="7"/>
      <c r="AL2095" s="7"/>
      <c r="AM2095" s="7"/>
      <c r="AN2095" s="7"/>
      <c r="AP2095" s="7"/>
      <c r="AQ2095" s="7"/>
      <c r="AR2095" s="7"/>
      <c r="AS2095" s="7"/>
      <c r="AT2095" s="7"/>
      <c r="AU2095" s="7"/>
    </row>
    <row r="2096" spans="4:47" ht="13.5" x14ac:dyDescent="0.25">
      <c r="D2096" s="7"/>
      <c r="G2096" s="7"/>
      <c r="M2096" s="7"/>
      <c r="P2096" s="7"/>
      <c r="Q2096" s="7"/>
      <c r="V2096" s="7"/>
      <c r="W2096" s="7"/>
      <c r="X2096" s="7"/>
      <c r="Y2096" s="7"/>
      <c r="Z2096" s="7"/>
      <c r="AA2096" s="7"/>
      <c r="AB2096" s="7"/>
      <c r="AC2096" s="7"/>
      <c r="AD2096" s="7"/>
      <c r="AE2096" s="7"/>
      <c r="AF2096" s="7"/>
      <c r="AH2096" s="7"/>
      <c r="AI2096" s="7"/>
      <c r="AJ2096" s="7"/>
      <c r="AL2096" s="7"/>
      <c r="AM2096" s="7"/>
      <c r="AN2096" s="7"/>
      <c r="AP2096" s="7"/>
      <c r="AQ2096" s="7"/>
      <c r="AR2096" s="7"/>
      <c r="AS2096" s="7"/>
      <c r="AT2096" s="7"/>
      <c r="AU2096" s="7"/>
    </row>
    <row r="2097" spans="4:47" ht="13.5" x14ac:dyDescent="0.25">
      <c r="D2097" s="7"/>
      <c r="G2097" s="7"/>
      <c r="M2097" s="7"/>
      <c r="P2097" s="7"/>
      <c r="Q2097" s="7"/>
      <c r="V2097" s="7"/>
      <c r="W2097" s="7"/>
      <c r="X2097" s="7"/>
      <c r="Y2097" s="7"/>
      <c r="Z2097" s="7"/>
      <c r="AA2097" s="7"/>
      <c r="AB2097" s="7"/>
      <c r="AC2097" s="7"/>
      <c r="AD2097" s="7"/>
      <c r="AE2097" s="7"/>
      <c r="AF2097" s="7"/>
      <c r="AH2097" s="7"/>
      <c r="AI2097" s="7"/>
      <c r="AJ2097" s="7"/>
      <c r="AL2097" s="7"/>
      <c r="AM2097" s="7"/>
      <c r="AN2097" s="7"/>
      <c r="AP2097" s="7"/>
      <c r="AQ2097" s="7"/>
      <c r="AR2097" s="7"/>
      <c r="AS2097" s="7"/>
      <c r="AT2097" s="7"/>
      <c r="AU2097" s="7"/>
    </row>
    <row r="2098" spans="4:47" ht="13.5" x14ac:dyDescent="0.25">
      <c r="D2098" s="7"/>
      <c r="G2098" s="7"/>
      <c r="M2098" s="7"/>
      <c r="P2098" s="7"/>
      <c r="Q2098" s="7"/>
      <c r="V2098" s="7"/>
      <c r="W2098" s="7"/>
      <c r="X2098" s="7"/>
      <c r="Y2098" s="7"/>
      <c r="Z2098" s="7"/>
      <c r="AA2098" s="7"/>
      <c r="AB2098" s="7"/>
      <c r="AC2098" s="7"/>
      <c r="AD2098" s="7"/>
      <c r="AE2098" s="7"/>
      <c r="AF2098" s="7"/>
      <c r="AH2098" s="7"/>
      <c r="AI2098" s="7"/>
      <c r="AJ2098" s="7"/>
      <c r="AL2098" s="7"/>
      <c r="AM2098" s="7"/>
      <c r="AN2098" s="7"/>
      <c r="AP2098" s="7"/>
      <c r="AQ2098" s="7"/>
      <c r="AR2098" s="7"/>
      <c r="AS2098" s="7"/>
      <c r="AT2098" s="7"/>
      <c r="AU2098" s="7"/>
    </row>
    <row r="2099" spans="4:47" ht="13.5" x14ac:dyDescent="0.25">
      <c r="D2099" s="7"/>
      <c r="G2099" s="7"/>
      <c r="M2099" s="7"/>
      <c r="P2099" s="7"/>
      <c r="Q2099" s="7"/>
      <c r="V2099" s="7"/>
      <c r="W2099" s="7"/>
      <c r="X2099" s="7"/>
      <c r="Y2099" s="7"/>
      <c r="Z2099" s="7"/>
      <c r="AA2099" s="7"/>
      <c r="AB2099" s="7"/>
      <c r="AC2099" s="7"/>
      <c r="AD2099" s="7"/>
      <c r="AE2099" s="7"/>
      <c r="AF2099" s="7"/>
      <c r="AH2099" s="7"/>
      <c r="AI2099" s="7"/>
      <c r="AJ2099" s="7"/>
      <c r="AL2099" s="7"/>
      <c r="AM2099" s="7"/>
      <c r="AN2099" s="7"/>
      <c r="AP2099" s="7"/>
      <c r="AQ2099" s="7"/>
      <c r="AR2099" s="7"/>
      <c r="AS2099" s="7"/>
      <c r="AT2099" s="7"/>
      <c r="AU2099" s="7"/>
    </row>
    <row r="2100" spans="4:47" ht="13.5" x14ac:dyDescent="0.25">
      <c r="D2100" s="7"/>
      <c r="G2100" s="7"/>
      <c r="M2100" s="7"/>
      <c r="P2100" s="7"/>
      <c r="Q2100" s="7"/>
      <c r="V2100" s="7"/>
      <c r="W2100" s="7"/>
      <c r="X2100" s="7"/>
      <c r="Y2100" s="7"/>
      <c r="Z2100" s="7"/>
      <c r="AA2100" s="7"/>
      <c r="AB2100" s="7"/>
      <c r="AC2100" s="7"/>
      <c r="AD2100" s="7"/>
      <c r="AE2100" s="7"/>
      <c r="AF2100" s="7"/>
      <c r="AH2100" s="7"/>
      <c r="AI2100" s="7"/>
      <c r="AJ2100" s="7"/>
      <c r="AL2100" s="7"/>
      <c r="AM2100" s="7"/>
      <c r="AN2100" s="7"/>
      <c r="AP2100" s="7"/>
      <c r="AQ2100" s="7"/>
      <c r="AR2100" s="7"/>
      <c r="AS2100" s="7"/>
      <c r="AT2100" s="7"/>
      <c r="AU2100" s="7"/>
    </row>
    <row r="2101" spans="4:47" ht="13.5" x14ac:dyDescent="0.25">
      <c r="D2101" s="7"/>
      <c r="G2101" s="7"/>
      <c r="M2101" s="7"/>
      <c r="P2101" s="7"/>
      <c r="Q2101" s="7"/>
      <c r="V2101" s="7"/>
      <c r="W2101" s="7"/>
      <c r="X2101" s="7"/>
      <c r="Y2101" s="7"/>
      <c r="Z2101" s="7"/>
      <c r="AA2101" s="7"/>
      <c r="AB2101" s="7"/>
      <c r="AC2101" s="7"/>
      <c r="AD2101" s="7"/>
      <c r="AE2101" s="7"/>
      <c r="AF2101" s="7"/>
      <c r="AH2101" s="7"/>
      <c r="AI2101" s="7"/>
      <c r="AJ2101" s="7"/>
      <c r="AL2101" s="7"/>
      <c r="AM2101" s="7"/>
      <c r="AN2101" s="7"/>
      <c r="AP2101" s="7"/>
      <c r="AQ2101" s="7"/>
      <c r="AR2101" s="7"/>
      <c r="AS2101" s="7"/>
      <c r="AT2101" s="7"/>
      <c r="AU2101" s="7"/>
    </row>
    <row r="2102" spans="4:47" ht="13.5" x14ac:dyDescent="0.25">
      <c r="D2102" s="7"/>
      <c r="G2102" s="7"/>
      <c r="M2102" s="7"/>
      <c r="P2102" s="7"/>
      <c r="Q2102" s="7"/>
      <c r="V2102" s="7"/>
      <c r="W2102" s="7"/>
      <c r="X2102" s="7"/>
      <c r="Y2102" s="7"/>
      <c r="Z2102" s="7"/>
      <c r="AA2102" s="7"/>
      <c r="AB2102" s="7"/>
      <c r="AC2102" s="7"/>
      <c r="AD2102" s="7"/>
      <c r="AE2102" s="7"/>
      <c r="AF2102" s="7"/>
      <c r="AH2102" s="7"/>
      <c r="AI2102" s="7"/>
      <c r="AJ2102" s="7"/>
      <c r="AL2102" s="7"/>
      <c r="AM2102" s="7"/>
      <c r="AN2102" s="7"/>
      <c r="AP2102" s="7"/>
      <c r="AQ2102" s="7"/>
      <c r="AR2102" s="7"/>
      <c r="AS2102" s="7"/>
      <c r="AT2102" s="7"/>
      <c r="AU2102" s="7"/>
    </row>
    <row r="2103" spans="4:47" ht="13.5" x14ac:dyDescent="0.25">
      <c r="D2103" s="7"/>
      <c r="G2103" s="7"/>
      <c r="M2103" s="7"/>
      <c r="P2103" s="7"/>
      <c r="Q2103" s="7"/>
      <c r="V2103" s="7"/>
      <c r="W2103" s="7"/>
      <c r="X2103" s="7"/>
      <c r="Y2103" s="7"/>
      <c r="Z2103" s="7"/>
      <c r="AA2103" s="7"/>
      <c r="AB2103" s="7"/>
      <c r="AC2103" s="7"/>
      <c r="AD2103" s="7"/>
      <c r="AE2103" s="7"/>
      <c r="AF2103" s="7"/>
      <c r="AH2103" s="7"/>
      <c r="AI2103" s="7"/>
      <c r="AJ2103" s="7"/>
      <c r="AL2103" s="7"/>
      <c r="AM2103" s="7"/>
      <c r="AN2103" s="7"/>
      <c r="AP2103" s="7"/>
      <c r="AQ2103" s="7"/>
      <c r="AR2103" s="7"/>
      <c r="AS2103" s="7"/>
      <c r="AT2103" s="7"/>
      <c r="AU2103" s="7"/>
    </row>
    <row r="2104" spans="4:47" ht="13.5" x14ac:dyDescent="0.25">
      <c r="D2104" s="7"/>
      <c r="G2104" s="7"/>
      <c r="M2104" s="7"/>
      <c r="P2104" s="7"/>
      <c r="Q2104" s="7"/>
      <c r="V2104" s="7"/>
      <c r="W2104" s="7"/>
      <c r="X2104" s="7"/>
      <c r="Y2104" s="7"/>
      <c r="Z2104" s="7"/>
      <c r="AA2104" s="7"/>
      <c r="AB2104" s="7"/>
      <c r="AC2104" s="7"/>
      <c r="AD2104" s="7"/>
      <c r="AE2104" s="7"/>
      <c r="AF2104" s="7"/>
      <c r="AH2104" s="7"/>
      <c r="AI2104" s="7"/>
      <c r="AJ2104" s="7"/>
      <c r="AL2104" s="7"/>
      <c r="AM2104" s="7"/>
      <c r="AN2104" s="7"/>
      <c r="AP2104" s="7"/>
      <c r="AQ2104" s="7"/>
      <c r="AR2104" s="7"/>
      <c r="AS2104" s="7"/>
      <c r="AT2104" s="7"/>
      <c r="AU2104" s="7"/>
    </row>
    <row r="2105" spans="4:47" ht="13.5" x14ac:dyDescent="0.25">
      <c r="D2105" s="7"/>
      <c r="G2105" s="7"/>
      <c r="M2105" s="7"/>
      <c r="P2105" s="7"/>
      <c r="Q2105" s="7"/>
      <c r="V2105" s="7"/>
      <c r="W2105" s="7"/>
      <c r="X2105" s="7"/>
      <c r="Y2105" s="7"/>
      <c r="Z2105" s="7"/>
      <c r="AA2105" s="7"/>
      <c r="AB2105" s="7"/>
      <c r="AC2105" s="7"/>
      <c r="AD2105" s="7"/>
      <c r="AE2105" s="7"/>
      <c r="AF2105" s="7"/>
      <c r="AH2105" s="7"/>
      <c r="AI2105" s="7"/>
      <c r="AJ2105" s="7"/>
      <c r="AL2105" s="7"/>
      <c r="AM2105" s="7"/>
      <c r="AN2105" s="7"/>
      <c r="AP2105" s="7"/>
      <c r="AQ2105" s="7"/>
      <c r="AR2105" s="7"/>
      <c r="AS2105" s="7"/>
      <c r="AT2105" s="7"/>
      <c r="AU2105" s="7"/>
    </row>
    <row r="2106" spans="4:47" ht="13.5" x14ac:dyDescent="0.25">
      <c r="D2106" s="7"/>
      <c r="G2106" s="7"/>
      <c r="M2106" s="7"/>
      <c r="P2106" s="7"/>
      <c r="Q2106" s="7"/>
      <c r="V2106" s="7"/>
      <c r="W2106" s="7"/>
      <c r="X2106" s="7"/>
      <c r="Y2106" s="7"/>
      <c r="Z2106" s="7"/>
      <c r="AA2106" s="7"/>
      <c r="AB2106" s="7"/>
      <c r="AC2106" s="7"/>
      <c r="AD2106" s="7"/>
      <c r="AE2106" s="7"/>
      <c r="AF2106" s="7"/>
      <c r="AH2106" s="7"/>
      <c r="AI2106" s="7"/>
      <c r="AJ2106" s="7"/>
      <c r="AL2106" s="7"/>
      <c r="AM2106" s="7"/>
      <c r="AN2106" s="7"/>
      <c r="AP2106" s="7"/>
      <c r="AQ2106" s="7"/>
      <c r="AR2106" s="7"/>
      <c r="AS2106" s="7"/>
      <c r="AT2106" s="7"/>
      <c r="AU2106" s="7"/>
    </row>
    <row r="2107" spans="4:47" ht="13.5" x14ac:dyDescent="0.25">
      <c r="D2107" s="7"/>
      <c r="G2107" s="7"/>
      <c r="M2107" s="7"/>
      <c r="P2107" s="7"/>
      <c r="Q2107" s="7"/>
      <c r="V2107" s="7"/>
      <c r="W2107" s="7"/>
      <c r="X2107" s="7"/>
      <c r="Y2107" s="7"/>
      <c r="Z2107" s="7"/>
      <c r="AA2107" s="7"/>
      <c r="AB2107" s="7"/>
      <c r="AC2107" s="7"/>
      <c r="AD2107" s="7"/>
      <c r="AE2107" s="7"/>
      <c r="AF2107" s="7"/>
      <c r="AH2107" s="7"/>
      <c r="AI2107" s="7"/>
      <c r="AJ2107" s="7"/>
      <c r="AL2107" s="7"/>
      <c r="AM2107" s="7"/>
      <c r="AN2107" s="7"/>
      <c r="AP2107" s="7"/>
      <c r="AQ2107" s="7"/>
      <c r="AR2107" s="7"/>
      <c r="AS2107" s="7"/>
      <c r="AT2107" s="7"/>
      <c r="AU2107" s="7"/>
    </row>
    <row r="2108" spans="4:47" ht="13.5" x14ac:dyDescent="0.25">
      <c r="D2108" s="7"/>
      <c r="G2108" s="7"/>
      <c r="M2108" s="7"/>
      <c r="P2108" s="7"/>
      <c r="Q2108" s="7"/>
      <c r="V2108" s="7"/>
      <c r="W2108" s="7"/>
      <c r="X2108" s="7"/>
      <c r="Y2108" s="7"/>
      <c r="Z2108" s="7"/>
      <c r="AA2108" s="7"/>
      <c r="AB2108" s="7"/>
      <c r="AC2108" s="7"/>
      <c r="AD2108" s="7"/>
      <c r="AE2108" s="7"/>
      <c r="AF2108" s="7"/>
      <c r="AH2108" s="7"/>
      <c r="AI2108" s="7"/>
      <c r="AJ2108" s="7"/>
      <c r="AL2108" s="7"/>
      <c r="AM2108" s="7"/>
      <c r="AN2108" s="7"/>
      <c r="AP2108" s="7"/>
      <c r="AQ2108" s="7"/>
      <c r="AR2108" s="7"/>
      <c r="AS2108" s="7"/>
      <c r="AT2108" s="7"/>
      <c r="AU2108" s="7"/>
    </row>
    <row r="2109" spans="4:47" ht="13.5" x14ac:dyDescent="0.25">
      <c r="D2109" s="7"/>
      <c r="G2109" s="7"/>
      <c r="M2109" s="7"/>
      <c r="P2109" s="7"/>
      <c r="Q2109" s="7"/>
      <c r="V2109" s="7"/>
      <c r="W2109" s="7"/>
      <c r="X2109" s="7"/>
      <c r="Y2109" s="7"/>
      <c r="Z2109" s="7"/>
      <c r="AA2109" s="7"/>
      <c r="AB2109" s="7"/>
      <c r="AC2109" s="7"/>
      <c r="AD2109" s="7"/>
      <c r="AE2109" s="7"/>
      <c r="AF2109" s="7"/>
      <c r="AH2109" s="7"/>
      <c r="AI2109" s="7"/>
      <c r="AJ2109" s="7"/>
      <c r="AL2109" s="7"/>
      <c r="AM2109" s="7"/>
      <c r="AN2109" s="7"/>
      <c r="AP2109" s="7"/>
      <c r="AQ2109" s="7"/>
      <c r="AR2109" s="7"/>
      <c r="AS2109" s="7"/>
      <c r="AT2109" s="7"/>
      <c r="AU2109" s="7"/>
    </row>
    <row r="2110" spans="4:47" ht="13.5" x14ac:dyDescent="0.25">
      <c r="D2110" s="7"/>
      <c r="G2110" s="7"/>
      <c r="M2110" s="7"/>
      <c r="P2110" s="7"/>
      <c r="Q2110" s="7"/>
      <c r="V2110" s="7"/>
      <c r="W2110" s="7"/>
      <c r="X2110" s="7"/>
      <c r="Y2110" s="7"/>
      <c r="Z2110" s="7"/>
      <c r="AA2110" s="7"/>
      <c r="AB2110" s="7"/>
      <c r="AC2110" s="7"/>
      <c r="AD2110" s="7"/>
      <c r="AE2110" s="7"/>
      <c r="AF2110" s="7"/>
      <c r="AH2110" s="7"/>
      <c r="AI2110" s="7"/>
      <c r="AJ2110" s="7"/>
      <c r="AL2110" s="7"/>
      <c r="AM2110" s="7"/>
      <c r="AN2110" s="7"/>
      <c r="AP2110" s="7"/>
      <c r="AQ2110" s="7"/>
      <c r="AR2110" s="7"/>
      <c r="AS2110" s="7"/>
      <c r="AT2110" s="7"/>
      <c r="AU2110" s="7"/>
    </row>
    <row r="2111" spans="4:47" ht="13.5" x14ac:dyDescent="0.25">
      <c r="D2111" s="7"/>
      <c r="G2111" s="7"/>
      <c r="M2111" s="7"/>
      <c r="P2111" s="7"/>
      <c r="Q2111" s="7"/>
      <c r="V2111" s="7"/>
      <c r="W2111" s="7"/>
      <c r="X2111" s="7"/>
      <c r="Y2111" s="7"/>
      <c r="Z2111" s="7"/>
      <c r="AA2111" s="7"/>
      <c r="AB2111" s="7"/>
      <c r="AC2111" s="7"/>
      <c r="AD2111" s="7"/>
      <c r="AE2111" s="7"/>
      <c r="AF2111" s="7"/>
      <c r="AH2111" s="7"/>
      <c r="AI2111" s="7"/>
      <c r="AJ2111" s="7"/>
      <c r="AL2111" s="7"/>
      <c r="AM2111" s="7"/>
      <c r="AN2111" s="7"/>
      <c r="AP2111" s="7"/>
      <c r="AQ2111" s="7"/>
      <c r="AR2111" s="7"/>
      <c r="AS2111" s="7"/>
      <c r="AT2111" s="7"/>
      <c r="AU2111" s="7"/>
    </row>
    <row r="2112" spans="4:47" ht="13.5" x14ac:dyDescent="0.25">
      <c r="D2112" s="7"/>
      <c r="G2112" s="7"/>
      <c r="M2112" s="7"/>
      <c r="P2112" s="7"/>
      <c r="Q2112" s="7"/>
      <c r="V2112" s="7"/>
      <c r="W2112" s="7"/>
      <c r="X2112" s="7"/>
      <c r="Y2112" s="7"/>
      <c r="Z2112" s="7"/>
      <c r="AA2112" s="7"/>
      <c r="AB2112" s="7"/>
      <c r="AC2112" s="7"/>
      <c r="AD2112" s="7"/>
      <c r="AE2112" s="7"/>
      <c r="AF2112" s="7"/>
      <c r="AH2112" s="7"/>
      <c r="AI2112" s="7"/>
      <c r="AJ2112" s="7"/>
      <c r="AL2112" s="7"/>
      <c r="AM2112" s="7"/>
      <c r="AN2112" s="7"/>
      <c r="AP2112" s="7"/>
      <c r="AQ2112" s="7"/>
      <c r="AR2112" s="7"/>
      <c r="AS2112" s="7"/>
      <c r="AT2112" s="7"/>
      <c r="AU2112" s="7"/>
    </row>
    <row r="2113" spans="4:47" ht="13.5" x14ac:dyDescent="0.25">
      <c r="D2113" s="7"/>
      <c r="G2113" s="7"/>
      <c r="M2113" s="7"/>
      <c r="P2113" s="7"/>
      <c r="Q2113" s="7"/>
      <c r="V2113" s="7"/>
      <c r="W2113" s="7"/>
      <c r="X2113" s="7"/>
      <c r="Y2113" s="7"/>
      <c r="Z2113" s="7"/>
      <c r="AA2113" s="7"/>
      <c r="AB2113" s="7"/>
      <c r="AC2113" s="7"/>
      <c r="AD2113" s="7"/>
      <c r="AE2113" s="7"/>
      <c r="AF2113" s="7"/>
      <c r="AH2113" s="7"/>
      <c r="AI2113" s="7"/>
      <c r="AJ2113" s="7"/>
      <c r="AL2113" s="7"/>
      <c r="AM2113" s="7"/>
      <c r="AN2113" s="7"/>
      <c r="AP2113" s="7"/>
      <c r="AQ2113" s="7"/>
      <c r="AR2113" s="7"/>
      <c r="AS2113" s="7"/>
      <c r="AT2113" s="7"/>
      <c r="AU2113" s="7"/>
    </row>
    <row r="2114" spans="4:47" ht="13.5" x14ac:dyDescent="0.25">
      <c r="D2114" s="7"/>
      <c r="G2114" s="7"/>
      <c r="M2114" s="7"/>
      <c r="P2114" s="7"/>
      <c r="Q2114" s="7"/>
      <c r="V2114" s="7"/>
      <c r="W2114" s="7"/>
      <c r="X2114" s="7"/>
      <c r="Y2114" s="7"/>
      <c r="Z2114" s="7"/>
      <c r="AA2114" s="7"/>
      <c r="AB2114" s="7"/>
      <c r="AC2114" s="7"/>
      <c r="AD2114" s="7"/>
      <c r="AE2114" s="7"/>
      <c r="AF2114" s="7"/>
      <c r="AH2114" s="7"/>
      <c r="AI2114" s="7"/>
      <c r="AJ2114" s="7"/>
      <c r="AL2114" s="7"/>
      <c r="AM2114" s="7"/>
      <c r="AN2114" s="7"/>
      <c r="AP2114" s="7"/>
      <c r="AQ2114" s="7"/>
      <c r="AR2114" s="7"/>
      <c r="AS2114" s="7"/>
      <c r="AT2114" s="7"/>
      <c r="AU2114" s="7"/>
    </row>
    <row r="2115" spans="4:47" ht="13.5" x14ac:dyDescent="0.25">
      <c r="D2115" s="7"/>
      <c r="G2115" s="7"/>
      <c r="M2115" s="7"/>
      <c r="P2115" s="7"/>
      <c r="Q2115" s="7"/>
      <c r="V2115" s="7"/>
      <c r="W2115" s="7"/>
      <c r="X2115" s="7"/>
      <c r="Y2115" s="7"/>
      <c r="Z2115" s="7"/>
      <c r="AA2115" s="7"/>
      <c r="AB2115" s="7"/>
      <c r="AC2115" s="7"/>
      <c r="AD2115" s="7"/>
      <c r="AE2115" s="7"/>
      <c r="AF2115" s="7"/>
      <c r="AH2115" s="7"/>
      <c r="AI2115" s="7"/>
      <c r="AJ2115" s="7"/>
      <c r="AL2115" s="7"/>
      <c r="AM2115" s="7"/>
      <c r="AN2115" s="7"/>
      <c r="AP2115" s="7"/>
      <c r="AQ2115" s="7"/>
      <c r="AR2115" s="7"/>
      <c r="AS2115" s="7"/>
      <c r="AT2115" s="7"/>
      <c r="AU2115" s="7"/>
    </row>
    <row r="2116" spans="4:47" ht="13.5" x14ac:dyDescent="0.25">
      <c r="D2116" s="7"/>
      <c r="G2116" s="7"/>
      <c r="M2116" s="7"/>
      <c r="P2116" s="7"/>
      <c r="Q2116" s="7"/>
      <c r="V2116" s="7"/>
      <c r="W2116" s="7"/>
      <c r="X2116" s="7"/>
      <c r="Y2116" s="7"/>
      <c r="Z2116" s="7"/>
      <c r="AA2116" s="7"/>
      <c r="AB2116" s="7"/>
      <c r="AC2116" s="7"/>
      <c r="AD2116" s="7"/>
      <c r="AE2116" s="7"/>
      <c r="AF2116" s="7"/>
      <c r="AH2116" s="7"/>
      <c r="AI2116" s="7"/>
      <c r="AJ2116" s="7"/>
      <c r="AL2116" s="7"/>
      <c r="AM2116" s="7"/>
      <c r="AN2116" s="7"/>
      <c r="AP2116" s="7"/>
      <c r="AQ2116" s="7"/>
      <c r="AR2116" s="7"/>
      <c r="AS2116" s="7"/>
      <c r="AT2116" s="7"/>
      <c r="AU2116" s="7"/>
    </row>
    <row r="2117" spans="4:47" ht="13.5" x14ac:dyDescent="0.25">
      <c r="D2117" s="7"/>
      <c r="G2117" s="7"/>
      <c r="M2117" s="7"/>
      <c r="P2117" s="7"/>
      <c r="Q2117" s="7"/>
      <c r="V2117" s="7"/>
      <c r="W2117" s="7"/>
      <c r="X2117" s="7"/>
      <c r="Y2117" s="7"/>
      <c r="Z2117" s="7"/>
      <c r="AA2117" s="7"/>
      <c r="AB2117" s="7"/>
      <c r="AC2117" s="7"/>
      <c r="AD2117" s="7"/>
      <c r="AE2117" s="7"/>
      <c r="AF2117" s="7"/>
      <c r="AH2117" s="7"/>
      <c r="AI2117" s="7"/>
      <c r="AJ2117" s="7"/>
      <c r="AL2117" s="7"/>
      <c r="AM2117" s="7"/>
      <c r="AN2117" s="7"/>
      <c r="AP2117" s="7"/>
      <c r="AQ2117" s="7"/>
      <c r="AR2117" s="7"/>
      <c r="AS2117" s="7"/>
      <c r="AT2117" s="7"/>
      <c r="AU2117" s="7"/>
    </row>
    <row r="2118" spans="4:47" ht="13.5" x14ac:dyDescent="0.25">
      <c r="D2118" s="7"/>
      <c r="G2118" s="7"/>
      <c r="M2118" s="7"/>
      <c r="P2118" s="7"/>
      <c r="Q2118" s="7"/>
      <c r="V2118" s="7"/>
      <c r="W2118" s="7"/>
      <c r="X2118" s="7"/>
      <c r="Y2118" s="7"/>
      <c r="Z2118" s="7"/>
      <c r="AA2118" s="7"/>
      <c r="AB2118" s="7"/>
      <c r="AC2118" s="7"/>
      <c r="AD2118" s="7"/>
      <c r="AE2118" s="7"/>
      <c r="AF2118" s="7"/>
      <c r="AH2118" s="7"/>
      <c r="AI2118" s="7"/>
      <c r="AJ2118" s="7"/>
      <c r="AL2118" s="7"/>
      <c r="AM2118" s="7"/>
      <c r="AN2118" s="7"/>
      <c r="AP2118" s="7"/>
      <c r="AQ2118" s="7"/>
      <c r="AR2118" s="7"/>
      <c r="AS2118" s="7"/>
      <c r="AT2118" s="7"/>
      <c r="AU2118" s="7"/>
    </row>
    <row r="2119" spans="4:47" ht="13.5" x14ac:dyDescent="0.25">
      <c r="D2119" s="7"/>
      <c r="G2119" s="7"/>
      <c r="M2119" s="7"/>
      <c r="P2119" s="7"/>
      <c r="Q2119" s="7"/>
      <c r="V2119" s="7"/>
      <c r="W2119" s="7"/>
      <c r="X2119" s="7"/>
      <c r="Y2119" s="7"/>
      <c r="Z2119" s="7"/>
      <c r="AA2119" s="7"/>
      <c r="AB2119" s="7"/>
      <c r="AC2119" s="7"/>
      <c r="AD2119" s="7"/>
      <c r="AE2119" s="7"/>
      <c r="AF2119" s="7"/>
      <c r="AH2119" s="7"/>
      <c r="AI2119" s="7"/>
      <c r="AJ2119" s="7"/>
      <c r="AL2119" s="7"/>
      <c r="AM2119" s="7"/>
      <c r="AN2119" s="7"/>
      <c r="AP2119" s="7"/>
      <c r="AQ2119" s="7"/>
      <c r="AR2119" s="7"/>
      <c r="AS2119" s="7"/>
      <c r="AT2119" s="7"/>
      <c r="AU2119" s="7"/>
    </row>
    <row r="2120" spans="4:47" ht="13.5" x14ac:dyDescent="0.25">
      <c r="D2120" s="7"/>
      <c r="G2120" s="7"/>
      <c r="M2120" s="7"/>
      <c r="P2120" s="7"/>
      <c r="Q2120" s="7"/>
      <c r="V2120" s="7"/>
      <c r="W2120" s="7"/>
      <c r="X2120" s="7"/>
      <c r="Y2120" s="7"/>
      <c r="Z2120" s="7"/>
      <c r="AA2120" s="7"/>
      <c r="AB2120" s="7"/>
      <c r="AC2120" s="7"/>
      <c r="AD2120" s="7"/>
      <c r="AE2120" s="7"/>
      <c r="AF2120" s="7"/>
      <c r="AH2120" s="7"/>
      <c r="AI2120" s="7"/>
      <c r="AJ2120" s="7"/>
      <c r="AL2120" s="7"/>
      <c r="AM2120" s="7"/>
      <c r="AN2120" s="7"/>
      <c r="AP2120" s="7"/>
      <c r="AQ2120" s="7"/>
      <c r="AR2120" s="7"/>
      <c r="AS2120" s="7"/>
      <c r="AT2120" s="7"/>
      <c r="AU2120" s="7"/>
    </row>
    <row r="2121" spans="4:47" ht="13.5" x14ac:dyDescent="0.25">
      <c r="D2121" s="7"/>
      <c r="G2121" s="7"/>
      <c r="M2121" s="7"/>
      <c r="P2121" s="7"/>
      <c r="Q2121" s="7"/>
      <c r="V2121" s="7"/>
      <c r="W2121" s="7"/>
      <c r="X2121" s="7"/>
      <c r="Y2121" s="7"/>
      <c r="Z2121" s="7"/>
      <c r="AA2121" s="7"/>
      <c r="AB2121" s="7"/>
      <c r="AC2121" s="7"/>
      <c r="AD2121" s="7"/>
      <c r="AE2121" s="7"/>
      <c r="AF2121" s="7"/>
      <c r="AH2121" s="7"/>
      <c r="AI2121" s="7"/>
      <c r="AJ2121" s="7"/>
      <c r="AL2121" s="7"/>
      <c r="AM2121" s="7"/>
      <c r="AN2121" s="7"/>
      <c r="AP2121" s="7"/>
      <c r="AQ2121" s="7"/>
      <c r="AR2121" s="7"/>
      <c r="AS2121" s="7"/>
      <c r="AT2121" s="7"/>
      <c r="AU2121" s="7"/>
    </row>
    <row r="2122" spans="4:47" ht="13.5" x14ac:dyDescent="0.25">
      <c r="D2122" s="7"/>
      <c r="G2122" s="7"/>
      <c r="M2122" s="7"/>
      <c r="P2122" s="7"/>
      <c r="Q2122" s="7"/>
      <c r="V2122" s="7"/>
      <c r="W2122" s="7"/>
      <c r="X2122" s="7"/>
      <c r="Y2122" s="7"/>
      <c r="Z2122" s="7"/>
      <c r="AA2122" s="7"/>
      <c r="AB2122" s="7"/>
      <c r="AC2122" s="7"/>
      <c r="AD2122" s="7"/>
      <c r="AE2122" s="7"/>
      <c r="AF2122" s="7"/>
      <c r="AH2122" s="7"/>
      <c r="AI2122" s="7"/>
      <c r="AJ2122" s="7"/>
      <c r="AL2122" s="7"/>
      <c r="AM2122" s="7"/>
      <c r="AN2122" s="7"/>
      <c r="AP2122" s="7"/>
      <c r="AQ2122" s="7"/>
      <c r="AR2122" s="7"/>
      <c r="AS2122" s="7"/>
      <c r="AT2122" s="7"/>
      <c r="AU2122" s="7"/>
    </row>
    <row r="2123" spans="4:47" ht="13.5" x14ac:dyDescent="0.25">
      <c r="D2123" s="7"/>
      <c r="G2123" s="7"/>
      <c r="M2123" s="7"/>
      <c r="P2123" s="7"/>
      <c r="Q2123" s="7"/>
      <c r="V2123" s="7"/>
      <c r="W2123" s="7"/>
      <c r="X2123" s="7"/>
      <c r="Y2123" s="7"/>
      <c r="Z2123" s="7"/>
      <c r="AA2123" s="7"/>
      <c r="AB2123" s="7"/>
      <c r="AC2123" s="7"/>
      <c r="AD2123" s="7"/>
      <c r="AE2123" s="7"/>
      <c r="AF2123" s="7"/>
      <c r="AH2123" s="7"/>
      <c r="AI2123" s="7"/>
      <c r="AJ2123" s="7"/>
      <c r="AL2123" s="7"/>
      <c r="AM2123" s="7"/>
      <c r="AN2123" s="7"/>
      <c r="AP2123" s="7"/>
      <c r="AQ2123" s="7"/>
      <c r="AR2123" s="7"/>
      <c r="AS2123" s="7"/>
      <c r="AT2123" s="7"/>
      <c r="AU2123" s="7"/>
    </row>
    <row r="2124" spans="4:47" ht="13.5" x14ac:dyDescent="0.25">
      <c r="D2124" s="7"/>
      <c r="G2124" s="7"/>
      <c r="M2124" s="7"/>
      <c r="P2124" s="7"/>
      <c r="Q2124" s="7"/>
      <c r="V2124" s="7"/>
      <c r="W2124" s="7"/>
      <c r="X2124" s="7"/>
      <c r="Y2124" s="7"/>
      <c r="Z2124" s="7"/>
      <c r="AA2124" s="7"/>
      <c r="AB2124" s="7"/>
      <c r="AC2124" s="7"/>
      <c r="AD2124" s="7"/>
      <c r="AE2124" s="7"/>
      <c r="AF2124" s="7"/>
      <c r="AH2124" s="7"/>
      <c r="AI2124" s="7"/>
      <c r="AJ2124" s="7"/>
      <c r="AL2124" s="7"/>
      <c r="AM2124" s="7"/>
      <c r="AN2124" s="7"/>
      <c r="AP2124" s="7"/>
      <c r="AQ2124" s="7"/>
      <c r="AR2124" s="7"/>
      <c r="AS2124" s="7"/>
      <c r="AT2124" s="7"/>
      <c r="AU2124" s="7"/>
    </row>
    <row r="2125" spans="4:47" ht="13.5" x14ac:dyDescent="0.25">
      <c r="D2125" s="7"/>
      <c r="G2125" s="7"/>
      <c r="M2125" s="7"/>
      <c r="P2125" s="7"/>
      <c r="Q2125" s="7"/>
      <c r="V2125" s="7"/>
      <c r="W2125" s="7"/>
      <c r="X2125" s="7"/>
      <c r="Y2125" s="7"/>
      <c r="Z2125" s="7"/>
      <c r="AA2125" s="7"/>
      <c r="AB2125" s="7"/>
      <c r="AC2125" s="7"/>
      <c r="AD2125" s="7"/>
      <c r="AE2125" s="7"/>
      <c r="AF2125" s="7"/>
      <c r="AH2125" s="7"/>
      <c r="AI2125" s="7"/>
      <c r="AJ2125" s="7"/>
      <c r="AL2125" s="7"/>
      <c r="AM2125" s="7"/>
      <c r="AN2125" s="7"/>
      <c r="AP2125" s="7"/>
      <c r="AQ2125" s="7"/>
      <c r="AR2125" s="7"/>
      <c r="AS2125" s="7"/>
      <c r="AT2125" s="7"/>
      <c r="AU2125" s="7"/>
    </row>
    <row r="2126" spans="4:47" ht="13.5" x14ac:dyDescent="0.25">
      <c r="D2126" s="7"/>
      <c r="G2126" s="7"/>
      <c r="M2126" s="7"/>
      <c r="P2126" s="7"/>
      <c r="Q2126" s="7"/>
      <c r="V2126" s="7"/>
      <c r="W2126" s="7"/>
      <c r="X2126" s="7"/>
      <c r="Y2126" s="7"/>
      <c r="Z2126" s="7"/>
      <c r="AA2126" s="7"/>
      <c r="AB2126" s="7"/>
      <c r="AC2126" s="7"/>
      <c r="AD2126" s="7"/>
      <c r="AE2126" s="7"/>
      <c r="AF2126" s="7"/>
      <c r="AH2126" s="7"/>
      <c r="AI2126" s="7"/>
      <c r="AJ2126" s="7"/>
      <c r="AL2126" s="7"/>
      <c r="AM2126" s="7"/>
      <c r="AN2126" s="7"/>
      <c r="AP2126" s="7"/>
      <c r="AQ2126" s="7"/>
      <c r="AR2126" s="7"/>
      <c r="AS2126" s="7"/>
      <c r="AT2126" s="7"/>
      <c r="AU2126" s="7"/>
    </row>
    <row r="2127" spans="4:47" ht="13.5" x14ac:dyDescent="0.25">
      <c r="D2127" s="7"/>
      <c r="G2127" s="7"/>
      <c r="M2127" s="7"/>
      <c r="P2127" s="7"/>
      <c r="Q2127" s="7"/>
      <c r="V2127" s="7"/>
      <c r="W2127" s="7"/>
      <c r="X2127" s="7"/>
      <c r="Y2127" s="7"/>
      <c r="Z2127" s="7"/>
      <c r="AA2127" s="7"/>
      <c r="AB2127" s="7"/>
      <c r="AC2127" s="7"/>
      <c r="AD2127" s="7"/>
      <c r="AE2127" s="7"/>
      <c r="AF2127" s="7"/>
      <c r="AH2127" s="7"/>
      <c r="AI2127" s="7"/>
      <c r="AJ2127" s="7"/>
      <c r="AL2127" s="7"/>
      <c r="AM2127" s="7"/>
      <c r="AN2127" s="7"/>
      <c r="AP2127" s="7"/>
      <c r="AQ2127" s="7"/>
      <c r="AR2127" s="7"/>
      <c r="AS2127" s="7"/>
      <c r="AT2127" s="7"/>
      <c r="AU2127" s="7"/>
    </row>
    <row r="2128" spans="4:47" ht="13.5" x14ac:dyDescent="0.25">
      <c r="D2128" s="7"/>
      <c r="G2128" s="7"/>
      <c r="M2128" s="7"/>
      <c r="P2128" s="7"/>
      <c r="Q2128" s="7"/>
      <c r="V2128" s="7"/>
      <c r="W2128" s="7"/>
      <c r="X2128" s="7"/>
      <c r="Y2128" s="7"/>
      <c r="Z2128" s="7"/>
      <c r="AA2128" s="7"/>
      <c r="AB2128" s="7"/>
      <c r="AC2128" s="7"/>
      <c r="AD2128" s="7"/>
      <c r="AE2128" s="7"/>
      <c r="AF2128" s="7"/>
      <c r="AH2128" s="7"/>
      <c r="AI2128" s="7"/>
      <c r="AJ2128" s="7"/>
      <c r="AL2128" s="7"/>
      <c r="AM2128" s="7"/>
      <c r="AN2128" s="7"/>
      <c r="AP2128" s="7"/>
      <c r="AQ2128" s="7"/>
      <c r="AR2128" s="7"/>
      <c r="AS2128" s="7"/>
      <c r="AT2128" s="7"/>
      <c r="AU2128" s="7"/>
    </row>
    <row r="2129" spans="4:47" ht="13.5" x14ac:dyDescent="0.25">
      <c r="D2129" s="7"/>
      <c r="G2129" s="7"/>
      <c r="M2129" s="7"/>
      <c r="P2129" s="7"/>
      <c r="Q2129" s="7"/>
      <c r="V2129" s="7"/>
      <c r="W2129" s="7"/>
      <c r="X2129" s="7"/>
      <c r="Y2129" s="7"/>
      <c r="Z2129" s="7"/>
      <c r="AA2129" s="7"/>
      <c r="AB2129" s="7"/>
      <c r="AC2129" s="7"/>
      <c r="AD2129" s="7"/>
      <c r="AE2129" s="7"/>
      <c r="AF2129" s="7"/>
      <c r="AH2129" s="7"/>
      <c r="AI2129" s="7"/>
      <c r="AJ2129" s="7"/>
      <c r="AL2129" s="7"/>
      <c r="AM2129" s="7"/>
      <c r="AN2129" s="7"/>
      <c r="AP2129" s="7"/>
      <c r="AQ2129" s="7"/>
      <c r="AR2129" s="7"/>
      <c r="AS2129" s="7"/>
      <c r="AT2129" s="7"/>
      <c r="AU2129" s="7"/>
    </row>
    <row r="2130" spans="4:47" ht="13.5" x14ac:dyDescent="0.25">
      <c r="D2130" s="7"/>
      <c r="G2130" s="7"/>
      <c r="M2130" s="7"/>
      <c r="P2130" s="7"/>
      <c r="Q2130" s="7"/>
      <c r="V2130" s="7"/>
      <c r="W2130" s="7"/>
      <c r="X2130" s="7"/>
      <c r="Y2130" s="7"/>
      <c r="Z2130" s="7"/>
      <c r="AA2130" s="7"/>
      <c r="AB2130" s="7"/>
      <c r="AC2130" s="7"/>
      <c r="AD2130" s="7"/>
      <c r="AE2130" s="7"/>
      <c r="AF2130" s="7"/>
      <c r="AH2130" s="7"/>
      <c r="AI2130" s="7"/>
      <c r="AJ2130" s="7"/>
      <c r="AL2130" s="7"/>
      <c r="AM2130" s="7"/>
      <c r="AN2130" s="7"/>
      <c r="AP2130" s="7"/>
      <c r="AQ2130" s="7"/>
      <c r="AR2130" s="7"/>
      <c r="AS2130" s="7"/>
      <c r="AT2130" s="7"/>
      <c r="AU2130" s="7"/>
    </row>
    <row r="2131" spans="4:47" ht="13.5" x14ac:dyDescent="0.25">
      <c r="D2131" s="7"/>
      <c r="G2131" s="7"/>
      <c r="M2131" s="7"/>
      <c r="P2131" s="7"/>
      <c r="Q2131" s="7"/>
      <c r="V2131" s="7"/>
      <c r="W2131" s="7"/>
      <c r="X2131" s="7"/>
      <c r="Y2131" s="7"/>
      <c r="Z2131" s="7"/>
      <c r="AA2131" s="7"/>
      <c r="AB2131" s="7"/>
      <c r="AC2131" s="7"/>
      <c r="AD2131" s="7"/>
      <c r="AE2131" s="7"/>
      <c r="AF2131" s="7"/>
      <c r="AH2131" s="7"/>
      <c r="AI2131" s="7"/>
      <c r="AJ2131" s="7"/>
      <c r="AL2131" s="7"/>
      <c r="AM2131" s="7"/>
      <c r="AN2131" s="7"/>
      <c r="AP2131" s="7"/>
      <c r="AQ2131" s="7"/>
      <c r="AR2131" s="7"/>
      <c r="AS2131" s="7"/>
      <c r="AT2131" s="7"/>
      <c r="AU2131" s="7"/>
    </row>
    <row r="2132" spans="4:47" ht="13.5" x14ac:dyDescent="0.25">
      <c r="D2132" s="7"/>
      <c r="G2132" s="7"/>
      <c r="M2132" s="7"/>
      <c r="P2132" s="7"/>
      <c r="Q2132" s="7"/>
      <c r="V2132" s="7"/>
      <c r="W2132" s="7"/>
      <c r="X2132" s="7"/>
      <c r="Y2132" s="7"/>
      <c r="Z2132" s="7"/>
      <c r="AA2132" s="7"/>
      <c r="AB2132" s="7"/>
      <c r="AC2132" s="7"/>
      <c r="AD2132" s="7"/>
      <c r="AE2132" s="7"/>
      <c r="AF2132" s="7"/>
      <c r="AH2132" s="7"/>
      <c r="AI2132" s="7"/>
      <c r="AJ2132" s="7"/>
      <c r="AL2132" s="7"/>
      <c r="AM2132" s="7"/>
      <c r="AN2132" s="7"/>
      <c r="AP2132" s="7"/>
      <c r="AQ2132" s="7"/>
      <c r="AR2132" s="7"/>
      <c r="AS2132" s="7"/>
      <c r="AT2132" s="7"/>
      <c r="AU2132" s="7"/>
    </row>
    <row r="2133" spans="4:47" ht="13.5" x14ac:dyDescent="0.25">
      <c r="D2133" s="7"/>
      <c r="G2133" s="7"/>
      <c r="M2133" s="7"/>
      <c r="P2133" s="7"/>
      <c r="Q2133" s="7"/>
      <c r="V2133" s="7"/>
      <c r="W2133" s="7"/>
      <c r="X2133" s="7"/>
      <c r="Y2133" s="7"/>
      <c r="Z2133" s="7"/>
      <c r="AA2133" s="7"/>
      <c r="AB2133" s="7"/>
      <c r="AC2133" s="7"/>
      <c r="AD2133" s="7"/>
      <c r="AE2133" s="7"/>
      <c r="AF2133" s="7"/>
      <c r="AH2133" s="7"/>
      <c r="AI2133" s="7"/>
      <c r="AJ2133" s="7"/>
      <c r="AL2133" s="7"/>
      <c r="AM2133" s="7"/>
      <c r="AN2133" s="7"/>
      <c r="AP2133" s="7"/>
      <c r="AQ2133" s="7"/>
      <c r="AR2133" s="7"/>
      <c r="AS2133" s="7"/>
      <c r="AT2133" s="7"/>
      <c r="AU2133" s="7"/>
    </row>
    <row r="2134" spans="4:47" ht="13.5" x14ac:dyDescent="0.25">
      <c r="D2134" s="7"/>
      <c r="G2134" s="7"/>
      <c r="M2134" s="7"/>
      <c r="P2134" s="7"/>
      <c r="Q2134" s="7"/>
      <c r="V2134" s="7"/>
      <c r="W2134" s="7"/>
      <c r="X2134" s="7"/>
      <c r="Y2134" s="7"/>
      <c r="Z2134" s="7"/>
      <c r="AA2134" s="7"/>
      <c r="AB2134" s="7"/>
      <c r="AC2134" s="7"/>
      <c r="AD2134" s="7"/>
      <c r="AE2134" s="7"/>
      <c r="AF2134" s="7"/>
      <c r="AH2134" s="7"/>
      <c r="AI2134" s="7"/>
      <c r="AJ2134" s="7"/>
      <c r="AL2134" s="7"/>
      <c r="AM2134" s="7"/>
      <c r="AN2134" s="7"/>
      <c r="AP2134" s="7"/>
      <c r="AQ2134" s="7"/>
      <c r="AR2134" s="7"/>
      <c r="AS2134" s="7"/>
      <c r="AT2134" s="7"/>
      <c r="AU2134" s="7"/>
    </row>
    <row r="2135" spans="4:47" ht="13.5" x14ac:dyDescent="0.25">
      <c r="D2135" s="7"/>
      <c r="G2135" s="7"/>
      <c r="M2135" s="7"/>
      <c r="P2135" s="7"/>
      <c r="Q2135" s="7"/>
      <c r="V2135" s="7"/>
      <c r="W2135" s="7"/>
      <c r="X2135" s="7"/>
      <c r="Y2135" s="7"/>
      <c r="Z2135" s="7"/>
      <c r="AA2135" s="7"/>
      <c r="AB2135" s="7"/>
      <c r="AC2135" s="7"/>
      <c r="AD2135" s="7"/>
      <c r="AE2135" s="7"/>
      <c r="AF2135" s="7"/>
      <c r="AH2135" s="7"/>
      <c r="AI2135" s="7"/>
      <c r="AJ2135" s="7"/>
      <c r="AL2135" s="7"/>
      <c r="AM2135" s="7"/>
      <c r="AN2135" s="7"/>
      <c r="AP2135" s="7"/>
      <c r="AQ2135" s="7"/>
      <c r="AR2135" s="7"/>
      <c r="AS2135" s="7"/>
      <c r="AT2135" s="7"/>
      <c r="AU2135" s="7"/>
    </row>
    <row r="2136" spans="4:47" ht="13.5" x14ac:dyDescent="0.25">
      <c r="D2136" s="7"/>
      <c r="G2136" s="7"/>
      <c r="M2136" s="7"/>
      <c r="P2136" s="7"/>
      <c r="Q2136" s="7"/>
      <c r="V2136" s="7"/>
      <c r="W2136" s="7"/>
      <c r="X2136" s="7"/>
      <c r="Y2136" s="7"/>
      <c r="Z2136" s="7"/>
      <c r="AA2136" s="7"/>
      <c r="AB2136" s="7"/>
      <c r="AC2136" s="7"/>
      <c r="AD2136" s="7"/>
      <c r="AE2136" s="7"/>
      <c r="AF2136" s="7"/>
      <c r="AH2136" s="7"/>
      <c r="AI2136" s="7"/>
      <c r="AJ2136" s="7"/>
      <c r="AL2136" s="7"/>
      <c r="AM2136" s="7"/>
      <c r="AN2136" s="7"/>
      <c r="AP2136" s="7"/>
      <c r="AQ2136" s="7"/>
      <c r="AR2136" s="7"/>
      <c r="AS2136" s="7"/>
      <c r="AT2136" s="7"/>
      <c r="AU2136" s="7"/>
    </row>
    <row r="2137" spans="4:47" ht="13.5" x14ac:dyDescent="0.25">
      <c r="D2137" s="7"/>
      <c r="G2137" s="7"/>
      <c r="M2137" s="7"/>
      <c r="P2137" s="7"/>
      <c r="Q2137" s="7"/>
      <c r="V2137" s="7"/>
      <c r="W2137" s="7"/>
      <c r="X2137" s="7"/>
      <c r="Y2137" s="7"/>
      <c r="Z2137" s="7"/>
      <c r="AA2137" s="7"/>
      <c r="AB2137" s="7"/>
      <c r="AC2137" s="7"/>
      <c r="AD2137" s="7"/>
      <c r="AE2137" s="7"/>
      <c r="AF2137" s="7"/>
      <c r="AH2137" s="7"/>
      <c r="AI2137" s="7"/>
      <c r="AJ2137" s="7"/>
      <c r="AL2137" s="7"/>
      <c r="AM2137" s="7"/>
      <c r="AN2137" s="7"/>
      <c r="AP2137" s="7"/>
      <c r="AQ2137" s="7"/>
      <c r="AR2137" s="7"/>
      <c r="AS2137" s="7"/>
      <c r="AT2137" s="7"/>
      <c r="AU2137" s="7"/>
    </row>
    <row r="2138" spans="4:47" ht="13.5" x14ac:dyDescent="0.25">
      <c r="D2138" s="7"/>
      <c r="G2138" s="7"/>
      <c r="M2138" s="7"/>
      <c r="P2138" s="7"/>
      <c r="Q2138" s="7"/>
      <c r="V2138" s="7"/>
      <c r="W2138" s="7"/>
      <c r="X2138" s="7"/>
      <c r="Y2138" s="7"/>
      <c r="Z2138" s="7"/>
      <c r="AA2138" s="7"/>
      <c r="AB2138" s="7"/>
      <c r="AC2138" s="7"/>
      <c r="AD2138" s="7"/>
      <c r="AE2138" s="7"/>
      <c r="AF2138" s="7"/>
      <c r="AH2138" s="7"/>
      <c r="AI2138" s="7"/>
      <c r="AJ2138" s="7"/>
      <c r="AL2138" s="7"/>
      <c r="AM2138" s="7"/>
      <c r="AN2138" s="7"/>
      <c r="AP2138" s="7"/>
      <c r="AQ2138" s="7"/>
      <c r="AR2138" s="7"/>
      <c r="AS2138" s="7"/>
      <c r="AT2138" s="7"/>
      <c r="AU2138" s="7"/>
    </row>
    <row r="2139" spans="4:47" ht="13.5" x14ac:dyDescent="0.25">
      <c r="D2139" s="7"/>
      <c r="G2139" s="7"/>
      <c r="M2139" s="7"/>
      <c r="P2139" s="7"/>
      <c r="Q2139" s="7"/>
      <c r="V2139" s="7"/>
      <c r="W2139" s="7"/>
      <c r="X2139" s="7"/>
      <c r="Y2139" s="7"/>
      <c r="Z2139" s="7"/>
      <c r="AA2139" s="7"/>
      <c r="AB2139" s="7"/>
      <c r="AC2139" s="7"/>
      <c r="AD2139" s="7"/>
      <c r="AE2139" s="7"/>
      <c r="AF2139" s="7"/>
      <c r="AH2139" s="7"/>
      <c r="AI2139" s="7"/>
      <c r="AJ2139" s="7"/>
      <c r="AL2139" s="7"/>
      <c r="AM2139" s="7"/>
      <c r="AN2139" s="7"/>
      <c r="AP2139" s="7"/>
      <c r="AQ2139" s="7"/>
      <c r="AR2139" s="7"/>
      <c r="AS2139" s="7"/>
      <c r="AT2139" s="7"/>
      <c r="AU2139" s="7"/>
    </row>
    <row r="2140" spans="4:47" ht="13.5" x14ac:dyDescent="0.25">
      <c r="D2140" s="7"/>
      <c r="G2140" s="7"/>
      <c r="M2140" s="7"/>
      <c r="P2140" s="7"/>
      <c r="Q2140" s="7"/>
      <c r="V2140" s="7"/>
      <c r="W2140" s="7"/>
      <c r="X2140" s="7"/>
      <c r="Y2140" s="7"/>
      <c r="Z2140" s="7"/>
      <c r="AA2140" s="7"/>
      <c r="AB2140" s="7"/>
      <c r="AC2140" s="7"/>
      <c r="AD2140" s="7"/>
      <c r="AE2140" s="7"/>
      <c r="AF2140" s="7"/>
      <c r="AH2140" s="7"/>
      <c r="AI2140" s="7"/>
      <c r="AJ2140" s="7"/>
      <c r="AL2140" s="7"/>
      <c r="AM2140" s="7"/>
      <c r="AN2140" s="7"/>
      <c r="AP2140" s="7"/>
      <c r="AQ2140" s="7"/>
      <c r="AR2140" s="7"/>
      <c r="AS2140" s="7"/>
      <c r="AT2140" s="7"/>
      <c r="AU2140" s="7"/>
    </row>
    <row r="2141" spans="4:47" ht="13.5" x14ac:dyDescent="0.25">
      <c r="D2141" s="7"/>
      <c r="G2141" s="7"/>
      <c r="M2141" s="7"/>
      <c r="P2141" s="7"/>
      <c r="Q2141" s="7"/>
      <c r="V2141" s="7"/>
      <c r="W2141" s="7"/>
      <c r="X2141" s="7"/>
      <c r="Y2141" s="7"/>
      <c r="Z2141" s="7"/>
      <c r="AA2141" s="7"/>
      <c r="AB2141" s="7"/>
      <c r="AC2141" s="7"/>
      <c r="AD2141" s="7"/>
      <c r="AE2141" s="7"/>
      <c r="AF2141" s="7"/>
      <c r="AH2141" s="7"/>
      <c r="AI2141" s="7"/>
      <c r="AJ2141" s="7"/>
      <c r="AL2141" s="7"/>
      <c r="AM2141" s="7"/>
      <c r="AN2141" s="7"/>
      <c r="AP2141" s="7"/>
      <c r="AQ2141" s="7"/>
      <c r="AR2141" s="7"/>
      <c r="AS2141" s="7"/>
      <c r="AT2141" s="7"/>
      <c r="AU2141" s="7"/>
    </row>
    <row r="2142" spans="4:47" ht="13.5" x14ac:dyDescent="0.25">
      <c r="D2142" s="7"/>
      <c r="G2142" s="7"/>
      <c r="M2142" s="7"/>
      <c r="P2142" s="7"/>
      <c r="Q2142" s="7"/>
      <c r="V2142" s="7"/>
      <c r="W2142" s="7"/>
      <c r="X2142" s="7"/>
      <c r="Y2142" s="7"/>
      <c r="Z2142" s="7"/>
      <c r="AA2142" s="7"/>
      <c r="AB2142" s="7"/>
      <c r="AC2142" s="7"/>
      <c r="AD2142" s="7"/>
      <c r="AE2142" s="7"/>
      <c r="AF2142" s="7"/>
      <c r="AH2142" s="7"/>
      <c r="AI2142" s="7"/>
      <c r="AJ2142" s="7"/>
      <c r="AL2142" s="7"/>
      <c r="AM2142" s="7"/>
      <c r="AN2142" s="7"/>
      <c r="AP2142" s="7"/>
      <c r="AQ2142" s="7"/>
      <c r="AR2142" s="7"/>
      <c r="AS2142" s="7"/>
      <c r="AT2142" s="7"/>
      <c r="AU2142" s="7"/>
    </row>
    <row r="2143" spans="4:47" ht="13.5" x14ac:dyDescent="0.25">
      <c r="D2143" s="7"/>
      <c r="G2143" s="7"/>
      <c r="M2143" s="7"/>
      <c r="P2143" s="7"/>
      <c r="Q2143" s="7"/>
      <c r="V2143" s="7"/>
      <c r="W2143" s="7"/>
      <c r="X2143" s="7"/>
      <c r="Y2143" s="7"/>
      <c r="Z2143" s="7"/>
      <c r="AA2143" s="7"/>
      <c r="AB2143" s="7"/>
      <c r="AC2143" s="7"/>
      <c r="AD2143" s="7"/>
      <c r="AE2143" s="7"/>
      <c r="AF2143" s="7"/>
      <c r="AH2143" s="7"/>
      <c r="AI2143" s="7"/>
      <c r="AJ2143" s="7"/>
      <c r="AL2143" s="7"/>
      <c r="AM2143" s="7"/>
      <c r="AN2143" s="7"/>
      <c r="AP2143" s="7"/>
      <c r="AQ2143" s="7"/>
      <c r="AR2143" s="7"/>
      <c r="AS2143" s="7"/>
      <c r="AT2143" s="7"/>
      <c r="AU2143" s="7"/>
    </row>
    <row r="2144" spans="4:47" ht="13.5" x14ac:dyDescent="0.25">
      <c r="D2144" s="7"/>
      <c r="G2144" s="7"/>
      <c r="M2144" s="7"/>
      <c r="P2144" s="7"/>
      <c r="Q2144" s="7"/>
      <c r="V2144" s="7"/>
      <c r="W2144" s="7"/>
      <c r="X2144" s="7"/>
      <c r="Y2144" s="7"/>
      <c r="Z2144" s="7"/>
      <c r="AA2144" s="7"/>
      <c r="AB2144" s="7"/>
      <c r="AC2144" s="7"/>
      <c r="AD2144" s="7"/>
      <c r="AE2144" s="7"/>
      <c r="AF2144" s="7"/>
      <c r="AH2144" s="7"/>
      <c r="AI2144" s="7"/>
      <c r="AJ2144" s="7"/>
      <c r="AL2144" s="7"/>
      <c r="AM2144" s="7"/>
      <c r="AN2144" s="7"/>
      <c r="AP2144" s="7"/>
      <c r="AQ2144" s="7"/>
      <c r="AR2144" s="7"/>
      <c r="AS2144" s="7"/>
      <c r="AT2144" s="7"/>
      <c r="AU2144" s="7"/>
    </row>
    <row r="2145" spans="4:47" ht="13.5" x14ac:dyDescent="0.25">
      <c r="D2145" s="7"/>
      <c r="G2145" s="7"/>
      <c r="M2145" s="7"/>
      <c r="P2145" s="7"/>
      <c r="Q2145" s="7"/>
      <c r="V2145" s="7"/>
      <c r="W2145" s="7"/>
      <c r="X2145" s="7"/>
      <c r="Y2145" s="7"/>
      <c r="Z2145" s="7"/>
      <c r="AA2145" s="7"/>
      <c r="AB2145" s="7"/>
      <c r="AC2145" s="7"/>
      <c r="AD2145" s="7"/>
      <c r="AE2145" s="7"/>
      <c r="AF2145" s="7"/>
      <c r="AH2145" s="7"/>
      <c r="AI2145" s="7"/>
      <c r="AJ2145" s="7"/>
      <c r="AL2145" s="7"/>
      <c r="AM2145" s="7"/>
      <c r="AN2145" s="7"/>
      <c r="AP2145" s="7"/>
      <c r="AQ2145" s="7"/>
      <c r="AR2145" s="7"/>
      <c r="AS2145" s="7"/>
      <c r="AT2145" s="7"/>
      <c r="AU2145" s="7"/>
    </row>
    <row r="2146" spans="4:47" ht="13.5" x14ac:dyDescent="0.25">
      <c r="D2146" s="7"/>
      <c r="G2146" s="7"/>
      <c r="M2146" s="7"/>
      <c r="P2146" s="7"/>
      <c r="Q2146" s="7"/>
      <c r="V2146" s="7"/>
      <c r="W2146" s="7"/>
      <c r="X2146" s="7"/>
      <c r="Y2146" s="7"/>
      <c r="Z2146" s="7"/>
      <c r="AA2146" s="7"/>
      <c r="AB2146" s="7"/>
      <c r="AC2146" s="7"/>
      <c r="AD2146" s="7"/>
      <c r="AE2146" s="7"/>
      <c r="AF2146" s="7"/>
      <c r="AH2146" s="7"/>
      <c r="AI2146" s="7"/>
      <c r="AJ2146" s="7"/>
      <c r="AL2146" s="7"/>
      <c r="AM2146" s="7"/>
      <c r="AN2146" s="7"/>
      <c r="AP2146" s="7"/>
      <c r="AQ2146" s="7"/>
      <c r="AR2146" s="7"/>
      <c r="AS2146" s="7"/>
      <c r="AT2146" s="7"/>
      <c r="AU2146" s="7"/>
    </row>
    <row r="2147" spans="4:47" ht="13.5" x14ac:dyDescent="0.25">
      <c r="D2147" s="7"/>
      <c r="G2147" s="7"/>
      <c r="M2147" s="7"/>
      <c r="P2147" s="7"/>
      <c r="Q2147" s="7"/>
      <c r="V2147" s="7"/>
      <c r="W2147" s="7"/>
      <c r="X2147" s="7"/>
      <c r="Y2147" s="7"/>
      <c r="Z2147" s="7"/>
      <c r="AA2147" s="7"/>
      <c r="AB2147" s="7"/>
      <c r="AC2147" s="7"/>
      <c r="AD2147" s="7"/>
      <c r="AE2147" s="7"/>
      <c r="AF2147" s="7"/>
      <c r="AH2147" s="7"/>
      <c r="AI2147" s="7"/>
      <c r="AJ2147" s="7"/>
      <c r="AL2147" s="7"/>
      <c r="AM2147" s="7"/>
      <c r="AN2147" s="7"/>
      <c r="AP2147" s="7"/>
      <c r="AQ2147" s="7"/>
      <c r="AR2147" s="7"/>
      <c r="AS2147" s="7"/>
      <c r="AT2147" s="7"/>
      <c r="AU2147" s="7"/>
    </row>
    <row r="2148" spans="4:47" ht="13.5" x14ac:dyDescent="0.25">
      <c r="D2148" s="7"/>
      <c r="G2148" s="7"/>
      <c r="M2148" s="7"/>
      <c r="P2148" s="7"/>
      <c r="Q2148" s="7"/>
      <c r="V2148" s="7"/>
      <c r="W2148" s="7"/>
      <c r="X2148" s="7"/>
      <c r="Y2148" s="7"/>
      <c r="Z2148" s="7"/>
      <c r="AA2148" s="7"/>
      <c r="AB2148" s="7"/>
      <c r="AC2148" s="7"/>
      <c r="AD2148" s="7"/>
      <c r="AE2148" s="7"/>
      <c r="AF2148" s="7"/>
      <c r="AH2148" s="7"/>
      <c r="AI2148" s="7"/>
      <c r="AJ2148" s="7"/>
      <c r="AL2148" s="7"/>
      <c r="AM2148" s="7"/>
      <c r="AN2148" s="7"/>
      <c r="AP2148" s="7"/>
      <c r="AQ2148" s="7"/>
      <c r="AR2148" s="7"/>
      <c r="AS2148" s="7"/>
      <c r="AT2148" s="7"/>
      <c r="AU2148" s="7"/>
    </row>
    <row r="2149" spans="4:47" ht="13.5" x14ac:dyDescent="0.25">
      <c r="D2149" s="7"/>
      <c r="G2149" s="7"/>
      <c r="M2149" s="7"/>
      <c r="P2149" s="7"/>
      <c r="Q2149" s="7"/>
      <c r="V2149" s="7"/>
      <c r="W2149" s="7"/>
      <c r="X2149" s="7"/>
      <c r="Y2149" s="7"/>
      <c r="Z2149" s="7"/>
      <c r="AA2149" s="7"/>
      <c r="AB2149" s="7"/>
      <c r="AC2149" s="7"/>
      <c r="AD2149" s="7"/>
      <c r="AE2149" s="7"/>
      <c r="AF2149" s="7"/>
      <c r="AH2149" s="7"/>
      <c r="AI2149" s="7"/>
      <c r="AJ2149" s="7"/>
      <c r="AL2149" s="7"/>
      <c r="AM2149" s="7"/>
      <c r="AN2149" s="7"/>
      <c r="AP2149" s="7"/>
      <c r="AQ2149" s="7"/>
      <c r="AR2149" s="7"/>
      <c r="AS2149" s="7"/>
      <c r="AT2149" s="7"/>
      <c r="AU2149" s="7"/>
    </row>
    <row r="2150" spans="4:47" ht="13.5" x14ac:dyDescent="0.25">
      <c r="D2150" s="7"/>
      <c r="G2150" s="7"/>
      <c r="M2150" s="7"/>
      <c r="P2150" s="7"/>
      <c r="Q2150" s="7"/>
      <c r="V2150" s="7"/>
      <c r="W2150" s="7"/>
      <c r="X2150" s="7"/>
      <c r="Y2150" s="7"/>
      <c r="Z2150" s="7"/>
      <c r="AA2150" s="7"/>
      <c r="AB2150" s="7"/>
      <c r="AC2150" s="7"/>
      <c r="AD2150" s="7"/>
      <c r="AE2150" s="7"/>
      <c r="AF2150" s="7"/>
      <c r="AH2150" s="7"/>
      <c r="AI2150" s="7"/>
      <c r="AJ2150" s="7"/>
      <c r="AL2150" s="7"/>
      <c r="AM2150" s="7"/>
      <c r="AN2150" s="7"/>
      <c r="AP2150" s="7"/>
      <c r="AQ2150" s="7"/>
      <c r="AR2150" s="7"/>
      <c r="AS2150" s="7"/>
      <c r="AT2150" s="7"/>
      <c r="AU2150" s="7"/>
    </row>
    <row r="2151" spans="4:47" ht="13.5" x14ac:dyDescent="0.25">
      <c r="D2151" s="7"/>
      <c r="G2151" s="7"/>
      <c r="M2151" s="7"/>
      <c r="P2151" s="7"/>
      <c r="Q2151" s="7"/>
      <c r="V2151" s="7"/>
      <c r="W2151" s="7"/>
      <c r="X2151" s="7"/>
      <c r="Y2151" s="7"/>
      <c r="Z2151" s="7"/>
      <c r="AA2151" s="7"/>
      <c r="AB2151" s="7"/>
      <c r="AC2151" s="7"/>
      <c r="AD2151" s="7"/>
      <c r="AE2151" s="7"/>
      <c r="AF2151" s="7"/>
      <c r="AH2151" s="7"/>
      <c r="AI2151" s="7"/>
      <c r="AJ2151" s="7"/>
      <c r="AL2151" s="7"/>
      <c r="AM2151" s="7"/>
      <c r="AN2151" s="7"/>
      <c r="AP2151" s="7"/>
      <c r="AQ2151" s="7"/>
      <c r="AR2151" s="7"/>
      <c r="AS2151" s="7"/>
      <c r="AT2151" s="7"/>
      <c r="AU2151" s="7"/>
    </row>
    <row r="2152" spans="4:47" ht="13.5" x14ac:dyDescent="0.25">
      <c r="D2152" s="7"/>
      <c r="G2152" s="7"/>
      <c r="M2152" s="7"/>
      <c r="P2152" s="7"/>
      <c r="Q2152" s="7"/>
      <c r="V2152" s="7"/>
      <c r="W2152" s="7"/>
      <c r="X2152" s="7"/>
      <c r="Y2152" s="7"/>
      <c r="Z2152" s="7"/>
      <c r="AA2152" s="7"/>
      <c r="AB2152" s="7"/>
      <c r="AC2152" s="7"/>
      <c r="AD2152" s="7"/>
      <c r="AE2152" s="7"/>
      <c r="AF2152" s="7"/>
      <c r="AH2152" s="7"/>
      <c r="AI2152" s="7"/>
      <c r="AJ2152" s="7"/>
      <c r="AL2152" s="7"/>
      <c r="AM2152" s="7"/>
      <c r="AN2152" s="7"/>
      <c r="AP2152" s="7"/>
      <c r="AQ2152" s="7"/>
      <c r="AR2152" s="7"/>
      <c r="AS2152" s="7"/>
      <c r="AT2152" s="7"/>
      <c r="AU2152" s="7"/>
    </row>
    <row r="2153" spans="4:47" ht="13.5" x14ac:dyDescent="0.25">
      <c r="D2153" s="7"/>
      <c r="G2153" s="7"/>
      <c r="M2153" s="7"/>
      <c r="P2153" s="7"/>
      <c r="Q2153" s="7"/>
      <c r="V2153" s="7"/>
      <c r="W2153" s="7"/>
      <c r="X2153" s="7"/>
      <c r="Y2153" s="7"/>
      <c r="Z2153" s="7"/>
      <c r="AA2153" s="7"/>
      <c r="AB2153" s="7"/>
      <c r="AC2153" s="7"/>
      <c r="AD2153" s="7"/>
      <c r="AE2153" s="7"/>
      <c r="AF2153" s="7"/>
      <c r="AH2153" s="7"/>
      <c r="AI2153" s="7"/>
      <c r="AJ2153" s="7"/>
      <c r="AL2153" s="7"/>
      <c r="AM2153" s="7"/>
      <c r="AN2153" s="7"/>
      <c r="AP2153" s="7"/>
      <c r="AQ2153" s="7"/>
      <c r="AR2153" s="7"/>
      <c r="AS2153" s="7"/>
      <c r="AT2153" s="7"/>
      <c r="AU2153" s="7"/>
    </row>
    <row r="2154" spans="4:47" ht="13.5" x14ac:dyDescent="0.25">
      <c r="D2154" s="7"/>
      <c r="G2154" s="7"/>
      <c r="M2154" s="7"/>
      <c r="P2154" s="7"/>
      <c r="Q2154" s="7"/>
      <c r="V2154" s="7"/>
      <c r="W2154" s="7"/>
      <c r="X2154" s="7"/>
      <c r="Y2154" s="7"/>
      <c r="Z2154" s="7"/>
      <c r="AA2154" s="7"/>
      <c r="AB2154" s="7"/>
      <c r="AC2154" s="7"/>
      <c r="AD2154" s="7"/>
      <c r="AE2154" s="7"/>
      <c r="AF2154" s="7"/>
      <c r="AH2154" s="7"/>
      <c r="AI2154" s="7"/>
      <c r="AJ2154" s="7"/>
      <c r="AL2154" s="7"/>
      <c r="AM2154" s="7"/>
      <c r="AN2154" s="7"/>
      <c r="AP2154" s="7"/>
      <c r="AQ2154" s="7"/>
      <c r="AR2154" s="7"/>
      <c r="AS2154" s="7"/>
      <c r="AT2154" s="7"/>
      <c r="AU2154" s="7"/>
    </row>
    <row r="2155" spans="4:47" ht="13.5" x14ac:dyDescent="0.25">
      <c r="D2155" s="7"/>
      <c r="G2155" s="7"/>
      <c r="M2155" s="7"/>
      <c r="P2155" s="7"/>
      <c r="Q2155" s="7"/>
      <c r="V2155" s="7"/>
      <c r="W2155" s="7"/>
      <c r="X2155" s="7"/>
      <c r="Y2155" s="7"/>
      <c r="Z2155" s="7"/>
      <c r="AA2155" s="7"/>
      <c r="AB2155" s="7"/>
      <c r="AC2155" s="7"/>
      <c r="AD2155" s="7"/>
      <c r="AE2155" s="7"/>
      <c r="AF2155" s="7"/>
      <c r="AH2155" s="7"/>
      <c r="AI2155" s="7"/>
      <c r="AJ2155" s="7"/>
      <c r="AL2155" s="7"/>
      <c r="AM2155" s="7"/>
      <c r="AN2155" s="7"/>
      <c r="AP2155" s="7"/>
      <c r="AQ2155" s="7"/>
      <c r="AR2155" s="7"/>
      <c r="AS2155" s="7"/>
      <c r="AT2155" s="7"/>
      <c r="AU2155" s="7"/>
    </row>
    <row r="2156" spans="4:47" ht="13.5" x14ac:dyDescent="0.25">
      <c r="D2156" s="7"/>
      <c r="G2156" s="7"/>
      <c r="M2156" s="7"/>
      <c r="P2156" s="7"/>
      <c r="Q2156" s="7"/>
      <c r="V2156" s="7"/>
      <c r="W2156" s="7"/>
      <c r="X2156" s="7"/>
      <c r="Y2156" s="7"/>
      <c r="Z2156" s="7"/>
      <c r="AA2156" s="7"/>
      <c r="AB2156" s="7"/>
      <c r="AC2156" s="7"/>
      <c r="AD2156" s="7"/>
      <c r="AE2156" s="7"/>
      <c r="AF2156" s="7"/>
      <c r="AH2156" s="7"/>
      <c r="AI2156" s="7"/>
      <c r="AJ2156" s="7"/>
      <c r="AL2156" s="7"/>
      <c r="AM2156" s="7"/>
      <c r="AN2156" s="7"/>
      <c r="AP2156" s="7"/>
      <c r="AQ2156" s="7"/>
      <c r="AR2156" s="7"/>
      <c r="AS2156" s="7"/>
      <c r="AT2156" s="7"/>
      <c r="AU2156" s="7"/>
    </row>
    <row r="2157" spans="4:47" ht="13.5" x14ac:dyDescent="0.25">
      <c r="D2157" s="7"/>
      <c r="G2157" s="7"/>
      <c r="M2157" s="7"/>
      <c r="P2157" s="7"/>
      <c r="Q2157" s="7"/>
      <c r="V2157" s="7"/>
      <c r="W2157" s="7"/>
      <c r="X2157" s="7"/>
      <c r="Y2157" s="7"/>
      <c r="Z2157" s="7"/>
      <c r="AA2157" s="7"/>
      <c r="AB2157" s="7"/>
      <c r="AC2157" s="7"/>
      <c r="AD2157" s="7"/>
      <c r="AE2157" s="7"/>
      <c r="AF2157" s="7"/>
      <c r="AH2157" s="7"/>
      <c r="AI2157" s="7"/>
      <c r="AJ2157" s="7"/>
      <c r="AL2157" s="7"/>
      <c r="AM2157" s="7"/>
      <c r="AN2157" s="7"/>
      <c r="AP2157" s="7"/>
      <c r="AQ2157" s="7"/>
      <c r="AR2157" s="7"/>
      <c r="AS2157" s="7"/>
      <c r="AT2157" s="7"/>
      <c r="AU2157" s="7"/>
    </row>
    <row r="2158" spans="4:47" ht="13.5" x14ac:dyDescent="0.25">
      <c r="D2158" s="7"/>
      <c r="G2158" s="7"/>
      <c r="M2158" s="7"/>
      <c r="P2158" s="7"/>
      <c r="Q2158" s="7"/>
      <c r="V2158" s="7"/>
      <c r="W2158" s="7"/>
      <c r="X2158" s="7"/>
      <c r="Y2158" s="7"/>
      <c r="Z2158" s="7"/>
      <c r="AA2158" s="7"/>
      <c r="AB2158" s="7"/>
      <c r="AC2158" s="7"/>
      <c r="AD2158" s="7"/>
      <c r="AE2158" s="7"/>
      <c r="AF2158" s="7"/>
      <c r="AH2158" s="7"/>
      <c r="AI2158" s="7"/>
      <c r="AJ2158" s="7"/>
      <c r="AL2158" s="7"/>
      <c r="AM2158" s="7"/>
      <c r="AN2158" s="7"/>
      <c r="AP2158" s="7"/>
      <c r="AQ2158" s="7"/>
      <c r="AR2158" s="7"/>
      <c r="AS2158" s="7"/>
      <c r="AT2158" s="7"/>
      <c r="AU2158" s="7"/>
    </row>
    <row r="2159" spans="4:47" ht="13.5" x14ac:dyDescent="0.25">
      <c r="D2159" s="7"/>
      <c r="G2159" s="7"/>
      <c r="M2159" s="7"/>
      <c r="P2159" s="7"/>
      <c r="Q2159" s="7"/>
      <c r="V2159" s="7"/>
      <c r="W2159" s="7"/>
      <c r="X2159" s="7"/>
      <c r="Y2159" s="7"/>
      <c r="Z2159" s="7"/>
      <c r="AA2159" s="7"/>
      <c r="AB2159" s="7"/>
      <c r="AC2159" s="7"/>
      <c r="AD2159" s="7"/>
      <c r="AE2159" s="7"/>
      <c r="AF2159" s="7"/>
      <c r="AH2159" s="7"/>
      <c r="AI2159" s="7"/>
      <c r="AJ2159" s="7"/>
      <c r="AL2159" s="7"/>
      <c r="AM2159" s="7"/>
      <c r="AN2159" s="7"/>
      <c r="AP2159" s="7"/>
      <c r="AQ2159" s="7"/>
      <c r="AR2159" s="7"/>
      <c r="AS2159" s="7"/>
      <c r="AT2159" s="7"/>
      <c r="AU2159" s="7"/>
    </row>
    <row r="2160" spans="4:47" ht="13.5" x14ac:dyDescent="0.25">
      <c r="D2160" s="7"/>
      <c r="G2160" s="7"/>
      <c r="M2160" s="7"/>
      <c r="P2160" s="7"/>
      <c r="Q2160" s="7"/>
      <c r="V2160" s="7"/>
      <c r="W2160" s="7"/>
      <c r="X2160" s="7"/>
      <c r="Y2160" s="7"/>
      <c r="Z2160" s="7"/>
      <c r="AA2160" s="7"/>
      <c r="AB2160" s="7"/>
      <c r="AC2160" s="7"/>
      <c r="AD2160" s="7"/>
      <c r="AE2160" s="7"/>
      <c r="AF2160" s="7"/>
      <c r="AH2160" s="7"/>
      <c r="AI2160" s="7"/>
      <c r="AJ2160" s="7"/>
      <c r="AL2160" s="7"/>
      <c r="AM2160" s="7"/>
      <c r="AN2160" s="7"/>
      <c r="AP2160" s="7"/>
      <c r="AQ2160" s="7"/>
      <c r="AR2160" s="7"/>
      <c r="AS2160" s="7"/>
      <c r="AT2160" s="7"/>
      <c r="AU2160" s="7"/>
    </row>
    <row r="2161" spans="4:47" ht="13.5" x14ac:dyDescent="0.25">
      <c r="D2161" s="7"/>
      <c r="G2161" s="7"/>
      <c r="M2161" s="7"/>
      <c r="P2161" s="7"/>
      <c r="Q2161" s="7"/>
      <c r="V2161" s="7"/>
      <c r="W2161" s="7"/>
      <c r="X2161" s="7"/>
      <c r="Y2161" s="7"/>
      <c r="Z2161" s="7"/>
      <c r="AA2161" s="7"/>
      <c r="AB2161" s="7"/>
      <c r="AC2161" s="7"/>
      <c r="AD2161" s="7"/>
      <c r="AE2161" s="7"/>
      <c r="AF2161" s="7"/>
      <c r="AH2161" s="7"/>
      <c r="AI2161" s="7"/>
      <c r="AJ2161" s="7"/>
      <c r="AL2161" s="7"/>
      <c r="AM2161" s="7"/>
      <c r="AN2161" s="7"/>
      <c r="AP2161" s="7"/>
      <c r="AQ2161" s="7"/>
      <c r="AR2161" s="7"/>
      <c r="AS2161" s="7"/>
      <c r="AT2161" s="7"/>
      <c r="AU2161" s="7"/>
    </row>
    <row r="2162" spans="4:47" ht="13.5" x14ac:dyDescent="0.25">
      <c r="D2162" s="7"/>
      <c r="G2162" s="7"/>
      <c r="M2162" s="7"/>
      <c r="P2162" s="7"/>
      <c r="Q2162" s="7"/>
      <c r="V2162" s="7"/>
      <c r="W2162" s="7"/>
      <c r="X2162" s="7"/>
      <c r="Y2162" s="7"/>
      <c r="Z2162" s="7"/>
      <c r="AA2162" s="7"/>
      <c r="AB2162" s="7"/>
      <c r="AC2162" s="7"/>
      <c r="AD2162" s="7"/>
      <c r="AE2162" s="7"/>
      <c r="AF2162" s="7"/>
      <c r="AH2162" s="7"/>
      <c r="AI2162" s="7"/>
      <c r="AJ2162" s="7"/>
      <c r="AL2162" s="7"/>
      <c r="AM2162" s="7"/>
      <c r="AN2162" s="7"/>
      <c r="AP2162" s="7"/>
      <c r="AQ2162" s="7"/>
      <c r="AR2162" s="7"/>
      <c r="AS2162" s="7"/>
      <c r="AT2162" s="7"/>
      <c r="AU2162" s="7"/>
    </row>
    <row r="2163" spans="4:47" ht="13.5" x14ac:dyDescent="0.25">
      <c r="D2163" s="7"/>
      <c r="G2163" s="7"/>
      <c r="M2163" s="7"/>
      <c r="P2163" s="7"/>
      <c r="Q2163" s="7"/>
      <c r="V2163" s="7"/>
      <c r="W2163" s="7"/>
      <c r="X2163" s="7"/>
      <c r="Y2163" s="7"/>
      <c r="Z2163" s="7"/>
      <c r="AA2163" s="7"/>
      <c r="AB2163" s="7"/>
      <c r="AC2163" s="7"/>
      <c r="AD2163" s="7"/>
      <c r="AE2163" s="7"/>
      <c r="AF2163" s="7"/>
      <c r="AH2163" s="7"/>
      <c r="AI2163" s="7"/>
      <c r="AJ2163" s="7"/>
      <c r="AL2163" s="7"/>
      <c r="AM2163" s="7"/>
      <c r="AN2163" s="7"/>
      <c r="AP2163" s="7"/>
      <c r="AQ2163" s="7"/>
      <c r="AR2163" s="7"/>
      <c r="AS2163" s="7"/>
      <c r="AT2163" s="7"/>
      <c r="AU2163" s="7"/>
    </row>
    <row r="2164" spans="4:47" ht="13.5" x14ac:dyDescent="0.25">
      <c r="D2164" s="7"/>
      <c r="G2164" s="7"/>
      <c r="M2164" s="7"/>
      <c r="P2164" s="7"/>
      <c r="Q2164" s="7"/>
      <c r="V2164" s="7"/>
      <c r="W2164" s="7"/>
      <c r="X2164" s="7"/>
      <c r="Y2164" s="7"/>
      <c r="Z2164" s="7"/>
      <c r="AA2164" s="7"/>
      <c r="AB2164" s="7"/>
      <c r="AC2164" s="7"/>
      <c r="AD2164" s="7"/>
      <c r="AE2164" s="7"/>
      <c r="AF2164" s="7"/>
      <c r="AH2164" s="7"/>
      <c r="AI2164" s="7"/>
      <c r="AJ2164" s="7"/>
      <c r="AL2164" s="7"/>
      <c r="AM2164" s="7"/>
      <c r="AN2164" s="7"/>
      <c r="AP2164" s="7"/>
      <c r="AQ2164" s="7"/>
      <c r="AR2164" s="7"/>
      <c r="AS2164" s="7"/>
      <c r="AT2164" s="7"/>
      <c r="AU2164" s="7"/>
    </row>
    <row r="2165" spans="4:47" ht="13.5" x14ac:dyDescent="0.25">
      <c r="D2165" s="7"/>
      <c r="G2165" s="7"/>
      <c r="M2165" s="7"/>
      <c r="P2165" s="7"/>
      <c r="Q2165" s="7"/>
      <c r="V2165" s="7"/>
      <c r="W2165" s="7"/>
      <c r="X2165" s="7"/>
      <c r="Y2165" s="7"/>
      <c r="Z2165" s="7"/>
      <c r="AA2165" s="7"/>
      <c r="AB2165" s="7"/>
      <c r="AC2165" s="7"/>
      <c r="AD2165" s="7"/>
      <c r="AE2165" s="7"/>
      <c r="AF2165" s="7"/>
      <c r="AH2165" s="7"/>
      <c r="AI2165" s="7"/>
      <c r="AJ2165" s="7"/>
      <c r="AL2165" s="7"/>
      <c r="AM2165" s="7"/>
      <c r="AN2165" s="7"/>
      <c r="AP2165" s="7"/>
      <c r="AQ2165" s="7"/>
      <c r="AR2165" s="7"/>
      <c r="AS2165" s="7"/>
      <c r="AT2165" s="7"/>
      <c r="AU2165" s="7"/>
    </row>
    <row r="2166" spans="4:47" ht="13.5" x14ac:dyDescent="0.25">
      <c r="D2166" s="7"/>
      <c r="G2166" s="7"/>
      <c r="M2166" s="7"/>
      <c r="P2166" s="7"/>
      <c r="Q2166" s="7"/>
      <c r="V2166" s="7"/>
      <c r="W2166" s="7"/>
      <c r="X2166" s="7"/>
      <c r="Y2166" s="7"/>
      <c r="Z2166" s="7"/>
      <c r="AA2166" s="7"/>
      <c r="AB2166" s="7"/>
      <c r="AC2166" s="7"/>
      <c r="AD2166" s="7"/>
      <c r="AE2166" s="7"/>
      <c r="AF2166" s="7"/>
      <c r="AH2166" s="7"/>
      <c r="AI2166" s="7"/>
      <c r="AJ2166" s="7"/>
      <c r="AL2166" s="7"/>
      <c r="AM2166" s="7"/>
      <c r="AN2166" s="7"/>
      <c r="AP2166" s="7"/>
      <c r="AQ2166" s="7"/>
      <c r="AR2166" s="7"/>
      <c r="AS2166" s="7"/>
      <c r="AT2166" s="7"/>
      <c r="AU2166" s="7"/>
    </row>
    <row r="2167" spans="4:47" ht="13.5" x14ac:dyDescent="0.25">
      <c r="D2167" s="7"/>
      <c r="G2167" s="7"/>
      <c r="M2167" s="7"/>
      <c r="P2167" s="7"/>
      <c r="Q2167" s="7"/>
      <c r="V2167" s="7"/>
      <c r="W2167" s="7"/>
      <c r="X2167" s="7"/>
      <c r="Y2167" s="7"/>
      <c r="Z2167" s="7"/>
      <c r="AA2167" s="7"/>
      <c r="AB2167" s="7"/>
      <c r="AC2167" s="7"/>
      <c r="AD2167" s="7"/>
      <c r="AE2167" s="7"/>
      <c r="AF2167" s="7"/>
      <c r="AH2167" s="7"/>
      <c r="AI2167" s="7"/>
      <c r="AJ2167" s="7"/>
      <c r="AL2167" s="7"/>
      <c r="AM2167" s="7"/>
      <c r="AN2167" s="7"/>
      <c r="AP2167" s="7"/>
      <c r="AQ2167" s="7"/>
      <c r="AR2167" s="7"/>
      <c r="AS2167" s="7"/>
      <c r="AT2167" s="7"/>
      <c r="AU2167" s="7"/>
    </row>
    <row r="2168" spans="4:47" ht="13.5" x14ac:dyDescent="0.25">
      <c r="D2168" s="7"/>
      <c r="G2168" s="7"/>
      <c r="M2168" s="7"/>
      <c r="P2168" s="7"/>
      <c r="Q2168" s="7"/>
      <c r="V2168" s="7"/>
      <c r="W2168" s="7"/>
      <c r="X2168" s="7"/>
      <c r="Y2168" s="7"/>
      <c r="Z2168" s="7"/>
      <c r="AA2168" s="7"/>
      <c r="AB2168" s="7"/>
      <c r="AC2168" s="7"/>
      <c r="AD2168" s="7"/>
      <c r="AE2168" s="7"/>
      <c r="AF2168" s="7"/>
      <c r="AH2168" s="7"/>
      <c r="AI2168" s="7"/>
      <c r="AJ2168" s="7"/>
      <c r="AL2168" s="7"/>
      <c r="AM2168" s="7"/>
      <c r="AN2168" s="7"/>
      <c r="AP2168" s="7"/>
      <c r="AQ2168" s="7"/>
      <c r="AR2168" s="7"/>
      <c r="AS2168" s="7"/>
      <c r="AT2168" s="7"/>
      <c r="AU2168" s="7"/>
    </row>
    <row r="2169" spans="4:47" ht="13.5" x14ac:dyDescent="0.25">
      <c r="D2169" s="7"/>
      <c r="G2169" s="7"/>
      <c r="M2169" s="7"/>
      <c r="P2169" s="7"/>
      <c r="Q2169" s="7"/>
      <c r="V2169" s="7"/>
      <c r="W2169" s="7"/>
      <c r="X2169" s="7"/>
      <c r="Y2169" s="7"/>
      <c r="Z2169" s="7"/>
      <c r="AA2169" s="7"/>
      <c r="AB2169" s="7"/>
      <c r="AC2169" s="7"/>
      <c r="AD2169" s="7"/>
      <c r="AE2169" s="7"/>
      <c r="AF2169" s="7"/>
      <c r="AH2169" s="7"/>
      <c r="AI2169" s="7"/>
      <c r="AJ2169" s="7"/>
      <c r="AL2169" s="7"/>
      <c r="AM2169" s="7"/>
      <c r="AN2169" s="7"/>
      <c r="AP2169" s="7"/>
      <c r="AQ2169" s="7"/>
      <c r="AR2169" s="7"/>
      <c r="AS2169" s="7"/>
      <c r="AT2169" s="7"/>
      <c r="AU2169" s="7"/>
    </row>
    <row r="2170" spans="4:47" ht="13.5" x14ac:dyDescent="0.25">
      <c r="D2170" s="7"/>
      <c r="G2170" s="7"/>
      <c r="M2170" s="7"/>
      <c r="P2170" s="7"/>
      <c r="Q2170" s="7"/>
      <c r="V2170" s="7"/>
      <c r="W2170" s="7"/>
      <c r="X2170" s="7"/>
      <c r="Y2170" s="7"/>
      <c r="Z2170" s="7"/>
      <c r="AA2170" s="7"/>
      <c r="AB2170" s="7"/>
      <c r="AC2170" s="7"/>
      <c r="AD2170" s="7"/>
      <c r="AE2170" s="7"/>
      <c r="AF2170" s="7"/>
      <c r="AH2170" s="7"/>
      <c r="AI2170" s="7"/>
      <c r="AJ2170" s="7"/>
      <c r="AL2170" s="7"/>
      <c r="AM2170" s="7"/>
      <c r="AN2170" s="7"/>
      <c r="AP2170" s="7"/>
      <c r="AQ2170" s="7"/>
      <c r="AR2170" s="7"/>
      <c r="AS2170" s="7"/>
      <c r="AT2170" s="7"/>
      <c r="AU2170" s="7"/>
    </row>
    <row r="2171" spans="4:47" ht="13.5" x14ac:dyDescent="0.25">
      <c r="D2171" s="7"/>
      <c r="G2171" s="7"/>
      <c r="M2171" s="7"/>
      <c r="P2171" s="7"/>
      <c r="Q2171" s="7"/>
      <c r="V2171" s="7"/>
      <c r="W2171" s="7"/>
      <c r="X2171" s="7"/>
      <c r="Y2171" s="7"/>
      <c r="Z2171" s="7"/>
      <c r="AA2171" s="7"/>
      <c r="AB2171" s="7"/>
      <c r="AC2171" s="7"/>
      <c r="AD2171" s="7"/>
      <c r="AE2171" s="7"/>
      <c r="AF2171" s="7"/>
      <c r="AH2171" s="7"/>
      <c r="AI2171" s="7"/>
      <c r="AJ2171" s="7"/>
      <c r="AL2171" s="7"/>
      <c r="AM2171" s="7"/>
      <c r="AN2171" s="7"/>
      <c r="AP2171" s="7"/>
      <c r="AQ2171" s="7"/>
      <c r="AR2171" s="7"/>
      <c r="AS2171" s="7"/>
      <c r="AT2171" s="7"/>
      <c r="AU2171" s="7"/>
    </row>
    <row r="2172" spans="4:47" ht="13.5" x14ac:dyDescent="0.25">
      <c r="D2172" s="7"/>
      <c r="G2172" s="7"/>
      <c r="M2172" s="7"/>
      <c r="P2172" s="7"/>
      <c r="Q2172" s="7"/>
      <c r="V2172" s="7"/>
      <c r="W2172" s="7"/>
      <c r="X2172" s="7"/>
      <c r="Y2172" s="7"/>
      <c r="Z2172" s="7"/>
      <c r="AA2172" s="7"/>
      <c r="AB2172" s="7"/>
      <c r="AC2172" s="7"/>
      <c r="AD2172" s="7"/>
      <c r="AE2172" s="7"/>
      <c r="AF2172" s="7"/>
      <c r="AH2172" s="7"/>
      <c r="AI2172" s="7"/>
      <c r="AJ2172" s="7"/>
      <c r="AL2172" s="7"/>
      <c r="AM2172" s="7"/>
      <c r="AN2172" s="7"/>
      <c r="AP2172" s="7"/>
      <c r="AQ2172" s="7"/>
      <c r="AR2172" s="7"/>
      <c r="AS2172" s="7"/>
      <c r="AT2172" s="7"/>
      <c r="AU2172" s="7"/>
    </row>
    <row r="2173" spans="4:47" ht="13.5" x14ac:dyDescent="0.25">
      <c r="D2173" s="7"/>
      <c r="G2173" s="7"/>
      <c r="M2173" s="7"/>
      <c r="P2173" s="7"/>
      <c r="Q2173" s="7"/>
      <c r="V2173" s="7"/>
      <c r="W2173" s="7"/>
      <c r="X2173" s="7"/>
      <c r="Y2173" s="7"/>
      <c r="Z2173" s="7"/>
      <c r="AA2173" s="7"/>
      <c r="AB2173" s="7"/>
      <c r="AC2173" s="7"/>
      <c r="AD2173" s="7"/>
      <c r="AE2173" s="7"/>
      <c r="AF2173" s="7"/>
      <c r="AH2173" s="7"/>
      <c r="AI2173" s="7"/>
      <c r="AJ2173" s="7"/>
      <c r="AL2173" s="7"/>
      <c r="AM2173" s="7"/>
      <c r="AN2173" s="7"/>
      <c r="AP2173" s="7"/>
      <c r="AQ2173" s="7"/>
      <c r="AR2173" s="7"/>
      <c r="AS2173" s="7"/>
      <c r="AT2173" s="7"/>
      <c r="AU2173" s="7"/>
    </row>
    <row r="2174" spans="4:47" ht="13.5" x14ac:dyDescent="0.25">
      <c r="D2174" s="7"/>
      <c r="G2174" s="7"/>
      <c r="M2174" s="7"/>
      <c r="P2174" s="7"/>
      <c r="Q2174" s="7"/>
      <c r="V2174" s="7"/>
      <c r="W2174" s="7"/>
      <c r="X2174" s="7"/>
      <c r="Y2174" s="7"/>
      <c r="Z2174" s="7"/>
      <c r="AA2174" s="7"/>
      <c r="AB2174" s="7"/>
      <c r="AC2174" s="7"/>
      <c r="AD2174" s="7"/>
      <c r="AE2174" s="7"/>
      <c r="AF2174" s="7"/>
      <c r="AH2174" s="7"/>
      <c r="AI2174" s="7"/>
      <c r="AJ2174" s="7"/>
      <c r="AL2174" s="7"/>
      <c r="AM2174" s="7"/>
      <c r="AN2174" s="7"/>
      <c r="AP2174" s="7"/>
      <c r="AQ2174" s="7"/>
      <c r="AR2174" s="7"/>
      <c r="AS2174" s="7"/>
      <c r="AT2174" s="7"/>
      <c r="AU2174" s="7"/>
    </row>
    <row r="2175" spans="4:47" ht="13.5" x14ac:dyDescent="0.25">
      <c r="D2175" s="7"/>
      <c r="G2175" s="7"/>
      <c r="M2175" s="7"/>
      <c r="P2175" s="7"/>
      <c r="Q2175" s="7"/>
      <c r="V2175" s="7"/>
      <c r="W2175" s="7"/>
      <c r="X2175" s="7"/>
      <c r="Y2175" s="7"/>
      <c r="Z2175" s="7"/>
      <c r="AA2175" s="7"/>
      <c r="AB2175" s="7"/>
      <c r="AC2175" s="7"/>
      <c r="AD2175" s="7"/>
      <c r="AE2175" s="7"/>
      <c r="AF2175" s="7"/>
      <c r="AH2175" s="7"/>
      <c r="AI2175" s="7"/>
      <c r="AJ2175" s="7"/>
      <c r="AL2175" s="7"/>
      <c r="AM2175" s="7"/>
      <c r="AN2175" s="7"/>
      <c r="AP2175" s="7"/>
      <c r="AQ2175" s="7"/>
      <c r="AR2175" s="7"/>
      <c r="AS2175" s="7"/>
      <c r="AT2175" s="7"/>
      <c r="AU2175" s="7"/>
    </row>
    <row r="2176" spans="4:47" ht="13.5" x14ac:dyDescent="0.25">
      <c r="D2176" s="7"/>
      <c r="G2176" s="7"/>
      <c r="M2176" s="7"/>
      <c r="P2176" s="7"/>
      <c r="Q2176" s="7"/>
      <c r="V2176" s="7"/>
      <c r="W2176" s="7"/>
      <c r="X2176" s="7"/>
      <c r="Y2176" s="7"/>
      <c r="Z2176" s="7"/>
      <c r="AA2176" s="7"/>
      <c r="AB2176" s="7"/>
      <c r="AC2176" s="7"/>
      <c r="AD2176" s="7"/>
      <c r="AE2176" s="7"/>
      <c r="AF2176" s="7"/>
      <c r="AH2176" s="7"/>
      <c r="AI2176" s="7"/>
      <c r="AJ2176" s="7"/>
      <c r="AL2176" s="7"/>
      <c r="AM2176" s="7"/>
      <c r="AN2176" s="7"/>
      <c r="AP2176" s="7"/>
      <c r="AQ2176" s="7"/>
      <c r="AR2176" s="7"/>
      <c r="AS2176" s="7"/>
      <c r="AT2176" s="7"/>
      <c r="AU2176" s="7"/>
    </row>
    <row r="2177" spans="4:47" ht="13.5" x14ac:dyDescent="0.25">
      <c r="D2177" s="7"/>
      <c r="G2177" s="7"/>
      <c r="M2177" s="7"/>
      <c r="P2177" s="7"/>
      <c r="Q2177" s="7"/>
      <c r="V2177" s="7"/>
      <c r="W2177" s="7"/>
      <c r="X2177" s="7"/>
      <c r="Y2177" s="7"/>
      <c r="Z2177" s="7"/>
      <c r="AA2177" s="7"/>
      <c r="AB2177" s="7"/>
      <c r="AC2177" s="7"/>
      <c r="AD2177" s="7"/>
      <c r="AE2177" s="7"/>
      <c r="AF2177" s="7"/>
      <c r="AH2177" s="7"/>
      <c r="AI2177" s="7"/>
      <c r="AJ2177" s="7"/>
      <c r="AL2177" s="7"/>
      <c r="AM2177" s="7"/>
      <c r="AN2177" s="7"/>
      <c r="AP2177" s="7"/>
      <c r="AQ2177" s="7"/>
      <c r="AR2177" s="7"/>
      <c r="AS2177" s="7"/>
      <c r="AT2177" s="7"/>
      <c r="AU2177" s="7"/>
    </row>
    <row r="2178" spans="4:47" ht="13.5" x14ac:dyDescent="0.25">
      <c r="D2178" s="7"/>
      <c r="G2178" s="7"/>
      <c r="M2178" s="7"/>
      <c r="P2178" s="7"/>
      <c r="Q2178" s="7"/>
      <c r="V2178" s="7"/>
      <c r="W2178" s="7"/>
      <c r="X2178" s="7"/>
      <c r="Y2178" s="7"/>
      <c r="Z2178" s="7"/>
      <c r="AA2178" s="7"/>
      <c r="AB2178" s="7"/>
      <c r="AC2178" s="7"/>
      <c r="AD2178" s="7"/>
      <c r="AE2178" s="7"/>
      <c r="AF2178" s="7"/>
      <c r="AH2178" s="7"/>
      <c r="AI2178" s="7"/>
      <c r="AJ2178" s="7"/>
      <c r="AL2178" s="7"/>
      <c r="AM2178" s="7"/>
      <c r="AN2178" s="7"/>
      <c r="AP2178" s="7"/>
      <c r="AQ2178" s="7"/>
      <c r="AR2178" s="7"/>
      <c r="AS2178" s="7"/>
      <c r="AT2178" s="7"/>
      <c r="AU2178" s="7"/>
    </row>
    <row r="2179" spans="4:47" ht="13.5" x14ac:dyDescent="0.25">
      <c r="D2179" s="7"/>
      <c r="G2179" s="7"/>
      <c r="M2179" s="7"/>
      <c r="P2179" s="7"/>
      <c r="Q2179" s="7"/>
      <c r="V2179" s="7"/>
      <c r="W2179" s="7"/>
      <c r="X2179" s="7"/>
      <c r="Y2179" s="7"/>
      <c r="Z2179" s="7"/>
      <c r="AA2179" s="7"/>
      <c r="AB2179" s="7"/>
      <c r="AC2179" s="7"/>
      <c r="AD2179" s="7"/>
      <c r="AE2179" s="7"/>
      <c r="AF2179" s="7"/>
      <c r="AH2179" s="7"/>
      <c r="AI2179" s="7"/>
      <c r="AJ2179" s="7"/>
      <c r="AL2179" s="7"/>
      <c r="AM2179" s="7"/>
      <c r="AN2179" s="7"/>
      <c r="AP2179" s="7"/>
      <c r="AQ2179" s="7"/>
      <c r="AR2179" s="7"/>
      <c r="AS2179" s="7"/>
      <c r="AT2179" s="7"/>
      <c r="AU2179" s="7"/>
    </row>
    <row r="2180" spans="4:47" ht="13.5" x14ac:dyDescent="0.25">
      <c r="D2180" s="7"/>
      <c r="G2180" s="7"/>
      <c r="M2180" s="7"/>
      <c r="P2180" s="7"/>
      <c r="Q2180" s="7"/>
      <c r="V2180" s="7"/>
      <c r="W2180" s="7"/>
      <c r="X2180" s="7"/>
      <c r="Y2180" s="7"/>
      <c r="Z2180" s="7"/>
      <c r="AA2180" s="7"/>
      <c r="AB2180" s="7"/>
      <c r="AC2180" s="7"/>
      <c r="AD2180" s="7"/>
      <c r="AE2180" s="7"/>
      <c r="AF2180" s="7"/>
      <c r="AH2180" s="7"/>
      <c r="AI2180" s="7"/>
      <c r="AJ2180" s="7"/>
      <c r="AL2180" s="7"/>
      <c r="AM2180" s="7"/>
      <c r="AN2180" s="7"/>
      <c r="AP2180" s="7"/>
      <c r="AQ2180" s="7"/>
      <c r="AR2180" s="7"/>
      <c r="AS2180" s="7"/>
      <c r="AT2180" s="7"/>
      <c r="AU2180" s="7"/>
    </row>
    <row r="2181" spans="4:47" ht="13.5" x14ac:dyDescent="0.25">
      <c r="D2181" s="7"/>
      <c r="G2181" s="7"/>
      <c r="M2181" s="7"/>
      <c r="P2181" s="7"/>
      <c r="Q2181" s="7"/>
      <c r="V2181" s="7"/>
      <c r="W2181" s="7"/>
      <c r="X2181" s="7"/>
      <c r="Y2181" s="7"/>
      <c r="Z2181" s="7"/>
      <c r="AA2181" s="7"/>
      <c r="AB2181" s="7"/>
      <c r="AC2181" s="7"/>
      <c r="AD2181" s="7"/>
      <c r="AE2181" s="7"/>
      <c r="AF2181" s="7"/>
      <c r="AH2181" s="7"/>
      <c r="AI2181" s="7"/>
      <c r="AJ2181" s="7"/>
      <c r="AL2181" s="7"/>
      <c r="AM2181" s="7"/>
      <c r="AN2181" s="7"/>
      <c r="AP2181" s="7"/>
      <c r="AQ2181" s="7"/>
      <c r="AR2181" s="7"/>
      <c r="AS2181" s="7"/>
      <c r="AT2181" s="7"/>
      <c r="AU2181" s="7"/>
    </row>
    <row r="2182" spans="4:47" ht="13.5" x14ac:dyDescent="0.25">
      <c r="D2182" s="7"/>
      <c r="G2182" s="7"/>
      <c r="M2182" s="7"/>
      <c r="P2182" s="7"/>
      <c r="Q2182" s="7"/>
      <c r="V2182" s="7"/>
      <c r="W2182" s="7"/>
      <c r="X2182" s="7"/>
      <c r="Y2182" s="7"/>
      <c r="Z2182" s="7"/>
      <c r="AA2182" s="7"/>
      <c r="AB2182" s="7"/>
      <c r="AC2182" s="7"/>
      <c r="AD2182" s="7"/>
      <c r="AE2182" s="7"/>
      <c r="AF2182" s="7"/>
      <c r="AH2182" s="7"/>
      <c r="AI2182" s="7"/>
      <c r="AJ2182" s="7"/>
      <c r="AL2182" s="7"/>
      <c r="AM2182" s="7"/>
      <c r="AN2182" s="7"/>
      <c r="AP2182" s="7"/>
      <c r="AQ2182" s="7"/>
      <c r="AR2182" s="7"/>
      <c r="AS2182" s="7"/>
      <c r="AT2182" s="7"/>
      <c r="AU2182" s="7"/>
    </row>
    <row r="2183" spans="4:47" ht="13.5" x14ac:dyDescent="0.25">
      <c r="D2183" s="7"/>
      <c r="G2183" s="7"/>
      <c r="M2183" s="7"/>
      <c r="P2183" s="7"/>
      <c r="Q2183" s="7"/>
      <c r="V2183" s="7"/>
      <c r="W2183" s="7"/>
      <c r="X2183" s="7"/>
      <c r="Y2183" s="7"/>
      <c r="Z2183" s="7"/>
      <c r="AA2183" s="7"/>
      <c r="AB2183" s="7"/>
      <c r="AC2183" s="7"/>
      <c r="AD2183" s="7"/>
      <c r="AE2183" s="7"/>
      <c r="AF2183" s="7"/>
      <c r="AH2183" s="7"/>
      <c r="AI2183" s="7"/>
      <c r="AJ2183" s="7"/>
      <c r="AL2183" s="7"/>
      <c r="AM2183" s="7"/>
      <c r="AN2183" s="7"/>
      <c r="AP2183" s="7"/>
      <c r="AQ2183" s="7"/>
      <c r="AR2183" s="7"/>
      <c r="AS2183" s="7"/>
      <c r="AT2183" s="7"/>
      <c r="AU2183" s="7"/>
    </row>
    <row r="2184" spans="4:47" ht="13.5" x14ac:dyDescent="0.25">
      <c r="D2184" s="7"/>
      <c r="G2184" s="7"/>
      <c r="M2184" s="7"/>
      <c r="P2184" s="7"/>
      <c r="Q2184" s="7"/>
      <c r="V2184" s="7"/>
      <c r="W2184" s="7"/>
      <c r="X2184" s="7"/>
      <c r="Y2184" s="7"/>
      <c r="Z2184" s="7"/>
      <c r="AA2184" s="7"/>
      <c r="AB2184" s="7"/>
      <c r="AC2184" s="7"/>
      <c r="AD2184" s="7"/>
      <c r="AE2184" s="7"/>
      <c r="AF2184" s="7"/>
      <c r="AH2184" s="7"/>
      <c r="AI2184" s="7"/>
      <c r="AJ2184" s="7"/>
      <c r="AL2184" s="7"/>
      <c r="AM2184" s="7"/>
      <c r="AN2184" s="7"/>
      <c r="AP2184" s="7"/>
      <c r="AQ2184" s="7"/>
      <c r="AR2184" s="7"/>
      <c r="AS2184" s="7"/>
      <c r="AT2184" s="7"/>
      <c r="AU2184" s="7"/>
    </row>
    <row r="2185" spans="4:47" ht="13.5" x14ac:dyDescent="0.25">
      <c r="D2185" s="7"/>
      <c r="G2185" s="7"/>
      <c r="M2185" s="7"/>
      <c r="P2185" s="7"/>
      <c r="Q2185" s="7"/>
      <c r="V2185" s="7"/>
      <c r="W2185" s="7"/>
      <c r="X2185" s="7"/>
      <c r="Y2185" s="7"/>
      <c r="Z2185" s="7"/>
      <c r="AA2185" s="7"/>
      <c r="AB2185" s="7"/>
      <c r="AC2185" s="7"/>
      <c r="AD2185" s="7"/>
      <c r="AE2185" s="7"/>
      <c r="AF2185" s="7"/>
      <c r="AH2185" s="7"/>
      <c r="AI2185" s="7"/>
      <c r="AJ2185" s="7"/>
      <c r="AL2185" s="7"/>
      <c r="AM2185" s="7"/>
      <c r="AN2185" s="7"/>
      <c r="AP2185" s="7"/>
      <c r="AQ2185" s="7"/>
      <c r="AR2185" s="7"/>
      <c r="AS2185" s="7"/>
      <c r="AT2185" s="7"/>
      <c r="AU2185" s="7"/>
    </row>
    <row r="2186" spans="4:47" ht="13.5" x14ac:dyDescent="0.25">
      <c r="D2186" s="7"/>
      <c r="G2186" s="7"/>
      <c r="M2186" s="7"/>
      <c r="P2186" s="7"/>
      <c r="Q2186" s="7"/>
      <c r="V2186" s="7"/>
      <c r="W2186" s="7"/>
      <c r="X2186" s="7"/>
      <c r="Y2186" s="7"/>
      <c r="Z2186" s="7"/>
      <c r="AA2186" s="7"/>
      <c r="AB2186" s="7"/>
      <c r="AC2186" s="7"/>
      <c r="AD2186" s="7"/>
      <c r="AE2186" s="7"/>
      <c r="AF2186" s="7"/>
      <c r="AH2186" s="7"/>
      <c r="AI2186" s="7"/>
      <c r="AJ2186" s="7"/>
      <c r="AL2186" s="7"/>
      <c r="AM2186" s="7"/>
      <c r="AN2186" s="7"/>
      <c r="AP2186" s="7"/>
      <c r="AQ2186" s="7"/>
      <c r="AR2186" s="7"/>
      <c r="AS2186" s="7"/>
      <c r="AT2186" s="7"/>
      <c r="AU2186" s="7"/>
    </row>
    <row r="2187" spans="4:47" ht="13.5" x14ac:dyDescent="0.25">
      <c r="D2187" s="7"/>
      <c r="G2187" s="7"/>
      <c r="M2187" s="7"/>
      <c r="P2187" s="7"/>
      <c r="Q2187" s="7"/>
      <c r="V2187" s="7"/>
      <c r="W2187" s="7"/>
      <c r="X2187" s="7"/>
      <c r="Y2187" s="7"/>
      <c r="Z2187" s="7"/>
      <c r="AA2187" s="7"/>
      <c r="AB2187" s="7"/>
      <c r="AC2187" s="7"/>
      <c r="AD2187" s="7"/>
      <c r="AE2187" s="7"/>
      <c r="AF2187" s="7"/>
      <c r="AH2187" s="7"/>
      <c r="AI2187" s="7"/>
      <c r="AJ2187" s="7"/>
      <c r="AL2187" s="7"/>
      <c r="AM2187" s="7"/>
      <c r="AN2187" s="7"/>
      <c r="AP2187" s="7"/>
      <c r="AQ2187" s="7"/>
      <c r="AR2187" s="7"/>
      <c r="AS2187" s="7"/>
      <c r="AT2187" s="7"/>
      <c r="AU2187" s="7"/>
    </row>
    <row r="2188" spans="4:47" ht="13.5" x14ac:dyDescent="0.25">
      <c r="D2188" s="7"/>
      <c r="G2188" s="7"/>
      <c r="M2188" s="7"/>
      <c r="P2188" s="7"/>
      <c r="Q2188" s="7"/>
      <c r="V2188" s="7"/>
      <c r="W2188" s="7"/>
      <c r="X2188" s="7"/>
      <c r="Y2188" s="7"/>
      <c r="Z2188" s="7"/>
      <c r="AA2188" s="7"/>
      <c r="AB2188" s="7"/>
      <c r="AC2188" s="7"/>
      <c r="AD2188" s="7"/>
      <c r="AE2188" s="7"/>
      <c r="AF2188" s="7"/>
      <c r="AH2188" s="7"/>
      <c r="AI2188" s="7"/>
      <c r="AJ2188" s="7"/>
      <c r="AL2188" s="7"/>
      <c r="AM2188" s="7"/>
      <c r="AN2188" s="7"/>
      <c r="AP2188" s="7"/>
      <c r="AQ2188" s="7"/>
      <c r="AR2188" s="7"/>
      <c r="AS2188" s="7"/>
      <c r="AT2188" s="7"/>
      <c r="AU2188" s="7"/>
    </row>
    <row r="2189" spans="4:47" ht="13.5" x14ac:dyDescent="0.25">
      <c r="D2189" s="7"/>
      <c r="G2189" s="7"/>
      <c r="M2189" s="7"/>
      <c r="P2189" s="7"/>
      <c r="Q2189" s="7"/>
      <c r="V2189" s="7"/>
      <c r="W2189" s="7"/>
      <c r="X2189" s="7"/>
      <c r="Y2189" s="7"/>
      <c r="Z2189" s="7"/>
      <c r="AA2189" s="7"/>
      <c r="AB2189" s="7"/>
      <c r="AC2189" s="7"/>
      <c r="AD2189" s="7"/>
      <c r="AE2189" s="7"/>
      <c r="AF2189" s="7"/>
      <c r="AH2189" s="7"/>
      <c r="AI2189" s="7"/>
      <c r="AJ2189" s="7"/>
      <c r="AL2189" s="7"/>
      <c r="AM2189" s="7"/>
      <c r="AN2189" s="7"/>
      <c r="AP2189" s="7"/>
      <c r="AQ2189" s="7"/>
      <c r="AR2189" s="7"/>
      <c r="AS2189" s="7"/>
      <c r="AT2189" s="7"/>
      <c r="AU2189" s="7"/>
    </row>
    <row r="2190" spans="4:47" ht="13.5" x14ac:dyDescent="0.25">
      <c r="D2190" s="7"/>
      <c r="G2190" s="7"/>
      <c r="M2190" s="7"/>
      <c r="P2190" s="7"/>
      <c r="Q2190" s="7"/>
      <c r="V2190" s="7"/>
      <c r="W2190" s="7"/>
      <c r="X2190" s="7"/>
      <c r="Y2190" s="7"/>
      <c r="Z2190" s="7"/>
      <c r="AA2190" s="7"/>
      <c r="AB2190" s="7"/>
      <c r="AC2190" s="7"/>
      <c r="AD2190" s="7"/>
      <c r="AE2190" s="7"/>
      <c r="AF2190" s="7"/>
      <c r="AH2190" s="7"/>
      <c r="AI2190" s="7"/>
      <c r="AJ2190" s="7"/>
      <c r="AL2190" s="7"/>
      <c r="AM2190" s="7"/>
      <c r="AN2190" s="7"/>
      <c r="AP2190" s="7"/>
      <c r="AQ2190" s="7"/>
      <c r="AR2190" s="7"/>
      <c r="AS2190" s="7"/>
      <c r="AT2190" s="7"/>
      <c r="AU2190" s="7"/>
    </row>
    <row r="2191" spans="4:47" ht="13.5" x14ac:dyDescent="0.25">
      <c r="D2191" s="7"/>
      <c r="G2191" s="7"/>
      <c r="M2191" s="7"/>
      <c r="P2191" s="7"/>
      <c r="Q2191" s="7"/>
      <c r="V2191" s="7"/>
      <c r="W2191" s="7"/>
      <c r="X2191" s="7"/>
      <c r="Y2191" s="7"/>
      <c r="Z2191" s="7"/>
      <c r="AA2191" s="7"/>
      <c r="AB2191" s="7"/>
      <c r="AC2191" s="7"/>
      <c r="AD2191" s="7"/>
      <c r="AE2191" s="7"/>
      <c r="AF2191" s="7"/>
      <c r="AH2191" s="7"/>
      <c r="AI2191" s="7"/>
      <c r="AJ2191" s="7"/>
      <c r="AL2191" s="7"/>
      <c r="AM2191" s="7"/>
      <c r="AN2191" s="7"/>
      <c r="AP2191" s="7"/>
      <c r="AQ2191" s="7"/>
      <c r="AR2191" s="7"/>
      <c r="AS2191" s="7"/>
      <c r="AT2191" s="7"/>
      <c r="AU2191" s="7"/>
    </row>
    <row r="2192" spans="4:47" ht="13.5" x14ac:dyDescent="0.25">
      <c r="D2192" s="7"/>
      <c r="G2192" s="7"/>
      <c r="M2192" s="7"/>
      <c r="P2192" s="7"/>
      <c r="Q2192" s="7"/>
      <c r="V2192" s="7"/>
      <c r="W2192" s="7"/>
      <c r="X2192" s="7"/>
      <c r="Y2192" s="7"/>
      <c r="Z2192" s="7"/>
      <c r="AA2192" s="7"/>
      <c r="AB2192" s="7"/>
      <c r="AC2192" s="7"/>
      <c r="AD2192" s="7"/>
      <c r="AE2192" s="7"/>
      <c r="AF2192" s="7"/>
      <c r="AH2192" s="7"/>
      <c r="AI2192" s="7"/>
      <c r="AJ2192" s="7"/>
      <c r="AL2192" s="7"/>
      <c r="AM2192" s="7"/>
      <c r="AN2192" s="7"/>
      <c r="AP2192" s="7"/>
      <c r="AQ2192" s="7"/>
      <c r="AR2192" s="7"/>
      <c r="AS2192" s="7"/>
      <c r="AT2192" s="7"/>
      <c r="AU2192" s="7"/>
    </row>
    <row r="2193" spans="4:47" ht="13.5" x14ac:dyDescent="0.25">
      <c r="D2193" s="7"/>
      <c r="G2193" s="7"/>
      <c r="M2193" s="7"/>
      <c r="P2193" s="7"/>
      <c r="Q2193" s="7"/>
      <c r="V2193" s="7"/>
      <c r="W2193" s="7"/>
      <c r="X2193" s="7"/>
      <c r="Y2193" s="7"/>
      <c r="Z2193" s="7"/>
      <c r="AA2193" s="7"/>
      <c r="AB2193" s="7"/>
      <c r="AC2193" s="7"/>
      <c r="AD2193" s="7"/>
      <c r="AE2193" s="7"/>
      <c r="AF2193" s="7"/>
      <c r="AH2193" s="7"/>
      <c r="AI2193" s="7"/>
      <c r="AJ2193" s="7"/>
      <c r="AL2193" s="7"/>
      <c r="AM2193" s="7"/>
      <c r="AN2193" s="7"/>
      <c r="AP2193" s="7"/>
      <c r="AQ2193" s="7"/>
      <c r="AR2193" s="7"/>
      <c r="AS2193" s="7"/>
      <c r="AT2193" s="7"/>
      <c r="AU2193" s="7"/>
    </row>
    <row r="2194" spans="4:47" ht="13.5" x14ac:dyDescent="0.25">
      <c r="D2194" s="7"/>
      <c r="G2194" s="7"/>
      <c r="M2194" s="7"/>
      <c r="P2194" s="7"/>
      <c r="Q2194" s="7"/>
      <c r="V2194" s="7"/>
      <c r="W2194" s="7"/>
      <c r="X2194" s="7"/>
      <c r="Y2194" s="7"/>
      <c r="Z2194" s="7"/>
      <c r="AA2194" s="7"/>
      <c r="AB2194" s="7"/>
      <c r="AC2194" s="7"/>
      <c r="AD2194" s="7"/>
      <c r="AE2194" s="7"/>
      <c r="AF2194" s="7"/>
      <c r="AH2194" s="7"/>
      <c r="AI2194" s="7"/>
      <c r="AJ2194" s="7"/>
      <c r="AL2194" s="7"/>
      <c r="AM2194" s="7"/>
      <c r="AN2194" s="7"/>
      <c r="AP2194" s="7"/>
      <c r="AQ2194" s="7"/>
      <c r="AR2194" s="7"/>
      <c r="AS2194" s="7"/>
      <c r="AT2194" s="7"/>
      <c r="AU2194" s="7"/>
    </row>
    <row r="2195" spans="4:47" ht="13.5" x14ac:dyDescent="0.25">
      <c r="D2195" s="7"/>
      <c r="G2195" s="7"/>
      <c r="M2195" s="7"/>
      <c r="P2195" s="7"/>
      <c r="Q2195" s="7"/>
      <c r="V2195" s="7"/>
      <c r="W2195" s="7"/>
      <c r="X2195" s="7"/>
      <c r="Y2195" s="7"/>
      <c r="Z2195" s="7"/>
      <c r="AA2195" s="7"/>
      <c r="AB2195" s="7"/>
      <c r="AC2195" s="7"/>
      <c r="AD2195" s="7"/>
      <c r="AE2195" s="7"/>
      <c r="AF2195" s="7"/>
      <c r="AH2195" s="7"/>
      <c r="AI2195" s="7"/>
      <c r="AJ2195" s="7"/>
      <c r="AL2195" s="7"/>
      <c r="AM2195" s="7"/>
      <c r="AN2195" s="7"/>
      <c r="AP2195" s="7"/>
      <c r="AQ2195" s="7"/>
      <c r="AR2195" s="7"/>
      <c r="AS2195" s="7"/>
      <c r="AT2195" s="7"/>
      <c r="AU2195" s="7"/>
    </row>
    <row r="2196" spans="4:47" ht="13.5" x14ac:dyDescent="0.25">
      <c r="D2196" s="7"/>
      <c r="G2196" s="7"/>
      <c r="M2196" s="7"/>
      <c r="P2196" s="7"/>
      <c r="Q2196" s="7"/>
      <c r="V2196" s="7"/>
      <c r="W2196" s="7"/>
      <c r="X2196" s="7"/>
      <c r="Y2196" s="7"/>
      <c r="Z2196" s="7"/>
      <c r="AA2196" s="7"/>
      <c r="AB2196" s="7"/>
      <c r="AC2196" s="7"/>
      <c r="AD2196" s="7"/>
      <c r="AE2196" s="7"/>
      <c r="AF2196" s="7"/>
      <c r="AH2196" s="7"/>
      <c r="AI2196" s="7"/>
      <c r="AJ2196" s="7"/>
      <c r="AL2196" s="7"/>
      <c r="AM2196" s="7"/>
      <c r="AN2196" s="7"/>
      <c r="AP2196" s="7"/>
      <c r="AQ2196" s="7"/>
      <c r="AR2196" s="7"/>
      <c r="AS2196" s="7"/>
      <c r="AT2196" s="7"/>
      <c r="AU2196" s="7"/>
    </row>
    <row r="2197" spans="4:47" ht="13.5" x14ac:dyDescent="0.25">
      <c r="D2197" s="7"/>
      <c r="G2197" s="7"/>
      <c r="M2197" s="7"/>
      <c r="P2197" s="7"/>
      <c r="Q2197" s="7"/>
      <c r="V2197" s="7"/>
      <c r="W2197" s="7"/>
      <c r="X2197" s="7"/>
      <c r="Y2197" s="7"/>
      <c r="Z2197" s="7"/>
      <c r="AA2197" s="7"/>
      <c r="AB2197" s="7"/>
      <c r="AC2197" s="7"/>
      <c r="AD2197" s="7"/>
      <c r="AE2197" s="7"/>
      <c r="AF2197" s="7"/>
      <c r="AH2197" s="7"/>
      <c r="AI2197" s="7"/>
      <c r="AJ2197" s="7"/>
      <c r="AL2197" s="7"/>
      <c r="AM2197" s="7"/>
      <c r="AN2197" s="7"/>
      <c r="AP2197" s="7"/>
      <c r="AQ2197" s="7"/>
      <c r="AR2197" s="7"/>
      <c r="AS2197" s="7"/>
      <c r="AT2197" s="7"/>
      <c r="AU2197" s="7"/>
    </row>
    <row r="2198" spans="4:47" ht="13.5" x14ac:dyDescent="0.25">
      <c r="D2198" s="7"/>
      <c r="G2198" s="7"/>
      <c r="M2198" s="7"/>
      <c r="P2198" s="7"/>
      <c r="Q2198" s="7"/>
      <c r="V2198" s="7"/>
      <c r="W2198" s="7"/>
      <c r="X2198" s="7"/>
      <c r="Y2198" s="7"/>
      <c r="Z2198" s="7"/>
      <c r="AA2198" s="7"/>
      <c r="AB2198" s="7"/>
      <c r="AC2198" s="7"/>
      <c r="AD2198" s="7"/>
      <c r="AE2198" s="7"/>
      <c r="AF2198" s="7"/>
      <c r="AH2198" s="7"/>
      <c r="AI2198" s="7"/>
      <c r="AJ2198" s="7"/>
      <c r="AL2198" s="7"/>
      <c r="AM2198" s="7"/>
      <c r="AN2198" s="7"/>
      <c r="AP2198" s="7"/>
      <c r="AQ2198" s="7"/>
      <c r="AR2198" s="7"/>
      <c r="AS2198" s="7"/>
      <c r="AT2198" s="7"/>
      <c r="AU2198" s="7"/>
    </row>
    <row r="2199" spans="4:47" ht="13.5" x14ac:dyDescent="0.25">
      <c r="D2199" s="7"/>
      <c r="G2199" s="7"/>
      <c r="M2199" s="7"/>
      <c r="P2199" s="7"/>
      <c r="Q2199" s="7"/>
      <c r="V2199" s="7"/>
      <c r="W2199" s="7"/>
      <c r="X2199" s="7"/>
      <c r="Y2199" s="7"/>
      <c r="Z2199" s="7"/>
      <c r="AA2199" s="7"/>
      <c r="AB2199" s="7"/>
      <c r="AC2199" s="7"/>
      <c r="AD2199" s="7"/>
      <c r="AE2199" s="7"/>
      <c r="AF2199" s="7"/>
      <c r="AH2199" s="7"/>
      <c r="AI2199" s="7"/>
      <c r="AJ2199" s="7"/>
      <c r="AL2199" s="7"/>
      <c r="AM2199" s="7"/>
      <c r="AN2199" s="7"/>
      <c r="AP2199" s="7"/>
      <c r="AQ2199" s="7"/>
      <c r="AR2199" s="7"/>
      <c r="AS2199" s="7"/>
      <c r="AT2199" s="7"/>
      <c r="AU2199" s="7"/>
    </row>
    <row r="2200" spans="4:47" ht="13.5" x14ac:dyDescent="0.25">
      <c r="D2200" s="7"/>
      <c r="G2200" s="7"/>
      <c r="M2200" s="7"/>
      <c r="P2200" s="7"/>
      <c r="Q2200" s="7"/>
      <c r="V2200" s="7"/>
      <c r="W2200" s="7"/>
      <c r="X2200" s="7"/>
      <c r="Y2200" s="7"/>
      <c r="Z2200" s="7"/>
      <c r="AA2200" s="7"/>
      <c r="AB2200" s="7"/>
      <c r="AC2200" s="7"/>
      <c r="AD2200" s="7"/>
      <c r="AE2200" s="7"/>
      <c r="AF2200" s="7"/>
      <c r="AH2200" s="7"/>
      <c r="AI2200" s="7"/>
      <c r="AJ2200" s="7"/>
      <c r="AL2200" s="7"/>
      <c r="AM2200" s="7"/>
      <c r="AN2200" s="7"/>
      <c r="AP2200" s="7"/>
      <c r="AQ2200" s="7"/>
      <c r="AR2200" s="7"/>
      <c r="AS2200" s="7"/>
      <c r="AT2200" s="7"/>
      <c r="AU2200" s="7"/>
    </row>
    <row r="2201" spans="4:47" ht="13.5" x14ac:dyDescent="0.25">
      <c r="D2201" s="7"/>
      <c r="G2201" s="7"/>
      <c r="M2201" s="7"/>
      <c r="P2201" s="7"/>
      <c r="Q2201" s="7"/>
      <c r="V2201" s="7"/>
      <c r="W2201" s="7"/>
      <c r="X2201" s="7"/>
      <c r="Y2201" s="7"/>
      <c r="Z2201" s="7"/>
      <c r="AA2201" s="7"/>
      <c r="AB2201" s="7"/>
      <c r="AC2201" s="7"/>
      <c r="AD2201" s="7"/>
      <c r="AE2201" s="7"/>
      <c r="AF2201" s="7"/>
      <c r="AH2201" s="7"/>
      <c r="AI2201" s="7"/>
      <c r="AJ2201" s="7"/>
      <c r="AL2201" s="7"/>
      <c r="AM2201" s="7"/>
      <c r="AN2201" s="7"/>
      <c r="AP2201" s="7"/>
      <c r="AQ2201" s="7"/>
      <c r="AR2201" s="7"/>
      <c r="AS2201" s="7"/>
      <c r="AT2201" s="7"/>
      <c r="AU2201" s="7"/>
    </row>
    <row r="2202" spans="4:47" ht="13.5" x14ac:dyDescent="0.25">
      <c r="D2202" s="7"/>
      <c r="G2202" s="7"/>
      <c r="M2202" s="7"/>
      <c r="P2202" s="7"/>
      <c r="Q2202" s="7"/>
      <c r="V2202" s="7"/>
      <c r="W2202" s="7"/>
      <c r="X2202" s="7"/>
      <c r="Y2202" s="7"/>
      <c r="Z2202" s="7"/>
      <c r="AA2202" s="7"/>
      <c r="AB2202" s="7"/>
      <c r="AC2202" s="7"/>
      <c r="AD2202" s="7"/>
      <c r="AE2202" s="7"/>
      <c r="AF2202" s="7"/>
      <c r="AH2202" s="7"/>
      <c r="AI2202" s="7"/>
      <c r="AJ2202" s="7"/>
      <c r="AL2202" s="7"/>
      <c r="AM2202" s="7"/>
      <c r="AN2202" s="7"/>
      <c r="AP2202" s="7"/>
      <c r="AQ2202" s="7"/>
      <c r="AR2202" s="7"/>
      <c r="AS2202" s="7"/>
      <c r="AT2202" s="7"/>
      <c r="AU2202" s="7"/>
    </row>
    <row r="2203" spans="4:47" ht="13.5" x14ac:dyDescent="0.25">
      <c r="D2203" s="7"/>
      <c r="G2203" s="7"/>
      <c r="M2203" s="7"/>
      <c r="P2203" s="7"/>
      <c r="Q2203" s="7"/>
      <c r="V2203" s="7"/>
      <c r="W2203" s="7"/>
      <c r="X2203" s="7"/>
      <c r="Y2203" s="7"/>
      <c r="Z2203" s="7"/>
      <c r="AA2203" s="7"/>
      <c r="AB2203" s="7"/>
      <c r="AC2203" s="7"/>
      <c r="AD2203" s="7"/>
      <c r="AE2203" s="7"/>
      <c r="AF2203" s="7"/>
      <c r="AH2203" s="7"/>
      <c r="AI2203" s="7"/>
      <c r="AJ2203" s="7"/>
      <c r="AL2203" s="7"/>
      <c r="AM2203" s="7"/>
      <c r="AN2203" s="7"/>
      <c r="AP2203" s="7"/>
      <c r="AQ2203" s="7"/>
      <c r="AR2203" s="7"/>
      <c r="AS2203" s="7"/>
      <c r="AT2203" s="7"/>
      <c r="AU2203" s="7"/>
    </row>
    <row r="2204" spans="4:47" ht="13.5" x14ac:dyDescent="0.25">
      <c r="D2204" s="7"/>
      <c r="G2204" s="7"/>
      <c r="M2204" s="7"/>
      <c r="P2204" s="7"/>
      <c r="Q2204" s="7"/>
      <c r="V2204" s="7"/>
      <c r="W2204" s="7"/>
      <c r="X2204" s="7"/>
      <c r="Y2204" s="7"/>
      <c r="Z2204" s="7"/>
      <c r="AA2204" s="7"/>
      <c r="AB2204" s="7"/>
      <c r="AC2204" s="7"/>
      <c r="AD2204" s="7"/>
      <c r="AE2204" s="7"/>
      <c r="AF2204" s="7"/>
      <c r="AH2204" s="7"/>
      <c r="AI2204" s="7"/>
      <c r="AJ2204" s="7"/>
      <c r="AL2204" s="7"/>
      <c r="AM2204" s="7"/>
      <c r="AN2204" s="7"/>
      <c r="AP2204" s="7"/>
      <c r="AQ2204" s="7"/>
      <c r="AR2204" s="7"/>
      <c r="AS2204" s="7"/>
      <c r="AT2204" s="7"/>
      <c r="AU2204" s="7"/>
    </row>
    <row r="2205" spans="4:47" ht="13.5" x14ac:dyDescent="0.25">
      <c r="D2205" s="7"/>
      <c r="G2205" s="7"/>
      <c r="M2205" s="7"/>
      <c r="P2205" s="7"/>
      <c r="Q2205" s="7"/>
      <c r="V2205" s="7"/>
      <c r="W2205" s="7"/>
      <c r="X2205" s="7"/>
      <c r="Y2205" s="7"/>
      <c r="Z2205" s="7"/>
      <c r="AA2205" s="7"/>
      <c r="AB2205" s="7"/>
      <c r="AC2205" s="7"/>
      <c r="AD2205" s="7"/>
      <c r="AE2205" s="7"/>
      <c r="AF2205" s="7"/>
      <c r="AH2205" s="7"/>
      <c r="AI2205" s="7"/>
      <c r="AJ2205" s="7"/>
      <c r="AL2205" s="7"/>
      <c r="AM2205" s="7"/>
      <c r="AN2205" s="7"/>
      <c r="AP2205" s="7"/>
      <c r="AQ2205" s="7"/>
      <c r="AR2205" s="7"/>
      <c r="AS2205" s="7"/>
      <c r="AT2205" s="7"/>
      <c r="AU2205" s="7"/>
    </row>
    <row r="2206" spans="4:47" ht="13.5" x14ac:dyDescent="0.25">
      <c r="D2206" s="7"/>
      <c r="G2206" s="7"/>
      <c r="M2206" s="7"/>
      <c r="P2206" s="7"/>
      <c r="Q2206" s="7"/>
      <c r="V2206" s="7"/>
      <c r="W2206" s="7"/>
      <c r="X2206" s="7"/>
      <c r="Y2206" s="7"/>
      <c r="Z2206" s="7"/>
      <c r="AA2206" s="7"/>
      <c r="AB2206" s="7"/>
      <c r="AC2206" s="7"/>
      <c r="AD2206" s="7"/>
      <c r="AE2206" s="7"/>
      <c r="AF2206" s="7"/>
      <c r="AH2206" s="7"/>
      <c r="AI2206" s="7"/>
      <c r="AJ2206" s="7"/>
      <c r="AL2206" s="7"/>
      <c r="AM2206" s="7"/>
      <c r="AN2206" s="7"/>
      <c r="AP2206" s="7"/>
      <c r="AQ2206" s="7"/>
      <c r="AR2206" s="7"/>
      <c r="AS2206" s="7"/>
      <c r="AT2206" s="7"/>
      <c r="AU2206" s="7"/>
    </row>
    <row r="2207" spans="4:47" ht="13.5" x14ac:dyDescent="0.25">
      <c r="D2207" s="7"/>
      <c r="G2207" s="7"/>
      <c r="M2207" s="7"/>
      <c r="P2207" s="7"/>
      <c r="Q2207" s="7"/>
      <c r="V2207" s="7"/>
      <c r="W2207" s="7"/>
      <c r="X2207" s="7"/>
      <c r="Y2207" s="7"/>
      <c r="Z2207" s="7"/>
      <c r="AA2207" s="7"/>
      <c r="AB2207" s="7"/>
      <c r="AC2207" s="7"/>
      <c r="AD2207" s="7"/>
      <c r="AE2207" s="7"/>
      <c r="AF2207" s="7"/>
      <c r="AH2207" s="7"/>
      <c r="AI2207" s="7"/>
      <c r="AJ2207" s="7"/>
      <c r="AL2207" s="7"/>
      <c r="AM2207" s="7"/>
      <c r="AN2207" s="7"/>
      <c r="AP2207" s="7"/>
      <c r="AQ2207" s="7"/>
      <c r="AR2207" s="7"/>
      <c r="AS2207" s="7"/>
      <c r="AT2207" s="7"/>
      <c r="AU2207" s="7"/>
    </row>
    <row r="2208" spans="4:47" ht="13.5" x14ac:dyDescent="0.25">
      <c r="D2208" s="7"/>
      <c r="G2208" s="7"/>
      <c r="M2208" s="7"/>
      <c r="P2208" s="7"/>
      <c r="Q2208" s="7"/>
      <c r="V2208" s="7"/>
      <c r="W2208" s="7"/>
      <c r="X2208" s="7"/>
      <c r="Y2208" s="7"/>
      <c r="Z2208" s="7"/>
      <c r="AA2208" s="7"/>
      <c r="AB2208" s="7"/>
      <c r="AC2208" s="7"/>
      <c r="AD2208" s="7"/>
      <c r="AE2208" s="7"/>
      <c r="AF2208" s="7"/>
      <c r="AH2208" s="7"/>
      <c r="AI2208" s="7"/>
      <c r="AJ2208" s="7"/>
      <c r="AL2208" s="7"/>
      <c r="AM2208" s="7"/>
      <c r="AN2208" s="7"/>
      <c r="AP2208" s="7"/>
      <c r="AQ2208" s="7"/>
      <c r="AR2208" s="7"/>
      <c r="AS2208" s="7"/>
      <c r="AT2208" s="7"/>
      <c r="AU2208" s="7"/>
    </row>
    <row r="2209" spans="4:47" ht="13.5" x14ac:dyDescent="0.25">
      <c r="D2209" s="7"/>
      <c r="G2209" s="7"/>
      <c r="M2209" s="7"/>
      <c r="P2209" s="7"/>
      <c r="Q2209" s="7"/>
      <c r="V2209" s="7"/>
      <c r="W2209" s="7"/>
      <c r="X2209" s="7"/>
      <c r="Y2209" s="7"/>
      <c r="Z2209" s="7"/>
      <c r="AA2209" s="7"/>
      <c r="AB2209" s="7"/>
      <c r="AC2209" s="7"/>
      <c r="AD2209" s="7"/>
      <c r="AE2209" s="7"/>
      <c r="AF2209" s="7"/>
      <c r="AH2209" s="7"/>
      <c r="AI2209" s="7"/>
      <c r="AJ2209" s="7"/>
      <c r="AL2209" s="7"/>
      <c r="AM2209" s="7"/>
      <c r="AN2209" s="7"/>
      <c r="AP2209" s="7"/>
      <c r="AQ2209" s="7"/>
      <c r="AR2209" s="7"/>
      <c r="AS2209" s="7"/>
      <c r="AT2209" s="7"/>
      <c r="AU2209" s="7"/>
    </row>
    <row r="2210" spans="4:47" ht="13.5" x14ac:dyDescent="0.25">
      <c r="D2210" s="7"/>
      <c r="G2210" s="7"/>
      <c r="M2210" s="7"/>
      <c r="P2210" s="7"/>
      <c r="Q2210" s="7"/>
      <c r="V2210" s="7"/>
      <c r="W2210" s="7"/>
      <c r="X2210" s="7"/>
      <c r="Y2210" s="7"/>
      <c r="Z2210" s="7"/>
      <c r="AA2210" s="7"/>
      <c r="AB2210" s="7"/>
      <c r="AC2210" s="7"/>
      <c r="AD2210" s="7"/>
      <c r="AE2210" s="7"/>
      <c r="AF2210" s="7"/>
      <c r="AH2210" s="7"/>
      <c r="AI2210" s="7"/>
      <c r="AJ2210" s="7"/>
      <c r="AL2210" s="7"/>
      <c r="AM2210" s="7"/>
      <c r="AN2210" s="7"/>
      <c r="AP2210" s="7"/>
      <c r="AQ2210" s="7"/>
      <c r="AR2210" s="7"/>
      <c r="AS2210" s="7"/>
      <c r="AT2210" s="7"/>
      <c r="AU2210" s="7"/>
    </row>
    <row r="2211" spans="4:47" ht="13.5" x14ac:dyDescent="0.25">
      <c r="D2211" s="7"/>
      <c r="G2211" s="7"/>
      <c r="M2211" s="7"/>
      <c r="P2211" s="7"/>
      <c r="Q2211" s="7"/>
      <c r="V2211" s="7"/>
      <c r="W2211" s="7"/>
      <c r="X2211" s="7"/>
      <c r="Y2211" s="7"/>
      <c r="Z2211" s="7"/>
      <c r="AA2211" s="7"/>
      <c r="AB2211" s="7"/>
      <c r="AC2211" s="7"/>
      <c r="AD2211" s="7"/>
      <c r="AE2211" s="7"/>
      <c r="AF2211" s="7"/>
      <c r="AH2211" s="7"/>
      <c r="AI2211" s="7"/>
      <c r="AJ2211" s="7"/>
      <c r="AL2211" s="7"/>
      <c r="AM2211" s="7"/>
      <c r="AN2211" s="7"/>
      <c r="AP2211" s="7"/>
      <c r="AQ2211" s="7"/>
      <c r="AR2211" s="7"/>
      <c r="AS2211" s="7"/>
      <c r="AT2211" s="7"/>
      <c r="AU2211" s="7"/>
    </row>
    <row r="2212" spans="4:47" ht="13.5" x14ac:dyDescent="0.25">
      <c r="D2212" s="7"/>
      <c r="G2212" s="7"/>
      <c r="M2212" s="7"/>
      <c r="P2212" s="7"/>
      <c r="Q2212" s="7"/>
      <c r="V2212" s="7"/>
      <c r="W2212" s="7"/>
      <c r="X2212" s="7"/>
      <c r="Y2212" s="7"/>
      <c r="Z2212" s="7"/>
      <c r="AA2212" s="7"/>
      <c r="AB2212" s="7"/>
      <c r="AC2212" s="7"/>
      <c r="AD2212" s="7"/>
      <c r="AE2212" s="7"/>
      <c r="AF2212" s="7"/>
      <c r="AH2212" s="7"/>
      <c r="AI2212" s="7"/>
      <c r="AJ2212" s="7"/>
      <c r="AL2212" s="7"/>
      <c r="AM2212" s="7"/>
      <c r="AN2212" s="7"/>
      <c r="AP2212" s="7"/>
      <c r="AQ2212" s="7"/>
      <c r="AR2212" s="7"/>
      <c r="AS2212" s="7"/>
      <c r="AT2212" s="7"/>
      <c r="AU2212" s="7"/>
    </row>
    <row r="2213" spans="4:47" ht="13.5" x14ac:dyDescent="0.25">
      <c r="D2213" s="7"/>
      <c r="G2213" s="7"/>
      <c r="M2213" s="7"/>
      <c r="P2213" s="7"/>
      <c r="Q2213" s="7"/>
      <c r="V2213" s="7"/>
      <c r="W2213" s="7"/>
      <c r="X2213" s="7"/>
      <c r="Y2213" s="7"/>
      <c r="Z2213" s="7"/>
      <c r="AA2213" s="7"/>
      <c r="AB2213" s="7"/>
      <c r="AC2213" s="7"/>
      <c r="AD2213" s="7"/>
      <c r="AE2213" s="7"/>
      <c r="AF2213" s="7"/>
      <c r="AH2213" s="7"/>
      <c r="AI2213" s="7"/>
      <c r="AJ2213" s="7"/>
      <c r="AL2213" s="7"/>
      <c r="AM2213" s="7"/>
      <c r="AN2213" s="7"/>
      <c r="AP2213" s="7"/>
      <c r="AQ2213" s="7"/>
      <c r="AR2213" s="7"/>
      <c r="AS2213" s="7"/>
      <c r="AT2213" s="7"/>
      <c r="AU2213" s="7"/>
    </row>
    <row r="2214" spans="4:47" ht="13.5" x14ac:dyDescent="0.25">
      <c r="D2214" s="7"/>
      <c r="G2214" s="7"/>
      <c r="M2214" s="7"/>
      <c r="P2214" s="7"/>
      <c r="Q2214" s="7"/>
      <c r="V2214" s="7"/>
      <c r="W2214" s="7"/>
      <c r="X2214" s="7"/>
      <c r="Y2214" s="7"/>
      <c r="Z2214" s="7"/>
      <c r="AA2214" s="7"/>
      <c r="AB2214" s="7"/>
      <c r="AC2214" s="7"/>
      <c r="AD2214" s="7"/>
      <c r="AE2214" s="7"/>
      <c r="AF2214" s="7"/>
      <c r="AH2214" s="7"/>
      <c r="AI2214" s="7"/>
      <c r="AJ2214" s="7"/>
      <c r="AL2214" s="7"/>
      <c r="AM2214" s="7"/>
      <c r="AN2214" s="7"/>
      <c r="AP2214" s="7"/>
      <c r="AQ2214" s="7"/>
      <c r="AR2214" s="7"/>
      <c r="AS2214" s="7"/>
      <c r="AT2214" s="7"/>
      <c r="AU2214" s="7"/>
    </row>
    <row r="2215" spans="4:47" ht="13.5" x14ac:dyDescent="0.25">
      <c r="D2215" s="7"/>
      <c r="G2215" s="7"/>
      <c r="M2215" s="7"/>
      <c r="P2215" s="7"/>
      <c r="Q2215" s="7"/>
      <c r="V2215" s="7"/>
      <c r="W2215" s="7"/>
      <c r="X2215" s="7"/>
      <c r="Y2215" s="7"/>
      <c r="Z2215" s="7"/>
      <c r="AA2215" s="7"/>
      <c r="AB2215" s="7"/>
      <c r="AC2215" s="7"/>
      <c r="AD2215" s="7"/>
      <c r="AE2215" s="7"/>
      <c r="AF2215" s="7"/>
      <c r="AH2215" s="7"/>
      <c r="AI2215" s="7"/>
      <c r="AJ2215" s="7"/>
      <c r="AL2215" s="7"/>
      <c r="AM2215" s="7"/>
      <c r="AN2215" s="7"/>
      <c r="AP2215" s="7"/>
      <c r="AQ2215" s="7"/>
      <c r="AR2215" s="7"/>
      <c r="AS2215" s="7"/>
      <c r="AT2215" s="7"/>
      <c r="AU2215" s="7"/>
    </row>
    <row r="2216" spans="4:47" ht="13.5" x14ac:dyDescent="0.25">
      <c r="D2216" s="7"/>
      <c r="G2216" s="7"/>
      <c r="M2216" s="7"/>
      <c r="P2216" s="7"/>
      <c r="Q2216" s="7"/>
      <c r="V2216" s="7"/>
      <c r="W2216" s="7"/>
      <c r="X2216" s="7"/>
      <c r="Y2216" s="7"/>
      <c r="Z2216" s="7"/>
      <c r="AA2216" s="7"/>
      <c r="AB2216" s="7"/>
      <c r="AC2216" s="7"/>
      <c r="AD2216" s="7"/>
      <c r="AE2216" s="7"/>
      <c r="AF2216" s="7"/>
      <c r="AH2216" s="7"/>
      <c r="AI2216" s="7"/>
      <c r="AJ2216" s="7"/>
      <c r="AL2216" s="7"/>
      <c r="AM2216" s="7"/>
      <c r="AN2216" s="7"/>
      <c r="AP2216" s="7"/>
      <c r="AQ2216" s="7"/>
      <c r="AR2216" s="7"/>
      <c r="AS2216" s="7"/>
      <c r="AT2216" s="7"/>
      <c r="AU2216" s="7"/>
    </row>
    <row r="2217" spans="4:47" ht="13.5" x14ac:dyDescent="0.25">
      <c r="D2217" s="7"/>
      <c r="G2217" s="7"/>
      <c r="M2217" s="7"/>
      <c r="P2217" s="7"/>
      <c r="Q2217" s="7"/>
      <c r="V2217" s="7"/>
      <c r="W2217" s="7"/>
      <c r="X2217" s="7"/>
      <c r="Y2217" s="7"/>
      <c r="Z2217" s="7"/>
      <c r="AA2217" s="7"/>
      <c r="AB2217" s="7"/>
      <c r="AC2217" s="7"/>
      <c r="AD2217" s="7"/>
      <c r="AE2217" s="7"/>
      <c r="AF2217" s="7"/>
      <c r="AH2217" s="7"/>
      <c r="AI2217" s="7"/>
      <c r="AJ2217" s="7"/>
      <c r="AL2217" s="7"/>
      <c r="AM2217" s="7"/>
      <c r="AN2217" s="7"/>
      <c r="AP2217" s="7"/>
      <c r="AQ2217" s="7"/>
      <c r="AR2217" s="7"/>
      <c r="AS2217" s="7"/>
      <c r="AT2217" s="7"/>
      <c r="AU2217" s="7"/>
    </row>
    <row r="2218" spans="4:47" ht="13.5" x14ac:dyDescent="0.25">
      <c r="D2218" s="7"/>
      <c r="G2218" s="7"/>
      <c r="M2218" s="7"/>
      <c r="P2218" s="7"/>
      <c r="Q2218" s="7"/>
      <c r="V2218" s="7"/>
      <c r="W2218" s="7"/>
      <c r="X2218" s="7"/>
      <c r="Y2218" s="7"/>
      <c r="Z2218" s="7"/>
      <c r="AA2218" s="7"/>
      <c r="AB2218" s="7"/>
      <c r="AC2218" s="7"/>
      <c r="AD2218" s="7"/>
      <c r="AE2218" s="7"/>
      <c r="AF2218" s="7"/>
      <c r="AH2218" s="7"/>
      <c r="AI2218" s="7"/>
      <c r="AJ2218" s="7"/>
      <c r="AL2218" s="7"/>
      <c r="AM2218" s="7"/>
      <c r="AN2218" s="7"/>
      <c r="AP2218" s="7"/>
      <c r="AQ2218" s="7"/>
      <c r="AR2218" s="7"/>
      <c r="AS2218" s="7"/>
      <c r="AT2218" s="7"/>
      <c r="AU2218" s="7"/>
    </row>
    <row r="2219" spans="4:47" ht="13.5" x14ac:dyDescent="0.25">
      <c r="D2219" s="7"/>
      <c r="G2219" s="7"/>
      <c r="M2219" s="7"/>
      <c r="P2219" s="7"/>
      <c r="Q2219" s="7"/>
      <c r="V2219" s="7"/>
      <c r="W2219" s="7"/>
      <c r="X2219" s="7"/>
      <c r="Y2219" s="7"/>
      <c r="Z2219" s="7"/>
      <c r="AA2219" s="7"/>
      <c r="AB2219" s="7"/>
      <c r="AC2219" s="7"/>
      <c r="AD2219" s="7"/>
      <c r="AE2219" s="7"/>
      <c r="AF2219" s="7"/>
      <c r="AH2219" s="7"/>
      <c r="AI2219" s="7"/>
      <c r="AJ2219" s="7"/>
      <c r="AL2219" s="7"/>
      <c r="AM2219" s="7"/>
      <c r="AN2219" s="7"/>
      <c r="AP2219" s="7"/>
      <c r="AQ2219" s="7"/>
      <c r="AR2219" s="7"/>
      <c r="AS2219" s="7"/>
      <c r="AT2219" s="7"/>
      <c r="AU2219" s="7"/>
    </row>
    <row r="2220" spans="4:47" ht="13.5" x14ac:dyDescent="0.25">
      <c r="D2220" s="7"/>
      <c r="G2220" s="7"/>
      <c r="M2220" s="7"/>
      <c r="P2220" s="7"/>
      <c r="Q2220" s="7"/>
      <c r="V2220" s="7"/>
      <c r="W2220" s="7"/>
      <c r="X2220" s="7"/>
      <c r="Y2220" s="7"/>
      <c r="Z2220" s="7"/>
      <c r="AA2220" s="7"/>
      <c r="AB2220" s="7"/>
      <c r="AC2220" s="7"/>
      <c r="AD2220" s="7"/>
      <c r="AE2220" s="7"/>
      <c r="AF2220" s="7"/>
      <c r="AH2220" s="7"/>
      <c r="AI2220" s="7"/>
      <c r="AJ2220" s="7"/>
      <c r="AL2220" s="7"/>
      <c r="AM2220" s="7"/>
      <c r="AN2220" s="7"/>
      <c r="AP2220" s="7"/>
      <c r="AQ2220" s="7"/>
      <c r="AR2220" s="7"/>
      <c r="AS2220" s="7"/>
      <c r="AT2220" s="7"/>
      <c r="AU2220" s="7"/>
    </row>
    <row r="2221" spans="4:47" ht="13.5" x14ac:dyDescent="0.25">
      <c r="D2221" s="7"/>
      <c r="G2221" s="7"/>
      <c r="M2221" s="7"/>
      <c r="P2221" s="7"/>
      <c r="Q2221" s="7"/>
      <c r="V2221" s="7"/>
      <c r="W2221" s="7"/>
      <c r="X2221" s="7"/>
      <c r="Y2221" s="7"/>
      <c r="Z2221" s="7"/>
      <c r="AA2221" s="7"/>
      <c r="AB2221" s="7"/>
      <c r="AC2221" s="7"/>
      <c r="AD2221" s="7"/>
      <c r="AE2221" s="7"/>
      <c r="AF2221" s="7"/>
      <c r="AH2221" s="7"/>
      <c r="AI2221" s="7"/>
      <c r="AJ2221" s="7"/>
      <c r="AL2221" s="7"/>
      <c r="AM2221" s="7"/>
      <c r="AN2221" s="7"/>
      <c r="AP2221" s="7"/>
      <c r="AQ2221" s="7"/>
      <c r="AR2221" s="7"/>
      <c r="AS2221" s="7"/>
      <c r="AT2221" s="7"/>
      <c r="AU2221" s="7"/>
    </row>
    <row r="2222" spans="4:47" ht="13.5" x14ac:dyDescent="0.25">
      <c r="D2222" s="7"/>
      <c r="G2222" s="7"/>
      <c r="M2222" s="7"/>
      <c r="P2222" s="7"/>
      <c r="Q2222" s="7"/>
      <c r="V2222" s="7"/>
      <c r="W2222" s="7"/>
      <c r="X2222" s="7"/>
      <c r="Y2222" s="7"/>
      <c r="Z2222" s="7"/>
      <c r="AA2222" s="7"/>
      <c r="AB2222" s="7"/>
      <c r="AC2222" s="7"/>
      <c r="AD2222" s="7"/>
      <c r="AE2222" s="7"/>
      <c r="AF2222" s="7"/>
      <c r="AH2222" s="7"/>
      <c r="AI2222" s="7"/>
      <c r="AJ2222" s="7"/>
      <c r="AL2222" s="7"/>
      <c r="AM2222" s="7"/>
      <c r="AN2222" s="7"/>
      <c r="AP2222" s="7"/>
      <c r="AQ2222" s="7"/>
      <c r="AR2222" s="7"/>
      <c r="AS2222" s="7"/>
      <c r="AT2222" s="7"/>
      <c r="AU2222" s="7"/>
    </row>
    <row r="2223" spans="4:47" ht="13.5" x14ac:dyDescent="0.25">
      <c r="D2223" s="7"/>
      <c r="G2223" s="7"/>
      <c r="M2223" s="7"/>
      <c r="P2223" s="7"/>
      <c r="Q2223" s="7"/>
      <c r="V2223" s="7"/>
      <c r="W2223" s="7"/>
      <c r="X2223" s="7"/>
      <c r="Y2223" s="7"/>
      <c r="Z2223" s="7"/>
      <c r="AA2223" s="7"/>
      <c r="AB2223" s="7"/>
      <c r="AC2223" s="7"/>
      <c r="AD2223" s="7"/>
      <c r="AE2223" s="7"/>
      <c r="AF2223" s="7"/>
      <c r="AH2223" s="7"/>
      <c r="AI2223" s="7"/>
      <c r="AJ2223" s="7"/>
      <c r="AL2223" s="7"/>
      <c r="AM2223" s="7"/>
      <c r="AN2223" s="7"/>
      <c r="AP2223" s="7"/>
      <c r="AQ2223" s="7"/>
      <c r="AR2223" s="7"/>
      <c r="AS2223" s="7"/>
      <c r="AT2223" s="7"/>
      <c r="AU2223" s="7"/>
    </row>
    <row r="2224" spans="4:47" ht="13.5" x14ac:dyDescent="0.25">
      <c r="D2224" s="7"/>
      <c r="G2224" s="7"/>
      <c r="M2224" s="7"/>
      <c r="P2224" s="7"/>
      <c r="Q2224" s="7"/>
      <c r="V2224" s="7"/>
      <c r="W2224" s="7"/>
      <c r="X2224" s="7"/>
      <c r="Y2224" s="7"/>
      <c r="Z2224" s="7"/>
      <c r="AA2224" s="7"/>
      <c r="AB2224" s="7"/>
      <c r="AC2224" s="7"/>
      <c r="AD2224" s="7"/>
      <c r="AE2224" s="7"/>
      <c r="AF2224" s="7"/>
      <c r="AH2224" s="7"/>
      <c r="AI2224" s="7"/>
      <c r="AJ2224" s="7"/>
      <c r="AL2224" s="7"/>
      <c r="AM2224" s="7"/>
      <c r="AN2224" s="7"/>
      <c r="AP2224" s="7"/>
      <c r="AQ2224" s="7"/>
      <c r="AR2224" s="7"/>
      <c r="AS2224" s="7"/>
      <c r="AT2224" s="7"/>
      <c r="AU2224" s="7"/>
    </row>
  </sheetData>
  <sheetProtection formatCells="0" formatColumns="0" formatRows="0" insertColumns="0" insertHyperlinks="0" deleteColumns="0" deleteRows="0" sort="0" autoFilter="0" pivotTables="0"/>
  <dataConsolidate/>
  <mergeCells count="60">
    <mergeCell ref="T866:Z866"/>
    <mergeCell ref="T867:Y867"/>
    <mergeCell ref="T868:Y868"/>
    <mergeCell ref="T869:Y869"/>
    <mergeCell ref="G863:H863"/>
    <mergeCell ref="I863:J863"/>
    <mergeCell ref="K863:L863"/>
    <mergeCell ref="M863:N863"/>
    <mergeCell ref="G865:I869"/>
    <mergeCell ref="J865:L865"/>
    <mergeCell ref="J866:L866"/>
    <mergeCell ref="J867:L867"/>
    <mergeCell ref="J868:L868"/>
    <mergeCell ref="J869:L869"/>
    <mergeCell ref="K861:L861"/>
    <mergeCell ref="M861:N861"/>
    <mergeCell ref="G862:H862"/>
    <mergeCell ref="I862:J862"/>
    <mergeCell ref="K862:L862"/>
    <mergeCell ref="M862:N862"/>
    <mergeCell ref="G861:H861"/>
    <mergeCell ref="I861:J861"/>
    <mergeCell ref="J857:K857"/>
    <mergeCell ref="M857:N857"/>
    <mergeCell ref="G858:N858"/>
    <mergeCell ref="G859:H860"/>
    <mergeCell ref="I859:J860"/>
    <mergeCell ref="K859:L860"/>
    <mergeCell ref="M859:N860"/>
    <mergeCell ref="A4:I4"/>
    <mergeCell ref="A5:I5"/>
    <mergeCell ref="A6:I6"/>
    <mergeCell ref="A1:O1"/>
    <mergeCell ref="P1:R1"/>
    <mergeCell ref="A2:O2"/>
    <mergeCell ref="P2:R2"/>
    <mergeCell ref="P3:R3"/>
    <mergeCell ref="T8:T9"/>
    <mergeCell ref="B828:L831"/>
    <mergeCell ref="C7:C9"/>
    <mergeCell ref="A7:B8"/>
    <mergeCell ref="K8:K9"/>
    <mergeCell ref="L8:L9"/>
    <mergeCell ref="J8:J9"/>
    <mergeCell ref="I8:I9"/>
    <mergeCell ref="H8:H9"/>
    <mergeCell ref="G7:G9"/>
    <mergeCell ref="D7:D9"/>
    <mergeCell ref="E7:E9"/>
    <mergeCell ref="F7:F9"/>
    <mergeCell ref="N8:N9"/>
    <mergeCell ref="P8:Q8"/>
    <mergeCell ref="R8:S8"/>
    <mergeCell ref="AQ3:AR3"/>
    <mergeCell ref="AO4:AR7"/>
    <mergeCell ref="AO8:AO9"/>
    <mergeCell ref="AP8:AP9"/>
    <mergeCell ref="V8:V9"/>
    <mergeCell ref="AM8:AN8"/>
    <mergeCell ref="Z8:Z9"/>
  </mergeCells>
  <phoneticPr fontId="44" type="noConversion"/>
  <conditionalFormatting sqref="B11:B147 B149:B169 B171:B203 B205:B226 B228:B372 B374:B385 B387:B418 B420:B441 B443:B475 B477:B622 B624:B644 B646:B666 B668:B690 B692:B700 B702:B722 B724:B825">
    <cfRule type="expression" dxfId="92" priority="6625">
      <formula>AND(LEFT(B11,3)="DN-", LEFT(B10,3)="DN-", VALUE(RIGHT(B11,6))&lt;&gt;VALUE(RIGHT(B10,6))+1)</formula>
    </cfRule>
    <cfRule type="duplicateValues" dxfId="91" priority="6626"/>
  </conditionalFormatting>
  <conditionalFormatting sqref="B148">
    <cfRule type="expression" dxfId="90" priority="6391">
      <formula>AND(LEFT(B148,3)="DN-", LEFT(B146,3)="DN-", VALUE(RIGHT(B148,6))&lt;&gt;VALUE(RIGHT(B146,6))+1)</formula>
    </cfRule>
    <cfRule type="duplicateValues" dxfId="89" priority="6392"/>
  </conditionalFormatting>
  <conditionalFormatting sqref="B170">
    <cfRule type="expression" dxfId="88" priority="6397">
      <formula>AND(LEFT(B170,3)="DN-", LEFT(B168,3)="DN-", VALUE(RIGHT(B170,6))&lt;&gt;VALUE(RIGHT(B168,6))+1)</formula>
    </cfRule>
    <cfRule type="duplicateValues" dxfId="87" priority="6398"/>
  </conditionalFormatting>
  <conditionalFormatting sqref="B204">
    <cfRule type="expression" dxfId="86" priority="6405">
      <formula>AND(LEFT(B204,3)="DN-", LEFT(B202,3)="DN-", VALUE(RIGHT(B204,6))&lt;&gt;VALUE(RIGHT(B202,6))+1)</formula>
    </cfRule>
    <cfRule type="duplicateValues" dxfId="85" priority="6406"/>
  </conditionalFormatting>
  <conditionalFormatting sqref="B227">
    <cfRule type="expression" dxfId="84" priority="6415">
      <formula>AND(LEFT(B227,3)="DN-", LEFT(B225,3)="DN-", VALUE(RIGHT(B227,6))&lt;&gt;VALUE(RIGHT(B225,6))+1)</formula>
    </cfRule>
    <cfRule type="duplicateValues" dxfId="83" priority="6416"/>
  </conditionalFormatting>
  <conditionalFormatting sqref="B373">
    <cfRule type="expression" dxfId="82" priority="6427">
      <formula>AND(LEFT(B373,3)="DN-", LEFT(B371,3)="DN-", VALUE(RIGHT(B373,6))&lt;&gt;VALUE(RIGHT(B371,6))+1)</formula>
    </cfRule>
    <cfRule type="duplicateValues" dxfId="81" priority="6428"/>
  </conditionalFormatting>
  <conditionalFormatting sqref="B386">
    <cfRule type="expression" dxfId="80" priority="6441">
      <formula>AND(LEFT(B386,3)="DN-", LEFT(B384,3)="DN-", VALUE(RIGHT(B386,6))&lt;&gt;VALUE(RIGHT(B384,6))+1)</formula>
    </cfRule>
    <cfRule type="duplicateValues" dxfId="79" priority="6442"/>
  </conditionalFormatting>
  <conditionalFormatting sqref="B419">
    <cfRule type="expression" dxfId="78" priority="6457">
      <formula>AND(LEFT(B419,3)="DN-", LEFT(B417,3)="DN-", VALUE(RIGHT(B419,6))&lt;&gt;VALUE(RIGHT(B417,6))+1)</formula>
    </cfRule>
    <cfRule type="duplicateValues" dxfId="77" priority="6458"/>
  </conditionalFormatting>
  <conditionalFormatting sqref="B442">
    <cfRule type="duplicateValues" dxfId="76" priority="6476"/>
    <cfRule type="expression" dxfId="75" priority="6475">
      <formula>AND(LEFT(B442,3)="DN-", LEFT(B440,3)="DN-", VALUE(RIGHT(B442,6))&lt;&gt;VALUE(RIGHT(B440,6))+1)</formula>
    </cfRule>
  </conditionalFormatting>
  <conditionalFormatting sqref="B476">
    <cfRule type="duplicateValues" dxfId="74" priority="6496"/>
    <cfRule type="expression" dxfId="73" priority="6495">
      <formula>AND(LEFT(B476,3)="DN-", LEFT(B474,3)="DN-", VALUE(RIGHT(B476,6))&lt;&gt;VALUE(RIGHT(B474,6))+1)</formula>
    </cfRule>
  </conditionalFormatting>
  <conditionalFormatting sqref="B623">
    <cfRule type="duplicateValues" dxfId="72" priority="6518"/>
    <cfRule type="expression" dxfId="71" priority="6517">
      <formula>AND(LEFT(B623,3)="DN-", LEFT(B621,3)="DN-", VALUE(RIGHT(B623,6))&lt;&gt;VALUE(RIGHT(B621,6))+1)</formula>
    </cfRule>
  </conditionalFormatting>
  <conditionalFormatting sqref="B645">
    <cfRule type="expression" dxfId="70" priority="6541">
      <formula>AND(LEFT(B645,3)="DN-", LEFT(B643,3)="DN-", VALUE(RIGHT(B645,6))&lt;&gt;VALUE(RIGHT(B643,6))+1)</formula>
    </cfRule>
    <cfRule type="duplicateValues" dxfId="69" priority="6542"/>
  </conditionalFormatting>
  <conditionalFormatting sqref="B667">
    <cfRule type="expression" dxfId="68" priority="6567">
      <formula>AND(LEFT(B667,3)="DN-", LEFT(B665,3)="DN-", VALUE(RIGHT(B667,6))&lt;&gt;VALUE(RIGHT(B665,6))+1)</formula>
    </cfRule>
    <cfRule type="duplicateValues" dxfId="67" priority="6568"/>
  </conditionalFormatting>
  <conditionalFormatting sqref="B691">
    <cfRule type="expression" dxfId="66" priority="6623">
      <formula>AND(LEFT(B691,3)="DN-", LEFT(B689,3)="DN-", VALUE(RIGHT(B691,6))&lt;&gt;VALUE(RIGHT(B689,6))+1)</formula>
    </cfRule>
    <cfRule type="duplicateValues" dxfId="65" priority="6624"/>
  </conditionalFormatting>
  <conditionalFormatting sqref="B701">
    <cfRule type="expression" dxfId="64" priority="6595">
      <formula>AND(LEFT(B701,3)="DN-", LEFT(B699,3)="DN-", VALUE(RIGHT(B701,6))&lt;&gt;VALUE(RIGHT(B699,6))+1)</formula>
    </cfRule>
    <cfRule type="duplicateValues" dxfId="63" priority="6596"/>
  </conditionalFormatting>
  <conditionalFormatting sqref="B723">
    <cfRule type="duplicateValues" dxfId="62" priority="6656"/>
    <cfRule type="expression" dxfId="61" priority="6655">
      <formula>AND(LEFT(B723,3)="DN-", LEFT(B721,3)="DN-", VALUE(RIGHT(B723,6))&lt;&gt;VALUE(RIGHT(B721,6))+1)</formula>
    </cfRule>
  </conditionalFormatting>
  <conditionalFormatting sqref="B11:AR825">
    <cfRule type="expression" dxfId="60" priority="33">
      <formula>LEFT($B11,2)="CA"</formula>
    </cfRule>
    <cfRule type="expression" dxfId="59" priority="6361">
      <formula>LEFT($B11,2)="PR"</formula>
    </cfRule>
  </conditionalFormatting>
  <conditionalFormatting sqref="M868">
    <cfRule type="cellIs" dxfId="58" priority="6074" operator="equal">
      <formula>0</formula>
    </cfRule>
  </conditionalFormatting>
  <conditionalFormatting sqref="M869">
    <cfRule type="cellIs" dxfId="57" priority="6076" operator="equal">
      <formula>0</formula>
    </cfRule>
  </conditionalFormatting>
  <conditionalFormatting sqref="AM11:AM825">
    <cfRule type="expression" dxfId="56" priority="10">
      <formula>"&gt;105.04"</formula>
    </cfRule>
    <cfRule type="expression" dxfId="55" priority="7">
      <formula>AND($AK11&lt;&gt;"-",$AM11&lt;&gt;"",LEFT($AK11,3)&lt;&gt;"Pto",$AM11&gt;105.05)</formula>
    </cfRule>
  </conditionalFormatting>
  <conditionalFormatting sqref="AQ11:AQ825">
    <cfRule type="duplicateValues" dxfId="54" priority="6388"/>
  </conditionalFormatting>
  <conditionalFormatting sqref="AS11:AV825">
    <cfRule type="expression" dxfId="53" priority="1">
      <formula>_xlfn.ISFORMULA(AS11)=FALSE</formula>
    </cfRule>
  </conditionalFormatting>
  <printOptions horizontalCentered="1"/>
  <pageMargins left="0" right="0" top="0.59055118110236227" bottom="0.39370078740157483" header="0" footer="0"/>
  <pageSetup paperSize="8" scale="43" fitToHeight="11" orientation="landscape" r:id="rId1"/>
  <headerFooter alignWithMargins="0">
    <oddHeader>&amp;R&amp;7&amp;P/&amp;N</oddHeader>
    <oddFooter>&amp;L&amp;7&amp;Z&amp;F
&amp;A&amp;R&amp;7Impreso el:   &amp;D  &amp;T</oddFooter>
  </headerFooter>
  <drawing r:id="rId2"/>
  <legacyDrawing r:id="rId3"/>
  <tableParts count="1">
    <tablePart r:id="rId4"/>
  </tableParts>
  <extLst>
    <ext xmlns:x15="http://schemas.microsoft.com/office/spreadsheetml/2010/11/main" uri="{3A4CF648-6AED-40f4-86FF-DC5316D8AED3}">
      <x14:slicerList xmlns:x14="http://schemas.microsoft.com/office/spreadsheetml/2009/9/main">
        <x14:slicer r:id="rId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A57BF-2448-4ED3-B3BD-F3CE84D0A904}">
  <sheetPr codeName="Sheet1">
    <pageSetUpPr fitToPage="1"/>
  </sheetPr>
  <dimension ref="A1:BB1503"/>
  <sheetViews>
    <sheetView showGridLines="0" topLeftCell="A11" zoomScale="85" zoomScaleNormal="85" zoomScaleSheetLayoutView="70" zoomScalePageLayoutView="10" workbookViewId="0">
      <selection activeCell="Y42" sqref="Y42"/>
    </sheetView>
  </sheetViews>
  <sheetFormatPr baseColWidth="10" defaultColWidth="11.42578125" defaultRowHeight="13.5" x14ac:dyDescent="0.25"/>
  <cols>
    <col min="1" max="1" width="2.7109375" style="373" customWidth="1"/>
    <col min="2" max="2" width="3.42578125" style="373" customWidth="1"/>
    <col min="3" max="5" width="8" style="373" customWidth="1"/>
    <col min="6" max="6" width="7.140625" style="373" customWidth="1"/>
    <col min="7" max="10" width="11.140625" style="373" customWidth="1"/>
    <col min="11" max="27" width="8" style="373" customWidth="1"/>
    <col min="28" max="29" width="4.28515625" style="373" customWidth="1"/>
    <col min="30" max="30" width="1.42578125" style="373" customWidth="1"/>
    <col min="31" max="31" width="8" style="373" hidden="1" customWidth="1"/>
    <col min="32" max="32" width="4" style="373" customWidth="1"/>
    <col min="33" max="38" width="11.42578125" style="373"/>
    <col min="39" max="39" width="3.42578125" style="373" customWidth="1"/>
    <col min="40" max="47" width="11.42578125" style="373"/>
    <col min="48" max="48" width="3.5703125" style="373" customWidth="1"/>
    <col min="49" max="16384" width="11.42578125" style="373"/>
  </cols>
  <sheetData>
    <row r="1" spans="1:54" ht="20.25" customHeight="1" x14ac:dyDescent="0.3">
      <c r="A1" s="369"/>
      <c r="B1" s="628"/>
      <c r="C1" s="628"/>
      <c r="D1" s="628"/>
      <c r="E1" s="628"/>
      <c r="F1" s="628"/>
      <c r="G1" s="628"/>
      <c r="H1" s="628"/>
      <c r="I1" s="628"/>
      <c r="J1" s="628"/>
      <c r="K1" s="628"/>
      <c r="L1" s="628"/>
      <c r="M1" s="628"/>
      <c r="N1" s="628"/>
      <c r="O1" s="628"/>
      <c r="P1" s="628"/>
      <c r="Q1" s="628"/>
      <c r="R1" s="628"/>
      <c r="S1" s="628"/>
      <c r="T1" s="628"/>
      <c r="U1" s="628"/>
      <c r="V1" s="628"/>
      <c r="W1" s="628"/>
      <c r="X1" s="628"/>
      <c r="Y1" s="628"/>
      <c r="Z1" s="628"/>
      <c r="AA1" s="628"/>
      <c r="AB1" s="370" t="s">
        <v>926</v>
      </c>
      <c r="AC1" s="371"/>
      <c r="AD1" s="372"/>
      <c r="AE1" s="372"/>
      <c r="AF1" s="372"/>
      <c r="AG1" s="372"/>
      <c r="AH1" s="372"/>
      <c r="AI1" s="372"/>
      <c r="AJ1" s="567" t="s">
        <v>927</v>
      </c>
      <c r="AK1" s="567"/>
      <c r="AL1" s="567"/>
      <c r="AN1" s="374"/>
      <c r="AO1" s="568" t="s">
        <v>928</v>
      </c>
      <c r="AP1" s="569"/>
      <c r="AQ1" s="570"/>
      <c r="AR1" s="374"/>
      <c r="AS1" s="568" t="s">
        <v>929</v>
      </c>
      <c r="AT1" s="569"/>
      <c r="AU1" s="570"/>
      <c r="AV1" s="374"/>
      <c r="AW1" s="559" t="s">
        <v>930</v>
      </c>
      <c r="AX1" s="560"/>
      <c r="AY1" s="561"/>
      <c r="AZ1" s="559" t="s">
        <v>931</v>
      </c>
      <c r="BA1" s="560"/>
      <c r="BB1" s="561"/>
    </row>
    <row r="2" spans="1:54" ht="9" customHeight="1" x14ac:dyDescent="0.3">
      <c r="A2" s="375"/>
      <c r="B2" s="628"/>
      <c r="C2" s="597"/>
      <c r="D2" s="597"/>
      <c r="E2" s="597"/>
      <c r="F2" s="597"/>
      <c r="G2" s="597"/>
      <c r="H2" s="597"/>
      <c r="I2" s="597"/>
      <c r="J2" s="597"/>
      <c r="K2" s="597"/>
      <c r="L2" s="597"/>
      <c r="M2" s="597"/>
      <c r="N2" s="597"/>
      <c r="O2" s="597"/>
      <c r="P2" s="597"/>
      <c r="Q2" s="597"/>
      <c r="R2" s="597"/>
      <c r="S2" s="597"/>
      <c r="T2" s="597"/>
      <c r="U2" s="597"/>
      <c r="V2" s="597"/>
      <c r="W2" s="597"/>
      <c r="X2" s="597"/>
      <c r="Y2" s="597"/>
      <c r="Z2" s="597"/>
      <c r="AA2" s="597"/>
      <c r="AB2" s="376"/>
      <c r="AC2" s="371"/>
      <c r="AD2" s="372"/>
      <c r="AE2" s="372"/>
      <c r="AF2" s="372"/>
      <c r="AG2" s="372"/>
      <c r="AH2" s="372"/>
      <c r="AI2" s="372"/>
      <c r="AJ2" s="377">
        <v>2158.2199999999998</v>
      </c>
      <c r="AK2" s="377">
        <v>-148.11000000000001</v>
      </c>
      <c r="AL2" s="378">
        <v>2622.2611000000002</v>
      </c>
      <c r="AN2" s="610" t="s">
        <v>932</v>
      </c>
      <c r="AO2" s="377">
        <v>600</v>
      </c>
      <c r="AP2" s="377">
        <v>42.91</v>
      </c>
      <c r="AQ2" s="377">
        <v>602</v>
      </c>
      <c r="AR2" s="571" t="s">
        <v>932</v>
      </c>
      <c r="AS2" s="377">
        <v>280</v>
      </c>
      <c r="AT2" s="377">
        <v>35.43</v>
      </c>
      <c r="AU2" s="377">
        <v>263</v>
      </c>
      <c r="AV2" s="374"/>
      <c r="AW2" s="379" t="s">
        <v>933</v>
      </c>
      <c r="AX2" s="380">
        <v>3.68</v>
      </c>
      <c r="AY2" s="380">
        <v>-11.37</v>
      </c>
      <c r="AZ2" s="373">
        <v>1523.8</v>
      </c>
      <c r="BA2" s="373">
        <v>540.03</v>
      </c>
      <c r="BB2" s="373">
        <v>2483.3290000000002</v>
      </c>
    </row>
    <row r="3" spans="1:54" ht="21.95" customHeight="1" x14ac:dyDescent="0.3">
      <c r="A3" s="375"/>
      <c r="B3" s="628"/>
      <c r="C3" s="376"/>
      <c r="D3" s="376"/>
      <c r="E3" s="376"/>
      <c r="F3" s="376"/>
      <c r="G3" s="629" t="s">
        <v>934</v>
      </c>
      <c r="H3" s="629"/>
      <c r="I3" s="629"/>
      <c r="J3" s="409"/>
      <c r="K3" s="409"/>
      <c r="L3" s="629" t="s">
        <v>935</v>
      </c>
      <c r="M3" s="629"/>
      <c r="N3" s="629"/>
      <c r="O3" s="409"/>
      <c r="P3" s="409"/>
      <c r="Q3" s="629" t="s">
        <v>936</v>
      </c>
      <c r="R3" s="629"/>
      <c r="S3" s="629"/>
      <c r="T3" s="409"/>
      <c r="U3" s="409"/>
      <c r="V3" s="629" t="s">
        <v>937</v>
      </c>
      <c r="W3" s="629"/>
      <c r="X3" s="629"/>
      <c r="Y3" s="376"/>
      <c r="Z3" s="376"/>
      <c r="AA3" s="376"/>
      <c r="AB3" s="376"/>
      <c r="AC3" s="371"/>
      <c r="AD3" s="372"/>
      <c r="AE3" s="372"/>
      <c r="AF3" s="372"/>
      <c r="AG3" s="372"/>
      <c r="AH3" s="372"/>
      <c r="AI3" s="372"/>
      <c r="AJ3" s="377">
        <v>2156.13</v>
      </c>
      <c r="AK3" s="377">
        <v>-144.1</v>
      </c>
      <c r="AL3" s="378">
        <v>2621.3350999999998</v>
      </c>
      <c r="AN3" s="611"/>
      <c r="AO3" s="377">
        <v>600</v>
      </c>
      <c r="AP3" s="377">
        <v>540.22</v>
      </c>
      <c r="AQ3" s="374"/>
      <c r="AR3" s="571"/>
      <c r="AS3" s="377">
        <v>280</v>
      </c>
      <c r="AT3" s="377">
        <v>340.96</v>
      </c>
      <c r="AU3" s="374"/>
      <c r="AV3" s="374"/>
      <c r="AW3" s="374"/>
      <c r="AX3" s="380">
        <v>19.07</v>
      </c>
      <c r="AY3" s="380">
        <v>19.850000000000001</v>
      </c>
      <c r="AZ3" s="373">
        <v>1521.25</v>
      </c>
      <c r="BA3" s="373">
        <v>543.6</v>
      </c>
      <c r="BB3" s="373">
        <v>2482.4409999999998</v>
      </c>
    </row>
    <row r="4" spans="1:54" ht="15" customHeight="1" x14ac:dyDescent="0.3">
      <c r="A4" s="381"/>
      <c r="B4" s="628"/>
      <c r="C4" s="376"/>
      <c r="D4" s="376"/>
      <c r="E4" s="376"/>
      <c r="F4" s="376"/>
      <c r="G4" s="629"/>
      <c r="H4" s="629"/>
      <c r="I4" s="629"/>
      <c r="J4" s="410"/>
      <c r="K4" s="410"/>
      <c r="L4" s="629"/>
      <c r="M4" s="629"/>
      <c r="N4" s="629"/>
      <c r="O4" s="410"/>
      <c r="P4" s="410"/>
      <c r="Q4" s="629"/>
      <c r="R4" s="629"/>
      <c r="S4" s="629"/>
      <c r="T4" s="410"/>
      <c r="U4" s="410"/>
      <c r="V4" s="629"/>
      <c r="W4" s="629"/>
      <c r="X4" s="629"/>
      <c r="Y4" s="376"/>
      <c r="Z4" s="376"/>
      <c r="AA4" s="376"/>
      <c r="AB4" s="376"/>
      <c r="AC4" s="371"/>
      <c r="AD4" s="372"/>
      <c r="AE4" s="372"/>
      <c r="AF4" s="372"/>
      <c r="AG4" s="372"/>
      <c r="AH4" s="372"/>
      <c r="AI4" s="372"/>
      <c r="AJ4" s="377">
        <v>2153.64</v>
      </c>
      <c r="AK4" s="377">
        <v>-137.4</v>
      </c>
      <c r="AL4" s="378">
        <v>2617.5369999999998</v>
      </c>
      <c r="AN4" s="571" t="s">
        <v>938</v>
      </c>
      <c r="AO4" s="377">
        <v>1120</v>
      </c>
      <c r="AP4" s="377">
        <v>-32.33</v>
      </c>
      <c r="AQ4" s="377">
        <v>1112</v>
      </c>
      <c r="AR4" s="571"/>
      <c r="AS4" s="377">
        <v>450</v>
      </c>
      <c r="AT4" s="377">
        <v>39.42</v>
      </c>
      <c r="AU4" s="377">
        <v>444</v>
      </c>
      <c r="AV4" s="374"/>
      <c r="AW4" s="374"/>
      <c r="AX4" s="380">
        <v>41.82</v>
      </c>
      <c r="AY4" s="380">
        <v>28.33</v>
      </c>
      <c r="AZ4" s="373">
        <v>1519.23</v>
      </c>
      <c r="BA4" s="373">
        <v>547.21</v>
      </c>
      <c r="BB4" s="373">
        <v>2480.9009999999998</v>
      </c>
    </row>
    <row r="5" spans="1:54" ht="15" customHeight="1" x14ac:dyDescent="0.3">
      <c r="A5" s="381"/>
      <c r="B5" s="628"/>
      <c r="C5" s="376"/>
      <c r="D5" s="376"/>
      <c r="E5" s="376"/>
      <c r="F5" s="376"/>
      <c r="G5" s="376"/>
      <c r="H5" s="376"/>
      <c r="I5" s="376"/>
      <c r="J5" s="376"/>
      <c r="K5" s="376"/>
      <c r="L5" s="376"/>
      <c r="M5" s="376"/>
      <c r="N5" s="376"/>
      <c r="O5" s="376"/>
      <c r="P5" s="376"/>
      <c r="Q5" s="376"/>
      <c r="R5" s="376"/>
      <c r="S5" s="376"/>
      <c r="T5" s="376"/>
      <c r="U5" s="376"/>
      <c r="V5" s="376"/>
      <c r="W5" s="376"/>
      <c r="X5" s="376"/>
      <c r="Y5" s="376"/>
      <c r="Z5" s="376"/>
      <c r="AA5" s="376"/>
      <c r="AB5" s="376"/>
      <c r="AC5" s="371"/>
      <c r="AD5" s="372"/>
      <c r="AE5" s="372"/>
      <c r="AF5" s="372"/>
      <c r="AG5" s="372"/>
      <c r="AH5" s="372"/>
      <c r="AI5" s="372"/>
      <c r="AJ5" s="377">
        <v>2150.86</v>
      </c>
      <c r="AK5" s="377">
        <v>-127.17</v>
      </c>
      <c r="AL5" s="378">
        <v>2615.5032999999999</v>
      </c>
      <c r="AN5" s="571"/>
      <c r="AO5" s="377">
        <v>1120</v>
      </c>
      <c r="AP5" s="377">
        <v>833.77</v>
      </c>
      <c r="AQ5" s="374"/>
      <c r="AR5" s="571"/>
      <c r="AS5" s="377">
        <v>450</v>
      </c>
      <c r="AT5" s="377">
        <v>461.69</v>
      </c>
      <c r="AU5" s="377"/>
      <c r="AV5" s="374"/>
      <c r="AW5" s="374"/>
      <c r="AX5" s="380">
        <v>64.569999999999993</v>
      </c>
      <c r="AY5" s="380">
        <v>36.81</v>
      </c>
      <c r="AZ5" s="373">
        <v>1518.16</v>
      </c>
      <c r="BA5" s="373">
        <v>550.11</v>
      </c>
      <c r="BB5" s="373">
        <v>2479.6260000000002</v>
      </c>
    </row>
    <row r="6" spans="1:54" ht="15" customHeight="1" thickBot="1" x14ac:dyDescent="0.35">
      <c r="A6" s="381"/>
      <c r="B6" s="628"/>
      <c r="C6" s="376"/>
      <c r="D6" s="376"/>
      <c r="E6" s="376"/>
      <c r="F6" s="376"/>
      <c r="G6" s="376"/>
      <c r="H6" s="376"/>
      <c r="I6" s="376"/>
      <c r="J6" s="376"/>
      <c r="K6" s="376"/>
      <c r="L6" s="376"/>
      <c r="M6" s="376"/>
      <c r="N6" s="376"/>
      <c r="O6" s="376"/>
      <c r="P6" s="376"/>
      <c r="Q6" s="376"/>
      <c r="R6" s="376"/>
      <c r="S6" s="376"/>
      <c r="T6" s="376"/>
      <c r="U6" s="376"/>
      <c r="V6" s="376"/>
      <c r="W6" s="376"/>
      <c r="X6" s="376"/>
      <c r="Y6" s="376"/>
      <c r="Z6" s="376"/>
      <c r="AA6" s="376"/>
      <c r="AB6" s="376"/>
      <c r="AC6" s="382"/>
      <c r="AD6" s="372"/>
      <c r="AE6" s="372"/>
      <c r="AF6" s="372"/>
      <c r="AG6" s="372"/>
      <c r="AH6" s="372"/>
      <c r="AI6" s="372"/>
      <c r="AJ6" s="377">
        <v>2148.1999999999998</v>
      </c>
      <c r="AK6" s="377">
        <v>-117.2</v>
      </c>
      <c r="AL6" s="378">
        <v>2614.1729999999998</v>
      </c>
      <c r="AN6" s="571" t="s">
        <v>939</v>
      </c>
      <c r="AO6" s="377">
        <v>1640</v>
      </c>
      <c r="AP6" s="377">
        <v>-29.33</v>
      </c>
      <c r="AQ6" s="377">
        <v>1642</v>
      </c>
      <c r="AR6" s="571" t="s">
        <v>938</v>
      </c>
      <c r="AS6" s="377">
        <v>780</v>
      </c>
      <c r="AT6" s="377">
        <v>-18</v>
      </c>
      <c r="AU6" s="377">
        <v>840</v>
      </c>
      <c r="AV6" s="374"/>
      <c r="AW6" s="374"/>
      <c r="AX6" s="380">
        <v>87.32</v>
      </c>
      <c r="AY6" s="380">
        <v>45.29</v>
      </c>
      <c r="AZ6" s="373">
        <v>1517.41</v>
      </c>
      <c r="BA6" s="373">
        <v>554.98</v>
      </c>
      <c r="BB6" s="373">
        <v>2477.547</v>
      </c>
    </row>
    <row r="7" spans="1:54" ht="15" customHeight="1" thickBot="1" x14ac:dyDescent="0.35">
      <c r="A7" s="381"/>
      <c r="B7" s="628"/>
      <c r="C7" s="632" t="s">
        <v>940</v>
      </c>
      <c r="D7" s="633"/>
      <c r="E7" s="376"/>
      <c r="F7" s="376"/>
      <c r="G7" s="376"/>
      <c r="H7" s="376"/>
      <c r="I7" s="376"/>
      <c r="J7" s="376"/>
      <c r="K7" s="376"/>
      <c r="L7" s="376"/>
      <c r="M7" s="376"/>
      <c r="N7" s="376"/>
      <c r="O7" s="376"/>
      <c r="P7" s="376"/>
      <c r="Q7" s="376"/>
      <c r="R7" s="376"/>
      <c r="S7" s="376"/>
      <c r="T7" s="376"/>
      <c r="U7" s="376"/>
      <c r="V7" s="376"/>
      <c r="W7" s="376"/>
      <c r="X7" s="376"/>
      <c r="Y7" s="376"/>
      <c r="Z7" s="376"/>
      <c r="AA7" s="376"/>
      <c r="AB7" s="376"/>
      <c r="AC7" s="383"/>
      <c r="AD7" s="372"/>
      <c r="AE7" s="372"/>
      <c r="AF7" s="372"/>
      <c r="AG7" s="372"/>
      <c r="AH7" s="372"/>
      <c r="AI7" s="372"/>
      <c r="AJ7" s="377">
        <v>2143.61</v>
      </c>
      <c r="AK7" s="377">
        <v>-108.66</v>
      </c>
      <c r="AL7" s="378">
        <v>2612.1750000000002</v>
      </c>
      <c r="AN7" s="571"/>
      <c r="AO7" s="377">
        <v>1640</v>
      </c>
      <c r="AP7" s="377">
        <v>424.19</v>
      </c>
      <c r="AQ7" s="374"/>
      <c r="AR7" s="571"/>
      <c r="AS7" s="377">
        <v>780</v>
      </c>
      <c r="AT7" s="377">
        <v>620</v>
      </c>
      <c r="AU7" s="377"/>
      <c r="AV7" s="374"/>
      <c r="AW7" s="374"/>
      <c r="AX7" s="380">
        <v>110.08</v>
      </c>
      <c r="AY7" s="380">
        <v>53.77</v>
      </c>
      <c r="AZ7" s="373">
        <v>1516.76</v>
      </c>
      <c r="BA7" s="373">
        <v>558.77</v>
      </c>
      <c r="BB7" s="373">
        <v>2476.0349999999999</v>
      </c>
    </row>
    <row r="8" spans="1:54" ht="15" customHeight="1" thickBot="1" x14ac:dyDescent="0.35">
      <c r="A8" s="384"/>
      <c r="B8" s="628"/>
      <c r="C8" s="632"/>
      <c r="D8" s="633"/>
      <c r="E8" s="376"/>
      <c r="F8" s="376"/>
      <c r="G8" s="376"/>
      <c r="H8" s="376"/>
      <c r="I8" s="376"/>
      <c r="J8" s="376"/>
      <c r="K8" s="376"/>
      <c r="L8" s="376"/>
      <c r="M8" s="376"/>
      <c r="N8" s="376"/>
      <c r="O8" s="376"/>
      <c r="P8" s="376"/>
      <c r="Q8" s="376"/>
      <c r="R8" s="376"/>
      <c r="S8" s="376"/>
      <c r="T8" s="376"/>
      <c r="U8" s="376"/>
      <c r="V8" s="376"/>
      <c r="W8" s="376"/>
      <c r="X8" s="376"/>
      <c r="Y8" s="376"/>
      <c r="Z8" s="376"/>
      <c r="AA8" s="376"/>
      <c r="AB8" s="376"/>
      <c r="AC8" s="385"/>
      <c r="AD8" s="372"/>
      <c r="AE8" s="372"/>
      <c r="AF8" s="372"/>
      <c r="AG8" s="372"/>
      <c r="AH8" s="372"/>
      <c r="AI8" s="372"/>
      <c r="AJ8" s="377">
        <v>2141.06</v>
      </c>
      <c r="AK8" s="377">
        <v>-104.58</v>
      </c>
      <c r="AL8" s="378">
        <v>2611.0857000000001</v>
      </c>
      <c r="AN8" s="571" t="s">
        <v>941</v>
      </c>
      <c r="AO8" s="377"/>
      <c r="AP8" s="377"/>
      <c r="AQ8" s="374"/>
      <c r="AR8" s="571"/>
      <c r="AS8" s="377">
        <v>940</v>
      </c>
      <c r="AT8" s="377">
        <v>-18</v>
      </c>
      <c r="AU8" s="377">
        <v>964</v>
      </c>
      <c r="AV8" s="374"/>
      <c r="AW8" s="374"/>
      <c r="AX8" s="380">
        <v>132.83000000000001</v>
      </c>
      <c r="AY8" s="380">
        <v>62.25</v>
      </c>
      <c r="AZ8" s="373">
        <v>1516.77</v>
      </c>
      <c r="BA8" s="373">
        <v>563.14</v>
      </c>
      <c r="BB8" s="373">
        <v>2474.2660000000001</v>
      </c>
    </row>
    <row r="9" spans="1:54" ht="15" customHeight="1" thickBot="1" x14ac:dyDescent="0.35">
      <c r="A9" s="384"/>
      <c r="B9" s="628"/>
      <c r="C9" s="632"/>
      <c r="D9" s="633"/>
      <c r="E9" s="376"/>
      <c r="F9" s="376"/>
      <c r="G9" s="376"/>
      <c r="H9" s="376"/>
      <c r="I9" s="376"/>
      <c r="J9" s="376"/>
      <c r="K9" s="376"/>
      <c r="L9" s="376"/>
      <c r="M9" s="376"/>
      <c r="N9" s="376"/>
      <c r="O9" s="376"/>
      <c r="P9" s="376"/>
      <c r="Q9" s="376"/>
      <c r="R9" s="376"/>
      <c r="S9" s="376"/>
      <c r="T9" s="376"/>
      <c r="U9" s="376"/>
      <c r="V9" s="376"/>
      <c r="W9" s="376"/>
      <c r="X9" s="376"/>
      <c r="Y9" s="376"/>
      <c r="Z9" s="376"/>
      <c r="AA9" s="376"/>
      <c r="AB9" s="376"/>
      <c r="AC9" s="383"/>
      <c r="AD9" s="372"/>
      <c r="AE9" s="372"/>
      <c r="AF9" s="372"/>
      <c r="AG9" s="372"/>
      <c r="AH9" s="372"/>
      <c r="AI9" s="372"/>
      <c r="AJ9" s="377">
        <v>2138.37</v>
      </c>
      <c r="AK9" s="377">
        <v>-100.41</v>
      </c>
      <c r="AL9" s="378">
        <v>2610.0435000000002</v>
      </c>
      <c r="AN9" s="571"/>
      <c r="AO9" s="377"/>
      <c r="AP9" s="377"/>
      <c r="AQ9" s="374"/>
      <c r="AR9" s="571"/>
      <c r="AS9" s="377">
        <v>940</v>
      </c>
      <c r="AT9" s="377">
        <v>720</v>
      </c>
      <c r="AU9" s="377"/>
      <c r="AV9" s="374"/>
      <c r="AW9" s="374"/>
      <c r="AX9" s="380">
        <v>155.58000000000001</v>
      </c>
      <c r="AY9" s="380">
        <v>70.73</v>
      </c>
      <c r="AZ9" s="373">
        <v>1517.11</v>
      </c>
      <c r="BA9" s="373">
        <v>567.08000000000004</v>
      </c>
      <c r="BB9" s="373">
        <v>2472.8449999999998</v>
      </c>
    </row>
    <row r="10" spans="1:54" ht="15" customHeight="1" thickBot="1" x14ac:dyDescent="0.35">
      <c r="A10" s="384"/>
      <c r="B10" s="628"/>
      <c r="C10" s="632"/>
      <c r="D10" s="633"/>
      <c r="E10" s="376"/>
      <c r="F10" s="376"/>
      <c r="G10" s="376"/>
      <c r="H10" s="376"/>
      <c r="I10" s="376"/>
      <c r="J10" s="376"/>
      <c r="K10" s="376"/>
      <c r="L10" s="376"/>
      <c r="M10" s="376"/>
      <c r="N10" s="376"/>
      <c r="O10" s="376"/>
      <c r="P10" s="376"/>
      <c r="Q10" s="376"/>
      <c r="R10" s="376"/>
      <c r="S10" s="376"/>
      <c r="T10" s="376"/>
      <c r="U10" s="376"/>
      <c r="V10" s="376"/>
      <c r="W10" s="376"/>
      <c r="X10" s="376"/>
      <c r="Y10" s="376"/>
      <c r="Z10" s="376"/>
      <c r="AA10" s="376"/>
      <c r="AB10" s="376"/>
      <c r="AC10" s="385"/>
      <c r="AD10" s="372"/>
      <c r="AE10" s="372"/>
      <c r="AF10" s="372"/>
      <c r="AG10" s="372"/>
      <c r="AH10" s="372"/>
      <c r="AI10" s="372"/>
      <c r="AJ10" s="377">
        <v>2133.36</v>
      </c>
      <c r="AK10" s="377">
        <v>-92.26</v>
      </c>
      <c r="AL10" s="378">
        <v>2608.056</v>
      </c>
      <c r="AN10" s="374"/>
      <c r="AO10" s="374"/>
      <c r="AP10" s="374"/>
      <c r="AQ10" s="374"/>
      <c r="AR10" s="571" t="s">
        <v>939</v>
      </c>
      <c r="AS10" s="377">
        <v>1280</v>
      </c>
      <c r="AT10" s="377">
        <v>-31.16</v>
      </c>
      <c r="AU10" s="377">
        <v>1292</v>
      </c>
      <c r="AV10" s="374"/>
      <c r="AW10" s="374"/>
      <c r="AX10" s="380">
        <v>178.33</v>
      </c>
      <c r="AY10" s="380">
        <v>79.209999999999994</v>
      </c>
      <c r="AZ10" s="373">
        <v>1517.01</v>
      </c>
      <c r="BA10" s="373">
        <v>571.83000000000004</v>
      </c>
      <c r="BB10" s="373">
        <v>2471.424</v>
      </c>
    </row>
    <row r="11" spans="1:54" ht="17.45" customHeight="1" thickBot="1" x14ac:dyDescent="0.35">
      <c r="A11" s="384"/>
      <c r="B11" s="628"/>
      <c r="C11" s="632" t="s">
        <v>942</v>
      </c>
      <c r="D11" s="633"/>
      <c r="E11" s="376"/>
      <c r="F11" s="376"/>
      <c r="G11" s="376"/>
      <c r="H11" s="376"/>
      <c r="I11" s="376"/>
      <c r="J11" s="376"/>
      <c r="K11" s="376"/>
      <c r="L11" s="376"/>
      <c r="M11" s="376"/>
      <c r="N11" s="376"/>
      <c r="O11" s="376"/>
      <c r="P11" s="376"/>
      <c r="Q11" s="376"/>
      <c r="R11" s="376"/>
      <c r="S11" s="376"/>
      <c r="T11" s="376"/>
      <c r="U11" s="376"/>
      <c r="V11" s="376"/>
      <c r="W11" s="376"/>
      <c r="X11" s="376"/>
      <c r="Y11" s="376"/>
      <c r="Z11" s="376"/>
      <c r="AA11" s="376"/>
      <c r="AB11" s="376"/>
      <c r="AC11" s="385"/>
      <c r="AD11" s="372"/>
      <c r="AE11" s="372"/>
      <c r="AF11" s="372"/>
      <c r="AG11" s="372"/>
      <c r="AH11" s="372"/>
      <c r="AI11" s="372"/>
      <c r="AJ11" s="377">
        <v>2132.44</v>
      </c>
      <c r="AK11" s="377">
        <v>-90.25</v>
      </c>
      <c r="AL11" s="378">
        <v>2607.4789999999998</v>
      </c>
      <c r="AN11" s="374"/>
      <c r="AO11" s="374"/>
      <c r="AP11" s="374"/>
      <c r="AQ11" s="374"/>
      <c r="AR11" s="571"/>
      <c r="AS11" s="377">
        <v>1280</v>
      </c>
      <c r="AT11" s="377">
        <v>1006.71</v>
      </c>
      <c r="AU11" s="377"/>
      <c r="AV11" s="374"/>
      <c r="AW11" s="374"/>
      <c r="AX11" s="380">
        <v>205.09</v>
      </c>
      <c r="AY11" s="380">
        <v>89.19</v>
      </c>
      <c r="AZ11" s="373">
        <v>1517.9</v>
      </c>
      <c r="BA11" s="373">
        <v>575.76</v>
      </c>
      <c r="BB11" s="373">
        <v>2470.1289999999999</v>
      </c>
    </row>
    <row r="12" spans="1:54" ht="17.45" customHeight="1" thickBot="1" x14ac:dyDescent="0.35">
      <c r="A12" s="384"/>
      <c r="B12" s="628"/>
      <c r="C12" s="632"/>
      <c r="D12" s="633"/>
      <c r="E12" s="376"/>
      <c r="F12" s="376"/>
      <c r="G12" s="376"/>
      <c r="H12" s="376"/>
      <c r="I12" s="376"/>
      <c r="J12" s="376"/>
      <c r="K12" s="376"/>
      <c r="L12" s="376"/>
      <c r="M12" s="376"/>
      <c r="N12" s="376"/>
      <c r="O12" s="376"/>
      <c r="P12" s="376"/>
      <c r="Q12" s="376"/>
      <c r="R12" s="376"/>
      <c r="S12" s="376"/>
      <c r="T12" s="376"/>
      <c r="U12" s="376"/>
      <c r="V12" s="376"/>
      <c r="W12" s="376"/>
      <c r="X12" s="376"/>
      <c r="Y12" s="376"/>
      <c r="Z12" s="376"/>
      <c r="AA12" s="376"/>
      <c r="AB12" s="376"/>
      <c r="AC12" s="385"/>
      <c r="AD12" s="372"/>
      <c r="AE12" s="372"/>
      <c r="AF12" s="372"/>
      <c r="AG12" s="372"/>
      <c r="AH12" s="372"/>
      <c r="AI12" s="372"/>
      <c r="AJ12" s="377">
        <v>2129.21</v>
      </c>
      <c r="AK12" s="377">
        <v>-83.94</v>
      </c>
      <c r="AL12" s="378">
        <v>2605.4326000000001</v>
      </c>
      <c r="AN12" s="374"/>
      <c r="AO12" s="374"/>
      <c r="AP12" s="374"/>
      <c r="AQ12" s="374"/>
      <c r="AR12" s="571"/>
      <c r="AS12" s="377">
        <v>1460</v>
      </c>
      <c r="AT12" s="377">
        <v>-18</v>
      </c>
      <c r="AU12" s="377">
        <v>1473</v>
      </c>
      <c r="AV12" s="374"/>
      <c r="AW12" s="374"/>
      <c r="AX12" s="380">
        <v>225.08</v>
      </c>
      <c r="AY12" s="380">
        <v>89.72</v>
      </c>
      <c r="AZ12" s="373">
        <v>1519.48</v>
      </c>
      <c r="BA12" s="373">
        <v>580.47</v>
      </c>
      <c r="BB12" s="373">
        <v>2468.8069999999998</v>
      </c>
    </row>
    <row r="13" spans="1:54" ht="17.45" customHeight="1" thickBot="1" x14ac:dyDescent="0.35">
      <c r="A13" s="384"/>
      <c r="B13" s="628"/>
      <c r="C13" s="632"/>
      <c r="D13" s="633"/>
      <c r="E13" s="376"/>
      <c r="F13" s="376"/>
      <c r="G13" s="376"/>
      <c r="H13" s="376"/>
      <c r="I13" s="376"/>
      <c r="J13" s="376"/>
      <c r="K13" s="376"/>
      <c r="L13" s="376"/>
      <c r="M13" s="376"/>
      <c r="N13" s="376"/>
      <c r="O13" s="376"/>
      <c r="P13" s="376"/>
      <c r="Q13" s="376"/>
      <c r="R13" s="376"/>
      <c r="S13" s="376"/>
      <c r="T13" s="376"/>
      <c r="U13" s="376"/>
      <c r="V13" s="376"/>
      <c r="W13" s="376"/>
      <c r="X13" s="376"/>
      <c r="Y13" s="376"/>
      <c r="Z13" s="376"/>
      <c r="AA13" s="376"/>
      <c r="AB13" s="376"/>
      <c r="AC13" s="385"/>
      <c r="AD13" s="372"/>
      <c r="AE13" s="372"/>
      <c r="AF13" s="372"/>
      <c r="AG13" s="372"/>
      <c r="AH13" s="372"/>
      <c r="AI13" s="372"/>
      <c r="AJ13" s="377">
        <v>2125.04</v>
      </c>
      <c r="AK13" s="377">
        <v>-75.34</v>
      </c>
      <c r="AL13" s="378">
        <v>2602.6700999999998</v>
      </c>
      <c r="AN13" s="374"/>
      <c r="AO13" s="374"/>
      <c r="AP13" s="374"/>
      <c r="AQ13" s="374"/>
      <c r="AR13" s="571"/>
      <c r="AS13" s="377">
        <v>1460</v>
      </c>
      <c r="AT13" s="377">
        <v>780</v>
      </c>
      <c r="AU13" s="377"/>
      <c r="AV13" s="374"/>
      <c r="AW13" s="374"/>
      <c r="AX13" s="380">
        <v>249.35</v>
      </c>
      <c r="AY13" s="380">
        <v>90.37</v>
      </c>
      <c r="AZ13" s="373">
        <v>1521.01</v>
      </c>
      <c r="BA13" s="373">
        <v>583.49</v>
      </c>
      <c r="BB13" s="373">
        <v>2468.0819999999999</v>
      </c>
    </row>
    <row r="14" spans="1:54" ht="17.45" customHeight="1" thickBot="1" x14ac:dyDescent="0.35">
      <c r="A14" s="384"/>
      <c r="B14" s="628"/>
      <c r="C14" s="632"/>
      <c r="D14" s="633"/>
      <c r="E14" s="376"/>
      <c r="F14" s="376"/>
      <c r="G14" s="376"/>
      <c r="H14" s="376"/>
      <c r="I14" s="376"/>
      <c r="J14" s="376"/>
      <c r="K14" s="376"/>
      <c r="L14" s="376"/>
      <c r="M14" s="376"/>
      <c r="N14" s="376"/>
      <c r="O14" s="376"/>
      <c r="P14" s="376"/>
      <c r="Q14" s="376"/>
      <c r="R14" s="376"/>
      <c r="S14" s="376"/>
      <c r="T14" s="376"/>
      <c r="U14" s="376"/>
      <c r="V14" s="376"/>
      <c r="W14" s="376"/>
      <c r="X14" s="376"/>
      <c r="Y14" s="376"/>
      <c r="Z14" s="376"/>
      <c r="AA14" s="376"/>
      <c r="AB14" s="376"/>
      <c r="AC14" s="385"/>
      <c r="AD14" s="372"/>
      <c r="AE14" s="372"/>
      <c r="AF14" s="372"/>
      <c r="AG14" s="372"/>
      <c r="AH14" s="372"/>
      <c r="AI14" s="372"/>
      <c r="AJ14" s="377">
        <v>2120.85</v>
      </c>
      <c r="AK14" s="377">
        <v>-67.16</v>
      </c>
      <c r="AL14" s="378">
        <v>2599.4551000000001</v>
      </c>
      <c r="AN14" s="374"/>
      <c r="AO14" s="374"/>
      <c r="AP14" s="374"/>
      <c r="AQ14" s="374"/>
      <c r="AR14" s="571" t="s">
        <v>941</v>
      </c>
      <c r="AS14" s="377">
        <v>1760</v>
      </c>
      <c r="AT14" s="377">
        <v>-120</v>
      </c>
      <c r="AU14" s="377">
        <v>1765</v>
      </c>
      <c r="AV14" s="374"/>
      <c r="AW14" s="374"/>
      <c r="AX14" s="380">
        <v>273.63</v>
      </c>
      <c r="AY14" s="380">
        <v>91.03</v>
      </c>
      <c r="AZ14" s="373">
        <v>1521.97</v>
      </c>
      <c r="BA14" s="373">
        <v>586.64</v>
      </c>
      <c r="BB14" s="373">
        <v>2467.502</v>
      </c>
    </row>
    <row r="15" spans="1:54" ht="17.45" customHeight="1" thickBot="1" x14ac:dyDescent="0.35">
      <c r="A15" s="384"/>
      <c r="B15" s="628"/>
      <c r="C15" s="632"/>
      <c r="D15" s="633"/>
      <c r="E15" s="376"/>
      <c r="F15" s="376"/>
      <c r="G15" s="376"/>
      <c r="H15" s="376"/>
      <c r="I15" s="376"/>
      <c r="J15" s="376"/>
      <c r="K15" s="376"/>
      <c r="L15" s="376"/>
      <c r="M15" s="376"/>
      <c r="N15" s="376"/>
      <c r="O15" s="376"/>
      <c r="P15" s="376"/>
      <c r="Q15" s="376"/>
      <c r="R15" s="376"/>
      <c r="S15" s="376"/>
      <c r="T15" s="376"/>
      <c r="U15" s="376"/>
      <c r="V15" s="376"/>
      <c r="W15" s="376"/>
      <c r="X15" s="376"/>
      <c r="Y15" s="376"/>
      <c r="Z15" s="376"/>
      <c r="AA15" s="376"/>
      <c r="AB15" s="376"/>
      <c r="AC15" s="385"/>
      <c r="AD15" s="372"/>
      <c r="AE15" s="372"/>
      <c r="AF15" s="372"/>
      <c r="AG15" s="372"/>
      <c r="AH15" s="372"/>
      <c r="AI15" s="372"/>
      <c r="AJ15" s="377">
        <v>2118.5</v>
      </c>
      <c r="AK15" s="377">
        <v>-61.28</v>
      </c>
      <c r="AL15" s="378">
        <v>2596.9969000000001</v>
      </c>
      <c r="AN15" s="374"/>
      <c r="AO15" s="374"/>
      <c r="AP15" s="374"/>
      <c r="AQ15" s="374"/>
      <c r="AR15" s="571"/>
      <c r="AS15" s="377">
        <v>1760</v>
      </c>
      <c r="AT15" s="377">
        <v>400</v>
      </c>
      <c r="AU15" s="377"/>
      <c r="AV15" s="374"/>
      <c r="AW15" s="374"/>
      <c r="AX15" s="380">
        <v>297.89999999999998</v>
      </c>
      <c r="AY15" s="380">
        <v>91.68</v>
      </c>
      <c r="AZ15" s="373">
        <v>1522.65</v>
      </c>
      <c r="BA15" s="373">
        <v>592.42999999999995</v>
      </c>
      <c r="BB15" s="373">
        <v>2466.0459999999998</v>
      </c>
    </row>
    <row r="16" spans="1:54" ht="17.45" customHeight="1" thickBot="1" x14ac:dyDescent="0.35">
      <c r="A16" s="384"/>
      <c r="B16" s="628"/>
      <c r="C16" s="632"/>
      <c r="D16" s="633"/>
      <c r="E16" s="376"/>
      <c r="F16" s="376"/>
      <c r="G16" s="376"/>
      <c r="H16" s="376"/>
      <c r="I16" s="376"/>
      <c r="J16" s="376"/>
      <c r="K16" s="376"/>
      <c r="L16" s="376"/>
      <c r="M16" s="376"/>
      <c r="N16" s="376"/>
      <c r="O16" s="376"/>
      <c r="P16" s="376"/>
      <c r="Q16" s="376"/>
      <c r="R16" s="376"/>
      <c r="S16" s="376"/>
      <c r="T16" s="376"/>
      <c r="U16" s="376"/>
      <c r="V16" s="376"/>
      <c r="W16" s="376"/>
      <c r="X16" s="376"/>
      <c r="Y16" s="376"/>
      <c r="Z16" s="376"/>
      <c r="AA16" s="376"/>
      <c r="AB16" s="376"/>
      <c r="AC16" s="385"/>
      <c r="AD16" s="372"/>
      <c r="AE16" s="372"/>
      <c r="AF16" s="372"/>
      <c r="AG16" s="372"/>
      <c r="AH16" s="372"/>
      <c r="AI16" s="372"/>
      <c r="AJ16" s="377">
        <v>2118.17</v>
      </c>
      <c r="AK16" s="377">
        <v>-51.81</v>
      </c>
      <c r="AL16" s="378">
        <v>2593.3620999999998</v>
      </c>
      <c r="AN16" s="374"/>
      <c r="AO16" s="374"/>
      <c r="AP16" s="374"/>
      <c r="AQ16" s="374"/>
      <c r="AR16" s="571"/>
      <c r="AS16" s="377">
        <v>1920</v>
      </c>
      <c r="AT16" s="377">
        <v>-200</v>
      </c>
      <c r="AU16" s="377">
        <v>1932</v>
      </c>
      <c r="AV16" s="374"/>
      <c r="AW16" s="374"/>
      <c r="AX16" s="380">
        <v>322.17</v>
      </c>
      <c r="AY16" s="380">
        <v>92.33</v>
      </c>
      <c r="AZ16" s="373">
        <v>1521.02</v>
      </c>
      <c r="BA16" s="373">
        <v>596.09</v>
      </c>
      <c r="BB16" s="373">
        <v>2464.9821000000002</v>
      </c>
    </row>
    <row r="17" spans="1:54" ht="20.45" customHeight="1" thickBot="1" x14ac:dyDescent="0.35">
      <c r="A17" s="384"/>
      <c r="B17" s="628"/>
      <c r="C17" s="634" t="s">
        <v>943</v>
      </c>
      <c r="D17" s="635"/>
      <c r="E17" s="376"/>
      <c r="F17" s="376"/>
      <c r="G17" s="376"/>
      <c r="H17" s="376"/>
      <c r="I17" s="376"/>
      <c r="J17" s="376"/>
      <c r="K17" s="376"/>
      <c r="L17" s="376"/>
      <c r="M17" s="376"/>
      <c r="N17" s="376"/>
      <c r="O17" s="376"/>
      <c r="P17" s="376"/>
      <c r="Q17" s="376"/>
      <c r="R17" s="376"/>
      <c r="S17" s="376"/>
      <c r="T17" s="376"/>
      <c r="U17" s="376"/>
      <c r="V17" s="376"/>
      <c r="W17" s="376"/>
      <c r="X17" s="376"/>
      <c r="Y17" s="376"/>
      <c r="Z17" s="376"/>
      <c r="AA17" s="376"/>
      <c r="AB17" s="376"/>
      <c r="AC17" s="385"/>
      <c r="AD17" s="372"/>
      <c r="AE17" s="372"/>
      <c r="AF17" s="372"/>
      <c r="AG17" s="372"/>
      <c r="AH17" s="372"/>
      <c r="AI17" s="372"/>
      <c r="AJ17" s="377">
        <v>2118.59</v>
      </c>
      <c r="AK17" s="377">
        <v>-49.53</v>
      </c>
      <c r="AL17" s="378">
        <v>2592.5861</v>
      </c>
      <c r="AN17" s="374"/>
      <c r="AO17" s="374"/>
      <c r="AP17" s="374"/>
      <c r="AQ17" s="374"/>
      <c r="AR17" s="571"/>
      <c r="AS17" s="377">
        <v>1920</v>
      </c>
      <c r="AT17" s="377">
        <v>310</v>
      </c>
      <c r="AU17" s="377"/>
      <c r="AV17" s="374"/>
      <c r="AW17" s="374"/>
      <c r="AX17" s="380">
        <v>346.44</v>
      </c>
      <c r="AY17" s="380">
        <v>92.98</v>
      </c>
      <c r="AZ17" s="373">
        <v>1518.89</v>
      </c>
      <c r="BA17" s="373">
        <v>599.85</v>
      </c>
      <c r="BB17" s="373">
        <v>2464.2739999999999</v>
      </c>
    </row>
    <row r="18" spans="1:54" ht="20.45" customHeight="1" thickBot="1" x14ac:dyDescent="0.35">
      <c r="A18" s="384"/>
      <c r="B18" s="628"/>
      <c r="C18" s="634"/>
      <c r="D18" s="635"/>
      <c r="E18" s="376"/>
      <c r="F18" s="376"/>
      <c r="G18" s="376"/>
      <c r="H18" s="376"/>
      <c r="I18" s="376"/>
      <c r="J18" s="376"/>
      <c r="K18" s="376"/>
      <c r="L18" s="376"/>
      <c r="M18" s="376"/>
      <c r="N18" s="376"/>
      <c r="O18" s="376"/>
      <c r="P18" s="376"/>
      <c r="Q18" s="376"/>
      <c r="R18" s="376"/>
      <c r="S18" s="376"/>
      <c r="T18" s="376"/>
      <c r="U18" s="376"/>
      <c r="V18" s="376"/>
      <c r="W18" s="376"/>
      <c r="X18" s="376"/>
      <c r="Y18" s="376"/>
      <c r="Z18" s="376"/>
      <c r="AA18" s="376"/>
      <c r="AB18" s="376"/>
      <c r="AC18" s="385"/>
      <c r="AD18" s="372"/>
      <c r="AE18" s="372"/>
      <c r="AF18" s="372"/>
      <c r="AG18" s="372"/>
      <c r="AH18" s="372"/>
      <c r="AI18" s="372"/>
      <c r="AJ18" s="377">
        <v>2121.34</v>
      </c>
      <c r="AK18" s="377">
        <v>-40.630000000000003</v>
      </c>
      <c r="AL18" s="378">
        <v>2589.913</v>
      </c>
      <c r="AN18" s="374"/>
      <c r="AO18" s="374"/>
      <c r="AP18" s="374"/>
      <c r="AQ18" s="374"/>
      <c r="AR18" s="386"/>
      <c r="AS18" s="377"/>
      <c r="AT18" s="377"/>
      <c r="AU18" s="377"/>
      <c r="AV18" s="374"/>
      <c r="AW18" s="374"/>
      <c r="AX18" s="380">
        <v>370.71</v>
      </c>
      <c r="AY18" s="380">
        <v>93.63</v>
      </c>
      <c r="AZ18" s="373">
        <v>1518.06</v>
      </c>
      <c r="BA18" s="373">
        <v>602.98</v>
      </c>
      <c r="BB18" s="373">
        <v>2463.1039999999998</v>
      </c>
    </row>
    <row r="19" spans="1:54" ht="20.45" customHeight="1" thickBot="1" x14ac:dyDescent="0.35">
      <c r="A19" s="384"/>
      <c r="B19" s="628"/>
      <c r="C19" s="634"/>
      <c r="D19" s="635"/>
      <c r="E19" s="376"/>
      <c r="F19" s="376"/>
      <c r="G19" s="376"/>
      <c r="H19" s="376"/>
      <c r="I19" s="376"/>
      <c r="J19" s="376"/>
      <c r="K19" s="376"/>
      <c r="L19" s="376"/>
      <c r="M19" s="376"/>
      <c r="N19" s="376"/>
      <c r="O19" s="376"/>
      <c r="P19" s="376"/>
      <c r="Q19" s="376"/>
      <c r="R19" s="376"/>
      <c r="S19" s="376"/>
      <c r="T19" s="376"/>
      <c r="U19" s="376"/>
      <c r="V19" s="376"/>
      <c r="W19" s="376"/>
      <c r="X19" s="376"/>
      <c r="Y19" s="376"/>
      <c r="Z19" s="376"/>
      <c r="AA19" s="376"/>
      <c r="AB19" s="376"/>
      <c r="AC19" s="385"/>
      <c r="AD19" s="372"/>
      <c r="AE19" s="372"/>
      <c r="AF19" s="372"/>
      <c r="AG19" s="372"/>
      <c r="AH19" s="372"/>
      <c r="AI19" s="372"/>
      <c r="AJ19" s="377">
        <v>2124.8200000000002</v>
      </c>
      <c r="AK19" s="377">
        <v>-31.94</v>
      </c>
      <c r="AL19" s="378">
        <v>2587.634</v>
      </c>
      <c r="AN19" s="374"/>
      <c r="AO19" s="374"/>
      <c r="AP19" s="374"/>
      <c r="AQ19" s="374"/>
      <c r="AR19" s="374"/>
      <c r="AS19" s="377"/>
      <c r="AT19" s="377"/>
      <c r="AU19" s="377"/>
      <c r="AV19" s="374"/>
      <c r="AW19" s="374"/>
      <c r="AX19" s="380">
        <v>394.98</v>
      </c>
      <c r="AY19" s="380">
        <v>94.28</v>
      </c>
      <c r="AZ19" s="373">
        <v>1517.78</v>
      </c>
      <c r="BA19" s="373">
        <v>607.01</v>
      </c>
      <c r="BB19" s="373">
        <v>2461.723</v>
      </c>
    </row>
    <row r="20" spans="1:54" ht="20.45" customHeight="1" thickBot="1" x14ac:dyDescent="0.35">
      <c r="A20" s="387"/>
      <c r="B20" s="628"/>
      <c r="C20" s="634"/>
      <c r="D20" s="635"/>
      <c r="E20" s="376"/>
      <c r="F20" s="376"/>
      <c r="G20" s="376"/>
      <c r="H20" s="376"/>
      <c r="I20" s="376"/>
      <c r="J20" s="376"/>
      <c r="K20" s="376"/>
      <c r="L20" s="376"/>
      <c r="M20" s="376"/>
      <c r="N20" s="376"/>
      <c r="O20" s="376"/>
      <c r="P20" s="376"/>
      <c r="Q20" s="376"/>
      <c r="R20" s="376"/>
      <c r="S20" s="376"/>
      <c r="T20" s="376"/>
      <c r="U20" s="376"/>
      <c r="V20" s="376"/>
      <c r="W20" s="376"/>
      <c r="X20" s="376"/>
      <c r="Y20" s="376"/>
      <c r="Z20" s="376"/>
      <c r="AA20" s="376"/>
      <c r="AB20" s="376"/>
      <c r="AC20" s="385"/>
      <c r="AD20" s="372"/>
      <c r="AE20" s="372"/>
      <c r="AF20" s="372"/>
      <c r="AG20" s="372"/>
      <c r="AH20" s="372"/>
      <c r="AI20" s="372"/>
      <c r="AJ20" s="377">
        <v>2127.9899999999998</v>
      </c>
      <c r="AK20" s="377">
        <v>-25.57</v>
      </c>
      <c r="AL20" s="378">
        <v>2586.1587</v>
      </c>
      <c r="AN20" s="374"/>
      <c r="AO20" s="374"/>
      <c r="AP20" s="388"/>
      <c r="AQ20" s="388"/>
      <c r="AR20" s="388"/>
      <c r="AS20" s="388"/>
      <c r="AT20" s="388"/>
      <c r="AU20" s="388"/>
      <c r="AV20" s="374"/>
      <c r="AW20" s="374"/>
      <c r="AX20" s="380">
        <v>419.25</v>
      </c>
      <c r="AY20" s="380">
        <v>94.93</v>
      </c>
      <c r="AZ20" s="373">
        <v>1517.38</v>
      </c>
      <c r="BA20" s="373">
        <v>610.16</v>
      </c>
      <c r="BB20" s="373">
        <v>2460.652</v>
      </c>
    </row>
    <row r="21" spans="1:54" ht="20.45" customHeight="1" thickBot="1" x14ac:dyDescent="0.35">
      <c r="A21" s="384"/>
      <c r="B21" s="628"/>
      <c r="C21" s="634"/>
      <c r="D21" s="635"/>
      <c r="E21" s="376"/>
      <c r="F21" s="376"/>
      <c r="G21" s="376"/>
      <c r="H21" s="376"/>
      <c r="I21" s="376"/>
      <c r="J21" s="376"/>
      <c r="K21" s="376"/>
      <c r="L21" s="376"/>
      <c r="M21" s="376"/>
      <c r="N21" s="376"/>
      <c r="O21" s="376"/>
      <c r="P21" s="376"/>
      <c r="Q21" s="376"/>
      <c r="R21" s="376"/>
      <c r="S21" s="376"/>
      <c r="T21" s="376"/>
      <c r="U21" s="376"/>
      <c r="V21" s="376"/>
      <c r="W21" s="376"/>
      <c r="X21" s="376"/>
      <c r="Y21" s="376"/>
      <c r="Z21" s="376"/>
      <c r="AA21" s="376"/>
      <c r="AB21" s="376"/>
      <c r="AC21" s="385"/>
      <c r="AD21" s="372"/>
      <c r="AE21" s="372"/>
      <c r="AF21" s="372"/>
      <c r="AG21" s="372"/>
      <c r="AH21" s="372"/>
      <c r="AI21" s="372"/>
      <c r="AJ21" s="377">
        <v>2129.5100000000002</v>
      </c>
      <c r="AK21" s="377">
        <v>-16.77</v>
      </c>
      <c r="AL21" s="378">
        <v>2584.248</v>
      </c>
      <c r="AN21" s="374"/>
      <c r="AO21" s="374"/>
      <c r="AP21" s="388"/>
      <c r="AQ21" s="388"/>
      <c r="AR21" s="388"/>
      <c r="AS21" s="388"/>
      <c r="AT21" s="388"/>
      <c r="AU21" s="388"/>
      <c r="AV21" s="374"/>
      <c r="AW21" s="374"/>
      <c r="AX21" s="380">
        <v>443.52</v>
      </c>
      <c r="AY21" s="380">
        <v>95.58</v>
      </c>
      <c r="AZ21" s="373">
        <v>1517.6</v>
      </c>
      <c r="BA21" s="373">
        <v>614.33000000000004</v>
      </c>
      <c r="BB21" s="373">
        <v>2459.3510000000001</v>
      </c>
    </row>
    <row r="22" spans="1:54" ht="15" customHeight="1" thickBot="1" x14ac:dyDescent="0.35">
      <c r="A22" s="384"/>
      <c r="B22" s="628"/>
      <c r="C22" s="634"/>
      <c r="D22" s="635"/>
      <c r="E22" s="376"/>
      <c r="F22" s="376"/>
      <c r="G22" s="636" t="str">
        <f ca="1">"Ensayos Compactación Semana "&amp;WEEKNUM(N39)</f>
        <v>Ensayos Compactación Semana 15</v>
      </c>
      <c r="H22" s="637"/>
      <c r="I22" s="637"/>
      <c r="J22" s="638"/>
      <c r="K22" s="376"/>
      <c r="L22" s="376"/>
      <c r="M22" s="376"/>
      <c r="N22" s="376"/>
      <c r="O22" s="376"/>
      <c r="P22" s="376"/>
      <c r="Q22" s="376"/>
      <c r="R22" s="376"/>
      <c r="S22" s="376"/>
      <c r="T22" s="376"/>
      <c r="U22" s="376"/>
      <c r="V22" s="376"/>
      <c r="W22" s="376"/>
      <c r="X22" s="376"/>
      <c r="Y22" s="376"/>
      <c r="Z22" s="376"/>
      <c r="AA22" s="376"/>
      <c r="AB22" s="376"/>
      <c r="AC22" s="385"/>
      <c r="AD22" s="372"/>
      <c r="AE22" s="372"/>
      <c r="AF22" s="372"/>
      <c r="AG22" s="372"/>
      <c r="AH22" s="372"/>
      <c r="AI22" s="372"/>
      <c r="AJ22" s="377">
        <v>2126.6</v>
      </c>
      <c r="AK22" s="377">
        <v>-10.98</v>
      </c>
      <c r="AL22" s="378">
        <v>2583.2240000000002</v>
      </c>
      <c r="AN22" s="374"/>
      <c r="AO22" s="374"/>
      <c r="AP22" s="388"/>
      <c r="AQ22" s="388"/>
      <c r="AR22" s="388"/>
      <c r="AS22" s="388"/>
      <c r="AT22" s="388"/>
      <c r="AU22" s="388"/>
      <c r="AV22" s="374"/>
      <c r="AW22" s="374"/>
      <c r="AX22" s="380">
        <v>467.8</v>
      </c>
      <c r="AY22" s="380">
        <v>96.24</v>
      </c>
      <c r="AZ22" s="373">
        <v>1517.57</v>
      </c>
      <c r="BA22" s="373">
        <v>616.86</v>
      </c>
      <c r="BB22" s="373">
        <v>2458.65</v>
      </c>
    </row>
    <row r="23" spans="1:54" ht="12.95" customHeight="1" thickBot="1" x14ac:dyDescent="0.35">
      <c r="A23" s="384"/>
      <c r="B23" s="628"/>
      <c r="C23" s="634" t="s">
        <v>944</v>
      </c>
      <c r="D23" s="635"/>
      <c r="E23" s="376"/>
      <c r="F23" s="376"/>
      <c r="G23" s="639"/>
      <c r="H23" s="640"/>
      <c r="I23" s="640"/>
      <c r="J23" s="641"/>
      <c r="K23" s="376"/>
      <c r="L23" s="376"/>
      <c r="M23" s="376"/>
      <c r="N23" s="376"/>
      <c r="O23" s="376"/>
      <c r="P23" s="376"/>
      <c r="Q23" s="376"/>
      <c r="R23" s="376"/>
      <c r="S23" s="376"/>
      <c r="T23" s="376"/>
      <c r="U23" s="376"/>
      <c r="V23" s="376"/>
      <c r="W23" s="376"/>
      <c r="X23" s="376"/>
      <c r="Y23" s="376"/>
      <c r="Z23" s="376"/>
      <c r="AA23" s="376"/>
      <c r="AB23" s="376"/>
      <c r="AC23" s="385"/>
      <c r="AD23" s="372"/>
      <c r="AE23" s="372"/>
      <c r="AF23" s="372"/>
      <c r="AG23" s="372"/>
      <c r="AH23" s="372"/>
      <c r="AI23" s="372"/>
      <c r="AJ23" s="377">
        <v>2122.09</v>
      </c>
      <c r="AK23" s="377">
        <v>-3.08</v>
      </c>
      <c r="AL23" s="378">
        <v>2581.2199999999998</v>
      </c>
      <c r="AN23" s="374"/>
      <c r="AO23" s="374"/>
      <c r="AP23" s="388"/>
      <c r="AQ23" s="388"/>
      <c r="AR23" s="388"/>
      <c r="AS23" s="388"/>
      <c r="AT23" s="388"/>
      <c r="AU23" s="388"/>
      <c r="AV23" s="374"/>
      <c r="AW23" s="374"/>
      <c r="AX23" s="380">
        <v>492.07</v>
      </c>
      <c r="AY23" s="380">
        <v>96.89</v>
      </c>
      <c r="AZ23" s="373">
        <v>1518.91</v>
      </c>
      <c r="BA23" s="373">
        <v>619.97</v>
      </c>
      <c r="BB23" s="373">
        <v>2457.7469000000001</v>
      </c>
    </row>
    <row r="24" spans="1:54" ht="17.45" customHeight="1" thickBot="1" x14ac:dyDescent="0.35">
      <c r="A24" s="384"/>
      <c r="B24" s="628"/>
      <c r="C24" s="634"/>
      <c r="D24" s="635"/>
      <c r="E24" s="376"/>
      <c r="F24" s="376"/>
      <c r="G24" s="642" t="s">
        <v>908</v>
      </c>
      <c r="H24" s="644" t="s">
        <v>909</v>
      </c>
      <c r="I24" s="644" t="s">
        <v>910</v>
      </c>
      <c r="J24" s="598" t="s">
        <v>945</v>
      </c>
      <c r="K24"/>
      <c r="L24" s="376"/>
      <c r="M24" s="376"/>
      <c r="N24" s="376"/>
      <c r="O24" s="376"/>
      <c r="P24" s="376"/>
      <c r="Q24" s="376"/>
      <c r="R24" s="376"/>
      <c r="S24" s="376"/>
      <c r="T24" s="376"/>
      <c r="U24" s="376"/>
      <c r="V24" s="376"/>
      <c r="W24" s="376"/>
      <c r="X24" s="376"/>
      <c r="Y24" s="376"/>
      <c r="Z24" s="376"/>
      <c r="AA24" s="376"/>
      <c r="AB24" s="376"/>
      <c r="AC24" s="385"/>
      <c r="AD24" s="372"/>
      <c r="AE24" s="372"/>
      <c r="AF24" s="372"/>
      <c r="AG24" s="372"/>
      <c r="AH24" s="372"/>
      <c r="AI24" s="372"/>
      <c r="AJ24" s="377">
        <v>2117.84</v>
      </c>
      <c r="AK24" s="377">
        <v>4.38</v>
      </c>
      <c r="AL24" s="378">
        <v>2579.4535000000001</v>
      </c>
      <c r="AN24" s="374"/>
      <c r="AO24" s="374"/>
      <c r="AP24" s="388"/>
      <c r="AQ24" s="388"/>
      <c r="AR24" s="388"/>
      <c r="AS24" s="388"/>
      <c r="AT24" s="388"/>
      <c r="AU24" s="388"/>
      <c r="AV24" s="374"/>
      <c r="AW24" s="374"/>
      <c r="AX24" s="380">
        <v>516.34</v>
      </c>
      <c r="AY24" s="380">
        <v>97.54</v>
      </c>
      <c r="AZ24" s="373">
        <v>1520.29</v>
      </c>
      <c r="BA24" s="373">
        <v>624.91999999999996</v>
      </c>
      <c r="BB24" s="373">
        <v>2456.65</v>
      </c>
    </row>
    <row r="25" spans="1:54" ht="17.45" customHeight="1" thickBot="1" x14ac:dyDescent="0.35">
      <c r="A25" s="384"/>
      <c r="B25" s="628"/>
      <c r="C25" s="634"/>
      <c r="D25" s="635"/>
      <c r="E25" s="376"/>
      <c r="F25" s="376"/>
      <c r="G25" s="643"/>
      <c r="H25" s="645"/>
      <c r="I25" s="645"/>
      <c r="J25" s="599"/>
      <c r="K25"/>
      <c r="L25" s="376"/>
      <c r="M25" s="376"/>
      <c r="N25" s="376"/>
      <c r="O25" s="376"/>
      <c r="P25" s="376"/>
      <c r="Q25" s="376"/>
      <c r="R25" s="376"/>
      <c r="S25" s="376"/>
      <c r="T25" s="376"/>
      <c r="U25" s="376"/>
      <c r="V25" s="376"/>
      <c r="W25" s="376"/>
      <c r="X25" s="376"/>
      <c r="Y25" s="376"/>
      <c r="Z25" s="376"/>
      <c r="AA25" s="376"/>
      <c r="AB25" s="376"/>
      <c r="AC25" s="385"/>
      <c r="AD25" s="372"/>
      <c r="AE25" s="372"/>
      <c r="AF25" s="372"/>
      <c r="AG25" s="372"/>
      <c r="AH25" s="372"/>
      <c r="AI25" s="372"/>
      <c r="AJ25" s="377">
        <v>2113.5100000000002</v>
      </c>
      <c r="AK25" s="377">
        <v>10.09</v>
      </c>
      <c r="AL25" s="378">
        <v>2578.3270000000002</v>
      </c>
      <c r="AN25" s="374"/>
      <c r="AO25" s="374"/>
      <c r="AP25" s="388"/>
      <c r="AQ25" s="388"/>
      <c r="AR25" s="388"/>
      <c r="AS25" s="388"/>
      <c r="AT25" s="388"/>
      <c r="AU25" s="388"/>
      <c r="AV25" s="374"/>
      <c r="AW25" s="374"/>
      <c r="AX25" s="380">
        <v>540.61</v>
      </c>
      <c r="AY25" s="380">
        <v>98.08</v>
      </c>
      <c r="AZ25" s="373">
        <v>1520.3</v>
      </c>
      <c r="BA25" s="373">
        <v>632.02</v>
      </c>
      <c r="BB25" s="373">
        <v>2455.2629000000002</v>
      </c>
    </row>
    <row r="26" spans="1:54" ht="12.95" customHeight="1" thickBot="1" x14ac:dyDescent="0.35">
      <c r="A26" s="384"/>
      <c r="B26" s="628"/>
      <c r="C26" s="634"/>
      <c r="D26" s="635"/>
      <c r="E26" s="376"/>
      <c r="F26" s="376"/>
      <c r="G26" s="576" t="s">
        <v>912</v>
      </c>
      <c r="H26" s="578">
        <f>+FCS!I861</f>
        <v>628</v>
      </c>
      <c r="I26" s="630">
        <f>+FCS!K861</f>
        <v>63</v>
      </c>
      <c r="J26" s="606">
        <f>ROUND(+FCS!M861,1)</f>
        <v>101.6</v>
      </c>
      <c r="K26"/>
      <c r="L26" s="376"/>
      <c r="M26" s="376"/>
      <c r="N26" s="376"/>
      <c r="O26" s="376"/>
      <c r="P26" s="376"/>
      <c r="Q26" s="376"/>
      <c r="R26" s="376"/>
      <c r="S26" s="376"/>
      <c r="T26" s="376"/>
      <c r="U26" s="376"/>
      <c r="V26" s="376"/>
      <c r="W26" s="376"/>
      <c r="X26" s="376"/>
      <c r="Y26" s="376"/>
      <c r="Z26" s="376"/>
      <c r="AA26" s="376"/>
      <c r="AB26" s="376"/>
      <c r="AC26" s="385"/>
      <c r="AD26" s="372"/>
      <c r="AE26" s="372"/>
      <c r="AF26" s="372"/>
      <c r="AG26" s="372"/>
      <c r="AH26" s="372"/>
      <c r="AI26" s="372"/>
      <c r="AJ26" s="377">
        <v>2109.77</v>
      </c>
      <c r="AK26" s="377">
        <v>15.63</v>
      </c>
      <c r="AL26" s="378">
        <v>2577.2040000000002</v>
      </c>
      <c r="AN26" s="374"/>
      <c r="AO26" s="374"/>
      <c r="AP26" s="388"/>
      <c r="AQ26" s="388"/>
      <c r="AR26" s="388"/>
      <c r="AS26" s="388"/>
      <c r="AT26" s="388"/>
      <c r="AU26" s="388"/>
      <c r="AV26" s="374"/>
      <c r="AW26" s="374"/>
      <c r="AX26" s="380">
        <v>564.89</v>
      </c>
      <c r="AY26" s="380">
        <v>98.55</v>
      </c>
      <c r="AZ26" s="373">
        <v>1520.25</v>
      </c>
      <c r="BA26" s="373">
        <v>637.57000000000005</v>
      </c>
      <c r="BB26" s="373">
        <v>2454.2020000000002</v>
      </c>
    </row>
    <row r="27" spans="1:54" ht="12.95" customHeight="1" thickBot="1" x14ac:dyDescent="0.35">
      <c r="A27" s="384"/>
      <c r="B27" s="628"/>
      <c r="C27" s="634"/>
      <c r="D27" s="635"/>
      <c r="E27" s="376"/>
      <c r="F27" s="376"/>
      <c r="G27" s="577"/>
      <c r="H27" s="579"/>
      <c r="I27" s="631"/>
      <c r="J27" s="607"/>
      <c r="K27"/>
      <c r="L27" s="376"/>
      <c r="M27" s="376"/>
      <c r="N27" s="376"/>
      <c r="O27" s="376"/>
      <c r="P27" s="376"/>
      <c r="Q27" s="376"/>
      <c r="R27" s="376"/>
      <c r="S27" s="376"/>
      <c r="T27" s="376"/>
      <c r="U27" s="376"/>
      <c r="V27" s="376"/>
      <c r="W27" s="376"/>
      <c r="X27" s="376"/>
      <c r="Y27" s="376"/>
      <c r="Z27" s="376"/>
      <c r="AA27" s="376"/>
      <c r="AB27" s="376"/>
      <c r="AC27" s="385"/>
      <c r="AD27" s="372"/>
      <c r="AE27" s="372"/>
      <c r="AF27" s="372"/>
      <c r="AG27" s="372"/>
      <c r="AH27" s="372"/>
      <c r="AI27" s="372"/>
      <c r="AJ27" s="377">
        <v>2106.46</v>
      </c>
      <c r="AK27" s="377">
        <v>20.87</v>
      </c>
      <c r="AL27" s="378">
        <v>2575.8928999999998</v>
      </c>
      <c r="AN27" s="374"/>
      <c r="AO27" s="374"/>
      <c r="AP27" s="388"/>
      <c r="AQ27" s="388"/>
      <c r="AR27" s="388"/>
      <c r="AS27" s="388"/>
      <c r="AT27" s="388"/>
      <c r="AU27" s="388"/>
      <c r="AV27" s="374"/>
      <c r="AW27" s="374"/>
      <c r="AX27" s="380">
        <v>589.16</v>
      </c>
      <c r="AY27" s="380">
        <v>99.02</v>
      </c>
      <c r="AZ27" s="373">
        <v>1521.3</v>
      </c>
      <c r="BA27" s="373">
        <v>644.86</v>
      </c>
      <c r="BB27" s="373">
        <v>2452.7280000000001</v>
      </c>
    </row>
    <row r="28" spans="1:54" ht="12.95" customHeight="1" thickBot="1" x14ac:dyDescent="0.35">
      <c r="A28" s="384"/>
      <c r="B28" s="628"/>
      <c r="C28" s="634"/>
      <c r="D28" s="635"/>
      <c r="E28" s="376"/>
      <c r="F28" s="376"/>
      <c r="G28" s="608" t="s">
        <v>913</v>
      </c>
      <c r="H28" s="572">
        <f>+FCS!I862</f>
        <v>0</v>
      </c>
      <c r="I28" s="572">
        <f>+FCS!K862</f>
        <v>0</v>
      </c>
      <c r="J28" s="574">
        <f>ROUND(+FCS!M862,1)</f>
        <v>0</v>
      </c>
      <c r="K28"/>
      <c r="L28" s="376"/>
      <c r="M28" s="376"/>
      <c r="N28" s="376"/>
      <c r="O28" s="376"/>
      <c r="P28" s="376"/>
      <c r="Q28" s="376"/>
      <c r="R28" s="376"/>
      <c r="S28" s="376"/>
      <c r="T28" s="376"/>
      <c r="U28" s="376"/>
      <c r="V28" s="376"/>
      <c r="W28" s="376"/>
      <c r="X28" s="376"/>
      <c r="Y28" s="376"/>
      <c r="Z28" s="376"/>
      <c r="AA28" s="376"/>
      <c r="AB28" s="376"/>
      <c r="AC28" s="385"/>
      <c r="AD28" s="372"/>
      <c r="AE28" s="372"/>
      <c r="AF28" s="372"/>
      <c r="AG28" s="372"/>
      <c r="AH28" s="372"/>
      <c r="AI28" s="372"/>
      <c r="AJ28" s="377">
        <v>2103.9699999999998</v>
      </c>
      <c r="AK28" s="377">
        <v>25.86</v>
      </c>
      <c r="AL28" s="378">
        <v>2574.5861</v>
      </c>
      <c r="AN28" s="374"/>
      <c r="AO28" s="374"/>
      <c r="AP28" s="388"/>
      <c r="AQ28" s="388"/>
      <c r="AR28" s="388"/>
      <c r="AS28" s="388"/>
      <c r="AT28" s="388"/>
      <c r="AU28" s="388"/>
      <c r="AV28" s="374"/>
      <c r="AW28" s="374"/>
      <c r="AX28" s="380">
        <v>613.41</v>
      </c>
      <c r="AY28" s="380">
        <v>98.3</v>
      </c>
      <c r="AZ28" s="373">
        <v>1521.13</v>
      </c>
      <c r="BA28" s="373">
        <v>649.69000000000005</v>
      </c>
      <c r="BB28" s="373">
        <v>2451.7489999999998</v>
      </c>
    </row>
    <row r="29" spans="1:54" ht="12.95" customHeight="1" thickBot="1" x14ac:dyDescent="0.35">
      <c r="A29" s="384"/>
      <c r="B29" s="628"/>
      <c r="C29" s="634" t="s">
        <v>946</v>
      </c>
      <c r="D29" s="635"/>
      <c r="E29" s="376"/>
      <c r="F29" s="376"/>
      <c r="G29" s="609"/>
      <c r="H29" s="573"/>
      <c r="I29" s="573"/>
      <c r="J29" s="575"/>
      <c r="K29"/>
      <c r="L29" s="376"/>
      <c r="M29" s="376"/>
      <c r="N29" s="376"/>
      <c r="O29" s="376"/>
      <c r="P29" s="376"/>
      <c r="Q29" s="376"/>
      <c r="R29" s="376"/>
      <c r="S29" s="376"/>
      <c r="T29" s="376"/>
      <c r="U29" s="376"/>
      <c r="V29" s="376"/>
      <c r="W29" s="376"/>
      <c r="X29" s="376"/>
      <c r="Y29" s="376"/>
      <c r="Z29" s="376"/>
      <c r="AA29" s="376"/>
      <c r="AB29" s="376"/>
      <c r="AC29" s="385"/>
      <c r="AD29" s="372"/>
      <c r="AE29" s="372"/>
      <c r="AF29" s="372"/>
      <c r="AG29" s="372"/>
      <c r="AH29" s="372"/>
      <c r="AI29" s="372"/>
      <c r="AJ29" s="377">
        <v>2100.09</v>
      </c>
      <c r="AK29" s="377">
        <v>30.95</v>
      </c>
      <c r="AL29" s="378">
        <v>2573.2860000000001</v>
      </c>
      <c r="AN29" s="374"/>
      <c r="AO29" s="374"/>
      <c r="AP29" s="388"/>
      <c r="AQ29" s="388"/>
      <c r="AR29" s="388"/>
      <c r="AS29" s="388"/>
      <c r="AT29" s="388"/>
      <c r="AU29" s="388"/>
      <c r="AV29" s="374"/>
      <c r="AW29" s="374"/>
      <c r="AX29" s="380">
        <v>637.22</v>
      </c>
      <c r="AY29" s="380">
        <v>93.67</v>
      </c>
      <c r="AZ29" s="373">
        <v>1519.77</v>
      </c>
      <c r="BA29" s="373">
        <v>657.08</v>
      </c>
      <c r="BB29" s="373">
        <v>2450.3270000000002</v>
      </c>
    </row>
    <row r="30" spans="1:54" ht="12.95" customHeight="1" thickBot="1" x14ac:dyDescent="0.35">
      <c r="A30" s="384"/>
      <c r="B30" s="628"/>
      <c r="C30" s="634"/>
      <c r="D30" s="635"/>
      <c r="E30" s="376"/>
      <c r="F30" s="376"/>
      <c r="G30" s="600" t="s">
        <v>914</v>
      </c>
      <c r="H30" s="602">
        <f>H26+H28</f>
        <v>628</v>
      </c>
      <c r="I30" s="602">
        <f>I26+I28</f>
        <v>63</v>
      </c>
      <c r="J30" s="604">
        <f>ROUND(+FCS!M863,1)</f>
        <v>101.6</v>
      </c>
      <c r="L30" s="376"/>
      <c r="M30" s="376"/>
      <c r="N30" s="376"/>
      <c r="O30" s="376"/>
      <c r="P30" s="376"/>
      <c r="Q30" s="376"/>
      <c r="R30" s="376"/>
      <c r="S30" s="376"/>
      <c r="T30" s="376"/>
      <c r="U30" s="376"/>
      <c r="V30" s="376"/>
      <c r="W30" s="376"/>
      <c r="X30" s="376"/>
      <c r="Y30" s="376"/>
      <c r="Z30" s="376"/>
      <c r="AA30" s="376"/>
      <c r="AB30" s="376"/>
      <c r="AC30" s="385"/>
      <c r="AD30" s="372"/>
      <c r="AE30" s="372"/>
      <c r="AF30" s="372"/>
      <c r="AG30" s="372"/>
      <c r="AH30" s="372"/>
      <c r="AI30" s="372"/>
      <c r="AJ30" s="377">
        <v>2097.66</v>
      </c>
      <c r="AK30" s="377">
        <v>35.85</v>
      </c>
      <c r="AL30" s="378">
        <v>2572.123</v>
      </c>
      <c r="AN30" s="374"/>
      <c r="AO30" s="374"/>
      <c r="AP30" s="388"/>
      <c r="AQ30" s="388"/>
      <c r="AR30" s="388"/>
      <c r="AS30" s="388"/>
      <c r="AT30" s="388"/>
      <c r="AU30" s="388"/>
      <c r="AV30" s="374"/>
      <c r="AW30" s="374"/>
      <c r="AX30" s="380">
        <v>659.92</v>
      </c>
      <c r="AY30" s="380">
        <v>85.15</v>
      </c>
      <c r="AZ30" s="373">
        <v>1519.08</v>
      </c>
      <c r="BA30" s="373">
        <v>662.8</v>
      </c>
      <c r="BB30" s="373">
        <v>2449.1089999999999</v>
      </c>
    </row>
    <row r="31" spans="1:54" ht="12.95" customHeight="1" thickBot="1" x14ac:dyDescent="0.35">
      <c r="A31" s="389"/>
      <c r="B31" s="628"/>
      <c r="C31" s="634"/>
      <c r="D31" s="635"/>
      <c r="E31" s="376"/>
      <c r="F31" s="376"/>
      <c r="G31" s="601"/>
      <c r="H31" s="603"/>
      <c r="I31" s="603"/>
      <c r="J31" s="605"/>
      <c r="L31" s="376"/>
      <c r="M31" s="376"/>
      <c r="N31" s="376"/>
      <c r="O31" s="376"/>
      <c r="P31" s="376"/>
      <c r="Q31" s="376"/>
      <c r="R31" s="376"/>
      <c r="S31" s="376"/>
      <c r="T31" s="376"/>
      <c r="U31" s="376"/>
      <c r="V31" s="376"/>
      <c r="W31" s="376"/>
      <c r="X31" s="376"/>
      <c r="Y31" s="376"/>
      <c r="Z31" s="376"/>
      <c r="AA31" s="376"/>
      <c r="AB31" s="376"/>
      <c r="AC31" s="385"/>
      <c r="AD31" s="372"/>
      <c r="AE31" s="372"/>
      <c r="AF31" s="372"/>
      <c r="AG31" s="372"/>
      <c r="AH31" s="372"/>
      <c r="AI31" s="372"/>
      <c r="AJ31" s="377">
        <v>2095.23</v>
      </c>
      <c r="AK31" s="377">
        <v>41.31</v>
      </c>
      <c r="AL31" s="378">
        <v>2571.299</v>
      </c>
      <c r="AN31" s="374"/>
      <c r="AO31" s="374"/>
      <c r="AP31" s="388"/>
      <c r="AQ31" s="388"/>
      <c r="AR31" s="388"/>
      <c r="AS31" s="388"/>
      <c r="AT31" s="388"/>
      <c r="AU31" s="388"/>
      <c r="AV31" s="374"/>
      <c r="AW31" s="374"/>
      <c r="AX31" s="380">
        <v>680.9</v>
      </c>
      <c r="AY31" s="380">
        <v>72.989999999999995</v>
      </c>
      <c r="AZ31" s="373">
        <v>1517.72</v>
      </c>
      <c r="BA31" s="373">
        <v>668.09</v>
      </c>
      <c r="BB31" s="373">
        <v>2448.1021000000001</v>
      </c>
    </row>
    <row r="32" spans="1:54" ht="12.95" customHeight="1" thickBot="1" x14ac:dyDescent="0.35">
      <c r="A32" s="389"/>
      <c r="B32" s="628"/>
      <c r="C32" s="634"/>
      <c r="D32" s="635"/>
      <c r="E32" s="376"/>
      <c r="F32" s="376"/>
      <c r="K32" s="376"/>
      <c r="L32" s="376"/>
      <c r="M32" s="376"/>
      <c r="N32" s="376"/>
      <c r="O32" s="376"/>
      <c r="P32" s="376"/>
      <c r="Q32" s="376"/>
      <c r="R32" s="376"/>
      <c r="S32" s="376"/>
      <c r="T32" s="376"/>
      <c r="U32" s="376"/>
      <c r="V32" s="376"/>
      <c r="W32" s="376"/>
      <c r="X32" s="376"/>
      <c r="Y32" s="376"/>
      <c r="Z32" s="376"/>
      <c r="AA32" s="376"/>
      <c r="AB32" s="376"/>
      <c r="AC32" s="371"/>
      <c r="AD32" s="372"/>
      <c r="AE32" s="372"/>
      <c r="AF32" s="372"/>
      <c r="AG32" s="372"/>
      <c r="AH32" s="372"/>
      <c r="AI32" s="372"/>
      <c r="AJ32" s="377">
        <v>2091.08</v>
      </c>
      <c r="AK32" s="377">
        <v>51.12</v>
      </c>
      <c r="AL32" s="378">
        <v>2569.2950000000001</v>
      </c>
      <c r="AN32" s="374"/>
      <c r="AO32" s="374"/>
      <c r="AP32" s="374"/>
      <c r="AQ32" s="374"/>
      <c r="AR32" s="374"/>
      <c r="AS32" s="374"/>
      <c r="AT32" s="374"/>
      <c r="AU32" s="374"/>
      <c r="AV32" s="374"/>
      <c r="AW32" s="374"/>
      <c r="AX32" s="380">
        <v>719.14</v>
      </c>
      <c r="AY32" s="380">
        <v>43.06</v>
      </c>
      <c r="AZ32" s="373">
        <v>1515.28</v>
      </c>
      <c r="BA32" s="373">
        <v>673.04</v>
      </c>
      <c r="BB32" s="373">
        <v>2447.14</v>
      </c>
    </row>
    <row r="33" spans="1:54" ht="15" customHeight="1" thickBot="1" x14ac:dyDescent="0.35">
      <c r="A33" s="389"/>
      <c r="B33" s="628"/>
      <c r="C33" s="634"/>
      <c r="D33" s="635"/>
      <c r="E33" s="408"/>
      <c r="F33" s="408"/>
      <c r="G33" s="376"/>
      <c r="H33" s="376"/>
      <c r="I33" s="376"/>
      <c r="J33" s="376"/>
      <c r="K33" s="376"/>
      <c r="L33" s="376"/>
      <c r="M33" s="376"/>
      <c r="N33" s="376"/>
      <c r="O33" s="376"/>
      <c r="P33" s="376"/>
      <c r="Q33" s="376"/>
      <c r="R33" s="376"/>
      <c r="S33" s="376"/>
      <c r="T33" s="376"/>
      <c r="U33" s="376"/>
      <c r="V33" s="376"/>
      <c r="W33" s="376"/>
      <c r="X33" s="376"/>
      <c r="Y33" s="376"/>
      <c r="Z33" s="376"/>
      <c r="AA33" s="376"/>
      <c r="AB33" s="390"/>
      <c r="AC33" s="391"/>
      <c r="AD33" s="392"/>
      <c r="AE33" s="392"/>
      <c r="AF33" s="392"/>
      <c r="AG33" s="372"/>
      <c r="AH33" s="372"/>
      <c r="AI33" s="372"/>
      <c r="AJ33" s="377">
        <v>2085.73</v>
      </c>
      <c r="AK33" s="377">
        <v>60.03</v>
      </c>
      <c r="AL33" s="378">
        <v>2566.8510000000001</v>
      </c>
      <c r="AN33" s="374"/>
      <c r="AO33" s="374"/>
      <c r="AP33" s="374"/>
      <c r="AQ33" s="374"/>
      <c r="AR33" s="374"/>
      <c r="AS33" s="374"/>
      <c r="AT33" s="374"/>
      <c r="AU33" s="374"/>
      <c r="AV33" s="374"/>
      <c r="AW33" s="374"/>
      <c r="AX33" s="380">
        <v>741.81</v>
      </c>
      <c r="AY33" s="380">
        <v>25.13</v>
      </c>
      <c r="AZ33" s="373">
        <v>1513.08</v>
      </c>
      <c r="BA33" s="373">
        <v>678.2</v>
      </c>
      <c r="BB33" s="373">
        <v>2446.1639</v>
      </c>
    </row>
    <row r="34" spans="1:54" ht="15" customHeight="1" thickBot="1" x14ac:dyDescent="0.35">
      <c r="A34" s="389"/>
      <c r="B34" s="628"/>
      <c r="C34" s="634"/>
      <c r="D34" s="635"/>
      <c r="E34" s="376"/>
      <c r="F34" s="376"/>
      <c r="G34" s="376"/>
      <c r="H34" s="376"/>
      <c r="I34" s="376"/>
      <c r="J34" s="376"/>
      <c r="K34" s="376"/>
      <c r="L34" s="376"/>
      <c r="M34" s="376"/>
      <c r="N34" s="376"/>
      <c r="O34" s="376"/>
      <c r="P34" s="376"/>
      <c r="Q34" s="376"/>
      <c r="R34" s="376"/>
      <c r="S34" s="376"/>
      <c r="T34" s="376"/>
      <c r="U34" s="376"/>
      <c r="V34" s="376"/>
      <c r="W34" s="376"/>
      <c r="X34" s="376"/>
      <c r="Y34" s="376"/>
      <c r="Z34" s="376"/>
      <c r="AA34" s="376"/>
      <c r="AB34" s="376"/>
      <c r="AC34" s="371"/>
      <c r="AD34" s="372"/>
      <c r="AE34" s="372"/>
      <c r="AF34" s="372"/>
      <c r="AG34" s="372"/>
      <c r="AH34" s="372"/>
      <c r="AI34" s="372"/>
      <c r="AJ34" s="377">
        <v>2079.2800000000002</v>
      </c>
      <c r="AK34" s="377">
        <v>68.67</v>
      </c>
      <c r="AL34" s="378">
        <v>2563.7489999999998</v>
      </c>
      <c r="AN34" s="374"/>
      <c r="AO34" s="374"/>
      <c r="AP34" s="374"/>
      <c r="AQ34" s="374"/>
      <c r="AR34" s="374"/>
      <c r="AS34" s="374"/>
      <c r="AT34" s="374"/>
      <c r="AU34" s="374"/>
      <c r="AV34" s="374"/>
      <c r="AW34" s="374"/>
      <c r="AX34" s="380">
        <v>761.46</v>
      </c>
      <c r="AY34" s="380">
        <v>25.06</v>
      </c>
      <c r="AZ34" s="373">
        <v>1511.17</v>
      </c>
      <c r="BA34" s="373">
        <v>682.92</v>
      </c>
      <c r="BB34" s="373">
        <v>2445.2339999999999</v>
      </c>
    </row>
    <row r="35" spans="1:54" ht="15" customHeight="1" x14ac:dyDescent="0.3">
      <c r="A35" s="389"/>
      <c r="B35" s="628"/>
      <c r="C35" s="376"/>
      <c r="D35" s="376"/>
      <c r="E35" s="376"/>
      <c r="F35" s="376"/>
      <c r="G35" s="376"/>
      <c r="H35" s="376"/>
      <c r="I35" s="376"/>
      <c r="J35" s="376"/>
      <c r="K35" s="376"/>
      <c r="L35" s="376"/>
      <c r="M35" s="376"/>
      <c r="N35" s="376"/>
      <c r="O35" s="376"/>
      <c r="P35" s="376"/>
      <c r="Q35" s="376"/>
      <c r="R35" s="376"/>
      <c r="S35" s="376"/>
      <c r="T35" s="376"/>
      <c r="U35" s="376"/>
      <c r="V35" s="376"/>
      <c r="W35" s="376"/>
      <c r="X35" s="376"/>
      <c r="Y35" s="376"/>
      <c r="Z35" s="376"/>
      <c r="AA35" s="376"/>
      <c r="AB35" s="376"/>
      <c r="AC35" s="371"/>
      <c r="AD35" s="372"/>
      <c r="AE35" s="372"/>
      <c r="AF35" s="372"/>
      <c r="AG35" s="372"/>
      <c r="AH35" s="372"/>
      <c r="AI35" s="372"/>
      <c r="AJ35" s="377">
        <v>2074.2600000000002</v>
      </c>
      <c r="AK35" s="377">
        <v>80.58</v>
      </c>
      <c r="AL35" s="378">
        <v>2560.105</v>
      </c>
      <c r="AN35" s="374"/>
      <c r="AO35" s="374"/>
      <c r="AP35" s="374"/>
      <c r="AQ35" s="374"/>
      <c r="AR35" s="374"/>
      <c r="AS35" s="374"/>
      <c r="AT35" s="374"/>
      <c r="AU35" s="374"/>
      <c r="AV35" s="374"/>
      <c r="AW35" s="374"/>
      <c r="AX35" s="380">
        <v>785.74</v>
      </c>
      <c r="AY35" s="380">
        <v>24.97</v>
      </c>
      <c r="AZ35" s="373">
        <v>1509.46</v>
      </c>
      <c r="BA35" s="373">
        <v>687.74</v>
      </c>
      <c r="BB35" s="373">
        <v>2444.058</v>
      </c>
    </row>
    <row r="36" spans="1:54" ht="15" customHeight="1" thickBot="1" x14ac:dyDescent="0.35">
      <c r="A36" s="389"/>
      <c r="B36" s="393"/>
      <c r="C36" s="376"/>
      <c r="D36" s="376"/>
      <c r="E36" s="395" t="s">
        <v>905</v>
      </c>
      <c r="F36" s="396"/>
      <c r="G36" s="397" t="s">
        <v>906</v>
      </c>
      <c r="H36" s="562" t="str">
        <f>+UPPER(TEXT(SUBTOTAL(5,Table1[Column6]),"dd-mmm"))</f>
        <v>01-MAR</v>
      </c>
      <c r="I36" s="562"/>
      <c r="J36" s="397" t="s">
        <v>7</v>
      </c>
      <c r="K36" s="562" t="str">
        <f>+UPPER(TEXT(SUBTOTAL(4,Table1[Column6]),"dd-mmm"))</f>
        <v>31-MAR</v>
      </c>
      <c r="L36" s="562"/>
      <c r="M36" s="398"/>
      <c r="N36" s="398"/>
      <c r="O36" s="376"/>
      <c r="P36" s="376"/>
      <c r="Q36" s="376"/>
      <c r="R36" s="376"/>
      <c r="S36" s="376"/>
      <c r="T36" s="376"/>
      <c r="U36" s="376"/>
      <c r="V36" s="376"/>
      <c r="W36" s="376"/>
      <c r="X36" s="376"/>
      <c r="Y36" s="376"/>
      <c r="Z36" s="376"/>
      <c r="AA36" s="376"/>
      <c r="AB36" s="376"/>
      <c r="AC36" s="371"/>
      <c r="AD36" s="372"/>
      <c r="AE36" s="372"/>
      <c r="AF36" s="372"/>
      <c r="AG36" s="372"/>
      <c r="AH36" s="372"/>
      <c r="AI36" s="372"/>
      <c r="AJ36" s="377">
        <v>2073.7199999999998</v>
      </c>
      <c r="AK36" s="377">
        <v>89.67</v>
      </c>
      <c r="AL36" s="378">
        <v>2557.3764000000001</v>
      </c>
      <c r="AN36" s="374"/>
      <c r="AO36" s="374"/>
      <c r="AP36" s="374"/>
      <c r="AQ36" s="374"/>
      <c r="AR36" s="374"/>
      <c r="AS36" s="374"/>
      <c r="AT36" s="374"/>
      <c r="AU36" s="374"/>
      <c r="AV36" s="374"/>
      <c r="AW36" s="374"/>
      <c r="AX36" s="380">
        <v>810.02</v>
      </c>
      <c r="AY36" s="380">
        <v>24.91</v>
      </c>
      <c r="AZ36" s="373">
        <v>1506.24</v>
      </c>
      <c r="BA36" s="373">
        <v>693.95</v>
      </c>
      <c r="BB36" s="373">
        <v>2442.7510000000002</v>
      </c>
    </row>
    <row r="37" spans="1:54" ht="15" customHeight="1" thickTop="1" x14ac:dyDescent="0.3">
      <c r="A37" s="389"/>
      <c r="B37" s="393"/>
      <c r="C37" s="376"/>
      <c r="D37" s="376"/>
      <c r="E37" s="563" t="s">
        <v>907</v>
      </c>
      <c r="F37" s="564"/>
      <c r="G37" s="564"/>
      <c r="H37" s="564"/>
      <c r="I37" s="564"/>
      <c r="J37" s="564"/>
      <c r="K37" s="564"/>
      <c r="L37" s="565"/>
      <c r="M37" s="398"/>
      <c r="O37" s="376"/>
      <c r="P37" s="376"/>
      <c r="Q37" s="566" t="s">
        <v>918</v>
      </c>
      <c r="R37" s="566"/>
      <c r="S37" s="566"/>
      <c r="T37" s="566"/>
      <c r="U37" s="566"/>
      <c r="V37" s="566"/>
      <c r="W37" s="566"/>
      <c r="X37" s="376"/>
      <c r="Y37" s="376"/>
      <c r="Z37" s="376"/>
      <c r="AA37" s="376"/>
      <c r="AB37" s="376"/>
      <c r="AC37" s="371"/>
      <c r="AD37" s="372"/>
      <c r="AE37" s="372"/>
      <c r="AF37" s="372"/>
      <c r="AG37" s="372"/>
      <c r="AH37" s="372"/>
      <c r="AI37" s="372"/>
      <c r="AJ37" s="377">
        <v>2074.9299999999998</v>
      </c>
      <c r="AK37" s="377">
        <v>95.49</v>
      </c>
      <c r="AL37" s="378">
        <v>2555.7719999999999</v>
      </c>
      <c r="AN37" s="374"/>
      <c r="AO37" s="374"/>
      <c r="AP37" s="374"/>
      <c r="AQ37" s="374"/>
      <c r="AR37" s="374"/>
      <c r="AS37" s="374"/>
      <c r="AT37" s="374"/>
      <c r="AU37" s="374"/>
      <c r="AV37" s="374"/>
      <c r="AW37" s="374"/>
      <c r="AX37" s="380">
        <v>834.3</v>
      </c>
      <c r="AY37" s="380">
        <v>24.99</v>
      </c>
      <c r="AZ37" s="373">
        <v>1502.55</v>
      </c>
      <c r="BA37" s="373">
        <v>699.04</v>
      </c>
      <c r="BB37" s="373">
        <v>2441.5740000000001</v>
      </c>
    </row>
    <row r="38" spans="1:54" ht="15" customHeight="1" x14ac:dyDescent="0.3">
      <c r="A38" s="389"/>
      <c r="B38" s="393"/>
      <c r="C38" s="376"/>
      <c r="D38" s="376"/>
      <c r="E38" s="580" t="s">
        <v>908</v>
      </c>
      <c r="F38" s="581"/>
      <c r="G38" s="584" t="s">
        <v>909</v>
      </c>
      <c r="H38" s="585"/>
      <c r="I38" s="588" t="s">
        <v>910</v>
      </c>
      <c r="J38" s="589"/>
      <c r="K38" s="584" t="s">
        <v>911</v>
      </c>
      <c r="L38" s="592"/>
      <c r="P38" s="399"/>
      <c r="Q38" s="594" t="s">
        <v>920</v>
      </c>
      <c r="R38" s="594"/>
      <c r="S38" s="594"/>
      <c r="T38" s="594"/>
      <c r="U38" s="594"/>
      <c r="V38" s="594"/>
      <c r="W38" s="274">
        <f>G40+I40+G41+I41</f>
        <v>691</v>
      </c>
      <c r="X38" s="376"/>
      <c r="Y38" s="376"/>
      <c r="Z38" s="376"/>
      <c r="AA38" s="376"/>
      <c r="AB38" s="376"/>
      <c r="AC38" s="371"/>
      <c r="AD38" s="372"/>
      <c r="AE38" s="372"/>
      <c r="AF38" s="372"/>
      <c r="AG38" s="372"/>
      <c r="AH38" s="372"/>
      <c r="AI38" s="372"/>
      <c r="AJ38" s="377">
        <v>2078.61</v>
      </c>
      <c r="AK38" s="377">
        <v>102.78</v>
      </c>
      <c r="AL38" s="378">
        <v>2553.598</v>
      </c>
      <c r="AN38" s="374"/>
      <c r="AO38" s="374"/>
      <c r="AP38" s="374"/>
      <c r="AQ38" s="374"/>
      <c r="AR38" s="374"/>
      <c r="AS38" s="374"/>
      <c r="AT38" s="374"/>
      <c r="AU38" s="374"/>
      <c r="AV38" s="374"/>
      <c r="AW38" s="374"/>
      <c r="AX38" s="380">
        <v>858.58</v>
      </c>
      <c r="AY38" s="380">
        <v>24.99</v>
      </c>
      <c r="AZ38" s="373">
        <v>1499.88</v>
      </c>
      <c r="BA38" s="373">
        <v>702.46</v>
      </c>
      <c r="BB38" s="373">
        <v>2440.4760000000001</v>
      </c>
    </row>
    <row r="39" spans="1:54" ht="15" customHeight="1" x14ac:dyDescent="0.3">
      <c r="A39" s="389"/>
      <c r="B39" s="393"/>
      <c r="C39" s="376"/>
      <c r="D39" s="376"/>
      <c r="E39" s="582"/>
      <c r="F39" s="583"/>
      <c r="G39" s="586"/>
      <c r="H39" s="587"/>
      <c r="I39" s="590"/>
      <c r="J39" s="591"/>
      <c r="K39" s="586"/>
      <c r="L39" s="593"/>
      <c r="N39" s="411">
        <f ca="1">TODAY()</f>
        <v>46118</v>
      </c>
      <c r="Q39" s="595" t="s">
        <v>922</v>
      </c>
      <c r="R39" s="595"/>
      <c r="S39" s="595"/>
      <c r="T39" s="595"/>
      <c r="U39" s="595"/>
      <c r="V39" s="595"/>
      <c r="W39" s="275">
        <f>G41+I41</f>
        <v>0</v>
      </c>
      <c r="X39" s="376"/>
      <c r="Y39" s="376"/>
      <c r="Z39" s="376"/>
      <c r="AA39" s="376"/>
      <c r="AB39" s="376"/>
      <c r="AC39" s="371"/>
      <c r="AD39" s="372"/>
      <c r="AE39" s="372"/>
      <c r="AF39" s="372"/>
      <c r="AG39" s="372"/>
      <c r="AH39" s="372"/>
      <c r="AI39" s="372"/>
      <c r="AJ39" s="377">
        <v>2081.79</v>
      </c>
      <c r="AK39" s="377">
        <v>105.5</v>
      </c>
      <c r="AL39" s="378">
        <v>2552.8470000000002</v>
      </c>
      <c r="AN39" s="374"/>
      <c r="AO39" s="374"/>
      <c r="AP39" s="374"/>
      <c r="AQ39" s="374"/>
      <c r="AR39" s="374"/>
      <c r="AS39" s="374"/>
      <c r="AT39" s="374"/>
      <c r="AU39" s="374"/>
      <c r="AV39" s="374"/>
      <c r="AW39" s="374"/>
      <c r="AX39" s="380">
        <v>882.86</v>
      </c>
      <c r="AY39" s="380">
        <v>24.99</v>
      </c>
      <c r="AZ39" s="373">
        <v>1495.48</v>
      </c>
      <c r="BA39" s="373">
        <v>710.11</v>
      </c>
      <c r="BB39" s="373">
        <v>2437.701</v>
      </c>
    </row>
    <row r="40" spans="1:54" ht="15" customHeight="1" x14ac:dyDescent="0.3">
      <c r="A40" s="389"/>
      <c r="B40" s="393"/>
      <c r="C40" s="376"/>
      <c r="D40" s="376"/>
      <c r="E40" s="614" t="s">
        <v>912</v>
      </c>
      <c r="F40" s="615"/>
      <c r="G40" s="612">
        <f>+FCS!I861</f>
        <v>628</v>
      </c>
      <c r="H40" s="613"/>
      <c r="I40" s="612">
        <f>+FCS!K861</f>
        <v>63</v>
      </c>
      <c r="J40" s="613"/>
      <c r="K40" s="626">
        <f>+FCS!M861</f>
        <v>101.57143984701682</v>
      </c>
      <c r="L40" s="627"/>
      <c r="N40" s="373">
        <f ca="1">WEEKNUM(N39)</f>
        <v>15</v>
      </c>
      <c r="Q40" s="596" t="s">
        <v>924</v>
      </c>
      <c r="R40" s="596"/>
      <c r="S40" s="596"/>
      <c r="T40" s="596"/>
      <c r="U40" s="596"/>
      <c r="V40" s="596"/>
      <c r="W40" s="273">
        <f>W39/W38</f>
        <v>0</v>
      </c>
      <c r="X40" s="376"/>
      <c r="Y40" s="376"/>
      <c r="Z40" s="376"/>
      <c r="AA40" s="376"/>
      <c r="AB40" s="376"/>
      <c r="AC40" s="371"/>
      <c r="AD40" s="372"/>
      <c r="AE40" s="372"/>
      <c r="AF40" s="372"/>
      <c r="AG40" s="372"/>
      <c r="AH40" s="372"/>
      <c r="AI40" s="372"/>
      <c r="AJ40" s="377">
        <v>2087.2199999999998</v>
      </c>
      <c r="AK40" s="377">
        <v>109.94</v>
      </c>
      <c r="AL40" s="378">
        <v>2552.105</v>
      </c>
      <c r="AN40" s="374"/>
      <c r="AO40" s="374"/>
      <c r="AP40" s="374"/>
      <c r="AQ40" s="374"/>
      <c r="AR40" s="374"/>
      <c r="AS40" s="374"/>
      <c r="AT40" s="374"/>
      <c r="AU40" s="374"/>
      <c r="AV40" s="374"/>
      <c r="AW40" s="374"/>
      <c r="AX40" s="380">
        <v>907.14</v>
      </c>
      <c r="AY40" s="380">
        <v>24.99</v>
      </c>
      <c r="AZ40" s="373">
        <v>1494.05</v>
      </c>
      <c r="BA40" s="373">
        <v>714.19</v>
      </c>
      <c r="BB40" s="373">
        <v>2435.9989999999998</v>
      </c>
    </row>
    <row r="41" spans="1:54" ht="15" customHeight="1" x14ac:dyDescent="0.3">
      <c r="A41" s="389"/>
      <c r="B41" s="393"/>
      <c r="C41" s="376"/>
      <c r="D41" s="376"/>
      <c r="E41" s="614" t="s">
        <v>913</v>
      </c>
      <c r="F41" s="615"/>
      <c r="G41" s="624">
        <f>+FCS!I862</f>
        <v>0</v>
      </c>
      <c r="H41" s="625"/>
      <c r="I41" s="624">
        <f>+FCS!K862</f>
        <v>0</v>
      </c>
      <c r="J41" s="625"/>
      <c r="K41" s="622">
        <f>+FCS!M862</f>
        <v>0</v>
      </c>
      <c r="L41" s="623"/>
      <c r="Q41" s="400"/>
      <c r="R41" s="400"/>
      <c r="S41" s="400"/>
      <c r="T41" s="400"/>
      <c r="U41" s="400"/>
      <c r="V41" s="400"/>
      <c r="X41" s="376"/>
      <c r="Y41" s="376"/>
      <c r="Z41" s="376"/>
      <c r="AA41" s="376"/>
      <c r="AB41" s="376"/>
      <c r="AC41" s="371"/>
      <c r="AD41" s="372"/>
      <c r="AE41" s="372"/>
      <c r="AF41" s="372"/>
      <c r="AG41" s="372"/>
      <c r="AH41" s="372"/>
      <c r="AI41" s="372"/>
      <c r="AJ41" s="377">
        <v>2091.37</v>
      </c>
      <c r="AK41" s="377">
        <v>113.69</v>
      </c>
      <c r="AL41" s="378">
        <v>2551.9479999999999</v>
      </c>
      <c r="AN41" s="374"/>
      <c r="AO41" s="374"/>
      <c r="AP41" s="374"/>
      <c r="AQ41" s="374"/>
      <c r="AR41" s="374"/>
      <c r="AS41" s="374"/>
      <c r="AT41" s="374"/>
      <c r="AU41" s="374"/>
      <c r="AV41" s="374"/>
      <c r="AW41" s="374"/>
      <c r="AX41" s="380">
        <v>931.42</v>
      </c>
      <c r="AY41" s="380">
        <v>24.99</v>
      </c>
      <c r="AZ41" s="373">
        <v>1493.05</v>
      </c>
      <c r="BA41" s="373">
        <v>718.12</v>
      </c>
      <c r="BB41" s="373">
        <v>2434.73</v>
      </c>
    </row>
    <row r="42" spans="1:54" ht="15" customHeight="1" thickBot="1" x14ac:dyDescent="0.35">
      <c r="A42" s="389"/>
      <c r="B42" s="393"/>
      <c r="C42" s="376"/>
      <c r="D42" s="376"/>
      <c r="E42" s="620" t="s">
        <v>914</v>
      </c>
      <c r="F42" s="621"/>
      <c r="G42" s="618">
        <f>+G40+G41</f>
        <v>628</v>
      </c>
      <c r="H42" s="619"/>
      <c r="I42" s="618">
        <f>I40+I41</f>
        <v>63</v>
      </c>
      <c r="J42" s="619"/>
      <c r="K42" s="616">
        <f>+FCS!M863</f>
        <v>101.57143984701682</v>
      </c>
      <c r="L42" s="617"/>
      <c r="AA42" s="376"/>
      <c r="AB42" s="376"/>
      <c r="AC42" s="401"/>
      <c r="AD42" s="402"/>
      <c r="AE42" s="402"/>
      <c r="AF42" s="403"/>
      <c r="AG42" s="372"/>
      <c r="AH42" s="372"/>
      <c r="AI42" s="372"/>
      <c r="AJ42" s="377">
        <v>2092.0500000000002</v>
      </c>
      <c r="AK42" s="377">
        <v>114.84</v>
      </c>
      <c r="AL42" s="378">
        <v>2551.8854999999999</v>
      </c>
      <c r="AN42" s="374"/>
      <c r="AO42" s="374"/>
      <c r="AP42" s="374"/>
      <c r="AQ42" s="374"/>
      <c r="AR42" s="374"/>
      <c r="AS42" s="374"/>
      <c r="AT42" s="374"/>
      <c r="AU42" s="374"/>
      <c r="AV42" s="374"/>
      <c r="AW42" s="374"/>
      <c r="AX42" s="380">
        <v>955.7</v>
      </c>
      <c r="AY42" s="380">
        <v>24.99</v>
      </c>
      <c r="AZ42" s="373">
        <v>1488.69</v>
      </c>
      <c r="BA42" s="373">
        <v>715.5</v>
      </c>
      <c r="BB42" s="373">
        <v>2434.723</v>
      </c>
    </row>
    <row r="43" spans="1:54" ht="15" customHeight="1" thickTop="1" x14ac:dyDescent="0.3">
      <c r="A43" s="389"/>
      <c r="B43" s="393"/>
      <c r="C43" s="376"/>
      <c r="D43" s="376"/>
      <c r="AA43" s="376"/>
      <c r="AB43" s="376"/>
      <c r="AC43" s="371"/>
      <c r="AD43" s="372"/>
      <c r="AE43" s="372"/>
      <c r="AF43" s="372"/>
      <c r="AG43" s="372"/>
      <c r="AH43" s="372"/>
      <c r="AI43" s="372"/>
      <c r="AJ43" s="377">
        <v>2092.0500000000002</v>
      </c>
      <c r="AK43" s="377">
        <v>114.85</v>
      </c>
      <c r="AL43" s="378">
        <v>2551.8854999999999</v>
      </c>
      <c r="AN43" s="374"/>
      <c r="AO43" s="374"/>
      <c r="AP43" s="374"/>
      <c r="AQ43" s="374"/>
      <c r="AR43" s="374"/>
      <c r="AS43" s="374"/>
      <c r="AT43" s="374"/>
      <c r="AU43" s="374"/>
      <c r="AV43" s="374"/>
      <c r="AW43" s="374"/>
      <c r="AX43" s="380">
        <v>979.98</v>
      </c>
      <c r="AY43" s="380">
        <v>24.99</v>
      </c>
      <c r="AZ43" s="373">
        <v>1485.46</v>
      </c>
      <c r="BA43" s="373">
        <v>715.59</v>
      </c>
      <c r="BB43" s="373">
        <v>2434.4499999999998</v>
      </c>
    </row>
    <row r="44" spans="1:54" ht="15" customHeight="1" x14ac:dyDescent="0.3">
      <c r="A44" s="384"/>
      <c r="B44" s="404"/>
      <c r="C44" s="405"/>
      <c r="D44" s="405"/>
      <c r="E44" s="405"/>
      <c r="F44" s="406"/>
      <c r="G44" s="376"/>
      <c r="H44" s="376"/>
      <c r="I44" s="406"/>
      <c r="J44" s="405"/>
      <c r="K44" s="405"/>
      <c r="L44" s="394"/>
      <c r="M44" s="394"/>
      <c r="N44" s="405"/>
      <c r="O44" s="405"/>
      <c r="P44" s="405"/>
      <c r="Q44" s="394"/>
      <c r="R44" s="394"/>
      <c r="S44" s="405"/>
      <c r="T44" s="394"/>
      <c r="U44" s="405"/>
      <c r="V44" s="405"/>
      <c r="W44" s="394"/>
      <c r="X44" s="394"/>
      <c r="Y44" s="394"/>
      <c r="Z44" s="394"/>
      <c r="AA44" s="394"/>
      <c r="AB44" s="394"/>
      <c r="AC44" s="394"/>
      <c r="AD44" s="372"/>
      <c r="AE44" s="372"/>
      <c r="AF44" s="372"/>
      <c r="AG44" s="372"/>
      <c r="AH44" s="372"/>
      <c r="AI44" s="372"/>
      <c r="AJ44" s="377">
        <v>2091.73</v>
      </c>
      <c r="AK44" s="377">
        <v>117.48</v>
      </c>
      <c r="AL44" s="378">
        <v>2551.7820999999999</v>
      </c>
      <c r="AN44" s="374"/>
      <c r="AO44" s="374"/>
      <c r="AP44" s="374"/>
      <c r="AQ44" s="374"/>
      <c r="AR44" s="374"/>
      <c r="AS44" s="374"/>
      <c r="AT44" s="374"/>
      <c r="AU44" s="374"/>
      <c r="AV44" s="374"/>
      <c r="AW44" s="374"/>
      <c r="AX44" s="380">
        <v>1004.26</v>
      </c>
      <c r="AY44" s="380">
        <v>24.99</v>
      </c>
      <c r="AZ44" s="373">
        <v>1481.01</v>
      </c>
      <c r="BA44" s="373">
        <v>715.1</v>
      </c>
      <c r="BB44" s="373">
        <v>2433.7271000000001</v>
      </c>
    </row>
    <row r="45" spans="1:54" ht="22.5" customHeight="1" x14ac:dyDescent="0.3">
      <c r="A45" s="372"/>
      <c r="B45" s="376"/>
      <c r="C45" s="376"/>
      <c r="D45" s="376"/>
      <c r="E45" s="376"/>
      <c r="K45" s="388"/>
      <c r="L45" s="388"/>
      <c r="M45" s="388"/>
      <c r="N45" s="388"/>
      <c r="O45" s="388"/>
      <c r="P45" s="388"/>
      <c r="Q45" s="388"/>
      <c r="R45" s="388"/>
      <c r="S45" s="376"/>
      <c r="T45" s="376"/>
      <c r="U45" s="376"/>
      <c r="V45" s="376"/>
      <c r="W45" s="376"/>
      <c r="X45" s="376"/>
      <c r="Y45" s="376"/>
      <c r="Z45" s="376"/>
      <c r="AA45" s="376"/>
      <c r="AB45" s="376"/>
      <c r="AC45" s="376"/>
      <c r="AD45" s="372"/>
      <c r="AE45" s="372"/>
      <c r="AF45" s="372"/>
      <c r="AG45" s="372"/>
      <c r="AH45" s="372"/>
      <c r="AI45" s="372"/>
      <c r="AJ45" s="377">
        <v>2087.79</v>
      </c>
      <c r="AK45" s="377">
        <v>122.48</v>
      </c>
      <c r="AL45" s="378">
        <v>2551.6475</v>
      </c>
      <c r="AN45" s="374"/>
      <c r="AO45" s="374"/>
      <c r="AP45" s="374"/>
      <c r="AQ45" s="374"/>
      <c r="AR45" s="374"/>
      <c r="AS45" s="374"/>
      <c r="AT45" s="374"/>
      <c r="AU45" s="374"/>
      <c r="AV45" s="374"/>
      <c r="AW45" s="374"/>
      <c r="AX45" s="380">
        <v>1028.54</v>
      </c>
      <c r="AY45" s="380">
        <v>24.99</v>
      </c>
      <c r="AZ45" s="373">
        <v>1481.69</v>
      </c>
      <c r="BA45" s="373">
        <v>719.4</v>
      </c>
      <c r="BB45" s="373">
        <v>2431.6410000000001</v>
      </c>
    </row>
    <row r="46" spans="1:54" ht="29.1" customHeight="1" x14ac:dyDescent="0.3">
      <c r="A46" s="372"/>
      <c r="B46" s="376"/>
      <c r="C46" s="376"/>
      <c r="D46" s="376"/>
      <c r="E46" s="376"/>
      <c r="K46" s="388"/>
      <c r="L46" s="388"/>
      <c r="M46" s="388"/>
      <c r="N46" s="388"/>
      <c r="O46" s="388"/>
      <c r="P46" s="388"/>
      <c r="Q46" s="388"/>
      <c r="R46" s="388"/>
      <c r="S46" s="376"/>
      <c r="T46" s="376"/>
      <c r="U46" s="376"/>
      <c r="V46" s="376"/>
      <c r="W46" s="376"/>
      <c r="X46" s="376"/>
      <c r="Y46" s="376"/>
      <c r="Z46" s="376"/>
      <c r="AA46" s="376"/>
      <c r="AB46" s="376"/>
      <c r="AC46" s="376"/>
      <c r="AD46" s="372"/>
      <c r="AE46" s="372"/>
      <c r="AF46" s="372"/>
      <c r="AG46" s="372"/>
      <c r="AH46" s="372"/>
      <c r="AI46" s="372"/>
      <c r="AJ46" s="377">
        <v>2085.13</v>
      </c>
      <c r="AK46" s="377">
        <v>125.43</v>
      </c>
      <c r="AL46" s="378">
        <v>2551.5729999999999</v>
      </c>
      <c r="AN46" s="374"/>
      <c r="AO46" s="374"/>
      <c r="AP46" s="374"/>
      <c r="AQ46" s="374"/>
      <c r="AR46" s="374"/>
      <c r="AS46" s="374"/>
      <c r="AT46" s="374"/>
      <c r="AU46" s="374"/>
      <c r="AV46" s="374"/>
      <c r="AW46" s="374"/>
      <c r="AX46" s="380">
        <v>1052.82</v>
      </c>
      <c r="AY46" s="380">
        <v>24.99</v>
      </c>
      <c r="AZ46" s="373">
        <v>1483.17</v>
      </c>
      <c r="BA46" s="373">
        <v>721.96</v>
      </c>
      <c r="BB46" s="373">
        <v>2430.2869999999998</v>
      </c>
    </row>
    <row r="47" spans="1:54" ht="18.95" customHeight="1" x14ac:dyDescent="0.3">
      <c r="A47" s="372"/>
      <c r="B47" s="376"/>
      <c r="C47" s="376"/>
      <c r="D47" s="376"/>
      <c r="E47" s="376"/>
      <c r="L47" s="388"/>
      <c r="M47" s="388"/>
      <c r="N47" s="388"/>
      <c r="O47" s="388"/>
      <c r="P47" s="388"/>
      <c r="Q47" s="388"/>
      <c r="R47" s="388"/>
      <c r="S47" s="376"/>
      <c r="T47" s="376"/>
      <c r="U47" s="376"/>
      <c r="V47" s="376"/>
      <c r="W47" s="376"/>
      <c r="X47" s="376"/>
      <c r="Y47" s="376"/>
      <c r="Z47" s="376"/>
      <c r="AA47" s="376"/>
      <c r="AB47" s="376"/>
      <c r="AC47" s="376"/>
      <c r="AD47" s="372"/>
      <c r="AE47" s="372"/>
      <c r="AF47" s="372"/>
      <c r="AG47" s="372"/>
      <c r="AH47" s="372"/>
      <c r="AI47" s="372"/>
      <c r="AJ47" s="377">
        <v>2084.1799999999998</v>
      </c>
      <c r="AK47" s="377">
        <v>126.56</v>
      </c>
      <c r="AL47" s="378">
        <v>2551.4650000000001</v>
      </c>
      <c r="AN47" s="374"/>
      <c r="AO47" s="374"/>
      <c r="AP47" s="374"/>
      <c r="AQ47" s="374"/>
      <c r="AR47" s="374"/>
      <c r="AS47" s="374"/>
      <c r="AT47" s="374"/>
      <c r="AU47" s="374"/>
      <c r="AV47" s="374"/>
      <c r="AW47" s="374"/>
      <c r="AX47" s="380">
        <v>1077.0999999999999</v>
      </c>
      <c r="AY47" s="380">
        <v>24.99</v>
      </c>
      <c r="AZ47" s="373">
        <v>1485.18</v>
      </c>
      <c r="BA47" s="373">
        <v>724.27</v>
      </c>
      <c r="BB47" s="373">
        <v>2429.4611</v>
      </c>
    </row>
    <row r="48" spans="1:54" ht="18.95" customHeight="1" x14ac:dyDescent="0.3">
      <c r="A48" s="372"/>
      <c r="B48" s="376"/>
      <c r="C48" s="376"/>
      <c r="D48" s="376"/>
      <c r="E48" s="376"/>
      <c r="K48" s="388"/>
      <c r="L48" s="388"/>
      <c r="M48" s="388"/>
      <c r="N48" s="388"/>
      <c r="O48" s="388"/>
      <c r="P48" s="388"/>
      <c r="Q48" s="388"/>
      <c r="R48" s="388"/>
      <c r="S48" s="376"/>
      <c r="T48" s="376"/>
      <c r="U48" s="376"/>
      <c r="V48" s="376"/>
      <c r="W48" s="376"/>
      <c r="X48" s="376"/>
      <c r="Y48" s="376"/>
      <c r="Z48" s="376"/>
      <c r="AA48" s="376"/>
      <c r="AB48" s="376"/>
      <c r="AC48" s="376"/>
      <c r="AD48" s="372"/>
      <c r="AE48" s="372"/>
      <c r="AF48" s="372"/>
      <c r="AG48" s="372"/>
      <c r="AH48" s="372"/>
      <c r="AI48" s="372"/>
      <c r="AJ48" s="377">
        <v>2076.92</v>
      </c>
      <c r="AK48" s="377">
        <v>130.85</v>
      </c>
      <c r="AL48" s="378">
        <v>2551.3316</v>
      </c>
      <c r="AN48" s="374"/>
      <c r="AO48" s="374"/>
      <c r="AP48" s="374"/>
      <c r="AQ48" s="374"/>
      <c r="AR48" s="374"/>
      <c r="AS48" s="374"/>
      <c r="AT48" s="374"/>
      <c r="AU48" s="374"/>
      <c r="AV48" s="374"/>
      <c r="AW48" s="374"/>
      <c r="AX48" s="380">
        <v>1101.3800000000001</v>
      </c>
      <c r="AY48" s="380">
        <v>24.99</v>
      </c>
      <c r="AZ48" s="373">
        <v>1488.55</v>
      </c>
      <c r="BA48" s="373">
        <v>726.76</v>
      </c>
      <c r="BB48" s="373">
        <v>2428.4340000000002</v>
      </c>
    </row>
    <row r="49" spans="1:54" ht="18.95" customHeight="1" x14ac:dyDescent="0.3">
      <c r="A49" s="372"/>
      <c r="B49" s="376"/>
      <c r="C49" s="376"/>
      <c r="D49" s="376"/>
      <c r="E49" s="376"/>
      <c r="K49" s="388"/>
      <c r="L49" s="388"/>
      <c r="M49" s="388"/>
      <c r="N49" s="388"/>
      <c r="O49" s="388"/>
      <c r="P49" s="388"/>
      <c r="Q49" s="388"/>
      <c r="R49" s="388"/>
      <c r="S49" s="376"/>
      <c r="T49" s="376"/>
      <c r="U49" s="376"/>
      <c r="V49" s="376"/>
      <c r="W49" s="376"/>
      <c r="X49" s="376"/>
      <c r="Y49" s="376"/>
      <c r="Z49" s="376"/>
      <c r="AA49" s="376"/>
      <c r="AB49" s="376"/>
      <c r="AC49" s="376"/>
      <c r="AD49" s="372"/>
      <c r="AE49" s="372"/>
      <c r="AF49" s="372"/>
      <c r="AG49" s="372"/>
      <c r="AH49" s="372"/>
      <c r="AI49" s="372"/>
      <c r="AJ49" s="377">
        <v>2076.92</v>
      </c>
      <c r="AK49" s="377">
        <v>130.85</v>
      </c>
      <c r="AL49" s="378">
        <v>2551.3316</v>
      </c>
      <c r="AN49" s="374"/>
      <c r="AO49" s="374"/>
      <c r="AP49" s="374"/>
      <c r="AQ49" s="374"/>
      <c r="AR49" s="374"/>
      <c r="AS49" s="374"/>
      <c r="AT49" s="374"/>
      <c r="AU49" s="374"/>
      <c r="AV49" s="374"/>
      <c r="AW49" s="374"/>
      <c r="AX49" s="380">
        <v>1125.6600000000001</v>
      </c>
      <c r="AY49" s="380">
        <v>25</v>
      </c>
      <c r="AZ49" s="373">
        <v>1492.57</v>
      </c>
      <c r="BA49" s="373">
        <v>728.22</v>
      </c>
      <c r="BB49" s="373">
        <v>2427.498</v>
      </c>
    </row>
    <row r="50" spans="1:54" ht="15" customHeight="1" x14ac:dyDescent="0.3">
      <c r="A50" s="372"/>
      <c r="B50" s="376"/>
      <c r="C50" s="376"/>
      <c r="D50" s="376"/>
      <c r="E50" s="376"/>
      <c r="K50" s="388"/>
      <c r="L50" s="388"/>
      <c r="M50" s="388"/>
      <c r="N50" s="388"/>
      <c r="O50" s="388"/>
      <c r="P50" s="388"/>
      <c r="Q50" s="388"/>
      <c r="R50" s="388"/>
      <c r="S50" s="376"/>
      <c r="T50" s="376"/>
      <c r="U50" s="376"/>
      <c r="V50" s="376"/>
      <c r="W50" s="376"/>
      <c r="X50" s="376"/>
      <c r="Y50" s="376"/>
      <c r="Z50" s="376"/>
      <c r="AA50" s="376"/>
      <c r="AB50" s="376"/>
      <c r="AC50" s="376"/>
      <c r="AD50" s="372"/>
      <c r="AE50" s="372"/>
      <c r="AF50" s="372"/>
      <c r="AG50" s="372"/>
      <c r="AH50" s="372"/>
      <c r="AI50" s="372"/>
      <c r="AJ50" s="377">
        <v>2072.4699999999998</v>
      </c>
      <c r="AK50" s="377">
        <v>131.99</v>
      </c>
      <c r="AL50" s="378">
        <v>2551.3989999999999</v>
      </c>
      <c r="AN50" s="374"/>
      <c r="AO50" s="374"/>
      <c r="AP50" s="374"/>
      <c r="AQ50" s="374"/>
      <c r="AR50" s="374"/>
      <c r="AS50" s="374"/>
      <c r="AT50" s="374"/>
      <c r="AU50" s="374"/>
      <c r="AV50" s="374"/>
      <c r="AW50" s="374"/>
      <c r="AX50" s="380">
        <v>1149.94</v>
      </c>
      <c r="AY50" s="380">
        <v>25</v>
      </c>
      <c r="AZ50" s="373">
        <v>1497.07</v>
      </c>
      <c r="BA50" s="373">
        <v>728.84</v>
      </c>
      <c r="BB50" s="373">
        <v>2426.8409000000001</v>
      </c>
    </row>
    <row r="51" spans="1:54" ht="15" customHeight="1" x14ac:dyDescent="0.3">
      <c r="A51" s="372"/>
      <c r="B51" s="376"/>
      <c r="C51" s="376"/>
      <c r="D51" s="376"/>
      <c r="E51" s="376"/>
      <c r="F51" s="376"/>
      <c r="G51" s="376"/>
      <c r="H51" s="376"/>
      <c r="I51" s="376"/>
      <c r="J51" s="376"/>
      <c r="K51" s="376"/>
      <c r="L51" s="376"/>
      <c r="M51" s="376"/>
      <c r="N51" s="376"/>
      <c r="O51" s="376"/>
      <c r="P51" s="376"/>
      <c r="Q51" s="376"/>
      <c r="R51" s="376"/>
      <c r="S51" s="376"/>
      <c r="T51" s="376"/>
      <c r="U51" s="376"/>
      <c r="V51" s="376"/>
      <c r="W51" s="376"/>
      <c r="X51" s="376"/>
      <c r="Y51" s="376"/>
      <c r="Z51" s="376"/>
      <c r="AA51" s="376"/>
      <c r="AB51" s="376"/>
      <c r="AC51" s="376"/>
      <c r="AD51" s="372"/>
      <c r="AE51" s="372"/>
      <c r="AF51" s="372"/>
      <c r="AG51" s="372"/>
      <c r="AH51" s="372"/>
      <c r="AI51" s="372"/>
      <c r="AJ51" s="377">
        <v>2065.54</v>
      </c>
      <c r="AK51" s="377">
        <v>137.57</v>
      </c>
      <c r="AL51" s="378">
        <v>2550.9549999999999</v>
      </c>
      <c r="AN51" s="374"/>
      <c r="AO51" s="374"/>
      <c r="AP51" s="374"/>
      <c r="AQ51" s="374"/>
      <c r="AR51" s="374"/>
      <c r="AS51" s="374"/>
      <c r="AT51" s="374"/>
      <c r="AU51" s="374"/>
      <c r="AV51" s="374"/>
      <c r="AW51" s="374"/>
      <c r="AX51" s="380">
        <v>1174.22</v>
      </c>
      <c r="AY51" s="380">
        <v>25</v>
      </c>
      <c r="AZ51" s="373">
        <v>1500.4</v>
      </c>
      <c r="BA51" s="373">
        <v>729.91</v>
      </c>
      <c r="BB51" s="373">
        <v>2426.5709999999999</v>
      </c>
    </row>
    <row r="52" spans="1:54" ht="15" customHeight="1" x14ac:dyDescent="0.3">
      <c r="A52" s="372"/>
      <c r="B52" s="376"/>
      <c r="C52" s="376"/>
      <c r="D52" s="376"/>
      <c r="E52" s="376"/>
      <c r="F52" s="376"/>
      <c r="G52" s="376"/>
      <c r="H52" s="376"/>
      <c r="I52" s="376"/>
      <c r="J52" s="376"/>
      <c r="K52" s="376"/>
      <c r="L52" s="376"/>
      <c r="M52" s="376"/>
      <c r="N52" s="376"/>
      <c r="O52" s="376"/>
      <c r="P52" s="376"/>
      <c r="Q52" s="376"/>
      <c r="R52" s="376"/>
      <c r="S52" s="376"/>
      <c r="T52" s="376"/>
      <c r="U52" s="376"/>
      <c r="V52" s="376"/>
      <c r="W52" s="376"/>
      <c r="X52" s="376"/>
      <c r="Y52" s="376"/>
      <c r="Z52" s="376"/>
      <c r="AA52" s="376"/>
      <c r="AB52" s="376"/>
      <c r="AC52" s="376"/>
      <c r="AD52" s="372"/>
      <c r="AE52" s="372"/>
      <c r="AF52" s="372"/>
      <c r="AG52" s="372"/>
      <c r="AH52" s="372"/>
      <c r="AI52" s="372"/>
      <c r="AJ52" s="377">
        <v>2061.65</v>
      </c>
      <c r="AK52" s="377">
        <v>145.25</v>
      </c>
      <c r="AL52" s="378">
        <v>2549.989</v>
      </c>
      <c r="AN52" s="374"/>
      <c r="AO52" s="374"/>
      <c r="AP52" s="374"/>
      <c r="AQ52" s="374"/>
      <c r="AR52" s="374"/>
      <c r="AS52" s="374"/>
      <c r="AT52" s="374"/>
      <c r="AU52" s="374"/>
      <c r="AV52" s="374"/>
      <c r="AW52" s="374"/>
      <c r="AX52" s="380">
        <v>1198.5</v>
      </c>
      <c r="AY52" s="380">
        <v>25</v>
      </c>
      <c r="AZ52" s="373">
        <v>1503.11</v>
      </c>
      <c r="BA52" s="373">
        <v>732.01</v>
      </c>
      <c r="BB52" s="373">
        <v>2426.3249999999998</v>
      </c>
    </row>
    <row r="53" spans="1:54" ht="15" customHeight="1" x14ac:dyDescent="0.3">
      <c r="A53" s="372"/>
      <c r="B53" s="372"/>
      <c r="C53" s="372"/>
      <c r="D53" s="372"/>
      <c r="E53" s="372"/>
      <c r="F53" s="372"/>
      <c r="G53" s="372"/>
      <c r="H53" s="372"/>
      <c r="I53" s="372"/>
      <c r="J53" s="372"/>
      <c r="K53" s="372"/>
      <c r="L53" s="372"/>
      <c r="M53" s="372"/>
      <c r="N53" s="372"/>
      <c r="O53" s="372"/>
      <c r="P53" s="372"/>
      <c r="Q53" s="372"/>
      <c r="R53" s="372"/>
      <c r="S53" s="372"/>
      <c r="T53" s="372"/>
      <c r="U53" s="372"/>
      <c r="V53" s="372"/>
      <c r="W53" s="372"/>
      <c r="X53" s="372"/>
      <c r="Y53" s="372"/>
      <c r="Z53" s="372"/>
      <c r="AA53" s="372"/>
      <c r="AB53" s="372"/>
      <c r="AC53" s="372"/>
      <c r="AD53" s="372"/>
      <c r="AE53" s="372"/>
      <c r="AF53" s="372"/>
      <c r="AG53" s="372"/>
      <c r="AH53" s="372"/>
      <c r="AI53" s="372"/>
      <c r="AJ53" s="377">
        <v>2057.98</v>
      </c>
      <c r="AK53" s="377">
        <v>157.15</v>
      </c>
      <c r="AL53" s="378">
        <v>2548.8364000000001</v>
      </c>
      <c r="AN53" s="374"/>
      <c r="AO53" s="374"/>
      <c r="AP53" s="374"/>
      <c r="AQ53" s="374"/>
      <c r="AR53" s="374"/>
      <c r="AS53" s="374"/>
      <c r="AT53" s="374"/>
      <c r="AU53" s="374"/>
      <c r="AV53" s="374"/>
      <c r="AW53" s="374"/>
      <c r="AX53" s="380">
        <v>1222.78</v>
      </c>
      <c r="AY53" s="380">
        <v>25</v>
      </c>
      <c r="AZ53" s="373">
        <v>1504.68</v>
      </c>
      <c r="BA53" s="373">
        <v>735.3</v>
      </c>
      <c r="BB53" s="373">
        <v>2425.9810000000002</v>
      </c>
    </row>
    <row r="54" spans="1:54" ht="15" customHeight="1" x14ac:dyDescent="0.3">
      <c r="A54" s="372"/>
      <c r="B54" s="372"/>
      <c r="C54" s="372"/>
      <c r="D54" s="372"/>
      <c r="E54" s="372"/>
      <c r="F54" s="372"/>
      <c r="G54" s="372"/>
      <c r="H54" s="372"/>
      <c r="I54" s="372"/>
      <c r="J54" s="372"/>
      <c r="K54" s="372"/>
      <c r="L54" s="372"/>
      <c r="M54" s="372"/>
      <c r="N54" s="372"/>
      <c r="O54" s="372"/>
      <c r="P54" s="372"/>
      <c r="Q54" s="372"/>
      <c r="R54" s="372"/>
      <c r="S54" s="372"/>
      <c r="T54" s="372"/>
      <c r="U54" s="372"/>
      <c r="V54" s="372"/>
      <c r="W54" s="372"/>
      <c r="X54" s="372"/>
      <c r="Y54" s="372"/>
      <c r="Z54" s="372"/>
      <c r="AA54" s="372"/>
      <c r="AB54" s="372"/>
      <c r="AC54" s="372"/>
      <c r="AD54" s="372"/>
      <c r="AE54" s="372"/>
      <c r="AF54" s="372"/>
      <c r="AG54" s="372"/>
      <c r="AH54" s="372"/>
      <c r="AI54" s="372"/>
      <c r="AJ54" s="377">
        <v>2057.52</v>
      </c>
      <c r="AK54" s="377">
        <v>158.57</v>
      </c>
      <c r="AL54" s="378">
        <v>2548.7489999999998</v>
      </c>
      <c r="AN54" s="374"/>
      <c r="AO54" s="374"/>
      <c r="AP54" s="374"/>
      <c r="AQ54" s="374"/>
      <c r="AR54" s="374"/>
      <c r="AS54" s="374"/>
      <c r="AT54" s="374"/>
      <c r="AU54" s="374"/>
      <c r="AV54" s="374"/>
      <c r="AW54" s="374"/>
      <c r="AX54" s="380">
        <v>1247.06</v>
      </c>
      <c r="AY54" s="380">
        <v>25</v>
      </c>
      <c r="AZ54" s="373">
        <v>1505.11</v>
      </c>
      <c r="BA54" s="373">
        <v>739</v>
      </c>
      <c r="BB54" s="373">
        <v>2425.4870999999998</v>
      </c>
    </row>
    <row r="55" spans="1:54" ht="15" customHeight="1" x14ac:dyDescent="0.3">
      <c r="A55" s="372"/>
      <c r="B55" s="372"/>
      <c r="C55" s="372"/>
      <c r="D55" s="372"/>
      <c r="E55" s="372"/>
      <c r="F55" s="372"/>
      <c r="G55" s="372"/>
      <c r="H55" s="372"/>
      <c r="I55" s="372"/>
      <c r="J55" s="372"/>
      <c r="K55" s="372"/>
      <c r="L55" s="372"/>
      <c r="M55" s="372"/>
      <c r="N55" s="372"/>
      <c r="O55" s="372"/>
      <c r="P55" s="372"/>
      <c r="Q55" s="372"/>
      <c r="R55" s="372"/>
      <c r="S55" s="372"/>
      <c r="T55" s="372"/>
      <c r="U55" s="372"/>
      <c r="V55" s="372"/>
      <c r="W55" s="372"/>
      <c r="X55" s="372"/>
      <c r="Y55" s="372"/>
      <c r="Z55" s="372"/>
      <c r="AA55" s="372"/>
      <c r="AB55" s="372"/>
      <c r="AC55" s="372"/>
      <c r="AD55" s="372"/>
      <c r="AE55" s="372"/>
      <c r="AF55" s="372"/>
      <c r="AG55" s="372"/>
      <c r="AH55" s="372"/>
      <c r="AI55" s="372"/>
      <c r="AJ55" s="377">
        <v>2055.63</v>
      </c>
      <c r="AK55" s="377">
        <v>163.53</v>
      </c>
      <c r="AL55" s="378">
        <v>2548.4450999999999</v>
      </c>
      <c r="AN55" s="374"/>
      <c r="AO55" s="374"/>
      <c r="AP55" s="374"/>
      <c r="AQ55" s="374"/>
      <c r="AR55" s="374"/>
      <c r="AS55" s="374"/>
      <c r="AT55" s="374"/>
      <c r="AU55" s="374"/>
      <c r="AV55" s="374"/>
      <c r="AW55" s="374"/>
      <c r="AX55" s="380">
        <v>1271.3399999999999</v>
      </c>
      <c r="AY55" s="380">
        <v>25</v>
      </c>
      <c r="AZ55" s="373">
        <v>1505.09</v>
      </c>
      <c r="BA55" s="373">
        <v>742.61</v>
      </c>
      <c r="BB55" s="373">
        <v>2424.8240000000001</v>
      </c>
    </row>
    <row r="56" spans="1:54" ht="15" customHeight="1" x14ac:dyDescent="0.3">
      <c r="A56" s="372"/>
      <c r="B56" s="372"/>
      <c r="C56" s="372"/>
      <c r="D56" s="372"/>
      <c r="E56" s="372"/>
      <c r="F56" s="372"/>
      <c r="G56" s="372"/>
      <c r="H56" s="372"/>
      <c r="I56" s="372"/>
      <c r="J56" s="372"/>
      <c r="K56" s="372"/>
      <c r="L56" s="372"/>
      <c r="M56" s="372"/>
      <c r="N56" s="372"/>
      <c r="O56" s="372"/>
      <c r="P56" s="372"/>
      <c r="Q56" s="372"/>
      <c r="R56" s="372"/>
      <c r="S56" s="372"/>
      <c r="T56" s="372"/>
      <c r="U56" s="372"/>
      <c r="V56" s="372"/>
      <c r="W56" s="372"/>
      <c r="X56" s="372"/>
      <c r="Y56" s="372"/>
      <c r="Z56" s="372"/>
      <c r="AA56" s="372"/>
      <c r="AB56" s="372"/>
      <c r="AC56" s="372"/>
      <c r="AD56" s="372"/>
      <c r="AE56" s="372"/>
      <c r="AF56" s="372"/>
      <c r="AG56" s="372"/>
      <c r="AH56" s="372"/>
      <c r="AI56" s="372"/>
      <c r="AJ56" s="377">
        <v>2052.35</v>
      </c>
      <c r="AK56" s="377">
        <v>168.84</v>
      </c>
      <c r="AL56" s="378">
        <v>2548.2170000000001</v>
      </c>
      <c r="AN56" s="374"/>
      <c r="AO56" s="374"/>
      <c r="AP56" s="374"/>
      <c r="AQ56" s="374"/>
      <c r="AR56" s="374"/>
      <c r="AS56" s="374"/>
      <c r="AT56" s="374"/>
      <c r="AU56" s="374"/>
      <c r="AV56" s="374"/>
      <c r="AW56" s="374"/>
      <c r="AX56" s="380">
        <v>1295.6199999999999</v>
      </c>
      <c r="AY56" s="380">
        <v>25</v>
      </c>
      <c r="AZ56" s="373">
        <v>1505.64</v>
      </c>
      <c r="BA56" s="373">
        <v>746.01</v>
      </c>
      <c r="BB56" s="373">
        <v>2423.9870999999998</v>
      </c>
    </row>
    <row r="57" spans="1:54" ht="15" customHeight="1" x14ac:dyDescent="0.3">
      <c r="A57" s="372"/>
      <c r="B57" s="372"/>
      <c r="C57" s="372"/>
      <c r="D57" s="372"/>
      <c r="E57" s="372"/>
      <c r="F57" s="372"/>
      <c r="G57" s="372"/>
      <c r="H57" s="372"/>
      <c r="I57" s="372"/>
      <c r="J57" s="372"/>
      <c r="K57" s="372"/>
      <c r="L57" s="372"/>
      <c r="M57" s="372"/>
      <c r="N57" s="372"/>
      <c r="O57" s="372"/>
      <c r="P57" s="372"/>
      <c r="Q57" s="372"/>
      <c r="R57" s="372"/>
      <c r="S57" s="372"/>
      <c r="T57" s="372"/>
      <c r="U57" s="372"/>
      <c r="V57" s="372"/>
      <c r="W57" s="372"/>
      <c r="X57" s="372"/>
      <c r="Y57" s="372"/>
      <c r="Z57" s="372"/>
      <c r="AA57" s="372"/>
      <c r="AB57" s="372"/>
      <c r="AC57" s="372"/>
      <c r="AD57" s="372"/>
      <c r="AE57" s="372"/>
      <c r="AF57" s="372"/>
      <c r="AG57" s="372"/>
      <c r="AH57" s="372"/>
      <c r="AI57" s="372"/>
      <c r="AJ57" s="377">
        <v>2048.5700000000002</v>
      </c>
      <c r="AK57" s="377">
        <v>174</v>
      </c>
      <c r="AL57" s="378">
        <v>2547.9</v>
      </c>
      <c r="AN57" s="374"/>
      <c r="AO57" s="374"/>
      <c r="AP57" s="374"/>
      <c r="AQ57" s="374"/>
      <c r="AR57" s="374"/>
      <c r="AS57" s="374"/>
      <c r="AT57" s="374"/>
      <c r="AU57" s="374"/>
      <c r="AV57" s="374"/>
      <c r="AW57" s="374"/>
      <c r="AX57" s="380">
        <v>1319.9</v>
      </c>
      <c r="AY57" s="380">
        <v>25</v>
      </c>
      <c r="AZ57" s="373">
        <v>1506.7</v>
      </c>
      <c r="BA57" s="373">
        <v>749.13</v>
      </c>
      <c r="BB57" s="373">
        <v>2423.2460000000001</v>
      </c>
    </row>
    <row r="58" spans="1:54" ht="15" customHeight="1" x14ac:dyDescent="0.3">
      <c r="A58" s="372"/>
      <c r="B58" s="372"/>
      <c r="C58" s="372"/>
      <c r="D58" s="372"/>
      <c r="E58" s="372"/>
      <c r="F58" s="372"/>
      <c r="G58" s="372"/>
      <c r="H58" s="372"/>
      <c r="I58" s="372"/>
      <c r="J58" s="372"/>
      <c r="K58" s="372"/>
      <c r="L58" s="372"/>
      <c r="M58" s="372"/>
      <c r="N58" s="372"/>
      <c r="O58" s="372"/>
      <c r="P58" s="372"/>
      <c r="Q58" s="372"/>
      <c r="R58" s="372"/>
      <c r="S58" s="372"/>
      <c r="T58" s="372"/>
      <c r="U58" s="372"/>
      <c r="V58" s="372"/>
      <c r="W58" s="372"/>
      <c r="X58" s="372"/>
      <c r="Y58" s="372"/>
      <c r="Z58" s="372"/>
      <c r="AA58" s="372"/>
      <c r="AB58" s="372"/>
      <c r="AC58" s="372"/>
      <c r="AD58" s="372"/>
      <c r="AE58" s="372"/>
      <c r="AF58" s="372"/>
      <c r="AG58" s="372"/>
      <c r="AH58" s="372"/>
      <c r="AI58" s="372"/>
      <c r="AJ58" s="377">
        <v>2043.72</v>
      </c>
      <c r="AK58" s="377">
        <v>179.52</v>
      </c>
      <c r="AL58" s="378">
        <v>2547.614</v>
      </c>
      <c r="AN58" s="374"/>
      <c r="AO58" s="374"/>
      <c r="AP58" s="374"/>
      <c r="AQ58" s="374"/>
      <c r="AR58" s="374"/>
      <c r="AS58" s="374"/>
      <c r="AT58" s="374"/>
      <c r="AU58" s="374"/>
      <c r="AV58" s="374"/>
      <c r="AW58" s="374"/>
      <c r="AX58" s="380">
        <v>1344.18</v>
      </c>
      <c r="AY58" s="380">
        <v>25</v>
      </c>
      <c r="AZ58" s="373">
        <v>1508.33</v>
      </c>
      <c r="BA58" s="373">
        <v>752.48</v>
      </c>
      <c r="BB58" s="373">
        <v>2422.5410000000002</v>
      </c>
    </row>
    <row r="59" spans="1:54" ht="15" customHeight="1" x14ac:dyDescent="0.3">
      <c r="A59" s="372"/>
      <c r="B59" s="372"/>
      <c r="C59" s="372"/>
      <c r="D59" s="372"/>
      <c r="E59" s="372"/>
      <c r="F59" s="372"/>
      <c r="G59" s="372"/>
      <c r="H59" s="372"/>
      <c r="I59" s="372"/>
      <c r="J59" s="372"/>
      <c r="K59" s="372"/>
      <c r="L59" s="372"/>
      <c r="M59" s="372"/>
      <c r="N59" s="372"/>
      <c r="O59" s="372"/>
      <c r="P59" s="372"/>
      <c r="Q59" s="372"/>
      <c r="R59" s="372"/>
      <c r="S59" s="372"/>
      <c r="T59" s="372"/>
      <c r="U59" s="372"/>
      <c r="V59" s="372"/>
      <c r="W59" s="372"/>
      <c r="X59" s="372"/>
      <c r="Y59" s="372"/>
      <c r="Z59" s="372"/>
      <c r="AA59" s="372"/>
      <c r="AB59" s="372"/>
      <c r="AC59" s="372"/>
      <c r="AD59" s="372"/>
      <c r="AE59" s="372"/>
      <c r="AF59" s="372"/>
      <c r="AG59" s="372"/>
      <c r="AH59" s="372"/>
      <c r="AI59" s="372"/>
      <c r="AJ59" s="377">
        <v>2037.78</v>
      </c>
      <c r="AK59" s="377">
        <v>189.52</v>
      </c>
      <c r="AL59" s="378">
        <v>2546.3906999999999</v>
      </c>
      <c r="AN59" s="374"/>
      <c r="AO59" s="374"/>
      <c r="AP59" s="374"/>
      <c r="AQ59" s="374"/>
      <c r="AR59" s="374"/>
      <c r="AS59" s="374"/>
      <c r="AT59" s="374"/>
      <c r="AU59" s="374"/>
      <c r="AV59" s="374"/>
      <c r="AW59" s="374"/>
      <c r="AX59" s="380">
        <v>1368.46</v>
      </c>
      <c r="AY59" s="380">
        <v>25</v>
      </c>
      <c r="AZ59" s="373">
        <v>1509.4</v>
      </c>
      <c r="BA59" s="373">
        <v>755.95</v>
      </c>
      <c r="BB59" s="373">
        <v>2421.837</v>
      </c>
    </row>
    <row r="60" spans="1:54" ht="15" customHeight="1" x14ac:dyDescent="0.3">
      <c r="A60" s="372"/>
      <c r="B60" s="372"/>
      <c r="C60" s="372"/>
      <c r="D60" s="372"/>
      <c r="E60" s="372"/>
      <c r="F60" s="372"/>
      <c r="G60" s="372"/>
      <c r="H60" s="372"/>
      <c r="I60" s="372"/>
      <c r="J60" s="372"/>
      <c r="K60" s="372"/>
      <c r="L60" s="372"/>
      <c r="M60" s="372"/>
      <c r="N60" s="372"/>
      <c r="O60" s="372"/>
      <c r="P60" s="372"/>
      <c r="Q60" s="372"/>
      <c r="R60" s="372"/>
      <c r="S60" s="372"/>
      <c r="T60" s="372"/>
      <c r="U60" s="372"/>
      <c r="V60" s="372"/>
      <c r="W60" s="372"/>
      <c r="X60" s="372"/>
      <c r="Y60" s="372"/>
      <c r="Z60" s="372"/>
      <c r="AA60" s="372"/>
      <c r="AB60" s="372"/>
      <c r="AC60" s="372"/>
      <c r="AD60" s="372"/>
      <c r="AE60" s="372"/>
      <c r="AF60" s="372"/>
      <c r="AG60" s="372"/>
      <c r="AH60" s="372"/>
      <c r="AI60" s="372"/>
      <c r="AJ60" s="377">
        <v>2035.51</v>
      </c>
      <c r="AK60" s="377">
        <v>192.71</v>
      </c>
      <c r="AL60" s="378">
        <v>2546.0167999999999</v>
      </c>
      <c r="AN60" s="374"/>
      <c r="AO60" s="374"/>
      <c r="AP60" s="374"/>
      <c r="AQ60" s="374"/>
      <c r="AR60" s="374"/>
      <c r="AS60" s="374"/>
      <c r="AT60" s="374"/>
      <c r="AU60" s="374"/>
      <c r="AV60" s="374"/>
      <c r="AW60" s="374"/>
      <c r="AX60" s="380">
        <v>1392.74</v>
      </c>
      <c r="AY60" s="380">
        <v>25</v>
      </c>
      <c r="AZ60" s="373">
        <v>1510.15</v>
      </c>
      <c r="BA60" s="373">
        <v>759.38</v>
      </c>
      <c r="BB60" s="373">
        <v>2421.1280999999999</v>
      </c>
    </row>
    <row r="61" spans="1:54" ht="15" customHeight="1" x14ac:dyDescent="0.3">
      <c r="A61" s="372"/>
      <c r="B61" s="372"/>
      <c r="C61" s="372"/>
      <c r="D61" s="372"/>
      <c r="E61" s="372"/>
      <c r="F61" s="372"/>
      <c r="G61" s="372"/>
      <c r="H61" s="372"/>
      <c r="I61" s="372"/>
      <c r="J61" s="372"/>
      <c r="K61" s="372"/>
      <c r="L61" s="372"/>
      <c r="M61" s="372"/>
      <c r="N61" s="372"/>
      <c r="O61" s="372"/>
      <c r="P61" s="372"/>
      <c r="Q61" s="372"/>
      <c r="R61" s="372"/>
      <c r="S61" s="372"/>
      <c r="T61" s="372"/>
      <c r="U61" s="372"/>
      <c r="V61" s="372"/>
      <c r="W61" s="372"/>
      <c r="X61" s="372"/>
      <c r="Y61" s="372"/>
      <c r="Z61" s="372"/>
      <c r="AA61" s="372"/>
      <c r="AB61" s="372"/>
      <c r="AC61" s="372"/>
      <c r="AD61" s="372"/>
      <c r="AE61" s="372"/>
      <c r="AF61" s="372"/>
      <c r="AG61" s="372"/>
      <c r="AH61" s="372"/>
      <c r="AI61" s="372"/>
      <c r="AJ61" s="377">
        <v>2030.01</v>
      </c>
      <c r="AK61" s="377">
        <v>197.79</v>
      </c>
      <c r="AL61" s="378">
        <v>2545.4009999999998</v>
      </c>
      <c r="AN61" s="374"/>
      <c r="AO61" s="374"/>
      <c r="AP61" s="374"/>
      <c r="AQ61" s="374"/>
      <c r="AR61" s="374"/>
      <c r="AS61" s="374"/>
      <c r="AT61" s="374"/>
      <c r="AU61" s="374"/>
      <c r="AV61" s="374"/>
      <c r="AW61" s="374"/>
      <c r="AX61" s="380">
        <v>1417.02</v>
      </c>
      <c r="AY61" s="380">
        <v>25</v>
      </c>
      <c r="AZ61" s="373">
        <v>1509.01</v>
      </c>
      <c r="BA61" s="373">
        <v>764.18</v>
      </c>
      <c r="BB61" s="373">
        <v>2420.5239999999999</v>
      </c>
    </row>
    <row r="62" spans="1:54" ht="15" customHeight="1" x14ac:dyDescent="0.3">
      <c r="A62" s="372"/>
      <c r="B62" s="372"/>
      <c r="C62" s="372"/>
      <c r="D62" s="372"/>
      <c r="E62" s="372"/>
      <c r="F62" s="372"/>
      <c r="G62" s="372"/>
      <c r="H62" s="372"/>
      <c r="I62" s="372"/>
      <c r="J62" s="372"/>
      <c r="K62" s="372"/>
      <c r="L62" s="372"/>
      <c r="M62" s="372"/>
      <c r="N62" s="372"/>
      <c r="O62" s="372"/>
      <c r="P62" s="372"/>
      <c r="Q62" s="372"/>
      <c r="R62" s="372"/>
      <c r="S62" s="372"/>
      <c r="T62" s="372"/>
      <c r="U62" s="372"/>
      <c r="V62" s="372"/>
      <c r="W62" s="372"/>
      <c r="X62" s="372"/>
      <c r="Y62" s="372"/>
      <c r="Z62" s="372"/>
      <c r="AA62" s="372"/>
      <c r="AB62" s="372"/>
      <c r="AC62" s="372"/>
      <c r="AD62" s="372"/>
      <c r="AE62" s="372"/>
      <c r="AF62" s="372"/>
      <c r="AG62" s="372"/>
      <c r="AH62" s="372"/>
      <c r="AI62" s="372"/>
      <c r="AJ62" s="377">
        <v>2024.36</v>
      </c>
      <c r="AK62" s="377">
        <v>202.73</v>
      </c>
      <c r="AL62" s="378">
        <v>2545.3130000000001</v>
      </c>
      <c r="AN62" s="374"/>
      <c r="AO62" s="374"/>
      <c r="AP62" s="374"/>
      <c r="AQ62" s="374"/>
      <c r="AR62" s="374"/>
      <c r="AS62" s="374"/>
      <c r="AT62" s="374"/>
      <c r="AU62" s="374"/>
      <c r="AV62" s="374"/>
      <c r="AW62" s="374"/>
      <c r="AX62" s="380">
        <v>1441.3</v>
      </c>
      <c r="AY62" s="380">
        <v>25</v>
      </c>
      <c r="AZ62" s="373">
        <v>1507.61</v>
      </c>
      <c r="BA62" s="373">
        <v>766.22</v>
      </c>
      <c r="BB62" s="373">
        <v>2420.3429999999998</v>
      </c>
    </row>
    <row r="63" spans="1:54" ht="15" customHeight="1" x14ac:dyDescent="0.3">
      <c r="A63" s="372"/>
      <c r="B63" s="372"/>
      <c r="C63" s="372"/>
      <c r="D63" s="372"/>
      <c r="E63" s="372"/>
      <c r="F63" s="372"/>
      <c r="G63" s="372"/>
      <c r="H63" s="372"/>
      <c r="I63" s="372"/>
      <c r="J63" s="372"/>
      <c r="K63" s="372"/>
      <c r="L63" s="372"/>
      <c r="M63" s="372"/>
      <c r="N63" s="372"/>
      <c r="O63" s="372"/>
      <c r="P63" s="372"/>
      <c r="Q63" s="372"/>
      <c r="R63" s="372"/>
      <c r="S63" s="372"/>
      <c r="T63" s="372"/>
      <c r="U63" s="372"/>
      <c r="V63" s="372"/>
      <c r="W63" s="372"/>
      <c r="X63" s="372"/>
      <c r="Y63" s="372"/>
      <c r="Z63" s="372"/>
      <c r="AA63" s="372"/>
      <c r="AB63" s="372"/>
      <c r="AC63" s="372"/>
      <c r="AD63" s="372"/>
      <c r="AE63" s="372"/>
      <c r="AF63" s="372"/>
      <c r="AG63" s="372"/>
      <c r="AH63" s="372"/>
      <c r="AI63" s="372"/>
      <c r="AJ63" s="377">
        <v>2018.74</v>
      </c>
      <c r="AK63" s="377">
        <v>207.76</v>
      </c>
      <c r="AL63" s="378">
        <v>2544.9319999999998</v>
      </c>
      <c r="AN63" s="374"/>
      <c r="AO63" s="374"/>
      <c r="AP63" s="374"/>
      <c r="AQ63" s="374"/>
      <c r="AR63" s="374"/>
      <c r="AS63" s="374"/>
      <c r="AT63" s="374"/>
      <c r="AU63" s="374"/>
      <c r="AV63" s="374"/>
      <c r="AW63" s="374"/>
      <c r="AX63" s="380">
        <v>1465.58</v>
      </c>
      <c r="AY63" s="380">
        <v>25</v>
      </c>
      <c r="AZ63" s="373">
        <v>1504.96</v>
      </c>
      <c r="BA63" s="373">
        <v>768.92</v>
      </c>
      <c r="BB63" s="373">
        <v>2420.1680000000001</v>
      </c>
    </row>
    <row r="64" spans="1:54" ht="15" customHeight="1" x14ac:dyDescent="0.3">
      <c r="A64" s="372"/>
      <c r="B64" s="372"/>
      <c r="C64" s="372"/>
      <c r="D64" s="372"/>
      <c r="E64" s="372"/>
      <c r="F64" s="372"/>
      <c r="G64" s="372"/>
      <c r="H64" s="372"/>
      <c r="I64" s="372"/>
      <c r="J64" s="372"/>
      <c r="K64" s="372"/>
      <c r="L64" s="372"/>
      <c r="M64" s="372"/>
      <c r="N64" s="372"/>
      <c r="O64" s="372"/>
      <c r="P64" s="372"/>
      <c r="Q64" s="372"/>
      <c r="R64" s="372"/>
      <c r="S64" s="372"/>
      <c r="T64" s="372"/>
      <c r="U64" s="372"/>
      <c r="V64" s="372"/>
      <c r="W64" s="372"/>
      <c r="X64" s="372"/>
      <c r="Y64" s="372"/>
      <c r="Z64" s="372"/>
      <c r="AA64" s="372"/>
      <c r="AB64" s="372"/>
      <c r="AC64" s="372"/>
      <c r="AD64" s="372"/>
      <c r="AE64" s="372"/>
      <c r="AF64" s="372"/>
      <c r="AG64" s="372"/>
      <c r="AH64" s="372"/>
      <c r="AI64" s="372"/>
      <c r="AJ64" s="377">
        <v>2011.26</v>
      </c>
      <c r="AK64" s="377">
        <v>214.32</v>
      </c>
      <c r="AL64" s="378">
        <v>2544.0329999999999</v>
      </c>
      <c r="AN64" s="374"/>
      <c r="AO64" s="374"/>
      <c r="AP64" s="374"/>
      <c r="AQ64" s="374"/>
      <c r="AR64" s="374"/>
      <c r="AS64" s="374"/>
      <c r="AT64" s="374"/>
      <c r="AU64" s="374"/>
      <c r="AV64" s="374"/>
      <c r="AW64" s="374"/>
      <c r="AX64" s="380">
        <v>1489.86</v>
      </c>
      <c r="AY64" s="380">
        <v>25</v>
      </c>
      <c r="AZ64" s="373">
        <v>1502.05</v>
      </c>
      <c r="BA64" s="373">
        <v>771.01</v>
      </c>
      <c r="BB64" s="373">
        <v>2420.087</v>
      </c>
    </row>
    <row r="65" spans="1:54" ht="15" customHeight="1" x14ac:dyDescent="0.3">
      <c r="A65" s="372"/>
      <c r="B65" s="372"/>
      <c r="C65" s="372"/>
      <c r="D65" s="372"/>
      <c r="E65" s="372"/>
      <c r="F65" s="372"/>
      <c r="G65" s="372"/>
      <c r="H65" s="372"/>
      <c r="I65" s="372"/>
      <c r="J65" s="372"/>
      <c r="K65" s="372"/>
      <c r="L65" s="372"/>
      <c r="M65" s="372"/>
      <c r="N65" s="372"/>
      <c r="O65" s="372"/>
      <c r="P65" s="372"/>
      <c r="Q65" s="372"/>
      <c r="R65" s="372"/>
      <c r="S65" s="372"/>
      <c r="T65" s="372"/>
      <c r="U65" s="372"/>
      <c r="V65" s="372"/>
      <c r="W65" s="372"/>
      <c r="X65" s="372"/>
      <c r="Y65" s="372"/>
      <c r="Z65" s="372"/>
      <c r="AA65" s="372"/>
      <c r="AB65" s="372"/>
      <c r="AC65" s="372"/>
      <c r="AD65" s="372"/>
      <c r="AE65" s="372"/>
      <c r="AF65" s="372"/>
      <c r="AG65" s="372"/>
      <c r="AH65" s="372"/>
      <c r="AI65" s="372"/>
      <c r="AJ65" s="377">
        <v>2004.97</v>
      </c>
      <c r="AK65" s="377">
        <v>220.62</v>
      </c>
      <c r="AL65" s="378">
        <v>2543.29</v>
      </c>
      <c r="AN65" s="374"/>
      <c r="AO65" s="374"/>
      <c r="AP65" s="374"/>
      <c r="AQ65" s="374"/>
      <c r="AR65" s="374"/>
      <c r="AS65" s="374"/>
      <c r="AT65" s="374"/>
      <c r="AU65" s="374"/>
      <c r="AV65" s="374"/>
      <c r="AW65" s="374"/>
      <c r="AX65" s="380">
        <v>1514.14</v>
      </c>
      <c r="AY65" s="380">
        <v>25</v>
      </c>
      <c r="AZ65" s="373">
        <v>1499.95</v>
      </c>
      <c r="BA65" s="373">
        <v>772.03</v>
      </c>
      <c r="BB65" s="373">
        <v>2420.058</v>
      </c>
    </row>
    <row r="66" spans="1:54" ht="15" customHeight="1" x14ac:dyDescent="0.3">
      <c r="A66" s="372"/>
      <c r="B66" s="372"/>
      <c r="C66" s="372"/>
      <c r="D66" s="372"/>
      <c r="E66" s="372"/>
      <c r="F66" s="372"/>
      <c r="G66" s="372"/>
      <c r="H66" s="372"/>
      <c r="I66" s="372"/>
      <c r="J66" s="372"/>
      <c r="K66" s="372"/>
      <c r="L66" s="372"/>
      <c r="M66" s="372"/>
      <c r="N66" s="372"/>
      <c r="O66" s="372"/>
      <c r="P66" s="372"/>
      <c r="Q66" s="372"/>
      <c r="R66" s="372"/>
      <c r="S66" s="372"/>
      <c r="T66" s="372"/>
      <c r="U66" s="372"/>
      <c r="V66" s="372"/>
      <c r="W66" s="372"/>
      <c r="X66" s="372"/>
      <c r="Y66" s="372"/>
      <c r="Z66" s="372"/>
      <c r="AA66" s="372"/>
      <c r="AB66" s="372"/>
      <c r="AC66" s="372"/>
      <c r="AD66" s="372"/>
      <c r="AE66" s="372"/>
      <c r="AF66" s="372"/>
      <c r="AG66" s="372"/>
      <c r="AH66" s="372"/>
      <c r="AI66" s="372"/>
      <c r="AJ66" s="377">
        <v>2000.55</v>
      </c>
      <c r="AK66" s="377">
        <v>224.69</v>
      </c>
      <c r="AL66" s="378">
        <v>2542.9915000000001</v>
      </c>
      <c r="AN66" s="374"/>
      <c r="AO66" s="374"/>
      <c r="AP66" s="374"/>
      <c r="AQ66" s="374"/>
      <c r="AR66" s="374"/>
      <c r="AS66" s="374"/>
      <c r="AT66" s="374"/>
      <c r="AU66" s="374"/>
      <c r="AV66" s="374"/>
      <c r="AW66" s="374"/>
      <c r="AX66" s="380">
        <v>1538.42</v>
      </c>
      <c r="AY66" s="380">
        <v>25</v>
      </c>
      <c r="AZ66" s="373">
        <v>1497.15</v>
      </c>
      <c r="BA66" s="373">
        <v>773.54</v>
      </c>
      <c r="BB66" s="373">
        <v>2419.7840999999999</v>
      </c>
    </row>
    <row r="67" spans="1:54" ht="15" customHeight="1" x14ac:dyDescent="0.3">
      <c r="A67" s="372"/>
      <c r="B67" s="372"/>
      <c r="C67" s="372"/>
      <c r="D67" s="372"/>
      <c r="E67" s="372"/>
      <c r="F67" s="372"/>
      <c r="G67" s="372"/>
      <c r="H67" s="372"/>
      <c r="I67" s="372"/>
      <c r="J67" s="372"/>
      <c r="K67" s="372"/>
      <c r="L67" s="372"/>
      <c r="M67" s="372"/>
      <c r="N67" s="372"/>
      <c r="O67" s="372"/>
      <c r="P67" s="372"/>
      <c r="Q67" s="372"/>
      <c r="R67" s="372"/>
      <c r="S67" s="372"/>
      <c r="T67" s="372"/>
      <c r="U67" s="372"/>
      <c r="V67" s="372"/>
      <c r="W67" s="372"/>
      <c r="X67" s="372"/>
      <c r="Y67" s="372"/>
      <c r="Z67" s="372"/>
      <c r="AA67" s="372"/>
      <c r="AB67" s="372"/>
      <c r="AC67" s="372"/>
      <c r="AD67" s="372"/>
      <c r="AE67" s="372"/>
      <c r="AF67" s="372"/>
      <c r="AG67" s="372"/>
      <c r="AH67" s="372"/>
      <c r="AI67" s="372"/>
      <c r="AJ67" s="377">
        <v>1996.14</v>
      </c>
      <c r="AK67" s="377">
        <v>228.76</v>
      </c>
      <c r="AL67" s="378">
        <v>2542.6930000000002</v>
      </c>
      <c r="AN67" s="374"/>
      <c r="AO67" s="374"/>
      <c r="AP67" s="374"/>
      <c r="AQ67" s="374"/>
      <c r="AR67" s="374"/>
      <c r="AS67" s="374"/>
      <c r="AT67" s="374"/>
      <c r="AU67" s="374"/>
      <c r="AV67" s="374"/>
      <c r="AW67" s="374"/>
      <c r="AX67" s="380">
        <v>1562.7</v>
      </c>
      <c r="AY67" s="380">
        <v>25</v>
      </c>
      <c r="AZ67" s="373">
        <v>1494.85</v>
      </c>
      <c r="BA67" s="373">
        <v>776.33</v>
      </c>
      <c r="BB67" s="373">
        <v>2419.364</v>
      </c>
    </row>
    <row r="68" spans="1:54" ht="15" customHeight="1" x14ac:dyDescent="0.3">
      <c r="A68" s="372"/>
      <c r="B68" s="372"/>
      <c r="C68" s="372"/>
      <c r="D68" s="372"/>
      <c r="E68" s="372"/>
      <c r="F68" s="372"/>
      <c r="G68" s="372"/>
      <c r="H68" s="372"/>
      <c r="I68" s="372"/>
      <c r="J68" s="372"/>
      <c r="K68" s="372"/>
      <c r="L68" s="372"/>
      <c r="M68" s="372"/>
      <c r="N68" s="372"/>
      <c r="O68" s="372"/>
      <c r="P68" s="372"/>
      <c r="Q68" s="372"/>
      <c r="R68" s="372"/>
      <c r="S68" s="372"/>
      <c r="T68" s="372"/>
      <c r="U68" s="372"/>
      <c r="V68" s="372"/>
      <c r="W68" s="372"/>
      <c r="X68" s="372"/>
      <c r="Y68" s="372"/>
      <c r="Z68" s="372"/>
      <c r="AA68" s="372"/>
      <c r="AB68" s="372"/>
      <c r="AC68" s="372"/>
      <c r="AD68" s="372"/>
      <c r="AE68" s="372"/>
      <c r="AF68" s="372"/>
      <c r="AG68" s="372"/>
      <c r="AH68" s="372"/>
      <c r="AI68" s="372"/>
      <c r="AJ68" s="377">
        <v>1987.38</v>
      </c>
      <c r="AK68" s="377">
        <v>235.49</v>
      </c>
      <c r="AL68" s="378">
        <v>2542.0709999999999</v>
      </c>
      <c r="AN68" s="374"/>
      <c r="AO68" s="374"/>
      <c r="AP68" s="374"/>
      <c r="AQ68" s="374"/>
      <c r="AR68" s="374"/>
      <c r="AS68" s="374"/>
      <c r="AT68" s="374"/>
      <c r="AU68" s="374"/>
      <c r="AV68" s="374"/>
      <c r="AW68" s="374"/>
      <c r="AX68" s="380">
        <v>1586.98</v>
      </c>
      <c r="AY68" s="380">
        <v>25</v>
      </c>
      <c r="AZ68" s="373">
        <v>1492.32</v>
      </c>
      <c r="BA68" s="373">
        <v>779.12</v>
      </c>
      <c r="BB68" s="373">
        <v>2418.8249999999998</v>
      </c>
    </row>
    <row r="69" spans="1:54" ht="15" customHeight="1" x14ac:dyDescent="0.3">
      <c r="A69" s="372"/>
      <c r="B69" s="372"/>
      <c r="C69" s="372"/>
      <c r="D69" s="372"/>
      <c r="E69" s="372"/>
      <c r="F69" s="372"/>
      <c r="G69" s="372"/>
      <c r="H69" s="372"/>
      <c r="I69" s="372"/>
      <c r="J69" s="372"/>
      <c r="K69" s="372"/>
      <c r="L69" s="372"/>
      <c r="M69" s="372"/>
      <c r="N69" s="372"/>
      <c r="O69" s="372"/>
      <c r="P69" s="372"/>
      <c r="Q69" s="372"/>
      <c r="R69" s="372"/>
      <c r="S69" s="372"/>
      <c r="T69" s="372"/>
      <c r="U69" s="372"/>
      <c r="V69" s="372"/>
      <c r="W69" s="372"/>
      <c r="X69" s="372"/>
      <c r="Y69" s="372"/>
      <c r="Z69" s="372"/>
      <c r="AA69" s="372"/>
      <c r="AB69" s="372"/>
      <c r="AC69" s="372"/>
      <c r="AD69" s="372"/>
      <c r="AE69" s="372"/>
      <c r="AF69" s="372"/>
      <c r="AG69" s="372"/>
      <c r="AH69" s="372"/>
      <c r="AI69" s="372"/>
      <c r="AJ69" s="377">
        <v>1982.26</v>
      </c>
      <c r="AK69" s="377">
        <v>239.84</v>
      </c>
      <c r="AL69" s="378">
        <v>2541.5351000000001</v>
      </c>
      <c r="AN69" s="374"/>
      <c r="AO69" s="374"/>
      <c r="AP69" s="374"/>
      <c r="AQ69" s="374"/>
      <c r="AR69" s="374"/>
      <c r="AS69" s="374"/>
      <c r="AT69" s="374"/>
      <c r="AU69" s="374"/>
      <c r="AV69" s="374"/>
      <c r="AW69" s="374"/>
      <c r="AX69" s="380">
        <v>1611.26</v>
      </c>
      <c r="AY69" s="380">
        <v>25</v>
      </c>
      <c r="AZ69" s="373">
        <v>1489.57</v>
      </c>
      <c r="BA69" s="373">
        <v>781.99</v>
      </c>
      <c r="BB69" s="373">
        <v>2418.3571000000002</v>
      </c>
    </row>
    <row r="70" spans="1:54" ht="15" customHeight="1" x14ac:dyDescent="0.3">
      <c r="A70" s="372"/>
      <c r="B70" s="372"/>
      <c r="C70" s="372"/>
      <c r="D70" s="372"/>
      <c r="E70" s="372"/>
      <c r="F70" s="372"/>
      <c r="G70" s="372"/>
      <c r="H70" s="372"/>
      <c r="I70" s="372"/>
      <c r="J70" s="372"/>
      <c r="K70" s="372"/>
      <c r="L70" s="372"/>
      <c r="M70" s="372"/>
      <c r="N70" s="372"/>
      <c r="O70" s="372"/>
      <c r="P70" s="372"/>
      <c r="Q70" s="372"/>
      <c r="R70" s="372"/>
      <c r="S70" s="372"/>
      <c r="T70" s="372"/>
      <c r="U70" s="372"/>
      <c r="V70" s="372"/>
      <c r="W70" s="372"/>
      <c r="X70" s="372"/>
      <c r="Y70" s="372"/>
      <c r="Z70" s="372"/>
      <c r="AA70" s="372"/>
      <c r="AB70" s="372"/>
      <c r="AC70" s="372"/>
      <c r="AD70" s="372"/>
      <c r="AE70" s="372"/>
      <c r="AF70" s="372"/>
      <c r="AG70" s="372"/>
      <c r="AH70" s="372"/>
      <c r="AI70" s="372"/>
      <c r="AJ70" s="377">
        <v>1977.15</v>
      </c>
      <c r="AK70" s="377">
        <v>244.2</v>
      </c>
      <c r="AL70" s="378">
        <v>2540.9989999999998</v>
      </c>
      <c r="AN70" s="374"/>
      <c r="AO70" s="374"/>
      <c r="AP70" s="374"/>
      <c r="AQ70" s="374"/>
      <c r="AR70" s="374"/>
      <c r="AS70" s="374"/>
      <c r="AT70" s="374"/>
      <c r="AU70" s="374"/>
      <c r="AV70" s="374"/>
      <c r="AW70" s="374"/>
      <c r="AX70" s="380">
        <v>1635.54</v>
      </c>
      <c r="AY70" s="380">
        <v>25</v>
      </c>
      <c r="AZ70" s="373">
        <v>1485.13</v>
      </c>
      <c r="BA70" s="373">
        <v>784.81</v>
      </c>
      <c r="BB70" s="373">
        <v>2417.9821000000002</v>
      </c>
    </row>
    <row r="71" spans="1:54" ht="15" customHeight="1" x14ac:dyDescent="0.3">
      <c r="A71" s="372"/>
      <c r="B71" s="372"/>
      <c r="C71" s="372"/>
      <c r="D71" s="372"/>
      <c r="E71" s="372"/>
      <c r="F71" s="372"/>
      <c r="G71" s="372"/>
      <c r="H71" s="372"/>
      <c r="I71" s="372"/>
      <c r="J71" s="372"/>
      <c r="K71" s="372"/>
      <c r="L71" s="372"/>
      <c r="M71" s="372"/>
      <c r="N71" s="372"/>
      <c r="O71" s="372"/>
      <c r="P71" s="372"/>
      <c r="Q71" s="372"/>
      <c r="R71" s="372"/>
      <c r="S71" s="372"/>
      <c r="T71" s="372"/>
      <c r="U71" s="372"/>
      <c r="V71" s="372"/>
      <c r="W71" s="372"/>
      <c r="X71" s="372"/>
      <c r="Y71" s="372"/>
      <c r="Z71" s="372"/>
      <c r="AA71" s="372"/>
      <c r="AB71" s="372"/>
      <c r="AC71" s="372"/>
      <c r="AD71" s="372"/>
      <c r="AE71" s="372"/>
      <c r="AF71" s="372"/>
      <c r="AG71" s="372"/>
      <c r="AH71" s="372"/>
      <c r="AI71" s="372"/>
      <c r="AJ71" s="377">
        <v>1972.07</v>
      </c>
      <c r="AK71" s="377">
        <v>251.7</v>
      </c>
      <c r="AL71" s="378">
        <v>2540.011</v>
      </c>
      <c r="AN71" s="374"/>
      <c r="AO71" s="374"/>
      <c r="AP71" s="374"/>
      <c r="AQ71" s="374"/>
      <c r="AR71" s="374"/>
      <c r="AS71" s="374"/>
      <c r="AT71" s="374"/>
      <c r="AU71" s="374"/>
      <c r="AV71" s="374"/>
      <c r="AW71" s="374"/>
      <c r="AX71" s="380">
        <v>1659.82</v>
      </c>
      <c r="AY71" s="380">
        <v>25</v>
      </c>
      <c r="AZ71" s="373">
        <v>1481.39</v>
      </c>
      <c r="BA71" s="373">
        <v>785.46</v>
      </c>
      <c r="BB71" s="373">
        <v>2417.7860000000001</v>
      </c>
    </row>
    <row r="72" spans="1:54" ht="15" customHeight="1" x14ac:dyDescent="0.3">
      <c r="A72" s="372"/>
      <c r="B72" s="372"/>
      <c r="C72" s="372"/>
      <c r="D72" s="372"/>
      <c r="E72" s="372"/>
      <c r="F72" s="372"/>
      <c r="G72" s="372"/>
      <c r="H72" s="372"/>
      <c r="I72" s="372"/>
      <c r="J72" s="372"/>
      <c r="K72" s="372"/>
      <c r="L72" s="372"/>
      <c r="M72" s="372"/>
      <c r="N72" s="372"/>
      <c r="O72" s="372"/>
      <c r="P72" s="372"/>
      <c r="Q72" s="372"/>
      <c r="R72" s="372"/>
      <c r="S72" s="372"/>
      <c r="T72" s="372"/>
      <c r="U72" s="372"/>
      <c r="V72" s="372"/>
      <c r="W72" s="372"/>
      <c r="X72" s="372"/>
      <c r="Y72" s="372"/>
      <c r="Z72" s="372"/>
      <c r="AA72" s="372"/>
      <c r="AB72" s="372"/>
      <c r="AC72" s="372"/>
      <c r="AD72" s="372"/>
      <c r="AE72" s="372"/>
      <c r="AF72" s="372"/>
      <c r="AG72" s="372"/>
      <c r="AH72" s="372"/>
      <c r="AI72" s="372"/>
      <c r="AJ72" s="377">
        <v>1967.97</v>
      </c>
      <c r="AK72" s="377">
        <v>262.91000000000003</v>
      </c>
      <c r="AL72" s="378">
        <v>2538.886</v>
      </c>
      <c r="AN72" s="374"/>
      <c r="AO72" s="374"/>
      <c r="AP72" s="374"/>
      <c r="AQ72" s="374"/>
      <c r="AR72" s="374"/>
      <c r="AS72" s="374"/>
      <c r="AT72" s="374"/>
      <c r="AU72" s="374"/>
      <c r="AV72" s="374"/>
      <c r="AW72" s="374"/>
      <c r="AX72" s="380">
        <v>1689.44</v>
      </c>
      <c r="AY72" s="380">
        <v>25</v>
      </c>
      <c r="AZ72" s="373">
        <v>1476.84</v>
      </c>
      <c r="BA72" s="373">
        <v>784.86</v>
      </c>
      <c r="BB72" s="373">
        <v>2417.3510000000001</v>
      </c>
    </row>
    <row r="73" spans="1:54" ht="15" customHeight="1" x14ac:dyDescent="0.3">
      <c r="A73" s="372"/>
      <c r="B73" s="372"/>
      <c r="C73" s="372"/>
      <c r="D73" s="372"/>
      <c r="E73" s="372"/>
      <c r="F73" s="372"/>
      <c r="G73" s="372"/>
      <c r="H73" s="372"/>
      <c r="I73" s="372"/>
      <c r="J73" s="372"/>
      <c r="K73" s="372"/>
      <c r="L73" s="372"/>
      <c r="M73" s="372"/>
      <c r="N73" s="372"/>
      <c r="O73" s="372"/>
      <c r="P73" s="372"/>
      <c r="Q73" s="372"/>
      <c r="R73" s="372"/>
      <c r="S73" s="372"/>
      <c r="T73" s="372"/>
      <c r="U73" s="372"/>
      <c r="V73" s="372"/>
      <c r="W73" s="372"/>
      <c r="X73" s="372"/>
      <c r="Y73" s="372"/>
      <c r="Z73" s="372"/>
      <c r="AA73" s="372"/>
      <c r="AB73" s="372"/>
      <c r="AC73" s="372"/>
      <c r="AD73" s="372"/>
      <c r="AE73" s="372"/>
      <c r="AF73" s="372"/>
      <c r="AG73" s="372"/>
      <c r="AH73" s="372"/>
      <c r="AI73" s="372"/>
      <c r="AJ73" s="377">
        <v>1962.68</v>
      </c>
      <c r="AK73" s="377">
        <v>269.81</v>
      </c>
      <c r="AL73" s="378">
        <v>2538.5819999999999</v>
      </c>
      <c r="AN73" s="374"/>
      <c r="AO73" s="374"/>
      <c r="AP73" s="374"/>
      <c r="AQ73" s="374"/>
      <c r="AR73" s="374"/>
      <c r="AS73" s="374"/>
      <c r="AT73" s="374"/>
      <c r="AU73" s="374"/>
      <c r="AV73" s="374"/>
      <c r="AW73" s="374"/>
      <c r="AX73" s="380">
        <v>1703.99</v>
      </c>
      <c r="AY73" s="380">
        <v>12.87</v>
      </c>
      <c r="AZ73" s="373">
        <v>1471.71</v>
      </c>
      <c r="BA73" s="373">
        <v>784.97</v>
      </c>
      <c r="BB73" s="373">
        <v>2416.9340000000002</v>
      </c>
    </row>
    <row r="74" spans="1:54" ht="15" customHeight="1" x14ac:dyDescent="0.3">
      <c r="A74" s="372"/>
      <c r="B74" s="372"/>
      <c r="C74" s="372"/>
      <c r="D74" s="372"/>
      <c r="E74" s="372"/>
      <c r="F74" s="372"/>
      <c r="G74" s="372"/>
      <c r="H74" s="372"/>
      <c r="I74" s="372"/>
      <c r="J74" s="372"/>
      <c r="K74" s="372"/>
      <c r="L74" s="372"/>
      <c r="M74" s="372"/>
      <c r="N74" s="372"/>
      <c r="O74" s="372"/>
      <c r="P74" s="372"/>
      <c r="Q74" s="372"/>
      <c r="R74" s="372"/>
      <c r="S74" s="372"/>
      <c r="T74" s="372"/>
      <c r="U74" s="372"/>
      <c r="V74" s="372"/>
      <c r="W74" s="372"/>
      <c r="X74" s="372"/>
      <c r="Y74" s="372"/>
      <c r="Z74" s="372"/>
      <c r="AA74" s="372"/>
      <c r="AB74" s="372"/>
      <c r="AC74" s="372"/>
      <c r="AD74" s="372"/>
      <c r="AE74" s="372"/>
      <c r="AF74" s="372"/>
      <c r="AG74" s="372"/>
      <c r="AH74" s="372"/>
      <c r="AI74" s="372"/>
      <c r="AJ74" s="377">
        <v>1960.32</v>
      </c>
      <c r="AK74" s="377">
        <v>266.3</v>
      </c>
      <c r="AL74" s="378">
        <v>2538.21</v>
      </c>
      <c r="AN74" s="374"/>
      <c r="AO74" s="374"/>
      <c r="AP74" s="374"/>
      <c r="AQ74" s="374"/>
      <c r="AR74" s="374"/>
      <c r="AS74" s="374"/>
      <c r="AT74" s="374"/>
      <c r="AU74" s="374"/>
      <c r="AV74" s="374"/>
      <c r="AW74" s="374"/>
      <c r="AX74" s="380">
        <v>1722.65</v>
      </c>
      <c r="AY74" s="380">
        <v>-2.67</v>
      </c>
      <c r="AZ74" s="373">
        <v>1467.2</v>
      </c>
      <c r="BA74" s="373">
        <v>785.46</v>
      </c>
      <c r="BB74" s="373">
        <v>2416.9760000000001</v>
      </c>
    </row>
    <row r="75" spans="1:54" ht="15" customHeight="1" x14ac:dyDescent="0.3">
      <c r="A75" s="372"/>
      <c r="B75" s="372"/>
      <c r="C75" s="372"/>
      <c r="D75" s="372"/>
      <c r="E75" s="372"/>
      <c r="F75" s="372"/>
      <c r="G75" s="372"/>
      <c r="H75" s="372"/>
      <c r="I75" s="372"/>
      <c r="J75" s="372"/>
      <c r="K75" s="372"/>
      <c r="L75" s="372"/>
      <c r="M75" s="372"/>
      <c r="N75" s="372"/>
      <c r="O75" s="372"/>
      <c r="P75" s="372"/>
      <c r="Q75" s="372"/>
      <c r="R75" s="372"/>
      <c r="S75" s="372"/>
      <c r="T75" s="372"/>
      <c r="U75" s="372"/>
      <c r="V75" s="372"/>
      <c r="W75" s="372"/>
      <c r="X75" s="372"/>
      <c r="Y75" s="372"/>
      <c r="Z75" s="372"/>
      <c r="AA75" s="372"/>
      <c r="AB75" s="372"/>
      <c r="AC75" s="372"/>
      <c r="AD75" s="372"/>
      <c r="AE75" s="372"/>
      <c r="AF75" s="372"/>
      <c r="AG75" s="372"/>
      <c r="AH75" s="372"/>
      <c r="AI75" s="372"/>
      <c r="AJ75" s="377">
        <v>1957.94</v>
      </c>
      <c r="AK75" s="377">
        <v>271.51</v>
      </c>
      <c r="AL75" s="378">
        <v>2537.0520000000001</v>
      </c>
      <c r="AN75" s="374"/>
      <c r="AO75" s="374"/>
      <c r="AP75" s="374"/>
      <c r="AQ75" s="374"/>
      <c r="AR75" s="374"/>
      <c r="AS75" s="374"/>
      <c r="AT75" s="374"/>
      <c r="AU75" s="374"/>
      <c r="AV75" s="374"/>
      <c r="AW75" s="374"/>
      <c r="AX75" s="380">
        <v>1741.3</v>
      </c>
      <c r="AY75" s="380">
        <v>-18.22</v>
      </c>
      <c r="AZ75" s="373">
        <v>1462.4</v>
      </c>
      <c r="BA75" s="373">
        <v>786.15</v>
      </c>
      <c r="BB75" s="373">
        <v>2416.6030000000001</v>
      </c>
    </row>
    <row r="76" spans="1:54" ht="15" customHeight="1" x14ac:dyDescent="0.3">
      <c r="A76" s="372"/>
      <c r="B76" s="372"/>
      <c r="C76" s="372"/>
      <c r="D76" s="372"/>
      <c r="E76" s="372"/>
      <c r="F76" s="372"/>
      <c r="G76" s="372"/>
      <c r="H76" s="372"/>
      <c r="I76" s="372"/>
      <c r="J76" s="372"/>
      <c r="K76" s="372"/>
      <c r="L76" s="372"/>
      <c r="M76" s="372"/>
      <c r="N76" s="372"/>
      <c r="O76" s="372"/>
      <c r="P76" s="372"/>
      <c r="Q76" s="372"/>
      <c r="R76" s="372"/>
      <c r="S76" s="372"/>
      <c r="T76" s="372"/>
      <c r="U76" s="372"/>
      <c r="V76" s="372"/>
      <c r="W76" s="372"/>
      <c r="X76" s="372"/>
      <c r="Y76" s="372"/>
      <c r="Z76" s="372"/>
      <c r="AA76" s="372"/>
      <c r="AB76" s="372"/>
      <c r="AC76" s="372"/>
      <c r="AD76" s="372"/>
      <c r="AE76" s="372"/>
      <c r="AF76" s="372"/>
      <c r="AG76" s="372"/>
      <c r="AH76" s="372"/>
      <c r="AI76" s="372"/>
      <c r="AJ76" s="377">
        <v>1955.26</v>
      </c>
      <c r="AK76" s="377">
        <v>279.24</v>
      </c>
      <c r="AL76" s="378">
        <v>2535.4398999999999</v>
      </c>
      <c r="AN76" s="374"/>
      <c r="AO76" s="374"/>
      <c r="AP76" s="374"/>
      <c r="AQ76" s="374"/>
      <c r="AR76" s="374"/>
      <c r="AS76" s="374"/>
      <c r="AT76" s="374"/>
      <c r="AU76" s="374"/>
      <c r="AV76" s="374"/>
      <c r="AW76" s="374"/>
      <c r="AX76" s="380">
        <v>1759.95</v>
      </c>
      <c r="AY76" s="380">
        <v>-33.76</v>
      </c>
      <c r="AZ76" s="373">
        <v>1457.38</v>
      </c>
      <c r="BA76" s="373">
        <v>787.98</v>
      </c>
      <c r="BB76" s="373">
        <v>2415.8310999999999</v>
      </c>
    </row>
    <row r="77" spans="1:54" ht="15" customHeight="1" x14ac:dyDescent="0.3">
      <c r="A77" s="372"/>
      <c r="B77" s="372"/>
      <c r="C77" s="372"/>
      <c r="D77" s="372"/>
      <c r="E77" s="372"/>
      <c r="F77" s="372"/>
      <c r="G77" s="372"/>
      <c r="H77" s="372"/>
      <c r="I77" s="372"/>
      <c r="J77" s="372"/>
      <c r="K77" s="372"/>
      <c r="L77" s="372"/>
      <c r="M77" s="372"/>
      <c r="N77" s="372"/>
      <c r="O77" s="372"/>
      <c r="P77" s="372"/>
      <c r="Q77" s="372"/>
      <c r="R77" s="372"/>
      <c r="S77" s="372"/>
      <c r="T77" s="372"/>
      <c r="U77" s="372"/>
      <c r="V77" s="372"/>
      <c r="W77" s="372"/>
      <c r="X77" s="372"/>
      <c r="Y77" s="372"/>
      <c r="Z77" s="372"/>
      <c r="AA77" s="372"/>
      <c r="AB77" s="372"/>
      <c r="AC77" s="372"/>
      <c r="AD77" s="372"/>
      <c r="AE77" s="372"/>
      <c r="AF77" s="372"/>
      <c r="AG77" s="372"/>
      <c r="AH77" s="372"/>
      <c r="AI77" s="372"/>
      <c r="AJ77" s="377">
        <v>1950.42</v>
      </c>
      <c r="AK77" s="377">
        <v>291.01</v>
      </c>
      <c r="AL77" s="378">
        <v>2534.0785999999998</v>
      </c>
      <c r="AN77" s="374"/>
      <c r="AO77" s="374"/>
      <c r="AP77" s="374"/>
      <c r="AQ77" s="374"/>
      <c r="AR77" s="374"/>
      <c r="AS77" s="374"/>
      <c r="AT77" s="374"/>
      <c r="AU77" s="374"/>
      <c r="AV77" s="374"/>
      <c r="AW77" s="374"/>
      <c r="AX77" s="380">
        <v>1778.6</v>
      </c>
      <c r="AY77" s="380">
        <v>-49.3</v>
      </c>
      <c r="AZ77" s="373">
        <v>1452.54</v>
      </c>
      <c r="BA77" s="373">
        <v>789.95</v>
      </c>
      <c r="BB77" s="373">
        <v>2415.056</v>
      </c>
    </row>
    <row r="78" spans="1:54" ht="15" customHeight="1" x14ac:dyDescent="0.3">
      <c r="A78" s="372"/>
      <c r="B78" s="372"/>
      <c r="C78" s="372"/>
      <c r="D78" s="372"/>
      <c r="E78" s="372"/>
      <c r="F78" s="372"/>
      <c r="G78" s="372"/>
      <c r="H78" s="372"/>
      <c r="I78" s="372"/>
      <c r="J78" s="372"/>
      <c r="K78" s="372"/>
      <c r="L78" s="372"/>
      <c r="M78" s="372"/>
      <c r="N78" s="372"/>
      <c r="O78" s="372"/>
      <c r="P78" s="372"/>
      <c r="Q78" s="372"/>
      <c r="R78" s="372"/>
      <c r="S78" s="372"/>
      <c r="T78" s="372"/>
      <c r="U78" s="372"/>
      <c r="V78" s="372"/>
      <c r="W78" s="372"/>
      <c r="X78" s="372"/>
      <c r="Y78" s="372"/>
      <c r="Z78" s="372"/>
      <c r="AA78" s="372"/>
      <c r="AB78" s="372"/>
      <c r="AC78" s="372"/>
      <c r="AD78" s="372"/>
      <c r="AE78" s="372"/>
      <c r="AF78" s="372"/>
      <c r="AG78" s="372"/>
      <c r="AH78" s="372"/>
      <c r="AI78" s="372"/>
      <c r="AJ78" s="377">
        <v>1947.89</v>
      </c>
      <c r="AK78" s="377">
        <v>298.27999999999997</v>
      </c>
      <c r="AL78" s="378">
        <v>2533.2600000000002</v>
      </c>
      <c r="AN78" s="374"/>
      <c r="AO78" s="374"/>
      <c r="AP78" s="374"/>
      <c r="AQ78" s="374"/>
      <c r="AR78" s="374"/>
      <c r="AS78" s="374"/>
      <c r="AT78" s="374"/>
      <c r="AU78" s="374"/>
      <c r="AV78" s="374"/>
      <c r="AW78" s="374"/>
      <c r="AX78" s="380">
        <v>1797.26</v>
      </c>
      <c r="AY78" s="380">
        <v>-64.849999999999994</v>
      </c>
      <c r="AZ78" s="373">
        <v>1449.46</v>
      </c>
      <c r="BA78" s="373">
        <v>791.29</v>
      </c>
      <c r="BB78" s="373">
        <v>2414.9189000000001</v>
      </c>
    </row>
    <row r="79" spans="1:54" ht="15" customHeight="1" x14ac:dyDescent="0.3">
      <c r="A79" s="372"/>
      <c r="B79" s="372"/>
      <c r="C79" s="372"/>
      <c r="D79" s="372"/>
      <c r="E79" s="372"/>
      <c r="F79" s="372"/>
      <c r="G79" s="372"/>
      <c r="H79" s="372"/>
      <c r="I79" s="372"/>
      <c r="J79" s="372"/>
      <c r="K79" s="372"/>
      <c r="L79" s="372"/>
      <c r="M79" s="372"/>
      <c r="N79" s="372"/>
      <c r="O79" s="372"/>
      <c r="P79" s="372"/>
      <c r="Q79" s="372"/>
      <c r="R79" s="372"/>
      <c r="S79" s="372"/>
      <c r="T79" s="372"/>
      <c r="U79" s="372"/>
      <c r="V79" s="372"/>
      <c r="W79" s="372"/>
      <c r="X79" s="372"/>
      <c r="Y79" s="372"/>
      <c r="Z79" s="372"/>
      <c r="AA79" s="372"/>
      <c r="AB79" s="372"/>
      <c r="AC79" s="372"/>
      <c r="AD79" s="372"/>
      <c r="AE79" s="372"/>
      <c r="AF79" s="372"/>
      <c r="AG79" s="372"/>
      <c r="AH79" s="372"/>
      <c r="AI79" s="372"/>
      <c r="AJ79" s="377">
        <v>1944.39</v>
      </c>
      <c r="AK79" s="377">
        <v>303.85000000000002</v>
      </c>
      <c r="AL79" s="378">
        <v>2533.0169999999998</v>
      </c>
      <c r="AN79" s="374"/>
      <c r="AO79" s="374"/>
      <c r="AP79" s="374"/>
      <c r="AQ79" s="374"/>
      <c r="AR79" s="374"/>
      <c r="AS79" s="374"/>
      <c r="AT79" s="374"/>
      <c r="AU79" s="374"/>
      <c r="AV79" s="374"/>
      <c r="AW79" s="374"/>
      <c r="AX79" s="380">
        <v>1815.91</v>
      </c>
      <c r="AY79" s="380">
        <v>-80.39</v>
      </c>
      <c r="AZ79" s="373">
        <v>1443.81</v>
      </c>
      <c r="BA79" s="373">
        <v>794.12</v>
      </c>
      <c r="BB79" s="373">
        <v>2414.1239999999998</v>
      </c>
    </row>
    <row r="80" spans="1:54" ht="15" customHeight="1" x14ac:dyDescent="0.3">
      <c r="A80" s="372"/>
      <c r="B80" s="372"/>
      <c r="C80" s="372"/>
      <c r="D80" s="372"/>
      <c r="E80" s="372"/>
      <c r="F80" s="372"/>
      <c r="G80" s="372"/>
      <c r="H80" s="372"/>
      <c r="I80" s="372"/>
      <c r="J80" s="372"/>
      <c r="K80" s="372"/>
      <c r="L80" s="372"/>
      <c r="M80" s="372"/>
      <c r="N80" s="372"/>
      <c r="O80" s="372"/>
      <c r="P80" s="372"/>
      <c r="Q80" s="372"/>
      <c r="R80" s="372"/>
      <c r="S80" s="372"/>
      <c r="T80" s="372"/>
      <c r="U80" s="372"/>
      <c r="V80" s="372"/>
      <c r="W80" s="372"/>
      <c r="X80" s="372"/>
      <c r="Y80" s="372"/>
      <c r="Z80" s="372"/>
      <c r="AA80" s="372"/>
      <c r="AB80" s="372"/>
      <c r="AC80" s="372"/>
      <c r="AD80" s="372"/>
      <c r="AE80" s="372"/>
      <c r="AF80" s="372"/>
      <c r="AG80" s="372"/>
      <c r="AH80" s="372"/>
      <c r="AI80" s="372"/>
      <c r="AJ80" s="377">
        <v>1940.88</v>
      </c>
      <c r="AK80" s="377">
        <v>309.42</v>
      </c>
      <c r="AL80" s="378">
        <v>2532.7739999999999</v>
      </c>
      <c r="AN80" s="374"/>
      <c r="AO80" s="374"/>
      <c r="AP80" s="374"/>
      <c r="AQ80" s="374"/>
      <c r="AR80" s="374"/>
      <c r="AS80" s="374"/>
      <c r="AT80" s="374"/>
      <c r="AU80" s="374"/>
      <c r="AV80" s="374"/>
      <c r="AW80" s="374"/>
      <c r="AX80" s="380">
        <v>1834.56</v>
      </c>
      <c r="AY80" s="380">
        <v>-95.93</v>
      </c>
      <c r="AZ80" s="373">
        <v>1438.08</v>
      </c>
      <c r="BA80" s="373">
        <v>797.41</v>
      </c>
      <c r="BB80" s="373">
        <v>2412.7350000000001</v>
      </c>
    </row>
    <row r="81" spans="1:54" ht="15" customHeight="1" x14ac:dyDescent="0.3">
      <c r="A81" s="372"/>
      <c r="B81" s="372"/>
      <c r="C81" s="372"/>
      <c r="D81" s="372"/>
      <c r="E81" s="372"/>
      <c r="F81" s="372"/>
      <c r="G81" s="372"/>
      <c r="H81" s="372"/>
      <c r="I81" s="372"/>
      <c r="J81" s="372"/>
      <c r="K81" s="372"/>
      <c r="L81" s="372"/>
      <c r="M81" s="372"/>
      <c r="N81" s="372"/>
      <c r="O81" s="372"/>
      <c r="P81" s="372"/>
      <c r="Q81" s="372"/>
      <c r="R81" s="372"/>
      <c r="S81" s="372"/>
      <c r="T81" s="372"/>
      <c r="U81" s="372"/>
      <c r="V81" s="372"/>
      <c r="W81" s="372"/>
      <c r="X81" s="372"/>
      <c r="Y81" s="372"/>
      <c r="Z81" s="372"/>
      <c r="AA81" s="372"/>
      <c r="AB81" s="372"/>
      <c r="AC81" s="372"/>
      <c r="AD81" s="372"/>
      <c r="AE81" s="372"/>
      <c r="AF81" s="372"/>
      <c r="AG81" s="372"/>
      <c r="AH81" s="372"/>
      <c r="AI81" s="372"/>
      <c r="AJ81" s="377">
        <v>1936.44</v>
      </c>
      <c r="AK81" s="377">
        <v>312.77</v>
      </c>
      <c r="AL81" s="378">
        <v>2532.2786000000001</v>
      </c>
      <c r="AN81" s="374"/>
      <c r="AO81" s="374"/>
      <c r="AP81" s="374"/>
      <c r="AQ81" s="374"/>
      <c r="AR81" s="374"/>
      <c r="AS81" s="374"/>
      <c r="AT81" s="374"/>
      <c r="AU81" s="374"/>
      <c r="AV81" s="374"/>
      <c r="AW81" s="374"/>
      <c r="AX81" s="380">
        <v>1853.22</v>
      </c>
      <c r="AY81" s="380">
        <v>-111.48</v>
      </c>
      <c r="AZ81" s="373">
        <v>1433.34</v>
      </c>
      <c r="BA81" s="373">
        <v>800.75</v>
      </c>
      <c r="BB81" s="373">
        <v>2410.7359999999999</v>
      </c>
    </row>
    <row r="82" spans="1:54" ht="15" customHeight="1" x14ac:dyDescent="0.3">
      <c r="A82" s="372"/>
      <c r="B82" s="372"/>
      <c r="C82" s="372"/>
      <c r="D82" s="372"/>
      <c r="E82" s="372"/>
      <c r="F82" s="372"/>
      <c r="G82" s="372"/>
      <c r="H82" s="372"/>
      <c r="I82" s="372"/>
      <c r="J82" s="372"/>
      <c r="K82" s="372"/>
      <c r="L82" s="372"/>
      <c r="M82" s="372"/>
      <c r="N82" s="372"/>
      <c r="O82" s="372"/>
      <c r="P82" s="372"/>
      <c r="Q82" s="372"/>
      <c r="R82" s="372"/>
      <c r="S82" s="372"/>
      <c r="T82" s="372"/>
      <c r="U82" s="372"/>
      <c r="V82" s="372"/>
      <c r="W82" s="372"/>
      <c r="X82" s="372"/>
      <c r="Y82" s="372"/>
      <c r="Z82" s="372"/>
      <c r="AA82" s="372"/>
      <c r="AB82" s="372"/>
      <c r="AC82" s="372"/>
      <c r="AD82" s="372"/>
      <c r="AE82" s="372"/>
      <c r="AF82" s="372"/>
      <c r="AG82" s="372"/>
      <c r="AH82" s="372"/>
      <c r="AI82" s="372"/>
      <c r="AJ82" s="377">
        <v>1932</v>
      </c>
      <c r="AK82" s="377">
        <v>316.12</v>
      </c>
      <c r="AL82" s="378">
        <v>2531.7829999999999</v>
      </c>
      <c r="AN82" s="374"/>
      <c r="AO82" s="374"/>
      <c r="AP82" s="374"/>
      <c r="AQ82" s="374"/>
      <c r="AR82" s="374"/>
      <c r="AS82" s="374"/>
      <c r="AT82" s="374"/>
      <c r="AU82" s="374"/>
      <c r="AV82" s="374"/>
      <c r="AW82" s="374"/>
      <c r="AX82" s="380">
        <v>1871.87</v>
      </c>
      <c r="AY82" s="380">
        <v>-127.02</v>
      </c>
      <c r="AZ82" s="373">
        <v>1431.9</v>
      </c>
      <c r="BA82" s="373">
        <v>801.86</v>
      </c>
      <c r="BB82" s="373">
        <v>2409.9301</v>
      </c>
    </row>
    <row r="83" spans="1:54" ht="15" customHeight="1" x14ac:dyDescent="0.3">
      <c r="A83" s="372"/>
      <c r="B83" s="372"/>
      <c r="C83" s="372"/>
      <c r="D83" s="372"/>
      <c r="E83" s="372"/>
      <c r="F83" s="372"/>
      <c r="G83" s="372"/>
      <c r="H83" s="372"/>
      <c r="I83" s="372"/>
      <c r="J83" s="372"/>
      <c r="K83" s="372"/>
      <c r="L83" s="372"/>
      <c r="M83" s="372"/>
      <c r="N83" s="372"/>
      <c r="O83" s="372"/>
      <c r="P83" s="372"/>
      <c r="Q83" s="372"/>
      <c r="R83" s="372"/>
      <c r="S83" s="372"/>
      <c r="T83" s="372"/>
      <c r="U83" s="372"/>
      <c r="V83" s="372"/>
      <c r="W83" s="372"/>
      <c r="X83" s="372"/>
      <c r="Y83" s="372"/>
      <c r="Z83" s="372"/>
      <c r="AA83" s="372"/>
      <c r="AB83" s="372"/>
      <c r="AC83" s="372"/>
      <c r="AD83" s="372"/>
      <c r="AE83" s="372"/>
      <c r="AF83" s="372"/>
      <c r="AG83" s="372"/>
      <c r="AH83" s="372"/>
      <c r="AI83" s="372"/>
      <c r="AJ83" s="377">
        <v>1917.98</v>
      </c>
      <c r="AK83" s="377">
        <v>320.05</v>
      </c>
      <c r="AL83" s="378">
        <v>2531.5081</v>
      </c>
      <c r="AN83" s="374"/>
      <c r="AO83" s="374"/>
      <c r="AP83" s="374"/>
      <c r="AQ83" s="374"/>
      <c r="AR83" s="374"/>
      <c r="AS83" s="374"/>
      <c r="AT83" s="374"/>
      <c r="AU83" s="374"/>
      <c r="AV83" s="374"/>
      <c r="AW83" s="374"/>
      <c r="AX83" s="380">
        <v>1891.71</v>
      </c>
      <c r="AY83" s="380">
        <v>-143.56</v>
      </c>
      <c r="AZ83" s="373">
        <v>1430.29</v>
      </c>
      <c r="BA83" s="373">
        <v>805.79</v>
      </c>
      <c r="BB83" s="373">
        <v>2407.9250000000002</v>
      </c>
    </row>
    <row r="84" spans="1:54" ht="15" customHeight="1" x14ac:dyDescent="0.3">
      <c r="A84" s="372"/>
      <c r="B84" s="372"/>
      <c r="C84" s="372"/>
      <c r="D84" s="372"/>
      <c r="E84" s="372"/>
      <c r="F84" s="372"/>
      <c r="G84" s="372"/>
      <c r="H84" s="372"/>
      <c r="I84" s="372"/>
      <c r="J84" s="372"/>
      <c r="K84" s="372"/>
      <c r="L84" s="372"/>
      <c r="M84" s="372"/>
      <c r="N84" s="372"/>
      <c r="O84" s="372"/>
      <c r="P84" s="372"/>
      <c r="Q84" s="372"/>
      <c r="R84" s="372"/>
      <c r="S84" s="372"/>
      <c r="T84" s="372"/>
      <c r="U84" s="372"/>
      <c r="V84" s="372"/>
      <c r="W84" s="372"/>
      <c r="X84" s="372"/>
      <c r="Y84" s="372"/>
      <c r="Z84" s="372"/>
      <c r="AA84" s="372"/>
      <c r="AB84" s="372"/>
      <c r="AC84" s="372"/>
      <c r="AD84" s="372"/>
      <c r="AE84" s="372"/>
      <c r="AF84" s="372"/>
      <c r="AG84" s="372"/>
      <c r="AH84" s="372"/>
      <c r="AI84" s="372"/>
      <c r="AJ84" s="377">
        <v>1913.37</v>
      </c>
      <c r="AK84" s="377">
        <v>320.12</v>
      </c>
      <c r="AL84" s="378">
        <v>2531.7366000000002</v>
      </c>
      <c r="AN84" s="374"/>
      <c r="AO84" s="374"/>
      <c r="AP84" s="374"/>
      <c r="AQ84" s="374"/>
      <c r="AR84" s="374"/>
      <c r="AS84" s="374"/>
      <c r="AT84" s="374"/>
      <c r="AU84" s="374"/>
      <c r="AV84" s="374"/>
      <c r="AW84" s="374"/>
      <c r="AX84" s="380">
        <v>1914.14</v>
      </c>
      <c r="AY84" s="380">
        <v>-147.27000000000001</v>
      </c>
      <c r="AZ84" s="373">
        <v>1430.26</v>
      </c>
      <c r="BA84" s="373">
        <v>808.53</v>
      </c>
      <c r="BB84" s="373">
        <v>2407.3944999999999</v>
      </c>
    </row>
    <row r="85" spans="1:54" s="400" customFormat="1" ht="15" customHeight="1" x14ac:dyDescent="0.3">
      <c r="A85" s="407"/>
      <c r="B85" s="407"/>
      <c r="C85" s="407"/>
      <c r="D85" s="407"/>
      <c r="E85" s="407"/>
      <c r="F85" s="407"/>
      <c r="G85" s="407"/>
      <c r="H85" s="407"/>
      <c r="I85" s="407"/>
      <c r="J85" s="407"/>
      <c r="K85" s="407"/>
      <c r="L85" s="407"/>
      <c r="M85" s="407"/>
      <c r="N85" s="407"/>
      <c r="O85" s="407"/>
      <c r="P85" s="407"/>
      <c r="Q85" s="407"/>
      <c r="R85" s="407"/>
      <c r="S85" s="407"/>
      <c r="T85" s="407"/>
      <c r="U85" s="407"/>
      <c r="V85" s="407"/>
      <c r="W85" s="407"/>
      <c r="X85" s="407"/>
      <c r="Y85" s="407"/>
      <c r="Z85" s="407"/>
      <c r="AA85" s="407"/>
      <c r="AB85" s="407"/>
      <c r="AC85" s="407"/>
      <c r="AD85" s="407"/>
      <c r="AE85" s="407"/>
      <c r="AF85" s="407"/>
      <c r="AG85" s="407"/>
      <c r="AH85" s="407"/>
      <c r="AI85" s="407"/>
      <c r="AJ85" s="377">
        <v>1904.56</v>
      </c>
      <c r="AK85" s="377">
        <v>319.08</v>
      </c>
      <c r="AL85" s="378">
        <v>2532.1770000000001</v>
      </c>
      <c r="AN85" s="374"/>
      <c r="AO85" s="374"/>
      <c r="AP85" s="374"/>
      <c r="AQ85" s="374"/>
      <c r="AR85" s="374"/>
      <c r="AS85" s="374"/>
      <c r="AT85" s="374"/>
      <c r="AU85" s="374"/>
      <c r="AV85" s="374"/>
      <c r="AW85" s="374"/>
      <c r="AX85" s="380">
        <v>1938.09</v>
      </c>
      <c r="AY85" s="380">
        <v>-151.22999999999999</v>
      </c>
      <c r="AZ85" s="400">
        <v>1430.7</v>
      </c>
      <c r="BA85" s="400">
        <v>812.41</v>
      </c>
      <c r="BB85" s="400">
        <v>2406.3580000000002</v>
      </c>
    </row>
    <row r="86" spans="1:54" ht="15" customHeight="1" x14ac:dyDescent="0.3">
      <c r="A86" s="372"/>
      <c r="B86" s="372"/>
      <c r="C86" s="372"/>
      <c r="D86" s="372"/>
      <c r="E86" s="372"/>
      <c r="F86" s="372"/>
      <c r="G86" s="372"/>
      <c r="H86" s="372"/>
      <c r="I86" s="372"/>
      <c r="J86" s="372"/>
      <c r="K86" s="372"/>
      <c r="L86" s="372"/>
      <c r="M86" s="372"/>
      <c r="N86" s="372"/>
      <c r="O86" s="372"/>
      <c r="P86" s="372"/>
      <c r="Q86" s="372"/>
      <c r="R86" s="372"/>
      <c r="S86" s="372"/>
      <c r="T86" s="372"/>
      <c r="U86" s="372"/>
      <c r="V86" s="372"/>
      <c r="W86" s="372"/>
      <c r="X86" s="372"/>
      <c r="Y86" s="372"/>
      <c r="Z86" s="372"/>
      <c r="AA86" s="372"/>
      <c r="AB86" s="372"/>
      <c r="AC86" s="372"/>
      <c r="AD86" s="372"/>
      <c r="AE86" s="372"/>
      <c r="AF86" s="372"/>
      <c r="AG86" s="372"/>
      <c r="AH86" s="372"/>
      <c r="AI86" s="372"/>
      <c r="AJ86" s="377">
        <v>1894.17</v>
      </c>
      <c r="AK86" s="377">
        <v>320.91000000000003</v>
      </c>
      <c r="AL86" s="378">
        <v>2532.0929999999998</v>
      </c>
      <c r="AN86" s="374"/>
      <c r="AO86" s="374"/>
      <c r="AP86" s="374"/>
      <c r="AQ86" s="374"/>
      <c r="AR86" s="374"/>
      <c r="AS86" s="374"/>
      <c r="AT86" s="374"/>
      <c r="AU86" s="374"/>
      <c r="AV86" s="374"/>
      <c r="AW86" s="374"/>
      <c r="AX86" s="380">
        <v>1962.04</v>
      </c>
      <c r="AY86" s="380">
        <v>-155.19999999999999</v>
      </c>
      <c r="AZ86" s="373">
        <v>1431.6</v>
      </c>
      <c r="BA86" s="373">
        <v>815.12</v>
      </c>
      <c r="BB86" s="373">
        <v>2405.6869999999999</v>
      </c>
    </row>
    <row r="87" spans="1:54" ht="15" customHeight="1" x14ac:dyDescent="0.3">
      <c r="A87" s="372"/>
      <c r="B87" s="372"/>
      <c r="C87" s="372"/>
      <c r="D87" s="372"/>
      <c r="E87" s="372"/>
      <c r="F87" s="372"/>
      <c r="G87" s="372"/>
      <c r="H87" s="372"/>
      <c r="I87" s="372"/>
      <c r="J87" s="372"/>
      <c r="K87" s="372"/>
      <c r="L87" s="372"/>
      <c r="M87" s="372"/>
      <c r="N87" s="372"/>
      <c r="O87" s="372"/>
      <c r="P87" s="372"/>
      <c r="Q87" s="372"/>
      <c r="R87" s="372"/>
      <c r="S87" s="372"/>
      <c r="T87" s="372"/>
      <c r="U87" s="372"/>
      <c r="V87" s="372"/>
      <c r="W87" s="372"/>
      <c r="X87" s="372"/>
      <c r="Y87" s="372"/>
      <c r="Z87" s="372"/>
      <c r="AA87" s="372"/>
      <c r="AB87" s="372"/>
      <c r="AC87" s="372"/>
      <c r="AD87" s="372"/>
      <c r="AE87" s="372"/>
      <c r="AF87" s="372"/>
      <c r="AG87" s="372"/>
      <c r="AH87" s="372"/>
      <c r="AI87" s="372"/>
      <c r="AJ87" s="377">
        <v>1887.16</v>
      </c>
      <c r="AK87" s="377">
        <v>322.70999999999998</v>
      </c>
      <c r="AL87" s="378">
        <v>2532.2356</v>
      </c>
      <c r="AN87" s="374"/>
      <c r="AO87" s="374"/>
      <c r="AP87" s="374"/>
      <c r="AQ87" s="374"/>
      <c r="AR87" s="374"/>
      <c r="AS87" s="374"/>
      <c r="AT87" s="374"/>
      <c r="AU87" s="374"/>
      <c r="AV87" s="374"/>
      <c r="AW87" s="374"/>
      <c r="AX87" s="380">
        <v>1986</v>
      </c>
      <c r="AY87" s="380">
        <v>-159.16</v>
      </c>
      <c r="AZ87" s="373">
        <v>1426.39</v>
      </c>
      <c r="BA87" s="373">
        <v>815.2</v>
      </c>
      <c r="BB87" s="373">
        <v>2405.556</v>
      </c>
    </row>
    <row r="88" spans="1:54" ht="15" customHeight="1" x14ac:dyDescent="0.3">
      <c r="A88" s="372"/>
      <c r="B88" s="372"/>
      <c r="C88" s="372"/>
      <c r="D88" s="372"/>
      <c r="E88" s="372"/>
      <c r="F88" s="372"/>
      <c r="G88" s="372"/>
      <c r="H88" s="372"/>
      <c r="I88" s="372"/>
      <c r="J88" s="372"/>
      <c r="K88" s="372"/>
      <c r="L88" s="372"/>
      <c r="M88" s="372"/>
      <c r="N88" s="372"/>
      <c r="O88" s="372"/>
      <c r="P88" s="372"/>
      <c r="Q88" s="372"/>
      <c r="R88" s="372"/>
      <c r="S88" s="372"/>
      <c r="T88" s="372"/>
      <c r="U88" s="372"/>
      <c r="V88" s="372"/>
      <c r="W88" s="372"/>
      <c r="X88" s="372"/>
      <c r="Y88" s="372"/>
      <c r="Z88" s="372"/>
      <c r="AA88" s="372"/>
      <c r="AB88" s="372"/>
      <c r="AC88" s="372"/>
      <c r="AD88" s="372"/>
      <c r="AE88" s="372"/>
      <c r="AF88" s="372"/>
      <c r="AG88" s="372"/>
      <c r="AH88" s="372"/>
      <c r="AI88" s="372"/>
      <c r="AJ88" s="377">
        <v>1880.16</v>
      </c>
      <c r="AK88" s="377">
        <v>324.51</v>
      </c>
      <c r="AL88" s="378">
        <v>2532.3780999999999</v>
      </c>
      <c r="AN88" s="374"/>
      <c r="AO88" s="374"/>
      <c r="AP88" s="374"/>
      <c r="AQ88" s="374"/>
      <c r="AR88" s="374"/>
      <c r="AS88" s="374"/>
      <c r="AT88" s="374"/>
      <c r="AU88" s="374"/>
      <c r="AV88" s="374"/>
      <c r="AW88" s="374"/>
      <c r="AX88" s="380">
        <v>2009.95</v>
      </c>
      <c r="AY88" s="380">
        <v>-163.12</v>
      </c>
      <c r="AZ88" s="373">
        <v>1420.42</v>
      </c>
      <c r="BA88" s="373">
        <v>815.29</v>
      </c>
      <c r="BB88" s="373">
        <v>2404.9810000000002</v>
      </c>
    </row>
    <row r="89" spans="1:54" ht="15" customHeight="1" x14ac:dyDescent="0.3">
      <c r="A89" s="372"/>
      <c r="B89" s="372"/>
      <c r="C89" s="372"/>
      <c r="D89" s="372"/>
      <c r="E89" s="372"/>
      <c r="F89" s="372"/>
      <c r="G89" s="372"/>
      <c r="H89" s="372"/>
      <c r="I89" s="372"/>
      <c r="J89" s="372"/>
      <c r="K89" s="372"/>
      <c r="L89" s="372"/>
      <c r="M89" s="372"/>
      <c r="N89" s="372"/>
      <c r="O89" s="372"/>
      <c r="P89" s="372"/>
      <c r="Q89" s="372"/>
      <c r="R89" s="372"/>
      <c r="S89" s="372"/>
      <c r="T89" s="372"/>
      <c r="U89" s="372"/>
      <c r="V89" s="372"/>
      <c r="W89" s="372"/>
      <c r="X89" s="372"/>
      <c r="Y89" s="372"/>
      <c r="Z89" s="372"/>
      <c r="AA89" s="372"/>
      <c r="AB89" s="372"/>
      <c r="AC89" s="372"/>
      <c r="AD89" s="372"/>
      <c r="AE89" s="372"/>
      <c r="AF89" s="372"/>
      <c r="AG89" s="372"/>
      <c r="AH89" s="372"/>
      <c r="AI89" s="372"/>
      <c r="AJ89" s="377">
        <v>1866.78</v>
      </c>
      <c r="AK89" s="377">
        <v>328.6</v>
      </c>
      <c r="AL89" s="378">
        <v>2532.5554000000002</v>
      </c>
      <c r="AN89" s="374"/>
      <c r="AO89" s="374"/>
      <c r="AP89" s="374"/>
      <c r="AQ89" s="374"/>
      <c r="AR89" s="374"/>
      <c r="AS89" s="374"/>
      <c r="AT89" s="374"/>
      <c r="AU89" s="374"/>
      <c r="AV89" s="374"/>
      <c r="AW89" s="374"/>
      <c r="AX89" s="380">
        <v>2033.91</v>
      </c>
      <c r="AY89" s="380">
        <v>-167.09</v>
      </c>
      <c r="AZ89" s="373">
        <v>1419.59</v>
      </c>
      <c r="BA89" s="373">
        <v>815.53</v>
      </c>
      <c r="BB89" s="373">
        <v>2404.4625000000001</v>
      </c>
    </row>
    <row r="90" spans="1:54" ht="15" customHeight="1" x14ac:dyDescent="0.3">
      <c r="A90" s="372"/>
      <c r="B90" s="372"/>
      <c r="C90" s="372"/>
      <c r="D90" s="372"/>
      <c r="E90" s="372"/>
      <c r="F90" s="372"/>
      <c r="G90" s="372"/>
      <c r="H90" s="372"/>
      <c r="I90" s="372"/>
      <c r="J90" s="372"/>
      <c r="K90" s="372"/>
      <c r="L90" s="372"/>
      <c r="M90" s="372"/>
      <c r="N90" s="372"/>
      <c r="O90" s="372"/>
      <c r="P90" s="372"/>
      <c r="Q90" s="372"/>
      <c r="R90" s="372"/>
      <c r="S90" s="372"/>
      <c r="T90" s="372"/>
      <c r="U90" s="372"/>
      <c r="V90" s="372"/>
      <c r="W90" s="372"/>
      <c r="X90" s="372"/>
      <c r="Y90" s="372"/>
      <c r="Z90" s="372"/>
      <c r="AA90" s="372"/>
      <c r="AB90" s="372"/>
      <c r="AC90" s="372"/>
      <c r="AD90" s="372"/>
      <c r="AE90" s="372"/>
      <c r="AF90" s="372"/>
      <c r="AG90" s="372"/>
      <c r="AH90" s="372"/>
      <c r="AI90" s="372"/>
      <c r="AJ90" s="377">
        <v>1861.98</v>
      </c>
      <c r="AK90" s="377">
        <v>329.62</v>
      </c>
      <c r="AL90" s="378">
        <v>2532.6390000000001</v>
      </c>
      <c r="AN90" s="374"/>
      <c r="AO90" s="374"/>
      <c r="AP90" s="374"/>
      <c r="AQ90" s="374"/>
      <c r="AR90" s="374"/>
      <c r="AS90" s="374"/>
      <c r="AT90" s="374"/>
      <c r="AU90" s="374"/>
      <c r="AV90" s="374"/>
      <c r="AW90" s="374"/>
      <c r="AX90" s="380">
        <v>2057.86</v>
      </c>
      <c r="AY90" s="380">
        <v>-171.05</v>
      </c>
      <c r="AZ90" s="373">
        <v>1419.52</v>
      </c>
      <c r="BA90" s="373">
        <v>815.76</v>
      </c>
      <c r="BB90" s="373">
        <v>2404.3881000000001</v>
      </c>
    </row>
    <row r="91" spans="1:54" ht="15" customHeight="1" x14ac:dyDescent="0.3">
      <c r="A91" s="372"/>
      <c r="B91" s="372"/>
      <c r="C91" s="372"/>
      <c r="D91" s="372"/>
      <c r="E91" s="372"/>
      <c r="F91" s="372"/>
      <c r="G91" s="372"/>
      <c r="H91" s="372"/>
      <c r="I91" s="372"/>
      <c r="J91" s="372"/>
      <c r="K91" s="372"/>
      <c r="L91" s="372"/>
      <c r="M91" s="372"/>
      <c r="N91" s="372"/>
      <c r="O91" s="372"/>
      <c r="P91" s="372"/>
      <c r="Q91" s="372"/>
      <c r="R91" s="372"/>
      <c r="S91" s="372"/>
      <c r="T91" s="372"/>
      <c r="U91" s="372"/>
      <c r="V91" s="372"/>
      <c r="W91" s="372"/>
      <c r="X91" s="372"/>
      <c r="Y91" s="372"/>
      <c r="Z91" s="372"/>
      <c r="AA91" s="372"/>
      <c r="AB91" s="372"/>
      <c r="AC91" s="372"/>
      <c r="AD91" s="372"/>
      <c r="AE91" s="372"/>
      <c r="AF91" s="372"/>
      <c r="AG91" s="372"/>
      <c r="AH91" s="372"/>
      <c r="AI91" s="372"/>
      <c r="AJ91" s="377">
        <v>1860.64</v>
      </c>
      <c r="AK91" s="377">
        <v>329.69</v>
      </c>
      <c r="AL91" s="378">
        <v>2532.6812</v>
      </c>
      <c r="AN91" s="374"/>
      <c r="AO91" s="374"/>
      <c r="AP91" s="374"/>
      <c r="AQ91" s="374"/>
      <c r="AR91" s="374"/>
      <c r="AS91" s="374"/>
      <c r="AT91" s="374"/>
      <c r="AU91" s="374"/>
      <c r="AV91" s="374"/>
      <c r="AW91" s="374"/>
      <c r="AX91" s="380">
        <v>2081.81</v>
      </c>
      <c r="AY91" s="380">
        <v>-175.02</v>
      </c>
      <c r="AZ91" s="373">
        <v>1418.53</v>
      </c>
      <c r="BA91" s="373">
        <v>820.5</v>
      </c>
      <c r="BB91" s="373">
        <v>2402.5381000000002</v>
      </c>
    </row>
    <row r="92" spans="1:54" ht="15" customHeight="1" x14ac:dyDescent="0.3">
      <c r="A92" s="372"/>
      <c r="B92" s="372"/>
      <c r="C92" s="372"/>
      <c r="D92" s="372"/>
      <c r="E92" s="372"/>
      <c r="F92" s="372"/>
      <c r="G92" s="372"/>
      <c r="H92" s="372"/>
      <c r="I92" s="372"/>
      <c r="J92" s="372"/>
      <c r="K92" s="372"/>
      <c r="L92" s="372"/>
      <c r="M92" s="372"/>
      <c r="N92" s="372"/>
      <c r="O92" s="372"/>
      <c r="P92" s="372"/>
      <c r="Q92" s="372"/>
      <c r="R92" s="372"/>
      <c r="S92" s="372"/>
      <c r="T92" s="372"/>
      <c r="U92" s="372"/>
      <c r="V92" s="372"/>
      <c r="W92" s="372"/>
      <c r="X92" s="372"/>
      <c r="Y92" s="372"/>
      <c r="Z92" s="372"/>
      <c r="AA92" s="372"/>
      <c r="AB92" s="372"/>
      <c r="AC92" s="372"/>
      <c r="AD92" s="372"/>
      <c r="AE92" s="372"/>
      <c r="AF92" s="372"/>
      <c r="AG92" s="372"/>
      <c r="AH92" s="372"/>
      <c r="AI92" s="372"/>
      <c r="AJ92" s="377">
        <v>1860.62</v>
      </c>
      <c r="AK92" s="377">
        <v>329.69</v>
      </c>
      <c r="AL92" s="378">
        <v>2532.6817999999998</v>
      </c>
      <c r="AN92" s="374"/>
      <c r="AO92" s="374"/>
      <c r="AP92" s="374"/>
      <c r="AQ92" s="374"/>
      <c r="AR92" s="374"/>
      <c r="AS92" s="374"/>
      <c r="AT92" s="374"/>
      <c r="AU92" s="374"/>
      <c r="AV92" s="374"/>
      <c r="AW92" s="374"/>
      <c r="AX92" s="380">
        <v>2105.77</v>
      </c>
      <c r="AY92" s="380">
        <v>-178.98</v>
      </c>
      <c r="AZ92" s="373">
        <v>1417.56</v>
      </c>
      <c r="BA92" s="373">
        <v>826.71</v>
      </c>
      <c r="BB92" s="373">
        <v>2400.4029999999998</v>
      </c>
    </row>
    <row r="93" spans="1:54" ht="15" customHeight="1" x14ac:dyDescent="0.3">
      <c r="A93" s="372"/>
      <c r="B93" s="372"/>
      <c r="C93" s="372"/>
      <c r="D93" s="372"/>
      <c r="E93" s="372"/>
      <c r="F93" s="372"/>
      <c r="G93" s="372"/>
      <c r="H93" s="372"/>
      <c r="I93" s="372"/>
      <c r="J93" s="372"/>
      <c r="K93" s="372"/>
      <c r="L93" s="372"/>
      <c r="M93" s="372"/>
      <c r="N93" s="372"/>
      <c r="O93" s="372"/>
      <c r="P93" s="372"/>
      <c r="Q93" s="372"/>
      <c r="R93" s="372"/>
      <c r="S93" s="372"/>
      <c r="T93" s="372"/>
      <c r="U93" s="372"/>
      <c r="V93" s="372"/>
      <c r="W93" s="372"/>
      <c r="X93" s="372"/>
      <c r="Y93" s="372"/>
      <c r="Z93" s="372"/>
      <c r="AA93" s="372"/>
      <c r="AB93" s="372"/>
      <c r="AC93" s="372"/>
      <c r="AD93" s="372"/>
      <c r="AE93" s="372"/>
      <c r="AF93" s="372"/>
      <c r="AG93" s="372"/>
      <c r="AH93" s="372"/>
      <c r="AI93" s="372"/>
      <c r="AJ93" s="377">
        <v>1859.23</v>
      </c>
      <c r="AK93" s="377">
        <v>329.76</v>
      </c>
      <c r="AL93" s="378">
        <v>2532.7249999999999</v>
      </c>
      <c r="AN93" s="374"/>
      <c r="AO93" s="374"/>
      <c r="AP93" s="374"/>
      <c r="AQ93" s="374"/>
      <c r="AR93" s="374"/>
      <c r="AS93" s="374"/>
      <c r="AT93" s="374"/>
      <c r="AU93" s="374"/>
      <c r="AV93" s="374"/>
      <c r="AW93" s="374"/>
      <c r="AX93" s="380">
        <v>2129.7199999999998</v>
      </c>
      <c r="AY93" s="380">
        <v>-182.95</v>
      </c>
      <c r="AZ93" s="373">
        <v>1417.22</v>
      </c>
      <c r="BA93" s="373">
        <v>831.01</v>
      </c>
      <c r="BB93" s="373">
        <v>2398.6570000000002</v>
      </c>
    </row>
    <row r="94" spans="1:54" ht="15" customHeight="1" x14ac:dyDescent="0.3">
      <c r="A94" s="372"/>
      <c r="B94" s="372"/>
      <c r="C94" s="372"/>
      <c r="D94" s="372"/>
      <c r="E94" s="372"/>
      <c r="F94" s="372"/>
      <c r="G94" s="372"/>
      <c r="H94" s="372"/>
      <c r="I94" s="372"/>
      <c r="J94" s="372"/>
      <c r="K94" s="372"/>
      <c r="L94" s="372"/>
      <c r="M94" s="372"/>
      <c r="N94" s="372"/>
      <c r="O94" s="372"/>
      <c r="P94" s="372"/>
      <c r="Q94" s="372"/>
      <c r="R94" s="372"/>
      <c r="S94" s="372"/>
      <c r="T94" s="372"/>
      <c r="U94" s="372"/>
      <c r="V94" s="372"/>
      <c r="W94" s="372"/>
      <c r="X94" s="372"/>
      <c r="Y94" s="372"/>
      <c r="Z94" s="372"/>
      <c r="AA94" s="372"/>
      <c r="AB94" s="372"/>
      <c r="AC94" s="372"/>
      <c r="AD94" s="372"/>
      <c r="AE94" s="372"/>
      <c r="AF94" s="372"/>
      <c r="AG94" s="372"/>
      <c r="AH94" s="372"/>
      <c r="AI94" s="372"/>
      <c r="AJ94" s="377">
        <v>1853.67</v>
      </c>
      <c r="AK94" s="377">
        <v>329.47</v>
      </c>
      <c r="AL94" s="378">
        <v>2533.0720000000001</v>
      </c>
      <c r="AN94" s="374"/>
      <c r="AO94" s="374"/>
      <c r="AP94" s="374"/>
      <c r="AQ94" s="374"/>
      <c r="AR94" s="374"/>
      <c r="AS94" s="374"/>
      <c r="AT94" s="374"/>
      <c r="AU94" s="374"/>
      <c r="AV94" s="374"/>
      <c r="AW94" s="374"/>
      <c r="AX94" s="380">
        <v>2153.6799999999998</v>
      </c>
      <c r="AY94" s="380">
        <v>-186.91</v>
      </c>
      <c r="AZ94" s="373">
        <v>1417.93</v>
      </c>
      <c r="BA94" s="373">
        <v>834.78</v>
      </c>
      <c r="BB94" s="373">
        <v>2397.4540000000002</v>
      </c>
    </row>
    <row r="95" spans="1:54" ht="15" customHeight="1" x14ac:dyDescent="0.3">
      <c r="A95" s="372"/>
      <c r="B95" s="372"/>
      <c r="C95" s="372"/>
      <c r="D95" s="372"/>
      <c r="E95" s="372"/>
      <c r="F95" s="372"/>
      <c r="G95" s="372"/>
      <c r="H95" s="372"/>
      <c r="I95" s="372"/>
      <c r="J95" s="372"/>
      <c r="K95" s="372"/>
      <c r="L95" s="372"/>
      <c r="M95" s="372"/>
      <c r="N95" s="372"/>
      <c r="O95" s="372"/>
      <c r="P95" s="372"/>
      <c r="Q95" s="372"/>
      <c r="R95" s="372"/>
      <c r="S95" s="372"/>
      <c r="T95" s="372"/>
      <c r="U95" s="372"/>
      <c r="V95" s="372"/>
      <c r="W95" s="372"/>
      <c r="X95" s="372"/>
      <c r="Y95" s="372"/>
      <c r="Z95" s="372"/>
      <c r="AA95" s="372"/>
      <c r="AB95" s="372"/>
      <c r="AC95" s="372"/>
      <c r="AD95" s="372"/>
      <c r="AE95" s="372"/>
      <c r="AF95" s="372"/>
      <c r="AG95" s="372"/>
      <c r="AH95" s="372"/>
      <c r="AI95" s="372"/>
      <c r="AJ95" s="377">
        <v>1848.1</v>
      </c>
      <c r="AK95" s="377">
        <v>329.19</v>
      </c>
      <c r="AL95" s="378">
        <v>2533.4189000000001</v>
      </c>
      <c r="AN95" s="374"/>
      <c r="AO95" s="374"/>
      <c r="AP95" s="374"/>
      <c r="AQ95" s="374"/>
      <c r="AR95" s="374"/>
      <c r="AS95" s="374"/>
      <c r="AT95" s="374"/>
      <c r="AU95" s="374"/>
      <c r="AV95" s="374"/>
      <c r="AW95" s="374"/>
      <c r="AX95" s="380">
        <v>2177.63</v>
      </c>
      <c r="AY95" s="380">
        <v>-190.87</v>
      </c>
      <c r="AZ95" s="373">
        <v>1419.47</v>
      </c>
      <c r="BA95" s="373">
        <v>837.35</v>
      </c>
      <c r="BB95" s="373">
        <v>2396.3760000000002</v>
      </c>
    </row>
    <row r="96" spans="1:54" ht="15" customHeight="1" x14ac:dyDescent="0.3">
      <c r="A96" s="372"/>
      <c r="B96" s="372"/>
      <c r="C96" s="372"/>
      <c r="D96" s="372"/>
      <c r="E96" s="372"/>
      <c r="F96" s="372"/>
      <c r="G96" s="372"/>
      <c r="H96" s="372"/>
      <c r="I96" s="372"/>
      <c r="J96" s="372"/>
      <c r="K96" s="372"/>
      <c r="L96" s="372"/>
      <c r="M96" s="372"/>
      <c r="N96" s="372"/>
      <c r="O96" s="372"/>
      <c r="P96" s="372"/>
      <c r="Q96" s="372"/>
      <c r="R96" s="372"/>
      <c r="S96" s="372"/>
      <c r="T96" s="372"/>
      <c r="U96" s="372"/>
      <c r="V96" s="372"/>
      <c r="W96" s="372"/>
      <c r="X96" s="372"/>
      <c r="Y96" s="372"/>
      <c r="Z96" s="372"/>
      <c r="AA96" s="372"/>
      <c r="AB96" s="372"/>
      <c r="AC96" s="372"/>
      <c r="AD96" s="372"/>
      <c r="AE96" s="372"/>
      <c r="AF96" s="372"/>
      <c r="AG96" s="372"/>
      <c r="AH96" s="372"/>
      <c r="AI96" s="372"/>
      <c r="AJ96" s="377">
        <v>1842.39</v>
      </c>
      <c r="AK96" s="377">
        <v>328.66</v>
      </c>
      <c r="AL96" s="378">
        <v>2534.002</v>
      </c>
      <c r="AN96" s="374"/>
      <c r="AO96" s="374"/>
      <c r="AP96" s="374"/>
      <c r="AQ96" s="374"/>
      <c r="AR96" s="374"/>
      <c r="AS96" s="374"/>
      <c r="AT96" s="374"/>
      <c r="AU96" s="374"/>
      <c r="AV96" s="374"/>
      <c r="AW96" s="374"/>
      <c r="AX96" s="380">
        <v>2201.59</v>
      </c>
      <c r="AY96" s="380">
        <v>-194.84</v>
      </c>
      <c r="AZ96" s="373">
        <v>1422.51</v>
      </c>
      <c r="BA96" s="373">
        <v>841.48</v>
      </c>
      <c r="BB96" s="373">
        <v>2395.0210000000002</v>
      </c>
    </row>
    <row r="97" spans="1:54" ht="15" customHeight="1" x14ac:dyDescent="0.3">
      <c r="A97" s="372"/>
      <c r="B97" s="372"/>
      <c r="C97" s="372"/>
      <c r="D97" s="372"/>
      <c r="E97" s="372"/>
      <c r="F97" s="372"/>
      <c r="G97" s="372"/>
      <c r="H97" s="372"/>
      <c r="I97" s="372"/>
      <c r="J97" s="372"/>
      <c r="K97" s="372"/>
      <c r="L97" s="372"/>
      <c r="M97" s="372"/>
      <c r="N97" s="372"/>
      <c r="O97" s="372"/>
      <c r="P97" s="372"/>
      <c r="Q97" s="372"/>
      <c r="R97" s="372"/>
      <c r="S97" s="372"/>
      <c r="T97" s="372"/>
      <c r="U97" s="372"/>
      <c r="V97" s="372"/>
      <c r="W97" s="372"/>
      <c r="X97" s="372"/>
      <c r="Y97" s="372"/>
      <c r="Z97" s="372"/>
      <c r="AA97" s="372"/>
      <c r="AB97" s="372"/>
      <c r="AC97" s="372"/>
      <c r="AD97" s="372"/>
      <c r="AE97" s="372"/>
      <c r="AF97" s="372"/>
      <c r="AG97" s="372"/>
      <c r="AH97" s="372"/>
      <c r="AI97" s="372"/>
      <c r="AJ97" s="377">
        <v>1836.68</v>
      </c>
      <c r="AK97" s="377">
        <v>328.13</v>
      </c>
      <c r="AL97" s="378">
        <v>2534.585</v>
      </c>
      <c r="AN97" s="374"/>
      <c r="AO97" s="374"/>
      <c r="AP97" s="374"/>
      <c r="AQ97" s="374"/>
      <c r="AR97" s="374"/>
      <c r="AS97" s="374"/>
      <c r="AT97" s="374"/>
      <c r="AU97" s="374"/>
      <c r="AV97" s="374"/>
      <c r="AW97" s="374"/>
      <c r="AX97" s="380">
        <v>2225.54</v>
      </c>
      <c r="AY97" s="380">
        <v>-198.8</v>
      </c>
      <c r="AZ97" s="373">
        <v>1424.06</v>
      </c>
      <c r="BA97" s="373">
        <v>844.28</v>
      </c>
      <c r="BB97" s="373">
        <v>2394.1428999999998</v>
      </c>
    </row>
    <row r="98" spans="1:54" ht="15" customHeight="1" x14ac:dyDescent="0.3">
      <c r="A98" s="372"/>
      <c r="B98" s="372"/>
      <c r="C98" s="372"/>
      <c r="D98" s="372"/>
      <c r="E98" s="372"/>
      <c r="F98" s="372"/>
      <c r="G98" s="372"/>
      <c r="H98" s="372"/>
      <c r="I98" s="372"/>
      <c r="J98" s="372"/>
      <c r="K98" s="372"/>
      <c r="L98" s="372"/>
      <c r="M98" s="372"/>
      <c r="N98" s="372"/>
      <c r="O98" s="372"/>
      <c r="P98" s="372"/>
      <c r="Q98" s="372"/>
      <c r="R98" s="372"/>
      <c r="S98" s="372"/>
      <c r="T98" s="372"/>
      <c r="U98" s="372"/>
      <c r="V98" s="372"/>
      <c r="W98" s="372"/>
      <c r="X98" s="372"/>
      <c r="Y98" s="372"/>
      <c r="Z98" s="372"/>
      <c r="AA98" s="372"/>
      <c r="AB98" s="372"/>
      <c r="AC98" s="372"/>
      <c r="AD98" s="372"/>
      <c r="AE98" s="372"/>
      <c r="AF98" s="372"/>
      <c r="AG98" s="372"/>
      <c r="AH98" s="372"/>
      <c r="AI98" s="372"/>
      <c r="AJ98" s="377">
        <v>1827.46</v>
      </c>
      <c r="AK98" s="377">
        <v>328.98</v>
      </c>
      <c r="AL98" s="378">
        <v>2535.326</v>
      </c>
      <c r="AN98" s="374"/>
      <c r="AO98" s="374"/>
      <c r="AP98" s="374"/>
      <c r="AQ98" s="374"/>
      <c r="AR98" s="374"/>
      <c r="AS98" s="374"/>
      <c r="AT98" s="374"/>
      <c r="AU98" s="374"/>
      <c r="AV98" s="374"/>
      <c r="AW98" s="374"/>
      <c r="AX98" s="380">
        <v>2249.4899999999998</v>
      </c>
      <c r="AY98" s="380">
        <v>-202.77</v>
      </c>
      <c r="AZ98" s="373">
        <v>1424.25</v>
      </c>
      <c r="BA98" s="373">
        <v>848.74</v>
      </c>
      <c r="BB98" s="373">
        <v>2393.4029999999998</v>
      </c>
    </row>
    <row r="99" spans="1:54" ht="15" customHeight="1" x14ac:dyDescent="0.3">
      <c r="A99" s="372"/>
      <c r="B99" s="372"/>
      <c r="C99" s="372"/>
      <c r="D99" s="372"/>
      <c r="E99" s="372"/>
      <c r="F99" s="372"/>
      <c r="G99" s="372"/>
      <c r="H99" s="372"/>
      <c r="I99" s="372"/>
      <c r="J99" s="372"/>
      <c r="K99" s="372"/>
      <c r="L99" s="372"/>
      <c r="M99" s="372"/>
      <c r="N99" s="372"/>
      <c r="O99" s="372"/>
      <c r="P99" s="372"/>
      <c r="Q99" s="372"/>
      <c r="R99" s="372"/>
      <c r="S99" s="372"/>
      <c r="T99" s="372"/>
      <c r="U99" s="372"/>
      <c r="V99" s="372"/>
      <c r="W99" s="372"/>
      <c r="X99" s="372"/>
      <c r="Y99" s="372"/>
      <c r="Z99" s="372"/>
      <c r="AA99" s="372"/>
      <c r="AB99" s="372"/>
      <c r="AC99" s="372"/>
      <c r="AD99" s="372"/>
      <c r="AE99" s="372"/>
      <c r="AF99" s="372"/>
      <c r="AG99" s="372"/>
      <c r="AH99" s="372"/>
      <c r="AI99" s="372"/>
      <c r="AJ99" s="377">
        <v>1821</v>
      </c>
      <c r="AK99" s="377">
        <v>332.32</v>
      </c>
      <c r="AL99" s="378">
        <v>2535.4517999999998</v>
      </c>
      <c r="AN99" s="374"/>
      <c r="AO99" s="374"/>
      <c r="AP99" s="374"/>
      <c r="AQ99" s="374"/>
      <c r="AR99" s="374"/>
      <c r="AS99" s="374"/>
      <c r="AT99" s="374"/>
      <c r="AU99" s="374"/>
      <c r="AV99" s="374"/>
      <c r="AW99" s="374"/>
      <c r="AX99" s="380">
        <v>2273.4499999999998</v>
      </c>
      <c r="AY99" s="380">
        <v>-206.73</v>
      </c>
      <c r="AZ99" s="373">
        <v>1424</v>
      </c>
      <c r="BA99" s="373">
        <v>854.14</v>
      </c>
      <c r="BB99" s="373">
        <v>2392.1770000000001</v>
      </c>
    </row>
    <row r="100" spans="1:54" ht="15" customHeight="1" x14ac:dyDescent="0.3">
      <c r="A100" s="372"/>
      <c r="B100" s="372"/>
      <c r="C100" s="372"/>
      <c r="D100" s="372"/>
      <c r="E100" s="372"/>
      <c r="F100" s="372"/>
      <c r="G100" s="372"/>
      <c r="H100" s="372"/>
      <c r="I100" s="372"/>
      <c r="J100" s="372"/>
      <c r="K100" s="372"/>
      <c r="L100" s="372"/>
      <c r="M100" s="372"/>
      <c r="N100" s="372"/>
      <c r="O100" s="372"/>
      <c r="P100" s="372"/>
      <c r="Q100" s="372"/>
      <c r="R100" s="372"/>
      <c r="S100" s="372"/>
      <c r="T100" s="372"/>
      <c r="U100" s="372"/>
      <c r="V100" s="372"/>
      <c r="W100" s="372"/>
      <c r="X100" s="372"/>
      <c r="Y100" s="372"/>
      <c r="Z100" s="372"/>
      <c r="AA100" s="372"/>
      <c r="AB100" s="372"/>
      <c r="AC100" s="372"/>
      <c r="AD100" s="372"/>
      <c r="AE100" s="372"/>
      <c r="AF100" s="372"/>
      <c r="AG100" s="372"/>
      <c r="AH100" s="372"/>
      <c r="AI100" s="372"/>
      <c r="AJ100" s="377">
        <v>1814.54</v>
      </c>
      <c r="AK100" s="377">
        <v>335.67</v>
      </c>
      <c r="AL100" s="378">
        <v>2535.5770000000002</v>
      </c>
      <c r="AN100" s="374"/>
      <c r="AO100" s="374"/>
      <c r="AP100" s="374"/>
      <c r="AQ100" s="374"/>
      <c r="AR100" s="374"/>
      <c r="AS100" s="374"/>
      <c r="AT100" s="374"/>
      <c r="AU100" s="374"/>
      <c r="AV100" s="374"/>
      <c r="AW100" s="374"/>
      <c r="AX100" s="380">
        <v>2297.4</v>
      </c>
      <c r="AY100" s="380">
        <v>-210.7</v>
      </c>
      <c r="AZ100" s="373">
        <v>1422.97</v>
      </c>
      <c r="BA100" s="373">
        <v>857.57</v>
      </c>
      <c r="BB100" s="373">
        <v>2391.4050000000002</v>
      </c>
    </row>
    <row r="101" spans="1:54" ht="15" customHeight="1" x14ac:dyDescent="0.3">
      <c r="A101" s="372"/>
      <c r="B101" s="372"/>
      <c r="C101" s="372"/>
      <c r="D101" s="372"/>
      <c r="E101" s="372"/>
      <c r="F101" s="372"/>
      <c r="G101" s="372"/>
      <c r="H101" s="372"/>
      <c r="I101" s="372"/>
      <c r="J101" s="372"/>
      <c r="K101" s="372"/>
      <c r="L101" s="372"/>
      <c r="M101" s="372"/>
      <c r="N101" s="372"/>
      <c r="O101" s="372"/>
      <c r="P101" s="372"/>
      <c r="Q101" s="372"/>
      <c r="R101" s="372"/>
      <c r="S101" s="372"/>
      <c r="T101" s="372"/>
      <c r="U101" s="372"/>
      <c r="V101" s="372"/>
      <c r="W101" s="372"/>
      <c r="X101" s="372"/>
      <c r="Y101" s="372"/>
      <c r="Z101" s="372"/>
      <c r="AA101" s="372"/>
      <c r="AB101" s="372"/>
      <c r="AC101" s="372"/>
      <c r="AD101" s="372"/>
      <c r="AE101" s="372"/>
      <c r="AF101" s="372"/>
      <c r="AG101" s="372"/>
      <c r="AH101" s="372"/>
      <c r="AI101" s="372"/>
      <c r="AJ101" s="377">
        <v>1809.47</v>
      </c>
      <c r="AK101" s="377">
        <v>338.85</v>
      </c>
      <c r="AL101" s="378">
        <v>2535.2626</v>
      </c>
      <c r="AN101" s="374"/>
      <c r="AO101" s="374"/>
      <c r="AP101" s="374"/>
      <c r="AQ101" s="374"/>
      <c r="AR101" s="374"/>
      <c r="AS101" s="374"/>
      <c r="AT101" s="374"/>
      <c r="AU101" s="374"/>
      <c r="AV101" s="374"/>
      <c r="AW101" s="374"/>
      <c r="AX101" s="380">
        <v>2321.36</v>
      </c>
      <c r="AY101" s="380">
        <v>-214.66</v>
      </c>
      <c r="AZ101" s="373">
        <v>1421.59</v>
      </c>
      <c r="BA101" s="373">
        <v>860.88</v>
      </c>
      <c r="BB101" s="373">
        <v>2390.73</v>
      </c>
    </row>
    <row r="102" spans="1:54" ht="15" customHeight="1" x14ac:dyDescent="0.3">
      <c r="A102" s="372"/>
      <c r="B102" s="372"/>
      <c r="C102" s="372"/>
      <c r="D102" s="372"/>
      <c r="E102" s="372"/>
      <c r="F102" s="372"/>
      <c r="G102" s="372"/>
      <c r="H102" s="372"/>
      <c r="I102" s="372"/>
      <c r="J102" s="372"/>
      <c r="K102" s="372"/>
      <c r="L102" s="372"/>
      <c r="M102" s="372"/>
      <c r="N102" s="372"/>
      <c r="O102" s="372"/>
      <c r="P102" s="372"/>
      <c r="Q102" s="372"/>
      <c r="R102" s="372"/>
      <c r="S102" s="372"/>
      <c r="T102" s="372"/>
      <c r="U102" s="372"/>
      <c r="V102" s="372"/>
      <c r="W102" s="372"/>
      <c r="X102" s="372"/>
      <c r="Y102" s="372"/>
      <c r="Z102" s="372"/>
      <c r="AA102" s="372"/>
      <c r="AB102" s="372"/>
      <c r="AC102" s="372"/>
      <c r="AD102" s="372"/>
      <c r="AE102" s="372"/>
      <c r="AF102" s="372"/>
      <c r="AG102" s="372"/>
      <c r="AH102" s="372"/>
      <c r="AI102" s="372"/>
      <c r="AJ102" s="377">
        <v>1804.4</v>
      </c>
      <c r="AK102" s="377">
        <v>342.02</v>
      </c>
      <c r="AL102" s="378">
        <v>2534.9479999999999</v>
      </c>
      <c r="AN102" s="374"/>
      <c r="AO102" s="374"/>
      <c r="AP102" s="374"/>
      <c r="AQ102" s="374"/>
      <c r="AR102" s="374"/>
      <c r="AS102" s="374"/>
      <c r="AT102" s="374"/>
      <c r="AU102" s="374"/>
      <c r="AV102" s="374"/>
      <c r="AW102" s="374"/>
      <c r="AX102" s="380"/>
      <c r="AY102" s="380"/>
      <c r="AZ102" s="373">
        <v>1421.14</v>
      </c>
      <c r="BA102" s="373">
        <v>866.2</v>
      </c>
      <c r="BB102" s="373">
        <v>2389.2379999999998</v>
      </c>
    </row>
    <row r="103" spans="1:54" ht="15" customHeight="1" x14ac:dyDescent="0.3">
      <c r="A103" s="372"/>
      <c r="B103" s="372"/>
      <c r="C103" s="372"/>
      <c r="D103" s="372"/>
      <c r="E103" s="372"/>
      <c r="F103" s="372"/>
      <c r="G103" s="372"/>
      <c r="H103" s="372"/>
      <c r="I103" s="372"/>
      <c r="J103" s="372"/>
      <c r="K103" s="372"/>
      <c r="L103" s="372"/>
      <c r="M103" s="372"/>
      <c r="N103" s="372"/>
      <c r="O103" s="372"/>
      <c r="P103" s="372"/>
      <c r="Q103" s="372"/>
      <c r="R103" s="372"/>
      <c r="S103" s="372"/>
      <c r="T103" s="372"/>
      <c r="U103" s="372"/>
      <c r="V103" s="372"/>
      <c r="W103" s="372"/>
      <c r="X103" s="372"/>
      <c r="Y103" s="372"/>
      <c r="Z103" s="372"/>
      <c r="AA103" s="372"/>
      <c r="AB103" s="372"/>
      <c r="AC103" s="372"/>
      <c r="AD103" s="372"/>
      <c r="AE103" s="372"/>
      <c r="AF103" s="372"/>
      <c r="AG103" s="372"/>
      <c r="AH103" s="372"/>
      <c r="AI103" s="372"/>
      <c r="AJ103" s="377">
        <v>1796.54</v>
      </c>
      <c r="AK103" s="377">
        <v>349.02</v>
      </c>
      <c r="AL103" s="378">
        <v>2534.5050000000001</v>
      </c>
      <c r="AN103" s="374"/>
      <c r="AO103" s="374"/>
      <c r="AP103" s="374"/>
      <c r="AQ103" s="374"/>
      <c r="AR103" s="374"/>
      <c r="AS103" s="374"/>
      <c r="AT103" s="374"/>
      <c r="AU103" s="374"/>
      <c r="AV103" s="374"/>
      <c r="AW103" s="374" t="s">
        <v>947</v>
      </c>
      <c r="AX103" s="380">
        <v>13.78</v>
      </c>
      <c r="AY103" s="380">
        <v>-35.479999999999997</v>
      </c>
      <c r="AZ103" s="373">
        <v>1421.16</v>
      </c>
      <c r="BA103" s="373">
        <v>871.93</v>
      </c>
      <c r="BB103" s="373">
        <v>2387.5140000000001</v>
      </c>
    </row>
    <row r="104" spans="1:54" ht="15" customHeight="1" x14ac:dyDescent="0.3">
      <c r="A104" s="372"/>
      <c r="B104" s="372"/>
      <c r="C104" s="372"/>
      <c r="D104" s="372"/>
      <c r="E104" s="372"/>
      <c r="F104" s="372"/>
      <c r="G104" s="372"/>
      <c r="H104" s="372"/>
      <c r="I104" s="372"/>
      <c r="J104" s="372"/>
      <c r="K104" s="372"/>
      <c r="L104" s="372"/>
      <c r="M104" s="372"/>
      <c r="N104" s="372"/>
      <c r="O104" s="372"/>
      <c r="P104" s="372"/>
      <c r="Q104" s="372"/>
      <c r="R104" s="372"/>
      <c r="S104" s="372"/>
      <c r="T104" s="372"/>
      <c r="U104" s="372"/>
      <c r="V104" s="372"/>
      <c r="W104" s="372"/>
      <c r="X104" s="372"/>
      <c r="Y104" s="372"/>
      <c r="Z104" s="372"/>
      <c r="AA104" s="372"/>
      <c r="AB104" s="372"/>
      <c r="AC104" s="372"/>
      <c r="AD104" s="372"/>
      <c r="AE104" s="372"/>
      <c r="AF104" s="372"/>
      <c r="AG104" s="372"/>
      <c r="AH104" s="372"/>
      <c r="AI104" s="372"/>
      <c r="AJ104" s="377">
        <v>1788.18</v>
      </c>
      <c r="AK104" s="377">
        <v>354.08</v>
      </c>
      <c r="AL104" s="378">
        <v>2533.92</v>
      </c>
      <c r="AN104" s="374"/>
      <c r="AO104" s="374"/>
      <c r="AP104" s="374"/>
      <c r="AQ104" s="374"/>
      <c r="AR104" s="374"/>
      <c r="AS104" s="374"/>
      <c r="AT104" s="374"/>
      <c r="AU104" s="374"/>
      <c r="AV104" s="374"/>
      <c r="AW104" s="374"/>
      <c r="AX104" s="380">
        <v>36.29</v>
      </c>
      <c r="AY104" s="380">
        <v>-27.09</v>
      </c>
      <c r="AZ104" s="373">
        <v>1421.91</v>
      </c>
      <c r="BA104" s="373">
        <v>877.8</v>
      </c>
      <c r="BB104" s="373">
        <v>2385.788</v>
      </c>
    </row>
    <row r="105" spans="1:54" ht="15" customHeight="1" x14ac:dyDescent="0.3">
      <c r="A105" s="372"/>
      <c r="B105" s="372"/>
      <c r="C105" s="372"/>
      <c r="D105" s="372"/>
      <c r="E105" s="372"/>
      <c r="F105" s="372"/>
      <c r="G105" s="372"/>
      <c r="H105" s="372"/>
      <c r="I105" s="372"/>
      <c r="J105" s="372"/>
      <c r="K105" s="372"/>
      <c r="L105" s="372"/>
      <c r="M105" s="372"/>
      <c r="N105" s="372"/>
      <c r="O105" s="372"/>
      <c r="P105" s="372"/>
      <c r="Q105" s="372"/>
      <c r="R105" s="372"/>
      <c r="S105" s="372"/>
      <c r="T105" s="372"/>
      <c r="U105" s="372"/>
      <c r="V105" s="372"/>
      <c r="W105" s="372"/>
      <c r="X105" s="372"/>
      <c r="Y105" s="372"/>
      <c r="Z105" s="372"/>
      <c r="AA105" s="372"/>
      <c r="AB105" s="372"/>
      <c r="AC105" s="372"/>
      <c r="AD105" s="372"/>
      <c r="AE105" s="372"/>
      <c r="AF105" s="372"/>
      <c r="AG105" s="372"/>
      <c r="AH105" s="372"/>
      <c r="AI105" s="372"/>
      <c r="AJ105" s="377">
        <v>1784.05</v>
      </c>
      <c r="AK105" s="377">
        <v>358.59</v>
      </c>
      <c r="AL105" s="378">
        <v>2532.9160000000002</v>
      </c>
      <c r="AN105" s="374"/>
      <c r="AO105" s="374"/>
      <c r="AP105" s="374"/>
      <c r="AQ105" s="374"/>
      <c r="AR105" s="374"/>
      <c r="AS105" s="374"/>
      <c r="AT105" s="374"/>
      <c r="AU105" s="374"/>
      <c r="AV105" s="374"/>
      <c r="AW105" s="374"/>
      <c r="AX105" s="380">
        <v>58.8</v>
      </c>
      <c r="AY105" s="380">
        <v>-18.7</v>
      </c>
      <c r="AZ105" s="373">
        <v>1423.47</v>
      </c>
      <c r="BA105" s="373">
        <v>882.21</v>
      </c>
      <c r="BB105" s="373">
        <v>2384.6439999999998</v>
      </c>
    </row>
    <row r="106" spans="1:54" ht="15" customHeight="1" x14ac:dyDescent="0.3">
      <c r="A106" s="372"/>
      <c r="B106" s="372"/>
      <c r="C106" s="372"/>
      <c r="D106" s="372"/>
      <c r="E106" s="372"/>
      <c r="F106" s="372"/>
      <c r="G106" s="372"/>
      <c r="H106" s="372"/>
      <c r="I106" s="372"/>
      <c r="J106" s="372"/>
      <c r="K106" s="372"/>
      <c r="L106" s="372"/>
      <c r="M106" s="372"/>
      <c r="N106" s="372"/>
      <c r="O106" s="372"/>
      <c r="P106" s="372"/>
      <c r="Q106" s="372"/>
      <c r="R106" s="372"/>
      <c r="S106" s="372"/>
      <c r="T106" s="372"/>
      <c r="U106" s="372"/>
      <c r="V106" s="372"/>
      <c r="W106" s="372"/>
      <c r="X106" s="372"/>
      <c r="Y106" s="372"/>
      <c r="Z106" s="372"/>
      <c r="AA106" s="372"/>
      <c r="AB106" s="372"/>
      <c r="AC106" s="372"/>
      <c r="AD106" s="372"/>
      <c r="AE106" s="372"/>
      <c r="AF106" s="372"/>
      <c r="AG106" s="372"/>
      <c r="AH106" s="372"/>
      <c r="AI106" s="372"/>
      <c r="AJ106" s="377">
        <v>1779.91</v>
      </c>
      <c r="AK106" s="377">
        <v>363.1</v>
      </c>
      <c r="AL106" s="378">
        <v>2531.9119999999998</v>
      </c>
      <c r="AN106" s="374"/>
      <c r="AO106" s="374"/>
      <c r="AP106" s="374"/>
      <c r="AQ106" s="374"/>
      <c r="AR106" s="374"/>
      <c r="AS106" s="374"/>
      <c r="AT106" s="374"/>
      <c r="AU106" s="374"/>
      <c r="AV106" s="374"/>
      <c r="AW106" s="374"/>
      <c r="AX106" s="380">
        <v>81.31</v>
      </c>
      <c r="AY106" s="380">
        <v>-10.31</v>
      </c>
      <c r="AZ106" s="373">
        <v>1425.83</v>
      </c>
      <c r="BA106" s="373">
        <v>887.89</v>
      </c>
      <c r="BB106" s="373">
        <v>2382.9470000000001</v>
      </c>
    </row>
    <row r="107" spans="1:54" ht="15" customHeight="1" x14ac:dyDescent="0.3">
      <c r="A107" s="372"/>
      <c r="B107" s="372"/>
      <c r="C107" s="372"/>
      <c r="D107" s="372"/>
      <c r="E107" s="372"/>
      <c r="F107" s="372"/>
      <c r="G107" s="372"/>
      <c r="H107" s="372"/>
      <c r="I107" s="372"/>
      <c r="J107" s="372"/>
      <c r="K107" s="372"/>
      <c r="L107" s="372"/>
      <c r="M107" s="372"/>
      <c r="N107" s="372"/>
      <c r="O107" s="372"/>
      <c r="P107" s="372"/>
      <c r="Q107" s="372"/>
      <c r="R107" s="372"/>
      <c r="S107" s="372"/>
      <c r="T107" s="372"/>
      <c r="U107" s="372"/>
      <c r="V107" s="372"/>
      <c r="W107" s="372"/>
      <c r="X107" s="372"/>
      <c r="Y107" s="372"/>
      <c r="Z107" s="372"/>
      <c r="AA107" s="372"/>
      <c r="AB107" s="372"/>
      <c r="AC107" s="372"/>
      <c r="AD107" s="372"/>
      <c r="AE107" s="372"/>
      <c r="AF107" s="372"/>
      <c r="AG107" s="372"/>
      <c r="AH107" s="372"/>
      <c r="AI107" s="372"/>
      <c r="AJ107" s="377">
        <v>1776.48</v>
      </c>
      <c r="AK107" s="377">
        <v>367.5</v>
      </c>
      <c r="AL107" s="378">
        <v>2530.3584999999998</v>
      </c>
      <c r="AN107" s="374"/>
      <c r="AO107" s="374"/>
      <c r="AP107" s="374"/>
      <c r="AQ107" s="374"/>
      <c r="AR107" s="374"/>
      <c r="AS107" s="374"/>
      <c r="AT107" s="374"/>
      <c r="AU107" s="374"/>
      <c r="AV107" s="374"/>
      <c r="AW107" s="374"/>
      <c r="AX107" s="380">
        <v>103.82</v>
      </c>
      <c r="AY107" s="380">
        <v>-1.92</v>
      </c>
      <c r="AZ107" s="373">
        <v>1427.55</v>
      </c>
      <c r="BA107" s="373">
        <v>893.83</v>
      </c>
      <c r="BB107" s="373">
        <v>2381.4340000000002</v>
      </c>
    </row>
    <row r="108" spans="1:54" ht="15" customHeight="1" x14ac:dyDescent="0.3">
      <c r="A108" s="372"/>
      <c r="B108" s="372"/>
      <c r="C108" s="372"/>
      <c r="D108" s="372"/>
      <c r="E108" s="372"/>
      <c r="F108" s="372"/>
      <c r="G108" s="372"/>
      <c r="H108" s="372"/>
      <c r="I108" s="372"/>
      <c r="J108" s="372"/>
      <c r="K108" s="372"/>
      <c r="L108" s="372"/>
      <c r="M108" s="372"/>
      <c r="N108" s="372"/>
      <c r="O108" s="372"/>
      <c r="P108" s="372"/>
      <c r="Q108" s="372"/>
      <c r="R108" s="372"/>
      <c r="S108" s="372"/>
      <c r="T108" s="372"/>
      <c r="U108" s="372"/>
      <c r="V108" s="372"/>
      <c r="W108" s="372"/>
      <c r="X108" s="372"/>
      <c r="Y108" s="372"/>
      <c r="Z108" s="372"/>
      <c r="AA108" s="372"/>
      <c r="AB108" s="372"/>
      <c r="AC108" s="372"/>
      <c r="AD108" s="372"/>
      <c r="AE108" s="372"/>
      <c r="AF108" s="372"/>
      <c r="AG108" s="372"/>
      <c r="AH108" s="372"/>
      <c r="AI108" s="372"/>
      <c r="AJ108" s="377">
        <v>1771.65</v>
      </c>
      <c r="AK108" s="377">
        <v>375.47</v>
      </c>
      <c r="AL108" s="378">
        <v>2527.7020000000002</v>
      </c>
      <c r="AN108" s="374"/>
      <c r="AO108" s="374"/>
      <c r="AP108" s="374"/>
      <c r="AQ108" s="374"/>
      <c r="AR108" s="374"/>
      <c r="AS108" s="374"/>
      <c r="AT108" s="374"/>
      <c r="AU108" s="374"/>
      <c r="AV108" s="374"/>
      <c r="AW108" s="374"/>
      <c r="AX108" s="380">
        <v>126.33</v>
      </c>
      <c r="AY108" s="380">
        <v>6.47</v>
      </c>
      <c r="AZ108" s="373">
        <v>1428.9</v>
      </c>
      <c r="BA108" s="373">
        <v>900.36</v>
      </c>
      <c r="BB108" s="373">
        <v>2379.8751000000002</v>
      </c>
    </row>
    <row r="109" spans="1:54" ht="15" customHeight="1" x14ac:dyDescent="0.3">
      <c r="A109" s="372"/>
      <c r="B109" s="372"/>
      <c r="C109" s="372"/>
      <c r="D109" s="372"/>
      <c r="E109" s="372"/>
      <c r="F109" s="372"/>
      <c r="G109" s="372"/>
      <c r="H109" s="372"/>
      <c r="I109" s="372"/>
      <c r="J109" s="372"/>
      <c r="K109" s="372"/>
      <c r="L109" s="372"/>
      <c r="M109" s="372"/>
      <c r="N109" s="372"/>
      <c r="O109" s="372"/>
      <c r="P109" s="372"/>
      <c r="Q109" s="372"/>
      <c r="R109" s="372"/>
      <c r="S109" s="372"/>
      <c r="T109" s="372"/>
      <c r="U109" s="372"/>
      <c r="V109" s="372"/>
      <c r="W109" s="372"/>
      <c r="X109" s="372"/>
      <c r="Y109" s="372"/>
      <c r="Z109" s="372"/>
      <c r="AA109" s="372"/>
      <c r="AB109" s="372"/>
      <c r="AC109" s="372"/>
      <c r="AD109" s="372"/>
      <c r="AE109" s="372"/>
      <c r="AF109" s="372"/>
      <c r="AG109" s="372"/>
      <c r="AH109" s="372"/>
      <c r="AI109" s="372"/>
      <c r="AJ109" s="377">
        <v>1767.3</v>
      </c>
      <c r="AK109" s="377">
        <v>380.67</v>
      </c>
      <c r="AL109" s="378">
        <v>2525.2669999999998</v>
      </c>
      <c r="AN109" s="374"/>
      <c r="AO109" s="374"/>
      <c r="AP109" s="374"/>
      <c r="AQ109" s="374"/>
      <c r="AR109" s="374"/>
      <c r="AS109" s="374"/>
      <c r="AT109" s="374"/>
      <c r="AU109" s="374"/>
      <c r="AV109" s="374"/>
      <c r="AW109" s="374"/>
      <c r="AX109" s="380">
        <v>148.84</v>
      </c>
      <c r="AY109" s="380">
        <v>14.86</v>
      </c>
      <c r="AZ109" s="373">
        <v>1429.55</v>
      </c>
      <c r="BA109" s="373">
        <v>905.54</v>
      </c>
      <c r="BB109" s="373">
        <v>2378.944</v>
      </c>
    </row>
    <row r="110" spans="1:54" ht="15" customHeight="1" x14ac:dyDescent="0.3">
      <c r="A110" s="372"/>
      <c r="B110" s="372"/>
      <c r="C110" s="372"/>
      <c r="D110" s="372"/>
      <c r="E110" s="372"/>
      <c r="F110" s="372"/>
      <c r="G110" s="372"/>
      <c r="H110" s="372"/>
      <c r="I110" s="372"/>
      <c r="J110" s="372"/>
      <c r="K110" s="372"/>
      <c r="L110" s="372"/>
      <c r="M110" s="372"/>
      <c r="N110" s="372"/>
      <c r="O110" s="372"/>
      <c r="P110" s="372"/>
      <c r="Q110" s="372"/>
      <c r="R110" s="372"/>
      <c r="S110" s="372"/>
      <c r="T110" s="372"/>
      <c r="U110" s="372"/>
      <c r="V110" s="372"/>
      <c r="W110" s="372"/>
      <c r="X110" s="372"/>
      <c r="Y110" s="372"/>
      <c r="Z110" s="372"/>
      <c r="AA110" s="372"/>
      <c r="AB110" s="372"/>
      <c r="AC110" s="372"/>
      <c r="AD110" s="372"/>
      <c r="AE110" s="372"/>
      <c r="AF110" s="372"/>
      <c r="AG110" s="372"/>
      <c r="AH110" s="372"/>
      <c r="AI110" s="372"/>
      <c r="AJ110" s="377">
        <v>1766.01</v>
      </c>
      <c r="AK110" s="377">
        <v>385.41</v>
      </c>
      <c r="AL110" s="378">
        <v>2523.3969000000002</v>
      </c>
      <c r="AN110" s="374"/>
      <c r="AO110" s="374"/>
      <c r="AP110" s="374"/>
      <c r="AQ110" s="374"/>
      <c r="AR110" s="374"/>
      <c r="AS110" s="374"/>
      <c r="AT110" s="374"/>
      <c r="AU110" s="374"/>
      <c r="AV110" s="374"/>
      <c r="AW110" s="374"/>
      <c r="AX110" s="380">
        <v>171.35</v>
      </c>
      <c r="AY110" s="380">
        <v>23.25</v>
      </c>
      <c r="AZ110" s="373">
        <v>1430.63</v>
      </c>
      <c r="BA110" s="373">
        <v>910.43</v>
      </c>
      <c r="BB110" s="373">
        <v>2377.79</v>
      </c>
    </row>
    <row r="111" spans="1:54" ht="15" customHeight="1" x14ac:dyDescent="0.3">
      <c r="A111" s="372"/>
      <c r="B111" s="372"/>
      <c r="C111" s="372"/>
      <c r="D111" s="372"/>
      <c r="E111" s="372"/>
      <c r="F111" s="372"/>
      <c r="G111" s="372"/>
      <c r="H111" s="372"/>
      <c r="I111" s="372"/>
      <c r="J111" s="372"/>
      <c r="K111" s="372"/>
      <c r="L111" s="372"/>
      <c r="M111" s="372"/>
      <c r="N111" s="372"/>
      <c r="O111" s="372"/>
      <c r="P111" s="372"/>
      <c r="Q111" s="372"/>
      <c r="R111" s="372"/>
      <c r="S111" s="372"/>
      <c r="T111" s="372"/>
      <c r="U111" s="372"/>
      <c r="V111" s="372"/>
      <c r="W111" s="372"/>
      <c r="X111" s="372"/>
      <c r="Y111" s="372"/>
      <c r="Z111" s="372"/>
      <c r="AA111" s="372"/>
      <c r="AB111" s="372"/>
      <c r="AC111" s="372"/>
      <c r="AD111" s="372"/>
      <c r="AE111" s="372"/>
      <c r="AF111" s="372"/>
      <c r="AG111" s="372"/>
      <c r="AH111" s="372"/>
      <c r="AI111" s="372"/>
      <c r="AJ111" s="377">
        <v>1765.48</v>
      </c>
      <c r="AK111" s="377">
        <v>386.23</v>
      </c>
      <c r="AL111" s="378">
        <v>2523.1120999999998</v>
      </c>
      <c r="AN111" s="374"/>
      <c r="AO111" s="374"/>
      <c r="AP111" s="374"/>
      <c r="AQ111" s="374"/>
      <c r="AR111" s="374"/>
      <c r="AS111" s="374"/>
      <c r="AT111" s="374"/>
      <c r="AU111" s="374"/>
      <c r="AV111" s="374"/>
      <c r="AW111" s="374"/>
      <c r="AX111" s="380">
        <v>193.86</v>
      </c>
      <c r="AY111" s="380">
        <v>31.64</v>
      </c>
      <c r="AZ111" s="373">
        <v>1431.9</v>
      </c>
      <c r="BA111" s="373">
        <v>915.11</v>
      </c>
      <c r="BB111" s="373">
        <v>2376.6151</v>
      </c>
    </row>
    <row r="112" spans="1:54" ht="15" customHeight="1" x14ac:dyDescent="0.3">
      <c r="A112" s="372"/>
      <c r="B112" s="372"/>
      <c r="C112" s="372"/>
      <c r="D112" s="372"/>
      <c r="E112" s="372"/>
      <c r="F112" s="372"/>
      <c r="G112" s="372"/>
      <c r="H112" s="372"/>
      <c r="I112" s="372"/>
      <c r="J112" s="372"/>
      <c r="K112" s="372"/>
      <c r="L112" s="372"/>
      <c r="M112" s="372"/>
      <c r="N112" s="372"/>
      <c r="O112" s="372"/>
      <c r="P112" s="372"/>
      <c r="Q112" s="372"/>
      <c r="R112" s="372"/>
      <c r="S112" s="372"/>
      <c r="T112" s="372"/>
      <c r="U112" s="372"/>
      <c r="V112" s="372"/>
      <c r="W112" s="372"/>
      <c r="X112" s="372"/>
      <c r="Y112" s="372"/>
      <c r="Z112" s="372"/>
      <c r="AA112" s="372"/>
      <c r="AB112" s="372"/>
      <c r="AC112" s="372"/>
      <c r="AD112" s="372"/>
      <c r="AE112" s="372"/>
      <c r="AF112" s="372"/>
      <c r="AG112" s="372"/>
      <c r="AH112" s="372"/>
      <c r="AI112" s="372"/>
      <c r="AJ112" s="377">
        <v>1764.34</v>
      </c>
      <c r="AK112" s="377">
        <v>386.44</v>
      </c>
      <c r="AL112" s="378">
        <v>2522.826</v>
      </c>
      <c r="AN112" s="374"/>
      <c r="AO112" s="374"/>
      <c r="AP112" s="374"/>
      <c r="AQ112" s="374"/>
      <c r="AR112" s="374"/>
      <c r="AS112" s="374"/>
      <c r="AT112" s="374"/>
      <c r="AU112" s="374"/>
      <c r="AV112" s="374"/>
      <c r="AW112" s="374"/>
      <c r="AX112" s="380">
        <v>214.75</v>
      </c>
      <c r="AY112" s="380">
        <v>39.43</v>
      </c>
      <c r="AZ112" s="373">
        <v>1433.47</v>
      </c>
      <c r="BA112" s="373">
        <v>919.39</v>
      </c>
      <c r="BB112" s="373">
        <v>2375.5900999999999</v>
      </c>
    </row>
    <row r="113" spans="1:54" ht="15" customHeight="1" x14ac:dyDescent="0.3">
      <c r="A113" s="372"/>
      <c r="B113" s="372"/>
      <c r="C113" s="372"/>
      <c r="D113" s="372"/>
      <c r="E113" s="372"/>
      <c r="F113" s="372"/>
      <c r="G113" s="372"/>
      <c r="H113" s="372"/>
      <c r="I113" s="372"/>
      <c r="J113" s="372"/>
      <c r="K113" s="372"/>
      <c r="L113" s="372"/>
      <c r="M113" s="372"/>
      <c r="N113" s="372"/>
      <c r="O113" s="372"/>
      <c r="P113" s="372"/>
      <c r="Q113" s="372"/>
      <c r="R113" s="372"/>
      <c r="S113" s="372"/>
      <c r="T113" s="372"/>
      <c r="U113" s="372"/>
      <c r="V113" s="372"/>
      <c r="W113" s="372"/>
      <c r="X113" s="372"/>
      <c r="Y113" s="372"/>
      <c r="Z113" s="372"/>
      <c r="AA113" s="372"/>
      <c r="AB113" s="372"/>
      <c r="AC113" s="372"/>
      <c r="AD113" s="372"/>
      <c r="AE113" s="372"/>
      <c r="AF113" s="372"/>
      <c r="AG113" s="372"/>
      <c r="AH113" s="372"/>
      <c r="AI113" s="372"/>
      <c r="AJ113" s="377">
        <v>1764.43</v>
      </c>
      <c r="AK113" s="377">
        <v>388.19</v>
      </c>
      <c r="AL113" s="378">
        <v>2521.85</v>
      </c>
      <c r="AN113" s="374"/>
      <c r="AO113" s="374"/>
      <c r="AP113" s="374"/>
      <c r="AQ113" s="374"/>
      <c r="AR113" s="374"/>
      <c r="AS113" s="374"/>
      <c r="AT113" s="374"/>
      <c r="AU113" s="374"/>
      <c r="AV113" s="374"/>
      <c r="AW113" s="374"/>
      <c r="AX113" s="380">
        <v>240.49</v>
      </c>
      <c r="AY113" s="380">
        <v>40.119999999999997</v>
      </c>
      <c r="AZ113" s="373">
        <v>1436.04</v>
      </c>
      <c r="BA113" s="373">
        <v>923.05</v>
      </c>
      <c r="BB113" s="373">
        <v>2374.337</v>
      </c>
    </row>
    <row r="114" spans="1:54" ht="15" customHeight="1" x14ac:dyDescent="0.3">
      <c r="A114" s="372"/>
      <c r="B114" s="372"/>
      <c r="C114" s="372"/>
      <c r="D114" s="372"/>
      <c r="E114" s="372"/>
      <c r="F114" s="372"/>
      <c r="G114" s="372"/>
      <c r="H114" s="372"/>
      <c r="I114" s="372"/>
      <c r="J114" s="372"/>
      <c r="K114" s="372"/>
      <c r="L114" s="372"/>
      <c r="M114" s="372"/>
      <c r="N114" s="372"/>
      <c r="O114" s="372"/>
      <c r="P114" s="372"/>
      <c r="Q114" s="372"/>
      <c r="R114" s="372"/>
      <c r="S114" s="372"/>
      <c r="T114" s="372"/>
      <c r="U114" s="372"/>
      <c r="V114" s="372"/>
      <c r="W114" s="372"/>
      <c r="X114" s="372"/>
      <c r="Y114" s="372"/>
      <c r="Z114" s="372"/>
      <c r="AA114" s="372"/>
      <c r="AB114" s="372"/>
      <c r="AC114" s="372"/>
      <c r="AD114" s="372"/>
      <c r="AE114" s="372"/>
      <c r="AF114" s="372"/>
      <c r="AG114" s="372"/>
      <c r="AH114" s="372"/>
      <c r="AI114" s="372"/>
      <c r="AJ114" s="377">
        <v>1765.75</v>
      </c>
      <c r="AK114" s="377">
        <v>395.93</v>
      </c>
      <c r="AL114" s="378">
        <v>2518.9798999999998</v>
      </c>
      <c r="AN114" s="374"/>
      <c r="AO114" s="374"/>
      <c r="AP114" s="374"/>
      <c r="AQ114" s="374"/>
      <c r="AR114" s="374"/>
      <c r="AS114" s="374"/>
      <c r="AT114" s="374"/>
      <c r="AU114" s="374"/>
      <c r="AV114" s="374"/>
      <c r="AW114" s="374"/>
      <c r="AX114" s="380">
        <v>264.51</v>
      </c>
      <c r="AY114" s="380">
        <v>40.76</v>
      </c>
      <c r="AZ114" s="373">
        <v>1438.16</v>
      </c>
      <c r="BA114" s="373">
        <v>926.11</v>
      </c>
      <c r="BB114" s="373">
        <v>2373.4670000000001</v>
      </c>
    </row>
    <row r="115" spans="1:54" ht="15" customHeight="1" x14ac:dyDescent="0.3">
      <c r="A115" s="372"/>
      <c r="B115" s="372"/>
      <c r="C115" s="372"/>
      <c r="D115" s="372"/>
      <c r="E115" s="372"/>
      <c r="F115" s="372"/>
      <c r="G115" s="372"/>
      <c r="H115" s="372"/>
      <c r="I115" s="372"/>
      <c r="J115" s="372"/>
      <c r="K115" s="372"/>
      <c r="L115" s="372"/>
      <c r="M115" s="372"/>
      <c r="N115" s="372"/>
      <c r="O115" s="372"/>
      <c r="P115" s="372"/>
      <c r="Q115" s="372"/>
      <c r="R115" s="372"/>
      <c r="S115" s="372"/>
      <c r="T115" s="372"/>
      <c r="U115" s="372"/>
      <c r="V115" s="372"/>
      <c r="W115" s="372"/>
      <c r="X115" s="372"/>
      <c r="Y115" s="372"/>
      <c r="Z115" s="372"/>
      <c r="AA115" s="372"/>
      <c r="AB115" s="372"/>
      <c r="AC115" s="372"/>
      <c r="AD115" s="372"/>
      <c r="AE115" s="372"/>
      <c r="AF115" s="372"/>
      <c r="AG115" s="372"/>
      <c r="AH115" s="372"/>
      <c r="AI115" s="372"/>
      <c r="AJ115" s="377">
        <v>1765.85</v>
      </c>
      <c r="AK115" s="377">
        <v>401.05</v>
      </c>
      <c r="AL115" s="378">
        <v>2517.0949999999998</v>
      </c>
      <c r="AN115" s="374"/>
      <c r="AO115" s="374"/>
      <c r="AP115" s="374"/>
      <c r="AQ115" s="374"/>
      <c r="AR115" s="374"/>
      <c r="AS115" s="374"/>
      <c r="AT115" s="374"/>
      <c r="AU115" s="374"/>
      <c r="AV115" s="374"/>
      <c r="AW115" s="374"/>
      <c r="AX115" s="380">
        <v>288.52</v>
      </c>
      <c r="AY115" s="380">
        <v>41.41</v>
      </c>
      <c r="AZ115" s="373">
        <v>1439.91</v>
      </c>
      <c r="BA115" s="373">
        <v>928.3</v>
      </c>
      <c r="BB115" s="373">
        <v>2372.8199</v>
      </c>
    </row>
    <row r="116" spans="1:54" ht="15" customHeight="1" x14ac:dyDescent="0.3">
      <c r="A116" s="372"/>
      <c r="B116" s="372"/>
      <c r="C116" s="372"/>
      <c r="D116" s="372"/>
      <c r="E116" s="372"/>
      <c r="F116" s="372"/>
      <c r="G116" s="372"/>
      <c r="H116" s="372"/>
      <c r="I116" s="372"/>
      <c r="J116" s="372"/>
      <c r="K116" s="372"/>
      <c r="L116" s="372"/>
      <c r="M116" s="372"/>
      <c r="N116" s="372"/>
      <c r="O116" s="372"/>
      <c r="P116" s="372"/>
      <c r="Q116" s="372"/>
      <c r="R116" s="372"/>
      <c r="S116" s="372"/>
      <c r="T116" s="372"/>
      <c r="U116" s="372"/>
      <c r="V116" s="372"/>
      <c r="W116" s="372"/>
      <c r="X116" s="372"/>
      <c r="Y116" s="372"/>
      <c r="Z116" s="372"/>
      <c r="AA116" s="372"/>
      <c r="AB116" s="372"/>
      <c r="AC116" s="372"/>
      <c r="AD116" s="372"/>
      <c r="AE116" s="372"/>
      <c r="AF116" s="372"/>
      <c r="AG116" s="372"/>
      <c r="AH116" s="372"/>
      <c r="AI116" s="372"/>
      <c r="AJ116" s="377">
        <v>1765.8</v>
      </c>
      <c r="AK116" s="377">
        <v>401.69</v>
      </c>
      <c r="AL116" s="378">
        <v>2517.0016999999998</v>
      </c>
      <c r="AN116" s="374"/>
      <c r="AO116" s="374"/>
      <c r="AP116" s="374"/>
      <c r="AQ116" s="374"/>
      <c r="AR116" s="374"/>
      <c r="AS116" s="374"/>
      <c r="AT116" s="374"/>
      <c r="AU116" s="374"/>
      <c r="AV116" s="374"/>
      <c r="AW116" s="374"/>
      <c r="AX116" s="380">
        <v>312.54000000000002</v>
      </c>
      <c r="AY116" s="380">
        <v>42.05</v>
      </c>
      <c r="AZ116" s="373">
        <v>1443.31</v>
      </c>
      <c r="BA116" s="373">
        <v>930.09</v>
      </c>
      <c r="BB116" s="373">
        <v>2372.6030000000001</v>
      </c>
    </row>
    <row r="117" spans="1:54" ht="15" customHeight="1" x14ac:dyDescent="0.3">
      <c r="A117" s="372"/>
      <c r="B117" s="372"/>
      <c r="C117" s="372"/>
      <c r="D117" s="372"/>
      <c r="E117" s="372"/>
      <c r="F117" s="372"/>
      <c r="G117" s="372"/>
      <c r="H117" s="372"/>
      <c r="I117" s="372"/>
      <c r="J117" s="372"/>
      <c r="K117" s="372"/>
      <c r="L117" s="372"/>
      <c r="M117" s="372"/>
      <c r="N117" s="372"/>
      <c r="O117" s="372"/>
      <c r="P117" s="372"/>
      <c r="Q117" s="372"/>
      <c r="R117" s="372"/>
      <c r="S117" s="372"/>
      <c r="T117" s="372"/>
      <c r="U117" s="372"/>
      <c r="V117" s="372"/>
      <c r="W117" s="372"/>
      <c r="X117" s="372"/>
      <c r="Y117" s="372"/>
      <c r="Z117" s="372"/>
      <c r="AA117" s="372"/>
      <c r="AB117" s="372"/>
      <c r="AC117" s="372"/>
      <c r="AD117" s="372"/>
      <c r="AE117" s="372"/>
      <c r="AF117" s="372"/>
      <c r="AG117" s="372"/>
      <c r="AH117" s="372"/>
      <c r="AI117" s="372"/>
      <c r="AJ117" s="377">
        <v>1764.71</v>
      </c>
      <c r="AK117" s="377">
        <v>403.89</v>
      </c>
      <c r="AL117" s="378">
        <v>2516.1433000000002</v>
      </c>
      <c r="AN117" s="374"/>
      <c r="AO117" s="374"/>
      <c r="AP117" s="374"/>
      <c r="AQ117" s="374"/>
      <c r="AR117" s="374"/>
      <c r="AS117" s="374"/>
      <c r="AT117" s="374"/>
      <c r="AU117" s="374"/>
      <c r="AV117" s="374"/>
      <c r="AW117" s="374"/>
      <c r="AX117" s="380">
        <v>336.55</v>
      </c>
      <c r="AY117" s="380">
        <v>42.7</v>
      </c>
      <c r="AZ117" s="373">
        <v>1446.9</v>
      </c>
      <c r="BA117" s="373">
        <v>931.6</v>
      </c>
      <c r="BB117" s="373">
        <v>2371.6071000000002</v>
      </c>
    </row>
    <row r="118" spans="1:54" ht="15" customHeight="1" x14ac:dyDescent="0.3">
      <c r="A118" s="372"/>
      <c r="B118" s="372"/>
      <c r="C118" s="372"/>
      <c r="D118" s="372"/>
      <c r="E118" s="372"/>
      <c r="F118" s="372"/>
      <c r="G118" s="372"/>
      <c r="H118" s="372"/>
      <c r="I118" s="372"/>
      <c r="J118" s="372"/>
      <c r="K118" s="372"/>
      <c r="L118" s="372"/>
      <c r="M118" s="372"/>
      <c r="N118" s="372"/>
      <c r="O118" s="372"/>
      <c r="P118" s="372"/>
      <c r="Q118" s="372"/>
      <c r="R118" s="372"/>
      <c r="S118" s="372"/>
      <c r="T118" s="372"/>
      <c r="U118" s="372"/>
      <c r="V118" s="372"/>
      <c r="W118" s="372"/>
      <c r="X118" s="372"/>
      <c r="Y118" s="372"/>
      <c r="Z118" s="372"/>
      <c r="AA118" s="372"/>
      <c r="AB118" s="372"/>
      <c r="AC118" s="372"/>
      <c r="AD118" s="372"/>
      <c r="AE118" s="372"/>
      <c r="AF118" s="372"/>
      <c r="AG118" s="372"/>
      <c r="AH118" s="372"/>
      <c r="AI118" s="372"/>
      <c r="AJ118" s="377">
        <v>1763.76</v>
      </c>
      <c r="AK118" s="377">
        <v>406.61</v>
      </c>
      <c r="AL118" s="378">
        <v>2514.6550000000002</v>
      </c>
      <c r="AN118" s="374"/>
      <c r="AO118" s="374"/>
      <c r="AP118" s="374"/>
      <c r="AQ118" s="374"/>
      <c r="AR118" s="374"/>
      <c r="AS118" s="374"/>
      <c r="AT118" s="374"/>
      <c r="AU118" s="374"/>
      <c r="AV118" s="374"/>
      <c r="AW118" s="374"/>
      <c r="AX118" s="380">
        <v>360.57</v>
      </c>
      <c r="AY118" s="380">
        <v>43.34</v>
      </c>
      <c r="AZ118" s="373">
        <v>1450.05</v>
      </c>
      <c r="BA118" s="373">
        <v>931.96</v>
      </c>
      <c r="BB118" s="373">
        <v>2370.7550000000001</v>
      </c>
    </row>
    <row r="119" spans="1:54" ht="15" customHeight="1" x14ac:dyDescent="0.3">
      <c r="A119" s="372"/>
      <c r="B119" s="372"/>
      <c r="C119" s="372"/>
      <c r="D119" s="372"/>
      <c r="E119" s="372"/>
      <c r="F119" s="372"/>
      <c r="G119" s="372"/>
      <c r="H119" s="372"/>
      <c r="I119" s="372"/>
      <c r="J119" s="372"/>
      <c r="K119" s="372"/>
      <c r="L119" s="372"/>
      <c r="M119" s="372"/>
      <c r="N119" s="372"/>
      <c r="O119" s="372"/>
      <c r="P119" s="372"/>
      <c r="Q119" s="372"/>
      <c r="R119" s="372"/>
      <c r="S119" s="372"/>
      <c r="T119" s="372"/>
      <c r="U119" s="372"/>
      <c r="V119" s="372"/>
      <c r="W119" s="372"/>
      <c r="X119" s="372"/>
      <c r="Y119" s="372"/>
      <c r="Z119" s="372"/>
      <c r="AA119" s="372"/>
      <c r="AB119" s="372"/>
      <c r="AC119" s="372"/>
      <c r="AD119" s="372"/>
      <c r="AE119" s="372"/>
      <c r="AF119" s="372"/>
      <c r="AG119" s="372"/>
      <c r="AH119" s="372"/>
      <c r="AI119" s="372"/>
      <c r="AJ119" s="377">
        <v>1764.2</v>
      </c>
      <c r="AK119" s="377">
        <v>407.92</v>
      </c>
      <c r="AL119" s="378">
        <v>2514.0715</v>
      </c>
      <c r="AN119" s="374"/>
      <c r="AO119" s="374"/>
      <c r="AP119" s="374"/>
      <c r="AQ119" s="374"/>
      <c r="AR119" s="374"/>
      <c r="AS119" s="374"/>
      <c r="AT119" s="374"/>
      <c r="AU119" s="374"/>
      <c r="AV119" s="374"/>
      <c r="AW119" s="374"/>
      <c r="AX119" s="380">
        <v>384.58</v>
      </c>
      <c r="AY119" s="380">
        <v>43.98</v>
      </c>
      <c r="AZ119" s="373">
        <v>1453.72</v>
      </c>
      <c r="BA119" s="373">
        <v>929.89</v>
      </c>
      <c r="BB119" s="373">
        <v>2370.5502000000001</v>
      </c>
    </row>
    <row r="120" spans="1:54" ht="15" customHeight="1" x14ac:dyDescent="0.3">
      <c r="A120" s="372"/>
      <c r="B120" s="372"/>
      <c r="C120" s="372"/>
      <c r="D120" s="372"/>
      <c r="E120" s="372"/>
      <c r="F120" s="372"/>
      <c r="G120" s="372"/>
      <c r="H120" s="372"/>
      <c r="I120" s="372"/>
      <c r="J120" s="372"/>
      <c r="K120" s="372"/>
      <c r="L120" s="372"/>
      <c r="M120" s="372"/>
      <c r="N120" s="372"/>
      <c r="O120" s="372"/>
      <c r="P120" s="372"/>
      <c r="Q120" s="372"/>
      <c r="R120" s="372"/>
      <c r="S120" s="372"/>
      <c r="T120" s="372"/>
      <c r="U120" s="372"/>
      <c r="V120" s="372"/>
      <c r="W120" s="372"/>
      <c r="X120" s="372"/>
      <c r="Y120" s="372"/>
      <c r="Z120" s="372"/>
      <c r="AA120" s="372"/>
      <c r="AB120" s="372"/>
      <c r="AC120" s="372"/>
      <c r="AD120" s="372"/>
      <c r="AE120" s="372"/>
      <c r="AF120" s="372"/>
      <c r="AG120" s="372"/>
      <c r="AH120" s="372"/>
      <c r="AI120" s="372"/>
      <c r="AJ120" s="377">
        <v>1764.65</v>
      </c>
      <c r="AK120" s="377">
        <v>409.22</v>
      </c>
      <c r="AL120" s="378">
        <v>2513.4879999999998</v>
      </c>
      <c r="AN120" s="374"/>
      <c r="AO120" s="374"/>
      <c r="AP120" s="374"/>
      <c r="AQ120" s="374"/>
      <c r="AR120" s="374"/>
      <c r="AS120" s="374"/>
      <c r="AT120" s="374"/>
      <c r="AU120" s="374"/>
      <c r="AV120" s="374"/>
      <c r="AW120" s="374"/>
      <c r="AX120" s="380">
        <v>408.59</v>
      </c>
      <c r="AY120" s="380">
        <v>44.63</v>
      </c>
      <c r="AZ120" s="373">
        <v>1457.26</v>
      </c>
      <c r="BA120" s="373">
        <v>929.03</v>
      </c>
      <c r="BB120" s="373">
        <v>2370.3923</v>
      </c>
    </row>
    <row r="121" spans="1:54" ht="15" customHeight="1" x14ac:dyDescent="0.3">
      <c r="A121" s="372"/>
      <c r="B121" s="372"/>
      <c r="C121" s="372"/>
      <c r="D121" s="372"/>
      <c r="E121" s="372"/>
      <c r="F121" s="372"/>
      <c r="G121" s="372"/>
      <c r="H121" s="372"/>
      <c r="I121" s="372"/>
      <c r="J121" s="372"/>
      <c r="K121" s="372"/>
      <c r="L121" s="372"/>
      <c r="M121" s="372"/>
      <c r="N121" s="372"/>
      <c r="O121" s="372"/>
      <c r="P121" s="372"/>
      <c r="Q121" s="372"/>
      <c r="R121" s="372"/>
      <c r="S121" s="372"/>
      <c r="T121" s="372"/>
      <c r="U121" s="372"/>
      <c r="V121" s="372"/>
      <c r="W121" s="372"/>
      <c r="X121" s="372"/>
      <c r="Y121" s="372"/>
      <c r="Z121" s="372"/>
      <c r="AA121" s="372"/>
      <c r="AB121" s="372"/>
      <c r="AC121" s="372"/>
      <c r="AD121" s="372"/>
      <c r="AE121" s="372"/>
      <c r="AF121" s="372"/>
      <c r="AG121" s="372"/>
      <c r="AH121" s="372"/>
      <c r="AI121" s="372"/>
      <c r="AJ121" s="377">
        <v>1767.96</v>
      </c>
      <c r="AK121" s="377">
        <v>413.27</v>
      </c>
      <c r="AL121" s="378">
        <v>2511.9760000000001</v>
      </c>
      <c r="AN121" s="374"/>
      <c r="AO121" s="374"/>
      <c r="AP121" s="374"/>
      <c r="AQ121" s="374"/>
      <c r="AR121" s="374"/>
      <c r="AS121" s="374"/>
      <c r="AT121" s="374"/>
      <c r="AU121" s="374"/>
      <c r="AV121" s="374"/>
      <c r="AW121" s="374"/>
      <c r="AX121" s="380">
        <v>432.61</v>
      </c>
      <c r="AY121" s="380">
        <v>45.27</v>
      </c>
      <c r="AZ121" s="373">
        <v>1459.83</v>
      </c>
      <c r="BA121" s="373">
        <v>928.46</v>
      </c>
      <c r="BB121" s="373">
        <v>2370.3263999999999</v>
      </c>
    </row>
    <row r="122" spans="1:54" ht="15" customHeight="1" x14ac:dyDescent="0.3">
      <c r="A122" s="372"/>
      <c r="B122" s="372"/>
      <c r="C122" s="372"/>
      <c r="D122" s="372"/>
      <c r="E122" s="372"/>
      <c r="F122" s="372"/>
      <c r="G122" s="372"/>
      <c r="H122" s="372"/>
      <c r="I122" s="372"/>
      <c r="J122" s="372"/>
      <c r="K122" s="372"/>
      <c r="L122" s="372"/>
      <c r="M122" s="372"/>
      <c r="N122" s="372"/>
      <c r="O122" s="372"/>
      <c r="P122" s="372"/>
      <c r="Q122" s="372"/>
      <c r="R122" s="372"/>
      <c r="S122" s="372"/>
      <c r="T122" s="372"/>
      <c r="U122" s="372"/>
      <c r="V122" s="372"/>
      <c r="W122" s="372"/>
      <c r="X122" s="372"/>
      <c r="Y122" s="372"/>
      <c r="Z122" s="372"/>
      <c r="AA122" s="372"/>
      <c r="AB122" s="372"/>
      <c r="AC122" s="372"/>
      <c r="AD122" s="372"/>
      <c r="AE122" s="372"/>
      <c r="AF122" s="372"/>
      <c r="AG122" s="372"/>
      <c r="AH122" s="372"/>
      <c r="AI122" s="372"/>
      <c r="AJ122" s="377">
        <v>1765.53</v>
      </c>
      <c r="AK122" s="377">
        <v>416.05</v>
      </c>
      <c r="AL122" s="378">
        <v>2511.6370000000002</v>
      </c>
      <c r="AN122" s="374"/>
      <c r="AO122" s="374"/>
      <c r="AP122" s="374"/>
      <c r="AQ122" s="374"/>
      <c r="AR122" s="374"/>
      <c r="AS122" s="374"/>
      <c r="AT122" s="374"/>
      <c r="AU122" s="374"/>
      <c r="AV122" s="374"/>
      <c r="AW122" s="374"/>
      <c r="AX122" s="380">
        <v>456.62</v>
      </c>
      <c r="AY122" s="380">
        <v>45.92</v>
      </c>
      <c r="AZ122" s="373">
        <v>1462.23</v>
      </c>
      <c r="BA122" s="373">
        <v>928.89</v>
      </c>
      <c r="BB122" s="373">
        <v>2370.3741</v>
      </c>
    </row>
    <row r="123" spans="1:54" ht="15" customHeight="1" x14ac:dyDescent="0.3">
      <c r="A123" s="372"/>
      <c r="B123" s="372"/>
      <c r="C123" s="372"/>
      <c r="D123" s="372"/>
      <c r="E123" s="372"/>
      <c r="F123" s="372"/>
      <c r="G123" s="372"/>
      <c r="H123" s="372"/>
      <c r="I123" s="372"/>
      <c r="J123" s="372"/>
      <c r="K123" s="372"/>
      <c r="L123" s="372"/>
      <c r="M123" s="372"/>
      <c r="N123" s="372"/>
      <c r="O123" s="372"/>
      <c r="P123" s="372"/>
      <c r="Q123" s="372"/>
      <c r="R123" s="372"/>
      <c r="S123" s="372"/>
      <c r="T123" s="372"/>
      <c r="U123" s="372"/>
      <c r="V123" s="372"/>
      <c r="W123" s="372"/>
      <c r="X123" s="372"/>
      <c r="Y123" s="372"/>
      <c r="Z123" s="372"/>
      <c r="AA123" s="372"/>
      <c r="AB123" s="372"/>
      <c r="AC123" s="372"/>
      <c r="AD123" s="372"/>
      <c r="AE123" s="372"/>
      <c r="AF123" s="372"/>
      <c r="AG123" s="372"/>
      <c r="AH123" s="372"/>
      <c r="AI123" s="372"/>
      <c r="AJ123" s="377">
        <v>1764.05</v>
      </c>
      <c r="AK123" s="377">
        <v>416.05</v>
      </c>
      <c r="AL123" s="378">
        <v>2511.8449999999998</v>
      </c>
      <c r="AN123" s="374"/>
      <c r="AO123" s="374"/>
      <c r="AP123" s="374"/>
      <c r="AQ123" s="374"/>
      <c r="AR123" s="374"/>
      <c r="AS123" s="374"/>
      <c r="AT123" s="374"/>
      <c r="AU123" s="374"/>
      <c r="AV123" s="374"/>
      <c r="AW123" s="374"/>
      <c r="AX123" s="380">
        <v>480.64</v>
      </c>
      <c r="AY123" s="380">
        <v>46.56</v>
      </c>
      <c r="AZ123" s="373">
        <v>1468.62</v>
      </c>
      <c r="BA123" s="373">
        <v>929.56</v>
      </c>
      <c r="BB123" s="373">
        <v>2370.5083</v>
      </c>
    </row>
    <row r="124" spans="1:54" ht="15" customHeight="1" x14ac:dyDescent="0.3">
      <c r="A124" s="372"/>
      <c r="B124" s="372"/>
      <c r="C124" s="372"/>
      <c r="D124" s="372"/>
      <c r="E124" s="372"/>
      <c r="F124" s="372"/>
      <c r="G124" s="372"/>
      <c r="H124" s="372"/>
      <c r="I124" s="372"/>
      <c r="J124" s="372"/>
      <c r="K124" s="372"/>
      <c r="L124" s="372"/>
      <c r="M124" s="372"/>
      <c r="N124" s="372"/>
      <c r="O124" s="372"/>
      <c r="P124" s="372"/>
      <c r="Q124" s="372"/>
      <c r="R124" s="372"/>
      <c r="S124" s="372"/>
      <c r="T124" s="372"/>
      <c r="U124" s="372"/>
      <c r="V124" s="372"/>
      <c r="W124" s="372"/>
      <c r="X124" s="372"/>
      <c r="Y124" s="372"/>
      <c r="Z124" s="372"/>
      <c r="AA124" s="372"/>
      <c r="AB124" s="372"/>
      <c r="AC124" s="372"/>
      <c r="AD124" s="372"/>
      <c r="AE124" s="372"/>
      <c r="AF124" s="372"/>
      <c r="AG124" s="372"/>
      <c r="AH124" s="372"/>
      <c r="AI124" s="372"/>
      <c r="AJ124" s="377">
        <v>1764.41</v>
      </c>
      <c r="AK124" s="377">
        <v>419.04</v>
      </c>
      <c r="AL124" s="378">
        <v>2510.9189000000001</v>
      </c>
      <c r="AN124" s="374"/>
      <c r="AO124" s="374"/>
      <c r="AP124" s="374"/>
      <c r="AQ124" s="374"/>
      <c r="AR124" s="374"/>
      <c r="AS124" s="374"/>
      <c r="AT124" s="374"/>
      <c r="AU124" s="374"/>
      <c r="AV124" s="374"/>
      <c r="AW124" s="374"/>
      <c r="AX124" s="380">
        <v>504.65</v>
      </c>
      <c r="AY124" s="380">
        <v>47.21</v>
      </c>
      <c r="AZ124" s="373">
        <v>1474.05</v>
      </c>
      <c r="BA124" s="373">
        <v>929.19</v>
      </c>
      <c r="BB124" s="373">
        <v>2370.4513000000002</v>
      </c>
    </row>
    <row r="125" spans="1:54" ht="15" customHeight="1" x14ac:dyDescent="0.3">
      <c r="A125" s="372"/>
      <c r="B125" s="372"/>
      <c r="C125" s="372"/>
      <c r="D125" s="372"/>
      <c r="E125" s="372"/>
      <c r="F125" s="372"/>
      <c r="G125" s="372"/>
      <c r="H125" s="372"/>
      <c r="I125" s="372"/>
      <c r="J125" s="372"/>
      <c r="K125" s="372"/>
      <c r="L125" s="372"/>
      <c r="M125" s="372"/>
      <c r="N125" s="372"/>
      <c r="O125" s="372"/>
      <c r="P125" s="372"/>
      <c r="Q125" s="372"/>
      <c r="R125" s="372"/>
      <c r="S125" s="372"/>
      <c r="T125" s="372"/>
      <c r="U125" s="372"/>
      <c r="V125" s="372"/>
      <c r="W125" s="372"/>
      <c r="X125" s="372"/>
      <c r="Y125" s="372"/>
      <c r="Z125" s="372"/>
      <c r="AA125" s="372"/>
      <c r="AB125" s="372"/>
      <c r="AC125" s="372"/>
      <c r="AD125" s="372"/>
      <c r="AE125" s="372"/>
      <c r="AF125" s="372"/>
      <c r="AG125" s="372"/>
      <c r="AH125" s="372"/>
      <c r="AI125" s="372"/>
      <c r="AJ125" s="377">
        <v>1764.6</v>
      </c>
      <c r="AK125" s="377">
        <v>420.1</v>
      </c>
      <c r="AL125" s="378">
        <v>2510.3879000000002</v>
      </c>
      <c r="AN125" s="374"/>
      <c r="AO125" s="374"/>
      <c r="AP125" s="374"/>
      <c r="AQ125" s="374"/>
      <c r="AR125" s="374"/>
      <c r="AS125" s="374"/>
      <c r="AT125" s="374"/>
      <c r="AU125" s="374"/>
      <c r="AV125" s="374"/>
      <c r="AW125" s="374"/>
      <c r="AX125" s="380">
        <v>528.66</v>
      </c>
      <c r="AY125" s="380">
        <v>47.83</v>
      </c>
      <c r="AZ125" s="373">
        <v>1478.91</v>
      </c>
      <c r="BA125" s="373">
        <v>929.2</v>
      </c>
      <c r="BB125" s="373">
        <v>2370.5524</v>
      </c>
    </row>
    <row r="126" spans="1:54" ht="15" customHeight="1" x14ac:dyDescent="0.3">
      <c r="A126" s="372"/>
      <c r="B126" s="372"/>
      <c r="C126" s="372"/>
      <c r="D126" s="372"/>
      <c r="E126" s="372"/>
      <c r="F126" s="372"/>
      <c r="G126" s="372"/>
      <c r="H126" s="372"/>
      <c r="I126" s="372"/>
      <c r="J126" s="372"/>
      <c r="K126" s="372"/>
      <c r="L126" s="372"/>
      <c r="M126" s="372"/>
      <c r="N126" s="372"/>
      <c r="O126" s="372"/>
      <c r="P126" s="372"/>
      <c r="Q126" s="372"/>
      <c r="R126" s="372"/>
      <c r="S126" s="372"/>
      <c r="T126" s="372"/>
      <c r="U126" s="372"/>
      <c r="V126" s="372"/>
      <c r="W126" s="372"/>
      <c r="X126" s="372"/>
      <c r="Y126" s="372"/>
      <c r="Z126" s="372"/>
      <c r="AA126" s="372"/>
      <c r="AB126" s="372"/>
      <c r="AC126" s="372"/>
      <c r="AD126" s="372"/>
      <c r="AE126" s="372"/>
      <c r="AF126" s="372"/>
      <c r="AG126" s="372"/>
      <c r="AH126" s="372"/>
      <c r="AI126" s="372"/>
      <c r="AJ126" s="377">
        <v>1764.7</v>
      </c>
      <c r="AK126" s="377">
        <v>420.72</v>
      </c>
      <c r="AL126" s="378">
        <v>2510.0419999999999</v>
      </c>
      <c r="AN126" s="374"/>
      <c r="AO126" s="374"/>
      <c r="AP126" s="374"/>
      <c r="AQ126" s="374"/>
      <c r="AR126" s="374"/>
      <c r="AS126" s="374"/>
      <c r="AT126" s="374"/>
      <c r="AU126" s="374"/>
      <c r="AV126" s="374"/>
      <c r="AW126" s="374"/>
      <c r="AX126" s="380">
        <v>552.67999999999995</v>
      </c>
      <c r="AY126" s="380">
        <v>48.3</v>
      </c>
      <c r="AZ126" s="373">
        <v>1484.28</v>
      </c>
      <c r="BA126" s="373">
        <v>929.51</v>
      </c>
      <c r="BB126" s="373">
        <v>2370.6282999999999</v>
      </c>
    </row>
    <row r="127" spans="1:54" ht="15" customHeight="1" x14ac:dyDescent="0.3">
      <c r="A127" s="372"/>
      <c r="B127" s="372"/>
      <c r="C127" s="372"/>
      <c r="D127" s="372"/>
      <c r="E127" s="372"/>
      <c r="F127" s="372"/>
      <c r="G127" s="372"/>
      <c r="H127" s="372"/>
      <c r="I127" s="372"/>
      <c r="J127" s="372"/>
      <c r="K127" s="372"/>
      <c r="L127" s="372"/>
      <c r="M127" s="372"/>
      <c r="N127" s="372"/>
      <c r="O127" s="372"/>
      <c r="P127" s="372"/>
      <c r="Q127" s="372"/>
      <c r="R127" s="372"/>
      <c r="S127" s="372"/>
      <c r="T127" s="372"/>
      <c r="U127" s="372"/>
      <c r="V127" s="372"/>
      <c r="W127" s="372"/>
      <c r="X127" s="372"/>
      <c r="Y127" s="372"/>
      <c r="Z127" s="372"/>
      <c r="AA127" s="372"/>
      <c r="AB127" s="372"/>
      <c r="AC127" s="372"/>
      <c r="AD127" s="372"/>
      <c r="AE127" s="372"/>
      <c r="AF127" s="372"/>
      <c r="AG127" s="372"/>
      <c r="AH127" s="372"/>
      <c r="AI127" s="372"/>
      <c r="AJ127" s="377">
        <v>1768.54</v>
      </c>
      <c r="AK127" s="377">
        <v>423.38</v>
      </c>
      <c r="AL127" s="378">
        <v>2508.9495000000002</v>
      </c>
      <c r="AN127" s="374"/>
      <c r="AO127" s="374"/>
      <c r="AP127" s="374"/>
      <c r="AQ127" s="374"/>
      <c r="AR127" s="374"/>
      <c r="AS127" s="374"/>
      <c r="AT127" s="374"/>
      <c r="AU127" s="374"/>
      <c r="AV127" s="374"/>
      <c r="AW127" s="374"/>
      <c r="AX127" s="380">
        <v>576.70000000000005</v>
      </c>
      <c r="AY127" s="380">
        <v>48.77</v>
      </c>
      <c r="AZ127" s="373">
        <v>1486.98</v>
      </c>
      <c r="BA127" s="373">
        <v>929.86</v>
      </c>
      <c r="BB127" s="373">
        <v>2370.6750000000002</v>
      </c>
    </row>
    <row r="128" spans="1:54" ht="15" customHeight="1" x14ac:dyDescent="0.3">
      <c r="A128" s="372"/>
      <c r="B128" s="372"/>
      <c r="C128" s="372"/>
      <c r="D128" s="372"/>
      <c r="E128" s="372"/>
      <c r="F128" s="372"/>
      <c r="G128" s="372"/>
      <c r="H128" s="372"/>
      <c r="I128" s="372"/>
      <c r="J128" s="372"/>
      <c r="K128" s="372"/>
      <c r="L128" s="372"/>
      <c r="M128" s="372"/>
      <c r="N128" s="372"/>
      <c r="O128" s="372"/>
      <c r="P128" s="372"/>
      <c r="Q128" s="372"/>
      <c r="R128" s="372"/>
      <c r="S128" s="372"/>
      <c r="T128" s="372"/>
      <c r="U128" s="372"/>
      <c r="V128" s="372"/>
      <c r="W128" s="372"/>
      <c r="X128" s="372"/>
      <c r="Y128" s="372"/>
      <c r="Z128" s="372"/>
      <c r="AA128" s="372"/>
      <c r="AB128" s="372"/>
      <c r="AC128" s="372"/>
      <c r="AD128" s="372"/>
      <c r="AE128" s="372"/>
      <c r="AF128" s="372"/>
      <c r="AG128" s="372"/>
      <c r="AH128" s="372"/>
      <c r="AI128" s="372"/>
      <c r="AJ128" s="377">
        <v>1768.83</v>
      </c>
      <c r="AK128" s="377">
        <v>423.5</v>
      </c>
      <c r="AL128" s="378">
        <v>2508.8939999999998</v>
      </c>
      <c r="AN128" s="374"/>
      <c r="AO128" s="374"/>
      <c r="AP128" s="374"/>
      <c r="AQ128" s="374"/>
      <c r="AR128" s="374"/>
      <c r="AS128" s="374"/>
      <c r="AT128" s="374"/>
      <c r="AU128" s="374"/>
      <c r="AV128" s="374"/>
      <c r="AW128" s="374"/>
      <c r="AX128" s="380">
        <v>600.72</v>
      </c>
      <c r="AY128" s="380">
        <v>49.11</v>
      </c>
      <c r="AZ128" s="373">
        <v>1493.2</v>
      </c>
      <c r="BA128" s="373">
        <v>930.13</v>
      </c>
      <c r="BB128" s="373">
        <v>2370.9470000000001</v>
      </c>
    </row>
    <row r="129" spans="1:54" ht="15" customHeight="1" x14ac:dyDescent="0.3">
      <c r="A129" s="372"/>
      <c r="B129" s="372"/>
      <c r="C129" s="372"/>
      <c r="D129" s="372"/>
      <c r="E129" s="372"/>
      <c r="F129" s="372"/>
      <c r="G129" s="372"/>
      <c r="H129" s="372"/>
      <c r="I129" s="372"/>
      <c r="J129" s="372"/>
      <c r="K129" s="372"/>
      <c r="L129" s="372"/>
      <c r="M129" s="372"/>
      <c r="N129" s="372"/>
      <c r="O129" s="372"/>
      <c r="P129" s="372"/>
      <c r="Q129" s="372"/>
      <c r="R129" s="372"/>
      <c r="S129" s="372"/>
      <c r="T129" s="372"/>
      <c r="U129" s="372"/>
      <c r="V129" s="372"/>
      <c r="W129" s="372"/>
      <c r="X129" s="372"/>
      <c r="Y129" s="372"/>
      <c r="Z129" s="372"/>
      <c r="AA129" s="372"/>
      <c r="AB129" s="372"/>
      <c r="AC129" s="372"/>
      <c r="AD129" s="372"/>
      <c r="AE129" s="372"/>
      <c r="AF129" s="372"/>
      <c r="AG129" s="372"/>
      <c r="AH129" s="372"/>
      <c r="AI129" s="372"/>
      <c r="AJ129" s="377">
        <v>1772.5</v>
      </c>
      <c r="AK129" s="377">
        <v>425.63</v>
      </c>
      <c r="AL129" s="378">
        <v>2508.1289999999999</v>
      </c>
      <c r="AN129" s="374"/>
      <c r="AO129" s="374"/>
      <c r="AP129" s="374"/>
      <c r="AQ129" s="374"/>
      <c r="AR129" s="374"/>
      <c r="AS129" s="374"/>
      <c r="AT129" s="374"/>
      <c r="AU129" s="374"/>
      <c r="AV129" s="374"/>
      <c r="AW129" s="374"/>
      <c r="AX129" s="380">
        <v>624.38</v>
      </c>
      <c r="AY129" s="380">
        <v>45.33</v>
      </c>
      <c r="AZ129" s="373">
        <v>1499.78</v>
      </c>
      <c r="BA129" s="373">
        <v>929.17</v>
      </c>
      <c r="BB129" s="373">
        <v>2371.5291000000002</v>
      </c>
    </row>
    <row r="130" spans="1:54" ht="15" customHeight="1" x14ac:dyDescent="0.3">
      <c r="A130" s="372"/>
      <c r="B130" s="372"/>
      <c r="C130" s="372"/>
      <c r="D130" s="372"/>
      <c r="E130" s="372"/>
      <c r="F130" s="372"/>
      <c r="G130" s="372"/>
      <c r="H130" s="372"/>
      <c r="I130" s="372"/>
      <c r="J130" s="372"/>
      <c r="K130" s="372"/>
      <c r="L130" s="372"/>
      <c r="M130" s="372"/>
      <c r="N130" s="372"/>
      <c r="O130" s="372"/>
      <c r="P130" s="372"/>
      <c r="Q130" s="372"/>
      <c r="R130" s="372"/>
      <c r="S130" s="372"/>
      <c r="T130" s="372"/>
      <c r="U130" s="372"/>
      <c r="V130" s="372"/>
      <c r="W130" s="372"/>
      <c r="X130" s="372"/>
      <c r="Y130" s="372"/>
      <c r="Z130" s="372"/>
      <c r="AA130" s="372"/>
      <c r="AB130" s="372"/>
      <c r="AC130" s="372"/>
      <c r="AD130" s="372"/>
      <c r="AE130" s="372"/>
      <c r="AF130" s="372"/>
      <c r="AG130" s="372"/>
      <c r="AH130" s="372"/>
      <c r="AI130" s="372"/>
      <c r="AJ130" s="377">
        <v>1782.07</v>
      </c>
      <c r="AK130" s="377">
        <v>432.85</v>
      </c>
      <c r="AL130" s="378">
        <v>2505.6388999999999</v>
      </c>
      <c r="AN130" s="374"/>
      <c r="AO130" s="374"/>
      <c r="AP130" s="374"/>
      <c r="AQ130" s="374"/>
      <c r="AR130" s="374"/>
      <c r="AS130" s="374"/>
      <c r="AT130" s="374"/>
      <c r="AU130" s="374"/>
      <c r="AV130" s="374"/>
      <c r="AW130" s="374"/>
      <c r="AX130" s="380">
        <v>646.36</v>
      </c>
      <c r="AY130" s="380">
        <v>35.799999999999997</v>
      </c>
      <c r="AZ130" s="373">
        <v>1507.11</v>
      </c>
      <c r="BA130" s="373">
        <v>927.13</v>
      </c>
      <c r="BB130" s="373">
        <v>2372.087</v>
      </c>
    </row>
    <row r="131" spans="1:54" ht="15" customHeight="1" x14ac:dyDescent="0.3">
      <c r="A131" s="372"/>
      <c r="B131" s="372"/>
      <c r="C131" s="372"/>
      <c r="D131" s="372"/>
      <c r="E131" s="372"/>
      <c r="F131" s="372"/>
      <c r="G131" s="372"/>
      <c r="H131" s="372"/>
      <c r="I131" s="372"/>
      <c r="J131" s="372"/>
      <c r="K131" s="372"/>
      <c r="L131" s="372"/>
      <c r="M131" s="372"/>
      <c r="N131" s="372"/>
      <c r="O131" s="372"/>
      <c r="P131" s="372"/>
      <c r="Q131" s="372"/>
      <c r="R131" s="372"/>
      <c r="S131" s="372"/>
      <c r="T131" s="372"/>
      <c r="U131" s="372"/>
      <c r="V131" s="372"/>
      <c r="W131" s="372"/>
      <c r="X131" s="372"/>
      <c r="Y131" s="372"/>
      <c r="Z131" s="372"/>
      <c r="AA131" s="372"/>
      <c r="AB131" s="372"/>
      <c r="AC131" s="372"/>
      <c r="AD131" s="372"/>
      <c r="AE131" s="372"/>
      <c r="AF131" s="372"/>
      <c r="AG131" s="372"/>
      <c r="AH131" s="372"/>
      <c r="AI131" s="372"/>
      <c r="AJ131" s="377">
        <v>1787.99</v>
      </c>
      <c r="AK131" s="377">
        <v>437.55</v>
      </c>
      <c r="AL131" s="378">
        <v>2504.2759999999998</v>
      </c>
      <c r="AN131" s="374"/>
      <c r="AO131" s="374"/>
      <c r="AP131" s="374"/>
      <c r="AQ131" s="374"/>
      <c r="AR131" s="374"/>
      <c r="AS131" s="374"/>
      <c r="AT131" s="374"/>
      <c r="AU131" s="374"/>
      <c r="AV131" s="374"/>
      <c r="AW131" s="374"/>
      <c r="AX131" s="380">
        <v>665.7</v>
      </c>
      <c r="AY131" s="380">
        <v>21.59</v>
      </c>
      <c r="AZ131" s="373">
        <v>1512.15</v>
      </c>
      <c r="BA131" s="373">
        <v>926.03</v>
      </c>
      <c r="BB131" s="373">
        <v>2372.3679999999999</v>
      </c>
    </row>
    <row r="132" spans="1:54" ht="15" customHeight="1" x14ac:dyDescent="0.3">
      <c r="A132" s="372"/>
      <c r="B132" s="372"/>
      <c r="C132" s="372"/>
      <c r="D132" s="372"/>
      <c r="E132" s="372"/>
      <c r="F132" s="372"/>
      <c r="G132" s="372"/>
      <c r="H132" s="372"/>
      <c r="I132" s="372"/>
      <c r="J132" s="372"/>
      <c r="K132" s="372"/>
      <c r="L132" s="372"/>
      <c r="M132" s="372"/>
      <c r="N132" s="372"/>
      <c r="O132" s="372"/>
      <c r="P132" s="372"/>
      <c r="Q132" s="372"/>
      <c r="R132" s="372"/>
      <c r="S132" s="372"/>
      <c r="T132" s="372"/>
      <c r="U132" s="372"/>
      <c r="V132" s="372"/>
      <c r="W132" s="372"/>
      <c r="X132" s="372"/>
      <c r="Y132" s="372"/>
      <c r="Z132" s="372"/>
      <c r="AA132" s="372"/>
      <c r="AB132" s="372"/>
      <c r="AC132" s="372"/>
      <c r="AD132" s="372"/>
      <c r="AE132" s="372"/>
      <c r="AF132" s="372"/>
      <c r="AG132" s="372"/>
      <c r="AH132" s="372"/>
      <c r="AI132" s="372"/>
      <c r="AJ132" s="377">
        <v>1791.86</v>
      </c>
      <c r="AK132" s="377">
        <v>439.72</v>
      </c>
      <c r="AL132" s="378">
        <v>2503.62</v>
      </c>
      <c r="AN132" s="374"/>
      <c r="AO132" s="374"/>
      <c r="AP132" s="374"/>
      <c r="AQ132" s="374"/>
      <c r="AR132" s="374"/>
      <c r="AS132" s="374"/>
      <c r="AT132" s="374"/>
      <c r="AU132" s="374"/>
      <c r="AV132" s="374"/>
      <c r="AW132" s="374"/>
      <c r="AX132" s="380">
        <v>684.54</v>
      </c>
      <c r="AY132" s="380">
        <v>6.68</v>
      </c>
      <c r="AZ132" s="373">
        <v>1516.01</v>
      </c>
      <c r="BA132" s="373">
        <v>924.59</v>
      </c>
      <c r="BB132" s="373">
        <v>2372.7139999999999</v>
      </c>
    </row>
    <row r="133" spans="1:54" ht="15" customHeight="1" x14ac:dyDescent="0.3">
      <c r="A133" s="372"/>
      <c r="B133" s="372"/>
      <c r="C133" s="372"/>
      <c r="D133" s="372"/>
      <c r="E133" s="372"/>
      <c r="F133" s="372"/>
      <c r="G133" s="372"/>
      <c r="H133" s="372"/>
      <c r="I133" s="372"/>
      <c r="J133" s="372"/>
      <c r="K133" s="372"/>
      <c r="L133" s="372"/>
      <c r="M133" s="372"/>
      <c r="N133" s="372"/>
      <c r="O133" s="372"/>
      <c r="P133" s="372"/>
      <c r="Q133" s="372"/>
      <c r="R133" s="372"/>
      <c r="S133" s="372"/>
      <c r="T133" s="372"/>
      <c r="U133" s="372"/>
      <c r="V133" s="372"/>
      <c r="W133" s="372"/>
      <c r="X133" s="372"/>
      <c r="Y133" s="372"/>
      <c r="Z133" s="372"/>
      <c r="AA133" s="372"/>
      <c r="AB133" s="372"/>
      <c r="AC133" s="372"/>
      <c r="AD133" s="372"/>
      <c r="AE133" s="372"/>
      <c r="AF133" s="372"/>
      <c r="AG133" s="372"/>
      <c r="AH133" s="372"/>
      <c r="AI133" s="372"/>
      <c r="AJ133" s="377">
        <v>1800.88</v>
      </c>
      <c r="AK133" s="377">
        <v>446.78</v>
      </c>
      <c r="AL133" s="378">
        <v>2500.9609</v>
      </c>
      <c r="AN133" s="374"/>
      <c r="AO133" s="374"/>
      <c r="AP133" s="374"/>
      <c r="AQ133" s="374"/>
      <c r="AR133" s="374"/>
      <c r="AS133" s="374"/>
      <c r="AT133" s="374"/>
      <c r="AU133" s="374"/>
      <c r="AV133" s="374"/>
      <c r="AW133" s="374"/>
      <c r="AX133" s="380">
        <v>703.38</v>
      </c>
      <c r="AY133" s="380">
        <v>-8.2200000000000006</v>
      </c>
      <c r="AZ133" s="373">
        <v>1520.16</v>
      </c>
      <c r="BA133" s="373">
        <v>922.58</v>
      </c>
      <c r="BB133" s="373">
        <v>2373.0509999999999</v>
      </c>
    </row>
    <row r="134" spans="1:54" ht="15" customHeight="1" x14ac:dyDescent="0.3">
      <c r="A134" s="372"/>
      <c r="B134" s="372"/>
      <c r="C134" s="372"/>
      <c r="D134" s="372"/>
      <c r="E134" s="372"/>
      <c r="F134" s="372"/>
      <c r="G134" s="372"/>
      <c r="H134" s="372"/>
      <c r="I134" s="372"/>
      <c r="J134" s="372"/>
      <c r="K134" s="372"/>
      <c r="L134" s="372"/>
      <c r="M134" s="372"/>
      <c r="N134" s="372"/>
      <c r="O134" s="372"/>
      <c r="P134" s="372"/>
      <c r="Q134" s="372"/>
      <c r="R134" s="372"/>
      <c r="S134" s="372"/>
      <c r="T134" s="372"/>
      <c r="U134" s="372"/>
      <c r="V134" s="372"/>
      <c r="W134" s="372"/>
      <c r="X134" s="372"/>
      <c r="Y134" s="372"/>
      <c r="Z134" s="372"/>
      <c r="AA134" s="372"/>
      <c r="AB134" s="372"/>
      <c r="AC134" s="372"/>
      <c r="AD134" s="372"/>
      <c r="AE134" s="372"/>
      <c r="AF134" s="372"/>
      <c r="AG134" s="372"/>
      <c r="AH134" s="372"/>
      <c r="AI134" s="372"/>
      <c r="AJ134" s="377">
        <v>1809.1</v>
      </c>
      <c r="AK134" s="377">
        <v>448.71</v>
      </c>
      <c r="AL134" s="378">
        <v>2499.8496</v>
      </c>
      <c r="AN134" s="374"/>
      <c r="AO134" s="374"/>
      <c r="AP134" s="374"/>
      <c r="AQ134" s="374"/>
      <c r="AR134" s="374"/>
      <c r="AS134" s="374"/>
      <c r="AT134" s="374"/>
      <c r="AU134" s="374"/>
      <c r="AV134" s="374"/>
      <c r="AW134" s="374"/>
      <c r="AX134" s="380">
        <v>724.34</v>
      </c>
      <c r="AY134" s="380">
        <v>-24.81</v>
      </c>
      <c r="AZ134" s="373">
        <v>1527.06</v>
      </c>
      <c r="BA134" s="373">
        <v>920.9</v>
      </c>
      <c r="BB134" s="373">
        <v>2373.7429999999999</v>
      </c>
    </row>
    <row r="135" spans="1:54" ht="15" customHeight="1" x14ac:dyDescent="0.3">
      <c r="A135" s="372"/>
      <c r="B135" s="372"/>
      <c r="C135" s="372"/>
      <c r="D135" s="372"/>
      <c r="E135" s="372"/>
      <c r="F135" s="372"/>
      <c r="G135" s="372"/>
      <c r="H135" s="372"/>
      <c r="I135" s="372"/>
      <c r="J135" s="372"/>
      <c r="K135" s="372"/>
      <c r="L135" s="372"/>
      <c r="M135" s="372"/>
      <c r="N135" s="372"/>
      <c r="O135" s="372"/>
      <c r="P135" s="372"/>
      <c r="Q135" s="372"/>
      <c r="R135" s="372"/>
      <c r="S135" s="372"/>
      <c r="T135" s="372"/>
      <c r="U135" s="372"/>
      <c r="V135" s="372"/>
      <c r="W135" s="372"/>
      <c r="X135" s="372"/>
      <c r="Y135" s="372"/>
      <c r="Z135" s="372"/>
      <c r="AA135" s="372"/>
      <c r="AB135" s="372"/>
      <c r="AC135" s="372"/>
      <c r="AD135" s="372"/>
      <c r="AE135" s="372"/>
      <c r="AF135" s="372"/>
      <c r="AG135" s="372"/>
      <c r="AH135" s="372"/>
      <c r="AI135" s="372"/>
      <c r="AJ135" s="377">
        <v>1818.3</v>
      </c>
      <c r="AK135" s="377">
        <v>450.4</v>
      </c>
      <c r="AL135" s="378">
        <v>2498.8090999999999</v>
      </c>
      <c r="AN135" s="374"/>
      <c r="AO135" s="374"/>
      <c r="AP135" s="374"/>
      <c r="AQ135" s="374"/>
      <c r="AR135" s="374"/>
      <c r="AS135" s="374"/>
      <c r="AT135" s="374"/>
      <c r="AU135" s="374"/>
      <c r="AV135" s="374"/>
      <c r="AW135" s="374"/>
      <c r="AX135" s="380">
        <v>745.65</v>
      </c>
      <c r="AY135" s="380">
        <v>-24.89</v>
      </c>
      <c r="AZ135" s="373">
        <v>1532.32</v>
      </c>
      <c r="BA135" s="373">
        <v>919.5</v>
      </c>
      <c r="BB135" s="373">
        <v>2374.2449999999999</v>
      </c>
    </row>
    <row r="136" spans="1:54" ht="15" customHeight="1" x14ac:dyDescent="0.3">
      <c r="A136" s="372"/>
      <c r="B136" s="372"/>
      <c r="C136" s="372"/>
      <c r="D136" s="372"/>
      <c r="E136" s="372"/>
      <c r="F136" s="372"/>
      <c r="G136" s="372"/>
      <c r="H136" s="372"/>
      <c r="I136" s="372"/>
      <c r="J136" s="372"/>
      <c r="K136" s="372"/>
      <c r="L136" s="372"/>
      <c r="M136" s="372"/>
      <c r="N136" s="372"/>
      <c r="O136" s="372"/>
      <c r="P136" s="372"/>
      <c r="Q136" s="372"/>
      <c r="R136" s="372"/>
      <c r="S136" s="372"/>
      <c r="T136" s="372"/>
      <c r="U136" s="372"/>
      <c r="V136" s="372"/>
      <c r="W136" s="372"/>
      <c r="X136" s="372"/>
      <c r="Y136" s="372"/>
      <c r="Z136" s="372"/>
      <c r="AA136" s="372"/>
      <c r="AB136" s="372"/>
      <c r="AC136" s="372"/>
      <c r="AD136" s="372"/>
      <c r="AE136" s="372"/>
      <c r="AF136" s="372"/>
      <c r="AG136" s="372"/>
      <c r="AH136" s="372"/>
      <c r="AI136" s="372"/>
      <c r="AJ136" s="377">
        <v>1820.78</v>
      </c>
      <c r="AK136" s="377">
        <v>451.08</v>
      </c>
      <c r="AL136" s="378">
        <v>2498.4580000000001</v>
      </c>
      <c r="AN136" s="374"/>
      <c r="AO136" s="374"/>
      <c r="AP136" s="374"/>
      <c r="AQ136" s="374"/>
      <c r="AR136" s="374"/>
      <c r="AS136" s="374"/>
      <c r="AT136" s="374"/>
      <c r="AU136" s="374"/>
      <c r="AV136" s="374"/>
      <c r="AW136" s="374"/>
      <c r="AX136" s="380">
        <v>769.68</v>
      </c>
      <c r="AY136" s="380">
        <v>-24.97</v>
      </c>
      <c r="AZ136" s="373">
        <v>1536.58</v>
      </c>
      <c r="BA136" s="373">
        <v>918.32</v>
      </c>
      <c r="BB136" s="373">
        <v>2374.7620000000002</v>
      </c>
    </row>
    <row r="137" spans="1:54" ht="15" customHeight="1" x14ac:dyDescent="0.3">
      <c r="A137" s="372"/>
      <c r="B137" s="372"/>
      <c r="C137" s="372"/>
      <c r="D137" s="372"/>
      <c r="E137" s="372"/>
      <c r="F137" s="372"/>
      <c r="G137" s="372"/>
      <c r="H137" s="372"/>
      <c r="I137" s="372"/>
      <c r="J137" s="372"/>
      <c r="K137" s="372"/>
      <c r="L137" s="372"/>
      <c r="M137" s="372"/>
      <c r="N137" s="372"/>
      <c r="O137" s="372"/>
      <c r="P137" s="372"/>
      <c r="Q137" s="372"/>
      <c r="R137" s="372"/>
      <c r="S137" s="372"/>
      <c r="T137" s="372"/>
      <c r="U137" s="372"/>
      <c r="V137" s="372"/>
      <c r="W137" s="372"/>
      <c r="X137" s="372"/>
      <c r="Y137" s="372"/>
      <c r="Z137" s="372"/>
      <c r="AA137" s="372"/>
      <c r="AB137" s="372"/>
      <c r="AC137" s="372"/>
      <c r="AD137" s="372"/>
      <c r="AE137" s="372"/>
      <c r="AF137" s="372"/>
      <c r="AG137" s="372"/>
      <c r="AH137" s="372"/>
      <c r="AI137" s="372"/>
      <c r="AJ137" s="377">
        <v>1827.58</v>
      </c>
      <c r="AK137" s="377">
        <v>453.4</v>
      </c>
      <c r="AL137" s="378">
        <v>2497.2440000000001</v>
      </c>
      <c r="AN137" s="374"/>
      <c r="AO137" s="374"/>
      <c r="AP137" s="374"/>
      <c r="AQ137" s="374"/>
      <c r="AR137" s="374"/>
      <c r="AS137" s="374"/>
      <c r="AT137" s="374"/>
      <c r="AU137" s="374"/>
      <c r="AV137" s="374"/>
      <c r="AW137" s="374"/>
      <c r="AX137" s="380">
        <v>793.7</v>
      </c>
      <c r="AY137" s="380">
        <v>-25.06</v>
      </c>
      <c r="AZ137" s="373">
        <v>1540.86</v>
      </c>
      <c r="BA137" s="373">
        <v>917.15</v>
      </c>
      <c r="BB137" s="373">
        <v>2375.2280000000001</v>
      </c>
    </row>
    <row r="138" spans="1:54" ht="15" customHeight="1" x14ac:dyDescent="0.3">
      <c r="A138" s="372"/>
      <c r="B138" s="372"/>
      <c r="C138" s="372"/>
      <c r="D138" s="372"/>
      <c r="E138" s="372"/>
      <c r="F138" s="372"/>
      <c r="G138" s="372"/>
      <c r="H138" s="372"/>
      <c r="I138" s="372"/>
      <c r="J138" s="372"/>
      <c r="K138" s="372"/>
      <c r="L138" s="372"/>
      <c r="M138" s="372"/>
      <c r="N138" s="372"/>
      <c r="O138" s="372"/>
      <c r="P138" s="372"/>
      <c r="Q138" s="372"/>
      <c r="R138" s="372"/>
      <c r="S138" s="372"/>
      <c r="T138" s="372"/>
      <c r="U138" s="372"/>
      <c r="V138" s="372"/>
      <c r="W138" s="372"/>
      <c r="X138" s="372"/>
      <c r="Y138" s="372"/>
      <c r="Z138" s="372"/>
      <c r="AA138" s="372"/>
      <c r="AB138" s="372"/>
      <c r="AC138" s="372"/>
      <c r="AD138" s="372"/>
      <c r="AE138" s="372"/>
      <c r="AF138" s="372"/>
      <c r="AG138" s="372"/>
      <c r="AH138" s="372"/>
      <c r="AI138" s="372"/>
      <c r="AJ138" s="377">
        <v>1835.53</v>
      </c>
      <c r="AK138" s="377">
        <v>453.61</v>
      </c>
      <c r="AL138" s="378">
        <v>2496.48</v>
      </c>
      <c r="AN138" s="374"/>
      <c r="AO138" s="374"/>
      <c r="AP138" s="374"/>
      <c r="AQ138" s="374"/>
      <c r="AR138" s="374"/>
      <c r="AS138" s="374"/>
      <c r="AT138" s="374"/>
      <c r="AU138" s="374"/>
      <c r="AV138" s="374"/>
      <c r="AW138" s="374"/>
      <c r="AX138" s="380">
        <v>817.72</v>
      </c>
      <c r="AY138" s="380">
        <v>-25.04</v>
      </c>
      <c r="AZ138" s="373">
        <v>1545.12</v>
      </c>
      <c r="BA138" s="373">
        <v>915.72</v>
      </c>
      <c r="BB138" s="373">
        <v>2375.4360000000001</v>
      </c>
    </row>
    <row r="139" spans="1:54" ht="15" customHeight="1" x14ac:dyDescent="0.3">
      <c r="A139" s="372"/>
      <c r="B139" s="372"/>
      <c r="C139" s="372"/>
      <c r="D139" s="372"/>
      <c r="E139" s="372"/>
      <c r="F139" s="372"/>
      <c r="G139" s="372"/>
      <c r="H139" s="372"/>
      <c r="I139" s="372"/>
      <c r="J139" s="372"/>
      <c r="K139" s="372"/>
      <c r="L139" s="372"/>
      <c r="M139" s="372"/>
      <c r="N139" s="372"/>
      <c r="O139" s="372"/>
      <c r="P139" s="372"/>
      <c r="Q139" s="372"/>
      <c r="R139" s="372"/>
      <c r="S139" s="372"/>
      <c r="T139" s="372"/>
      <c r="U139" s="372"/>
      <c r="V139" s="372"/>
      <c r="W139" s="372"/>
      <c r="X139" s="372"/>
      <c r="Y139" s="372"/>
      <c r="Z139" s="372"/>
      <c r="AA139" s="372"/>
      <c r="AB139" s="372"/>
      <c r="AC139" s="372"/>
      <c r="AD139" s="372"/>
      <c r="AE139" s="372"/>
      <c r="AF139" s="372"/>
      <c r="AG139" s="372"/>
      <c r="AH139" s="372"/>
      <c r="AI139" s="372"/>
      <c r="AJ139" s="377">
        <v>1838</v>
      </c>
      <c r="AK139" s="377">
        <v>451.13</v>
      </c>
      <c r="AL139" s="378">
        <v>2496.1995999999999</v>
      </c>
      <c r="AN139" s="374"/>
      <c r="AO139" s="374"/>
      <c r="AP139" s="374"/>
      <c r="AQ139" s="374"/>
      <c r="AR139" s="374"/>
      <c r="AS139" s="374"/>
      <c r="AT139" s="374"/>
      <c r="AU139" s="374"/>
      <c r="AV139" s="374"/>
      <c r="AW139" s="374"/>
      <c r="AX139" s="380">
        <v>841.74</v>
      </c>
      <c r="AY139" s="380">
        <v>-25.01</v>
      </c>
      <c r="AZ139" s="373">
        <v>1548.74</v>
      </c>
      <c r="BA139" s="373">
        <v>913.48</v>
      </c>
      <c r="BB139" s="373">
        <v>2375.8879000000002</v>
      </c>
    </row>
    <row r="140" spans="1:54" ht="15" customHeight="1" x14ac:dyDescent="0.3">
      <c r="A140" s="372"/>
      <c r="B140" s="372"/>
      <c r="C140" s="372"/>
      <c r="D140" s="372"/>
      <c r="E140" s="372"/>
      <c r="F140" s="372"/>
      <c r="G140" s="372"/>
      <c r="H140" s="372"/>
      <c r="I140" s="372"/>
      <c r="J140" s="372"/>
      <c r="K140" s="372"/>
      <c r="L140" s="372"/>
      <c r="M140" s="372"/>
      <c r="N140" s="372"/>
      <c r="O140" s="372"/>
      <c r="P140" s="372"/>
      <c r="Q140" s="372"/>
      <c r="R140" s="372"/>
      <c r="S140" s="372"/>
      <c r="T140" s="372"/>
      <c r="U140" s="372"/>
      <c r="V140" s="372"/>
      <c r="W140" s="372"/>
      <c r="X140" s="372"/>
      <c r="Y140" s="372"/>
      <c r="Z140" s="372"/>
      <c r="AA140" s="372"/>
      <c r="AB140" s="372"/>
      <c r="AC140" s="372"/>
      <c r="AD140" s="372"/>
      <c r="AE140" s="372"/>
      <c r="AF140" s="372"/>
      <c r="AG140" s="372"/>
      <c r="AH140" s="372"/>
      <c r="AI140" s="372"/>
      <c r="AJ140" s="377">
        <v>1841.29</v>
      </c>
      <c r="AK140" s="377">
        <v>446.09</v>
      </c>
      <c r="AL140" s="378">
        <v>2496.4205000000002</v>
      </c>
      <c r="AN140" s="374"/>
      <c r="AO140" s="374"/>
      <c r="AP140" s="374"/>
      <c r="AQ140" s="374"/>
      <c r="AR140" s="374"/>
      <c r="AS140" s="374"/>
      <c r="AT140" s="374"/>
      <c r="AU140" s="374"/>
      <c r="AV140" s="374"/>
      <c r="AW140" s="374"/>
      <c r="AX140" s="380">
        <v>865.77</v>
      </c>
      <c r="AY140" s="380">
        <v>-25.01</v>
      </c>
      <c r="AZ140" s="373">
        <v>1552.33</v>
      </c>
      <c r="BA140" s="373">
        <v>911.19</v>
      </c>
      <c r="BB140" s="373">
        <v>2375.9771000000001</v>
      </c>
    </row>
    <row r="141" spans="1:54" ht="15" customHeight="1" x14ac:dyDescent="0.3">
      <c r="A141" s="372"/>
      <c r="B141" s="372"/>
      <c r="C141" s="372"/>
      <c r="D141" s="372"/>
      <c r="E141" s="372"/>
      <c r="F141" s="372"/>
      <c r="G141" s="372"/>
      <c r="H141" s="372"/>
      <c r="I141" s="372"/>
      <c r="J141" s="372"/>
      <c r="K141" s="372"/>
      <c r="L141" s="372"/>
      <c r="M141" s="372"/>
      <c r="N141" s="372"/>
      <c r="O141" s="372"/>
      <c r="P141" s="372"/>
      <c r="Q141" s="372"/>
      <c r="R141" s="372"/>
      <c r="S141" s="372"/>
      <c r="T141" s="372"/>
      <c r="U141" s="372"/>
      <c r="V141" s="372"/>
      <c r="W141" s="372"/>
      <c r="X141" s="372"/>
      <c r="Y141" s="372"/>
      <c r="Z141" s="372"/>
      <c r="AA141" s="372"/>
      <c r="AB141" s="372"/>
      <c r="AC141" s="372"/>
      <c r="AD141" s="372"/>
      <c r="AE141" s="372"/>
      <c r="AF141" s="372"/>
      <c r="AG141" s="372"/>
      <c r="AH141" s="372"/>
      <c r="AI141" s="372"/>
      <c r="AJ141" s="377">
        <v>1844.3</v>
      </c>
      <c r="AK141" s="377">
        <v>439.15</v>
      </c>
      <c r="AL141" s="378">
        <v>2497.6639</v>
      </c>
      <c r="AN141" s="374"/>
      <c r="AO141" s="374"/>
      <c r="AP141" s="374"/>
      <c r="AQ141" s="374"/>
      <c r="AR141" s="374"/>
      <c r="AS141" s="374"/>
      <c r="AT141" s="374"/>
      <c r="AU141" s="374"/>
      <c r="AV141" s="374"/>
      <c r="AW141" s="374"/>
      <c r="AX141" s="380">
        <v>889.79</v>
      </c>
      <c r="AY141" s="380">
        <v>-25.01</v>
      </c>
      <c r="AZ141" s="373">
        <v>1556.32</v>
      </c>
      <c r="BA141" s="373">
        <v>908.94</v>
      </c>
      <c r="BB141" s="373">
        <v>2376.2440000000001</v>
      </c>
    </row>
    <row r="142" spans="1:54" ht="15" customHeight="1" x14ac:dyDescent="0.3">
      <c r="A142" s="372"/>
      <c r="B142" s="372"/>
      <c r="C142" s="372"/>
      <c r="D142" s="372"/>
      <c r="E142" s="372"/>
      <c r="F142" s="372"/>
      <c r="G142" s="372"/>
      <c r="H142" s="372"/>
      <c r="I142" s="372"/>
      <c r="J142" s="372"/>
      <c r="K142" s="372"/>
      <c r="L142" s="372"/>
      <c r="M142" s="372"/>
      <c r="N142" s="372"/>
      <c r="O142" s="372"/>
      <c r="P142" s="372"/>
      <c r="Q142" s="372"/>
      <c r="R142" s="372"/>
      <c r="S142" s="372"/>
      <c r="T142" s="372"/>
      <c r="U142" s="372"/>
      <c r="V142" s="372"/>
      <c r="W142" s="372"/>
      <c r="X142" s="372"/>
      <c r="Y142" s="372"/>
      <c r="Z142" s="372"/>
      <c r="AA142" s="372"/>
      <c r="AB142" s="372"/>
      <c r="AC142" s="372"/>
      <c r="AD142" s="372"/>
      <c r="AE142" s="372"/>
      <c r="AF142" s="372"/>
      <c r="AG142" s="372"/>
      <c r="AH142" s="372"/>
      <c r="AI142" s="372"/>
      <c r="AJ142" s="377">
        <v>1846.36</v>
      </c>
      <c r="AK142" s="377">
        <v>434.72</v>
      </c>
      <c r="AL142" s="378">
        <v>2498.627</v>
      </c>
      <c r="AN142" s="374"/>
      <c r="AO142" s="374"/>
      <c r="AP142" s="374"/>
      <c r="AQ142" s="374"/>
      <c r="AR142" s="374"/>
      <c r="AS142" s="374"/>
      <c r="AT142" s="374"/>
      <c r="AU142" s="374"/>
      <c r="AV142" s="374"/>
      <c r="AW142" s="374"/>
      <c r="AX142" s="380">
        <v>913.81</v>
      </c>
      <c r="AY142" s="380">
        <v>-25.01</v>
      </c>
      <c r="AZ142" s="373">
        <v>1560.3</v>
      </c>
      <c r="BA142" s="373">
        <v>907.36</v>
      </c>
      <c r="BB142" s="373">
        <v>2376.3719000000001</v>
      </c>
    </row>
    <row r="143" spans="1:54" ht="15" customHeight="1" x14ac:dyDescent="0.3">
      <c r="A143" s="372"/>
      <c r="B143" s="372"/>
      <c r="C143" s="372"/>
      <c r="D143" s="372"/>
      <c r="E143" s="372"/>
      <c r="F143" s="372"/>
      <c r="G143" s="372"/>
      <c r="H143" s="372"/>
      <c r="I143" s="372"/>
      <c r="J143" s="372"/>
      <c r="K143" s="372"/>
      <c r="L143" s="372"/>
      <c r="M143" s="372"/>
      <c r="N143" s="372"/>
      <c r="O143" s="372"/>
      <c r="P143" s="372"/>
      <c r="Q143" s="372"/>
      <c r="R143" s="372"/>
      <c r="S143" s="372"/>
      <c r="T143" s="372"/>
      <c r="U143" s="372"/>
      <c r="V143" s="372"/>
      <c r="W143" s="372"/>
      <c r="X143" s="372"/>
      <c r="Y143" s="372"/>
      <c r="Z143" s="372"/>
      <c r="AA143" s="372"/>
      <c r="AB143" s="372"/>
      <c r="AC143" s="372"/>
      <c r="AD143" s="372"/>
      <c r="AE143" s="372"/>
      <c r="AF143" s="372"/>
      <c r="AG143" s="372"/>
      <c r="AH143" s="372"/>
      <c r="AI143" s="372"/>
      <c r="AJ143" s="377">
        <v>1850.02</v>
      </c>
      <c r="AK143" s="377">
        <v>430.72</v>
      </c>
      <c r="AL143" s="378">
        <v>2499.37</v>
      </c>
      <c r="AN143" s="374"/>
      <c r="AO143" s="374"/>
      <c r="AP143" s="374"/>
      <c r="AQ143" s="374"/>
      <c r="AR143" s="374"/>
      <c r="AS143" s="374"/>
      <c r="AT143" s="374"/>
      <c r="AU143" s="374"/>
      <c r="AV143" s="374"/>
      <c r="AW143" s="374"/>
      <c r="AX143" s="380">
        <v>937.84</v>
      </c>
      <c r="AY143" s="380">
        <v>-25.01</v>
      </c>
      <c r="AZ143" s="373">
        <v>1563.36</v>
      </c>
      <c r="BA143" s="373">
        <v>906.03</v>
      </c>
      <c r="BB143" s="373">
        <v>2376.85</v>
      </c>
    </row>
    <row r="144" spans="1:54" ht="15" customHeight="1" x14ac:dyDescent="0.3">
      <c r="A144" s="372"/>
      <c r="B144" s="372"/>
      <c r="C144" s="372"/>
      <c r="D144" s="372"/>
      <c r="E144" s="372"/>
      <c r="F144" s="372"/>
      <c r="G144" s="372"/>
      <c r="H144" s="372"/>
      <c r="I144" s="372"/>
      <c r="J144" s="372"/>
      <c r="K144" s="372"/>
      <c r="L144" s="372"/>
      <c r="M144" s="372"/>
      <c r="N144" s="372"/>
      <c r="O144" s="372"/>
      <c r="P144" s="372"/>
      <c r="Q144" s="372"/>
      <c r="R144" s="372"/>
      <c r="S144" s="372"/>
      <c r="T144" s="372"/>
      <c r="U144" s="372"/>
      <c r="V144" s="372"/>
      <c r="W144" s="372"/>
      <c r="X144" s="372"/>
      <c r="Y144" s="372"/>
      <c r="Z144" s="372"/>
      <c r="AA144" s="372"/>
      <c r="AB144" s="372"/>
      <c r="AC144" s="372"/>
      <c r="AD144" s="372"/>
      <c r="AE144" s="372"/>
      <c r="AF144" s="372"/>
      <c r="AG144" s="372"/>
      <c r="AH144" s="372"/>
      <c r="AI144" s="372"/>
      <c r="AJ144" s="377">
        <v>1857.85</v>
      </c>
      <c r="AK144" s="377">
        <v>418.7</v>
      </c>
      <c r="AL144" s="378">
        <v>2501.9854999999998</v>
      </c>
      <c r="AN144" s="374"/>
      <c r="AO144" s="374"/>
      <c r="AP144" s="374"/>
      <c r="AQ144" s="374"/>
      <c r="AR144" s="374"/>
      <c r="AS144" s="374"/>
      <c r="AT144" s="374"/>
      <c r="AU144" s="374"/>
      <c r="AV144" s="374"/>
      <c r="AW144" s="374"/>
      <c r="AX144" s="380">
        <v>961.86</v>
      </c>
      <c r="AY144" s="380">
        <v>-25.01</v>
      </c>
      <c r="AZ144" s="373">
        <v>1568.28</v>
      </c>
      <c r="BA144" s="373">
        <v>903.54</v>
      </c>
      <c r="BB144" s="373">
        <v>2377.2339999999999</v>
      </c>
    </row>
    <row r="145" spans="1:54" ht="15" customHeight="1" x14ac:dyDescent="0.3">
      <c r="A145" s="372"/>
      <c r="B145" s="372"/>
      <c r="C145" s="372"/>
      <c r="D145" s="372"/>
      <c r="E145" s="372"/>
      <c r="F145" s="372"/>
      <c r="G145" s="372"/>
      <c r="H145" s="372"/>
      <c r="I145" s="372"/>
      <c r="J145" s="372"/>
      <c r="K145" s="372"/>
      <c r="L145" s="372"/>
      <c r="M145" s="372"/>
      <c r="N145" s="372"/>
      <c r="O145" s="372"/>
      <c r="P145" s="372"/>
      <c r="Q145" s="372"/>
      <c r="R145" s="372"/>
      <c r="S145" s="372"/>
      <c r="T145" s="372"/>
      <c r="U145" s="372"/>
      <c r="V145" s="372"/>
      <c r="W145" s="372"/>
      <c r="X145" s="372"/>
      <c r="Y145" s="372"/>
      <c r="Z145" s="372"/>
      <c r="AA145" s="372"/>
      <c r="AB145" s="372"/>
      <c r="AC145" s="372"/>
      <c r="AD145" s="372"/>
      <c r="AE145" s="372"/>
      <c r="AF145" s="372"/>
      <c r="AG145" s="372"/>
      <c r="AH145" s="372"/>
      <c r="AI145" s="372"/>
      <c r="AJ145" s="377">
        <v>1858.63</v>
      </c>
      <c r="AK145" s="377">
        <v>417.39</v>
      </c>
      <c r="AL145" s="378">
        <v>2502.3249999999998</v>
      </c>
      <c r="AN145" s="374"/>
      <c r="AO145" s="374"/>
      <c r="AP145" s="374"/>
      <c r="AQ145" s="374"/>
      <c r="AR145" s="374"/>
      <c r="AS145" s="374"/>
      <c r="AT145" s="374"/>
      <c r="AU145" s="374"/>
      <c r="AV145" s="374"/>
      <c r="AW145" s="374"/>
      <c r="AX145" s="380">
        <v>985.88</v>
      </c>
      <c r="AY145" s="380">
        <v>-25.01</v>
      </c>
      <c r="AZ145" s="373">
        <v>1573.23</v>
      </c>
      <c r="BA145" s="373">
        <v>902.11</v>
      </c>
      <c r="BB145" s="373">
        <v>2377.431</v>
      </c>
    </row>
    <row r="146" spans="1:54" ht="15" customHeight="1" x14ac:dyDescent="0.3">
      <c r="A146" s="372"/>
      <c r="B146" s="372"/>
      <c r="C146" s="372"/>
      <c r="D146" s="372"/>
      <c r="E146" s="372"/>
      <c r="F146" s="372"/>
      <c r="G146" s="372"/>
      <c r="H146" s="372"/>
      <c r="I146" s="372"/>
      <c r="J146" s="372"/>
      <c r="K146" s="372"/>
      <c r="L146" s="372"/>
      <c r="M146" s="372"/>
      <c r="N146" s="372"/>
      <c r="O146" s="372"/>
      <c r="P146" s="372"/>
      <c r="Q146" s="372"/>
      <c r="R146" s="372"/>
      <c r="S146" s="372"/>
      <c r="T146" s="372"/>
      <c r="U146" s="372"/>
      <c r="V146" s="372"/>
      <c r="W146" s="372"/>
      <c r="X146" s="372"/>
      <c r="Y146" s="372"/>
      <c r="Z146" s="372"/>
      <c r="AA146" s="372"/>
      <c r="AB146" s="372"/>
      <c r="AC146" s="372"/>
      <c r="AD146" s="372"/>
      <c r="AE146" s="372"/>
      <c r="AF146" s="372"/>
      <c r="AG146" s="372"/>
      <c r="AH146" s="372"/>
      <c r="AI146" s="372"/>
      <c r="AJ146" s="377">
        <v>1867.86</v>
      </c>
      <c r="AK146" s="377">
        <v>418.75</v>
      </c>
      <c r="AL146" s="378">
        <v>2501.7750999999998</v>
      </c>
      <c r="AN146" s="374"/>
      <c r="AO146" s="374"/>
      <c r="AP146" s="374"/>
      <c r="AQ146" s="374"/>
      <c r="AR146" s="374"/>
      <c r="AS146" s="374"/>
      <c r="AT146" s="374"/>
      <c r="AU146" s="374"/>
      <c r="AV146" s="374"/>
      <c r="AW146" s="374"/>
      <c r="AX146" s="380">
        <v>1009.9</v>
      </c>
      <c r="AY146" s="380">
        <v>-25.01</v>
      </c>
      <c r="AZ146" s="373">
        <v>1578.45</v>
      </c>
      <c r="BA146" s="373">
        <v>902.25</v>
      </c>
      <c r="BB146" s="373">
        <v>2378.1559999999999</v>
      </c>
    </row>
    <row r="147" spans="1:54" ht="15" customHeight="1" x14ac:dyDescent="0.3">
      <c r="A147" s="372"/>
      <c r="B147" s="372"/>
      <c r="C147" s="372"/>
      <c r="D147" s="372"/>
      <c r="E147" s="372"/>
      <c r="F147" s="372"/>
      <c r="G147" s="372"/>
      <c r="H147" s="372"/>
      <c r="I147" s="372"/>
      <c r="J147" s="372"/>
      <c r="K147" s="372"/>
      <c r="L147" s="372"/>
      <c r="M147" s="372"/>
      <c r="N147" s="372"/>
      <c r="O147" s="372"/>
      <c r="P147" s="372"/>
      <c r="Q147" s="372"/>
      <c r="R147" s="372"/>
      <c r="S147" s="372"/>
      <c r="T147" s="372"/>
      <c r="U147" s="372"/>
      <c r="V147" s="372"/>
      <c r="W147" s="372"/>
      <c r="X147" s="372"/>
      <c r="Y147" s="372"/>
      <c r="Z147" s="372"/>
      <c r="AA147" s="372"/>
      <c r="AB147" s="372"/>
      <c r="AC147" s="372"/>
      <c r="AD147" s="372"/>
      <c r="AE147" s="372"/>
      <c r="AF147" s="372"/>
      <c r="AG147" s="372"/>
      <c r="AH147" s="372"/>
      <c r="AI147" s="372"/>
      <c r="AJ147" s="377">
        <v>1870.63</v>
      </c>
      <c r="AK147" s="377">
        <v>421.72</v>
      </c>
      <c r="AL147" s="378">
        <v>2500.7523000000001</v>
      </c>
      <c r="AN147" s="374"/>
      <c r="AO147" s="374"/>
      <c r="AP147" s="374"/>
      <c r="AQ147" s="374"/>
      <c r="AR147" s="374"/>
      <c r="AS147" s="374"/>
      <c r="AT147" s="374"/>
      <c r="AU147" s="374"/>
      <c r="AV147" s="374"/>
      <c r="AW147" s="374"/>
      <c r="AX147" s="380">
        <v>1033.93</v>
      </c>
      <c r="AY147" s="380">
        <v>-25.01</v>
      </c>
      <c r="AZ147" s="373">
        <v>1580.43</v>
      </c>
      <c r="BA147" s="373">
        <v>899.17</v>
      </c>
      <c r="BB147" s="373">
        <v>2379.0785000000001</v>
      </c>
    </row>
    <row r="148" spans="1:54" ht="15" customHeight="1" x14ac:dyDescent="0.3">
      <c r="A148" s="372"/>
      <c r="B148" s="372"/>
      <c r="C148" s="372"/>
      <c r="D148" s="372"/>
      <c r="E148" s="372"/>
      <c r="F148" s="372"/>
      <c r="G148" s="372"/>
      <c r="H148" s="372"/>
      <c r="I148" s="372"/>
      <c r="J148" s="372"/>
      <c r="K148" s="372"/>
      <c r="L148" s="372"/>
      <c r="M148" s="372"/>
      <c r="N148" s="372"/>
      <c r="O148" s="372"/>
      <c r="P148" s="372"/>
      <c r="Q148" s="372"/>
      <c r="R148" s="372"/>
      <c r="S148" s="372"/>
      <c r="T148" s="372"/>
      <c r="U148" s="372"/>
      <c r="V148" s="372"/>
      <c r="W148" s="372"/>
      <c r="X148" s="372"/>
      <c r="Y148" s="372"/>
      <c r="Z148" s="372"/>
      <c r="AA148" s="372"/>
      <c r="AB148" s="372"/>
      <c r="AC148" s="372"/>
      <c r="AD148" s="372"/>
      <c r="AE148" s="372"/>
      <c r="AF148" s="372"/>
      <c r="AG148" s="372"/>
      <c r="AH148" s="372"/>
      <c r="AI148" s="372"/>
      <c r="AJ148" s="377">
        <v>1873.01</v>
      </c>
      <c r="AK148" s="377">
        <v>429.18</v>
      </c>
      <c r="AL148" s="378">
        <v>2498.5709999999999</v>
      </c>
      <c r="AN148" s="374"/>
      <c r="AO148" s="374"/>
      <c r="AP148" s="374"/>
      <c r="AQ148" s="374"/>
      <c r="AR148" s="374"/>
      <c r="AS148" s="374"/>
      <c r="AT148" s="374"/>
      <c r="AU148" s="374"/>
      <c r="AV148" s="374"/>
      <c r="AW148" s="374"/>
      <c r="AX148" s="380">
        <v>1057.95</v>
      </c>
      <c r="AY148" s="380">
        <v>-25.01</v>
      </c>
      <c r="AZ148" s="373">
        <v>1585.02</v>
      </c>
      <c r="BA148" s="373">
        <v>901.63</v>
      </c>
      <c r="BB148" s="373">
        <v>2379.5924</v>
      </c>
    </row>
    <row r="149" spans="1:54" ht="15" customHeight="1" x14ac:dyDescent="0.3">
      <c r="A149" s="372"/>
      <c r="B149" s="372"/>
      <c r="C149" s="372"/>
      <c r="D149" s="372"/>
      <c r="E149" s="372"/>
      <c r="F149" s="372"/>
      <c r="G149" s="372"/>
      <c r="H149" s="372"/>
      <c r="I149" s="372"/>
      <c r="J149" s="372"/>
      <c r="K149" s="372"/>
      <c r="L149" s="372"/>
      <c r="M149" s="372"/>
      <c r="N149" s="372"/>
      <c r="O149" s="372"/>
      <c r="P149" s="372"/>
      <c r="Q149" s="372"/>
      <c r="R149" s="372"/>
      <c r="S149" s="372"/>
      <c r="T149" s="372"/>
      <c r="U149" s="372"/>
      <c r="V149" s="372"/>
      <c r="W149" s="372"/>
      <c r="X149" s="372"/>
      <c r="Y149" s="372"/>
      <c r="Z149" s="372"/>
      <c r="AA149" s="372"/>
      <c r="AB149" s="372"/>
      <c r="AC149" s="372"/>
      <c r="AD149" s="372"/>
      <c r="AE149" s="372"/>
      <c r="AF149" s="372"/>
      <c r="AG149" s="372"/>
      <c r="AH149" s="372"/>
      <c r="AI149" s="372"/>
      <c r="AJ149" s="377">
        <v>1880.58</v>
      </c>
      <c r="AK149" s="377">
        <v>438.22</v>
      </c>
      <c r="AL149" s="378">
        <v>2495.7919999999999</v>
      </c>
      <c r="AN149" s="374"/>
      <c r="AO149" s="374"/>
      <c r="AP149" s="374"/>
      <c r="AQ149" s="374"/>
      <c r="AR149" s="374"/>
      <c r="AS149" s="374"/>
      <c r="AT149" s="374"/>
      <c r="AU149" s="374"/>
      <c r="AV149" s="374"/>
      <c r="AW149" s="374"/>
      <c r="AX149" s="380">
        <v>1081.97</v>
      </c>
      <c r="AY149" s="380">
        <v>-25.01</v>
      </c>
      <c r="AZ149" s="373">
        <v>1589.36</v>
      </c>
      <c r="BA149" s="373">
        <v>901.59</v>
      </c>
      <c r="BB149" s="373">
        <v>2380.2874000000002</v>
      </c>
    </row>
    <row r="150" spans="1:54" ht="15" customHeight="1" x14ac:dyDescent="0.3">
      <c r="A150" s="372"/>
      <c r="B150" s="372"/>
      <c r="C150" s="372"/>
      <c r="D150" s="372"/>
      <c r="E150" s="372"/>
      <c r="F150" s="372"/>
      <c r="G150" s="372"/>
      <c r="H150" s="372"/>
      <c r="I150" s="372"/>
      <c r="J150" s="372"/>
      <c r="K150" s="372"/>
      <c r="L150" s="372"/>
      <c r="M150" s="372"/>
      <c r="N150" s="372"/>
      <c r="O150" s="372"/>
      <c r="P150" s="372"/>
      <c r="Q150" s="372"/>
      <c r="R150" s="372"/>
      <c r="S150" s="372"/>
      <c r="T150" s="372"/>
      <c r="U150" s="372"/>
      <c r="V150" s="372"/>
      <c r="W150" s="372"/>
      <c r="X150" s="372"/>
      <c r="Y150" s="372"/>
      <c r="Z150" s="372"/>
      <c r="AA150" s="372"/>
      <c r="AB150" s="372"/>
      <c r="AC150" s="372"/>
      <c r="AD150" s="372"/>
      <c r="AE150" s="372"/>
      <c r="AF150" s="372"/>
      <c r="AG150" s="372"/>
      <c r="AH150" s="372"/>
      <c r="AI150" s="372"/>
      <c r="AJ150" s="377">
        <v>1883.73</v>
      </c>
      <c r="AK150" s="377">
        <v>442.44</v>
      </c>
      <c r="AL150" s="378">
        <v>2494.5210000000002</v>
      </c>
      <c r="AN150" s="374"/>
      <c r="AO150" s="374"/>
      <c r="AP150" s="374"/>
      <c r="AQ150" s="374"/>
      <c r="AR150" s="374"/>
      <c r="AS150" s="374"/>
      <c r="AT150" s="374"/>
      <c r="AU150" s="374"/>
      <c r="AV150" s="374"/>
      <c r="AW150" s="374"/>
      <c r="AX150" s="380">
        <v>1105.99</v>
      </c>
      <c r="AY150" s="380">
        <v>-25.01</v>
      </c>
      <c r="AZ150" s="373">
        <v>1595.06</v>
      </c>
      <c r="BA150" s="373">
        <v>902.53</v>
      </c>
      <c r="BB150" s="373">
        <v>2380.5927999999999</v>
      </c>
    </row>
    <row r="151" spans="1:54" ht="15" customHeight="1" x14ac:dyDescent="0.3">
      <c r="A151" s="372"/>
      <c r="B151" s="372"/>
      <c r="C151" s="372"/>
      <c r="D151" s="372"/>
      <c r="E151" s="372"/>
      <c r="F151" s="372"/>
      <c r="G151" s="372"/>
      <c r="H151" s="372"/>
      <c r="I151" s="372"/>
      <c r="J151" s="372"/>
      <c r="K151" s="372"/>
      <c r="L151" s="372"/>
      <c r="M151" s="372"/>
      <c r="N151" s="372"/>
      <c r="O151" s="372"/>
      <c r="P151" s="372"/>
      <c r="Q151" s="372"/>
      <c r="R151" s="372"/>
      <c r="S151" s="372"/>
      <c r="T151" s="372"/>
      <c r="U151" s="372"/>
      <c r="V151" s="372"/>
      <c r="W151" s="372"/>
      <c r="X151" s="372"/>
      <c r="Y151" s="372"/>
      <c r="Z151" s="372"/>
      <c r="AA151" s="372"/>
      <c r="AB151" s="372"/>
      <c r="AC151" s="372"/>
      <c r="AD151" s="372"/>
      <c r="AE151" s="372"/>
      <c r="AF151" s="372"/>
      <c r="AG151" s="372"/>
      <c r="AH151" s="372"/>
      <c r="AI151" s="372"/>
      <c r="AJ151" s="377">
        <v>1891.64</v>
      </c>
      <c r="AK151" s="377">
        <v>449.78</v>
      </c>
      <c r="AL151" s="378">
        <v>2491.8368999999998</v>
      </c>
      <c r="AN151" s="374"/>
      <c r="AO151" s="374"/>
      <c r="AP151" s="374"/>
      <c r="AQ151" s="374"/>
      <c r="AR151" s="374"/>
      <c r="AS151" s="374"/>
      <c r="AT151" s="374"/>
      <c r="AU151" s="374"/>
      <c r="AV151" s="374"/>
      <c r="AW151" s="374"/>
      <c r="AX151" s="380">
        <v>1130.02</v>
      </c>
      <c r="AY151" s="380">
        <v>-25</v>
      </c>
      <c r="AZ151" s="373">
        <v>1600.77</v>
      </c>
      <c r="BA151" s="373">
        <v>903.47</v>
      </c>
      <c r="BB151" s="373">
        <v>2380.8982999999998</v>
      </c>
    </row>
    <row r="152" spans="1:54" ht="15" customHeight="1" x14ac:dyDescent="0.3">
      <c r="A152" s="372"/>
      <c r="B152" s="372"/>
      <c r="C152" s="372"/>
      <c r="D152" s="372"/>
      <c r="E152" s="372"/>
      <c r="F152" s="372"/>
      <c r="G152" s="372"/>
      <c r="H152" s="372"/>
      <c r="I152" s="372"/>
      <c r="J152" s="372"/>
      <c r="K152" s="372"/>
      <c r="L152" s="372"/>
      <c r="M152" s="372"/>
      <c r="N152" s="372"/>
      <c r="O152" s="372"/>
      <c r="P152" s="372"/>
      <c r="Q152" s="372"/>
      <c r="R152" s="372"/>
      <c r="S152" s="372"/>
      <c r="T152" s="372"/>
      <c r="U152" s="372"/>
      <c r="V152" s="372"/>
      <c r="W152" s="372"/>
      <c r="X152" s="372"/>
      <c r="Y152" s="372"/>
      <c r="Z152" s="372"/>
      <c r="AA152" s="372"/>
      <c r="AB152" s="372"/>
      <c r="AC152" s="372"/>
      <c r="AD152" s="372"/>
      <c r="AE152" s="372"/>
      <c r="AF152" s="372"/>
      <c r="AG152" s="372"/>
      <c r="AH152" s="372"/>
      <c r="AI152" s="372"/>
      <c r="AJ152" s="377">
        <v>1899.42</v>
      </c>
      <c r="AK152" s="377">
        <v>449.52</v>
      </c>
      <c r="AL152" s="378">
        <v>2490.4159</v>
      </c>
      <c r="AN152" s="374"/>
      <c r="AO152" s="374"/>
      <c r="AP152" s="374"/>
      <c r="AQ152" s="374"/>
      <c r="AR152" s="374"/>
      <c r="AS152" s="374"/>
      <c r="AT152" s="374"/>
      <c r="AU152" s="374"/>
      <c r="AV152" s="374"/>
      <c r="AW152" s="374"/>
      <c r="AX152" s="380">
        <v>1154.04</v>
      </c>
      <c r="AY152" s="380">
        <v>-25</v>
      </c>
      <c r="AZ152" s="373">
        <v>1608.38</v>
      </c>
      <c r="BA152" s="373">
        <v>899.54</v>
      </c>
      <c r="BB152" s="373">
        <v>2381.4477999999999</v>
      </c>
    </row>
    <row r="153" spans="1:54" ht="15" customHeight="1" x14ac:dyDescent="0.3">
      <c r="A153" s="372"/>
      <c r="B153" s="372"/>
      <c r="C153" s="372"/>
      <c r="D153" s="372"/>
      <c r="E153" s="372"/>
      <c r="F153" s="372"/>
      <c r="G153" s="372"/>
      <c r="H153" s="372"/>
      <c r="I153" s="372"/>
      <c r="J153" s="372"/>
      <c r="K153" s="372"/>
      <c r="L153" s="372"/>
      <c r="M153" s="372"/>
      <c r="N153" s="372"/>
      <c r="O153" s="372"/>
      <c r="P153" s="372"/>
      <c r="Q153" s="372"/>
      <c r="R153" s="372"/>
      <c r="S153" s="372"/>
      <c r="T153" s="372"/>
      <c r="U153" s="372"/>
      <c r="V153" s="372"/>
      <c r="W153" s="372"/>
      <c r="X153" s="372"/>
      <c r="Y153" s="372"/>
      <c r="Z153" s="372"/>
      <c r="AA153" s="372"/>
      <c r="AB153" s="372"/>
      <c r="AC153" s="372"/>
      <c r="AD153" s="372"/>
      <c r="AE153" s="372"/>
      <c r="AF153" s="372"/>
      <c r="AG153" s="372"/>
      <c r="AH153" s="372"/>
      <c r="AI153" s="372"/>
      <c r="AJ153" s="377">
        <v>1900.92</v>
      </c>
      <c r="AK153" s="377">
        <v>449.4</v>
      </c>
      <c r="AL153" s="378">
        <v>2490.1149999999998</v>
      </c>
      <c r="AN153" s="374"/>
      <c r="AO153" s="374"/>
      <c r="AP153" s="374"/>
      <c r="AQ153" s="374"/>
      <c r="AR153" s="374"/>
      <c r="AS153" s="374"/>
      <c r="AT153" s="374"/>
      <c r="AU153" s="374"/>
      <c r="AV153" s="374"/>
      <c r="AW153" s="374"/>
      <c r="AX153" s="380">
        <v>1178.06</v>
      </c>
      <c r="AY153" s="380">
        <v>-25</v>
      </c>
      <c r="AZ153" s="373">
        <v>1615.99</v>
      </c>
      <c r="BA153" s="373">
        <v>895.6</v>
      </c>
      <c r="BB153" s="373">
        <v>2381.9971</v>
      </c>
    </row>
    <row r="154" spans="1:54" ht="15" customHeight="1" x14ac:dyDescent="0.3">
      <c r="A154" s="372"/>
      <c r="B154" s="372"/>
      <c r="C154" s="372"/>
      <c r="D154" s="372"/>
      <c r="E154" s="372"/>
      <c r="F154" s="372"/>
      <c r="G154" s="372"/>
      <c r="H154" s="372"/>
      <c r="I154" s="372"/>
      <c r="J154" s="372"/>
      <c r="K154" s="372"/>
      <c r="L154" s="372"/>
      <c r="M154" s="372"/>
      <c r="N154" s="372"/>
      <c r="O154" s="372"/>
      <c r="P154" s="372"/>
      <c r="Q154" s="372"/>
      <c r="R154" s="372"/>
      <c r="S154" s="372"/>
      <c r="T154" s="372"/>
      <c r="U154" s="372"/>
      <c r="V154" s="372"/>
      <c r="W154" s="372"/>
      <c r="X154" s="372"/>
      <c r="Y154" s="372"/>
      <c r="Z154" s="372"/>
      <c r="AA154" s="372"/>
      <c r="AB154" s="372"/>
      <c r="AC154" s="372"/>
      <c r="AD154" s="372"/>
      <c r="AE154" s="372"/>
      <c r="AF154" s="372"/>
      <c r="AG154" s="372"/>
      <c r="AH154" s="372"/>
      <c r="AI154" s="372"/>
      <c r="AJ154" s="377">
        <v>1908.88</v>
      </c>
      <c r="AK154" s="377">
        <v>453.02</v>
      </c>
      <c r="AL154" s="378">
        <v>2488.8339999999998</v>
      </c>
      <c r="AN154" s="374"/>
      <c r="AO154" s="374"/>
      <c r="AP154" s="374"/>
      <c r="AQ154" s="374"/>
      <c r="AR154" s="374"/>
      <c r="AS154" s="374"/>
      <c r="AT154" s="374"/>
      <c r="AU154" s="374"/>
      <c r="AV154" s="374"/>
      <c r="AW154" s="374"/>
      <c r="AX154" s="380">
        <v>1202.08</v>
      </c>
      <c r="AY154" s="380">
        <v>-25</v>
      </c>
      <c r="AZ154" s="373">
        <v>1619.86</v>
      </c>
      <c r="BA154" s="373">
        <v>891.29</v>
      </c>
      <c r="BB154" s="373">
        <v>2382.4194000000002</v>
      </c>
    </row>
    <row r="155" spans="1:54" ht="15" customHeight="1" x14ac:dyDescent="0.3">
      <c r="A155" s="372"/>
      <c r="B155" s="372"/>
      <c r="C155" s="372"/>
      <c r="D155" s="372"/>
      <c r="E155" s="372"/>
      <c r="F155" s="372"/>
      <c r="G155" s="372"/>
      <c r="H155" s="372"/>
      <c r="I155" s="372"/>
      <c r="J155" s="372"/>
      <c r="K155" s="372"/>
      <c r="L155" s="372"/>
      <c r="M155" s="372"/>
      <c r="N155" s="372"/>
      <c r="O155" s="372"/>
      <c r="P155" s="372"/>
      <c r="Q155" s="372"/>
      <c r="R155" s="372"/>
      <c r="S155" s="372"/>
      <c r="T155" s="372"/>
      <c r="U155" s="372"/>
      <c r="V155" s="372"/>
      <c r="W155" s="372"/>
      <c r="X155" s="372"/>
      <c r="Y155" s="372"/>
      <c r="Z155" s="372"/>
      <c r="AA155" s="372"/>
      <c r="AB155" s="372"/>
      <c r="AC155" s="372"/>
      <c r="AD155" s="372"/>
      <c r="AE155" s="372"/>
      <c r="AF155" s="372"/>
      <c r="AG155" s="372"/>
      <c r="AH155" s="372"/>
      <c r="AI155" s="372"/>
      <c r="AJ155" s="377">
        <v>1917.83</v>
      </c>
      <c r="AK155" s="377">
        <v>447.54</v>
      </c>
      <c r="AL155" s="378">
        <v>2488.4879999999998</v>
      </c>
      <c r="AN155" s="374"/>
      <c r="AO155" s="374"/>
      <c r="AP155" s="374"/>
      <c r="AQ155" s="374"/>
      <c r="AR155" s="374"/>
      <c r="AS155" s="374"/>
      <c r="AT155" s="374"/>
      <c r="AU155" s="374"/>
      <c r="AV155" s="374"/>
      <c r="AW155" s="374"/>
      <c r="AX155" s="380">
        <v>1226.1099999999999</v>
      </c>
      <c r="AY155" s="380">
        <v>-25</v>
      </c>
      <c r="AZ155" s="373">
        <v>1623.72</v>
      </c>
      <c r="BA155" s="373">
        <v>886.99</v>
      </c>
      <c r="BB155" s="373">
        <v>2382.8418999999999</v>
      </c>
    </row>
    <row r="156" spans="1:54" ht="15" customHeight="1" x14ac:dyDescent="0.3">
      <c r="A156" s="372"/>
      <c r="B156" s="372"/>
      <c r="C156" s="372"/>
      <c r="D156" s="372"/>
      <c r="E156" s="372"/>
      <c r="F156" s="372"/>
      <c r="G156" s="372"/>
      <c r="H156" s="372"/>
      <c r="I156" s="372"/>
      <c r="J156" s="372"/>
      <c r="K156" s="372"/>
      <c r="L156" s="372"/>
      <c r="M156" s="372"/>
      <c r="N156" s="372"/>
      <c r="O156" s="372"/>
      <c r="P156" s="372"/>
      <c r="Q156" s="372"/>
      <c r="R156" s="372"/>
      <c r="S156" s="372"/>
      <c r="T156" s="372"/>
      <c r="U156" s="372"/>
      <c r="V156" s="372"/>
      <c r="W156" s="372"/>
      <c r="X156" s="372"/>
      <c r="Y156" s="372"/>
      <c r="Z156" s="372"/>
      <c r="AA156" s="372"/>
      <c r="AB156" s="372"/>
      <c r="AC156" s="372"/>
      <c r="AD156" s="372"/>
      <c r="AE156" s="372"/>
      <c r="AF156" s="372"/>
      <c r="AG156" s="372"/>
      <c r="AH156" s="372"/>
      <c r="AI156" s="372"/>
      <c r="AJ156" s="377">
        <v>1925.93</v>
      </c>
      <c r="AK156" s="377">
        <v>447.99</v>
      </c>
      <c r="AL156" s="378">
        <v>2487.9218999999998</v>
      </c>
      <c r="AN156" s="374"/>
      <c r="AO156" s="374"/>
      <c r="AP156" s="374"/>
      <c r="AQ156" s="374"/>
      <c r="AR156" s="374"/>
      <c r="AS156" s="374"/>
      <c r="AT156" s="374"/>
      <c r="AU156" s="374"/>
      <c r="AV156" s="374"/>
      <c r="AW156" s="374"/>
      <c r="AX156" s="380">
        <v>1250.1300000000001</v>
      </c>
      <c r="AY156" s="380">
        <v>-25</v>
      </c>
      <c r="AZ156" s="373">
        <v>1626.42</v>
      </c>
      <c r="BA156" s="373">
        <v>881.97</v>
      </c>
      <c r="BB156" s="373">
        <v>2384.1776</v>
      </c>
    </row>
    <row r="157" spans="1:54" ht="15" customHeight="1" x14ac:dyDescent="0.3">
      <c r="A157" s="372"/>
      <c r="B157" s="372"/>
      <c r="C157" s="372"/>
      <c r="D157" s="372"/>
      <c r="E157" s="372"/>
      <c r="F157" s="372"/>
      <c r="G157" s="372"/>
      <c r="H157" s="372"/>
      <c r="I157" s="372"/>
      <c r="J157" s="372"/>
      <c r="K157" s="372"/>
      <c r="L157" s="372"/>
      <c r="M157" s="372"/>
      <c r="N157" s="372"/>
      <c r="O157" s="372"/>
      <c r="P157" s="372"/>
      <c r="Q157" s="372"/>
      <c r="R157" s="372"/>
      <c r="S157" s="372"/>
      <c r="T157" s="372"/>
      <c r="U157" s="372"/>
      <c r="V157" s="372"/>
      <c r="W157" s="372"/>
      <c r="X157" s="372"/>
      <c r="Y157" s="372"/>
      <c r="Z157" s="372"/>
      <c r="AA157" s="372"/>
      <c r="AB157" s="372"/>
      <c r="AC157" s="372"/>
      <c r="AD157" s="372"/>
      <c r="AE157" s="372"/>
      <c r="AF157" s="372"/>
      <c r="AG157" s="372"/>
      <c r="AH157" s="372"/>
      <c r="AI157" s="372"/>
      <c r="AJ157" s="377">
        <v>1927.44</v>
      </c>
      <c r="AK157" s="377">
        <v>449.02</v>
      </c>
      <c r="AL157" s="378">
        <v>2487.6419999999998</v>
      </c>
      <c r="AN157" s="374"/>
      <c r="AO157" s="374"/>
      <c r="AP157" s="374"/>
      <c r="AQ157" s="374"/>
      <c r="AR157" s="374"/>
      <c r="AS157" s="374"/>
      <c r="AT157" s="374"/>
      <c r="AU157" s="374"/>
      <c r="AV157" s="374"/>
      <c r="AW157" s="374"/>
      <c r="AX157" s="380">
        <v>1274.1500000000001</v>
      </c>
      <c r="AY157" s="380">
        <v>-25</v>
      </c>
      <c r="AZ157" s="373">
        <v>1629.5</v>
      </c>
      <c r="BA157" s="373">
        <v>876.28</v>
      </c>
      <c r="BB157" s="373">
        <v>2385.5920000000001</v>
      </c>
    </row>
    <row r="158" spans="1:54" ht="15" customHeight="1" x14ac:dyDescent="0.3">
      <c r="A158" s="372"/>
      <c r="B158" s="372"/>
      <c r="C158" s="372"/>
      <c r="D158" s="372"/>
      <c r="E158" s="372"/>
      <c r="F158" s="372"/>
      <c r="G158" s="372"/>
      <c r="H158" s="372"/>
      <c r="I158" s="372"/>
      <c r="J158" s="372"/>
      <c r="K158" s="372"/>
      <c r="L158" s="372"/>
      <c r="M158" s="372"/>
      <c r="N158" s="372"/>
      <c r="O158" s="372"/>
      <c r="P158" s="372"/>
      <c r="Q158" s="372"/>
      <c r="R158" s="372"/>
      <c r="S158" s="372"/>
      <c r="T158" s="372"/>
      <c r="U158" s="372"/>
      <c r="V158" s="372"/>
      <c r="W158" s="372"/>
      <c r="X158" s="372"/>
      <c r="Y158" s="372"/>
      <c r="Z158" s="372"/>
      <c r="AA158" s="372"/>
      <c r="AB158" s="372"/>
      <c r="AC158" s="372"/>
      <c r="AD158" s="372"/>
      <c r="AE158" s="372"/>
      <c r="AF158" s="372"/>
      <c r="AG158" s="372"/>
      <c r="AH158" s="372"/>
      <c r="AI158" s="372"/>
      <c r="AJ158" s="377">
        <v>1935.57</v>
      </c>
      <c r="AK158" s="377">
        <v>449.63</v>
      </c>
      <c r="AL158" s="378">
        <v>2486.6129999999998</v>
      </c>
      <c r="AN158" s="374"/>
      <c r="AO158" s="374"/>
      <c r="AP158" s="374"/>
      <c r="AQ158" s="374"/>
      <c r="AR158" s="374"/>
      <c r="AS158" s="374"/>
      <c r="AT158" s="374"/>
      <c r="AU158" s="374"/>
      <c r="AV158" s="374"/>
      <c r="AW158" s="374"/>
      <c r="AX158" s="380">
        <v>1298.18</v>
      </c>
      <c r="AY158" s="380">
        <v>-25</v>
      </c>
      <c r="AZ158" s="373">
        <v>1629.9</v>
      </c>
      <c r="BA158" s="373">
        <v>875.61</v>
      </c>
      <c r="BB158" s="373">
        <v>2385.6709999999998</v>
      </c>
    </row>
    <row r="159" spans="1:54" ht="15" customHeight="1" x14ac:dyDescent="0.3">
      <c r="A159" s="372"/>
      <c r="B159" s="372"/>
      <c r="C159" s="372"/>
      <c r="D159" s="372"/>
      <c r="E159" s="372"/>
      <c r="F159" s="372"/>
      <c r="G159" s="372"/>
      <c r="H159" s="372"/>
      <c r="I159" s="372"/>
      <c r="J159" s="372"/>
      <c r="K159" s="372"/>
      <c r="L159" s="372"/>
      <c r="M159" s="372"/>
      <c r="N159" s="372"/>
      <c r="O159" s="372"/>
      <c r="P159" s="372"/>
      <c r="Q159" s="372"/>
      <c r="R159" s="372"/>
      <c r="S159" s="372"/>
      <c r="T159" s="372"/>
      <c r="U159" s="372"/>
      <c r="V159" s="372"/>
      <c r="W159" s="372"/>
      <c r="X159" s="372"/>
      <c r="Y159" s="372"/>
      <c r="Z159" s="372"/>
      <c r="AA159" s="372"/>
      <c r="AB159" s="372"/>
      <c r="AC159" s="372"/>
      <c r="AD159" s="372"/>
      <c r="AE159" s="372"/>
      <c r="AF159" s="372"/>
      <c r="AG159" s="372"/>
      <c r="AH159" s="372"/>
      <c r="AI159" s="372"/>
      <c r="AJ159" s="377">
        <v>1944.2</v>
      </c>
      <c r="AK159" s="377">
        <v>454.97</v>
      </c>
      <c r="AL159" s="378">
        <v>2485.703</v>
      </c>
      <c r="AN159" s="374"/>
      <c r="AO159" s="374"/>
      <c r="AP159" s="374"/>
      <c r="AQ159" s="374"/>
      <c r="AR159" s="374"/>
      <c r="AS159" s="374"/>
      <c r="AT159" s="374"/>
      <c r="AU159" s="374"/>
      <c r="AV159" s="374"/>
      <c r="AW159" s="374"/>
      <c r="AX159" s="380">
        <v>1322.2</v>
      </c>
      <c r="AY159" s="380">
        <v>-25</v>
      </c>
      <c r="AZ159" s="373">
        <v>1633.22</v>
      </c>
      <c r="BA159" s="373">
        <v>870.12</v>
      </c>
      <c r="BB159" s="373">
        <v>2385.9149000000002</v>
      </c>
    </row>
    <row r="160" spans="1:54" ht="15" customHeight="1" x14ac:dyDescent="0.3">
      <c r="A160" s="372"/>
      <c r="B160" s="372"/>
      <c r="C160" s="372"/>
      <c r="D160" s="372"/>
      <c r="E160" s="372"/>
      <c r="F160" s="372"/>
      <c r="G160" s="372"/>
      <c r="H160" s="372"/>
      <c r="I160" s="372"/>
      <c r="J160" s="372"/>
      <c r="K160" s="372"/>
      <c r="L160" s="372"/>
      <c r="M160" s="372"/>
      <c r="N160" s="372"/>
      <c r="O160" s="372"/>
      <c r="P160" s="372"/>
      <c r="Q160" s="372"/>
      <c r="R160" s="372"/>
      <c r="S160" s="372"/>
      <c r="T160" s="372"/>
      <c r="U160" s="372"/>
      <c r="V160" s="372"/>
      <c r="W160" s="372"/>
      <c r="X160" s="372"/>
      <c r="Y160" s="372"/>
      <c r="Z160" s="372"/>
      <c r="AA160" s="372"/>
      <c r="AB160" s="372"/>
      <c r="AC160" s="372"/>
      <c r="AD160" s="372"/>
      <c r="AE160" s="372"/>
      <c r="AF160" s="372"/>
      <c r="AG160" s="372"/>
      <c r="AH160" s="372"/>
      <c r="AI160" s="372"/>
      <c r="AJ160" s="377">
        <v>1947.24</v>
      </c>
      <c r="AK160" s="377">
        <v>457.62</v>
      </c>
      <c r="AL160" s="378">
        <v>2485.2719999999999</v>
      </c>
      <c r="AN160" s="374"/>
      <c r="AO160" s="374"/>
      <c r="AP160" s="374"/>
      <c r="AQ160" s="374"/>
      <c r="AR160" s="374"/>
      <c r="AS160" s="374"/>
      <c r="AT160" s="374"/>
      <c r="AU160" s="374"/>
      <c r="AV160" s="374"/>
      <c r="AW160" s="374"/>
      <c r="AX160" s="380">
        <v>1346.22</v>
      </c>
      <c r="AY160" s="380">
        <v>-25</v>
      </c>
      <c r="AZ160" s="373">
        <v>1635.8</v>
      </c>
      <c r="BA160" s="373">
        <v>866.7</v>
      </c>
      <c r="BB160" s="373">
        <v>2386.6857</v>
      </c>
    </row>
    <row r="161" spans="1:54" ht="15" customHeight="1" x14ac:dyDescent="0.3">
      <c r="A161" s="372"/>
      <c r="B161" s="372"/>
      <c r="C161" s="372"/>
      <c r="D161" s="372"/>
      <c r="E161" s="372"/>
      <c r="F161" s="372"/>
      <c r="G161" s="372"/>
      <c r="H161" s="372"/>
      <c r="I161" s="372"/>
      <c r="J161" s="372"/>
      <c r="K161" s="372"/>
      <c r="L161" s="372"/>
      <c r="M161" s="372"/>
      <c r="N161" s="372"/>
      <c r="O161" s="372"/>
      <c r="P161" s="372"/>
      <c r="Q161" s="372"/>
      <c r="R161" s="372"/>
      <c r="S161" s="372"/>
      <c r="T161" s="372"/>
      <c r="U161" s="372"/>
      <c r="V161" s="372"/>
      <c r="W161" s="372"/>
      <c r="X161" s="372"/>
      <c r="Y161" s="372"/>
      <c r="Z161" s="372"/>
      <c r="AA161" s="372"/>
      <c r="AB161" s="372"/>
      <c r="AC161" s="372"/>
      <c r="AD161" s="372"/>
      <c r="AE161" s="372"/>
      <c r="AF161" s="372"/>
      <c r="AG161" s="372"/>
      <c r="AH161" s="372"/>
      <c r="AI161" s="372"/>
      <c r="AJ161" s="377">
        <v>1953.83</v>
      </c>
      <c r="AK161" s="377">
        <v>461.42</v>
      </c>
      <c r="AL161" s="378">
        <v>2484.7739000000001</v>
      </c>
      <c r="AN161" s="374"/>
      <c r="AO161" s="374"/>
      <c r="AP161" s="374"/>
      <c r="AQ161" s="374"/>
      <c r="AR161" s="374"/>
      <c r="AS161" s="374"/>
      <c r="AT161" s="374"/>
      <c r="AU161" s="374"/>
      <c r="AV161" s="374"/>
      <c r="AW161" s="374"/>
      <c r="AX161" s="380">
        <v>1370.24</v>
      </c>
      <c r="AY161" s="380">
        <v>-25</v>
      </c>
      <c r="AZ161" s="373">
        <v>1639.73</v>
      </c>
      <c r="BA161" s="373">
        <v>857.13</v>
      </c>
      <c r="BB161" s="373">
        <v>2389.9369000000002</v>
      </c>
    </row>
    <row r="162" spans="1:54" ht="15" customHeight="1" x14ac:dyDescent="0.3">
      <c r="A162" s="372"/>
      <c r="B162" s="372"/>
      <c r="C162" s="372"/>
      <c r="D162" s="372"/>
      <c r="E162" s="372"/>
      <c r="F162" s="372"/>
      <c r="G162" s="372"/>
      <c r="H162" s="372"/>
      <c r="I162" s="372"/>
      <c r="J162" s="372"/>
      <c r="K162" s="372"/>
      <c r="L162" s="372"/>
      <c r="M162" s="372"/>
      <c r="N162" s="372"/>
      <c r="O162" s="372"/>
      <c r="P162" s="372"/>
      <c r="Q162" s="372"/>
      <c r="R162" s="372"/>
      <c r="S162" s="372"/>
      <c r="T162" s="372"/>
      <c r="U162" s="372"/>
      <c r="V162" s="372"/>
      <c r="W162" s="372"/>
      <c r="X162" s="372"/>
      <c r="Y162" s="372"/>
      <c r="Z162" s="372"/>
      <c r="AA162" s="372"/>
      <c r="AB162" s="372"/>
      <c r="AC162" s="372"/>
      <c r="AD162" s="372"/>
      <c r="AE162" s="372"/>
      <c r="AF162" s="372"/>
      <c r="AG162" s="372"/>
      <c r="AH162" s="372"/>
      <c r="AI162" s="372"/>
      <c r="AJ162" s="377">
        <v>1960.52</v>
      </c>
      <c r="AK162" s="377">
        <v>465.32</v>
      </c>
      <c r="AL162" s="378">
        <v>2484.259</v>
      </c>
      <c r="AN162" s="374"/>
      <c r="AO162" s="374"/>
      <c r="AP162" s="374"/>
      <c r="AQ162" s="374"/>
      <c r="AR162" s="374"/>
      <c r="AS162" s="374"/>
      <c r="AT162" s="374"/>
      <c r="AU162" s="374"/>
      <c r="AV162" s="374"/>
      <c r="AW162" s="374"/>
      <c r="AX162" s="380">
        <v>1394.27</v>
      </c>
      <c r="AY162" s="380">
        <v>-25</v>
      </c>
      <c r="AZ162" s="373">
        <v>1640.64</v>
      </c>
      <c r="BA162" s="373">
        <v>852.94</v>
      </c>
      <c r="BB162" s="373">
        <v>2391.4459999999999</v>
      </c>
    </row>
    <row r="163" spans="1:54" ht="15" customHeight="1" x14ac:dyDescent="0.3">
      <c r="A163" s="372"/>
      <c r="B163" s="372"/>
      <c r="C163" s="372"/>
      <c r="D163" s="372"/>
      <c r="E163" s="372"/>
      <c r="F163" s="372"/>
      <c r="G163" s="372"/>
      <c r="H163" s="372"/>
      <c r="I163" s="372"/>
      <c r="J163" s="372"/>
      <c r="K163" s="372"/>
      <c r="L163" s="372"/>
      <c r="M163" s="372"/>
      <c r="N163" s="372"/>
      <c r="O163" s="372"/>
      <c r="P163" s="372"/>
      <c r="Q163" s="372"/>
      <c r="R163" s="372"/>
      <c r="S163" s="372"/>
      <c r="T163" s="372"/>
      <c r="U163" s="372"/>
      <c r="V163" s="372"/>
      <c r="W163" s="372"/>
      <c r="X163" s="372"/>
      <c r="Y163" s="372"/>
      <c r="Z163" s="372"/>
      <c r="AA163" s="372"/>
      <c r="AB163" s="372"/>
      <c r="AC163" s="372"/>
      <c r="AD163" s="372"/>
      <c r="AE163" s="372"/>
      <c r="AF163" s="372"/>
      <c r="AG163" s="372"/>
      <c r="AH163" s="372"/>
      <c r="AI163" s="372"/>
      <c r="AJ163" s="377">
        <v>1971.37</v>
      </c>
      <c r="AK163" s="377">
        <v>472.14</v>
      </c>
      <c r="AL163" s="378">
        <v>2483.7555000000002</v>
      </c>
      <c r="AN163" s="374"/>
      <c r="AO163" s="374"/>
      <c r="AP163" s="374"/>
      <c r="AQ163" s="374"/>
      <c r="AR163" s="374"/>
      <c r="AS163" s="374"/>
      <c r="AT163" s="374"/>
      <c r="AU163" s="374"/>
      <c r="AV163" s="374"/>
      <c r="AW163" s="374"/>
      <c r="AX163" s="380">
        <v>1418.29</v>
      </c>
      <c r="AY163" s="380">
        <v>-25</v>
      </c>
      <c r="AZ163" s="373">
        <v>1639.8</v>
      </c>
      <c r="BA163" s="373">
        <v>842.64</v>
      </c>
      <c r="BB163" s="373">
        <v>2395.547</v>
      </c>
    </row>
    <row r="164" spans="1:54" ht="15" customHeight="1" x14ac:dyDescent="0.3">
      <c r="A164" s="372"/>
      <c r="B164" s="372"/>
      <c r="C164" s="372"/>
      <c r="D164" s="372"/>
      <c r="E164" s="372"/>
      <c r="F164" s="372"/>
      <c r="G164" s="372"/>
      <c r="H164" s="372"/>
      <c r="I164" s="372"/>
      <c r="J164" s="372"/>
      <c r="K164" s="372"/>
      <c r="L164" s="372"/>
      <c r="M164" s="372"/>
      <c r="N164" s="372"/>
      <c r="O164" s="372"/>
      <c r="P164" s="372"/>
      <c r="Q164" s="372"/>
      <c r="R164" s="372"/>
      <c r="S164" s="372"/>
      <c r="T164" s="372"/>
      <c r="U164" s="372"/>
      <c r="V164" s="372"/>
      <c r="W164" s="372"/>
      <c r="X164" s="372"/>
      <c r="Y164" s="372"/>
      <c r="Z164" s="372"/>
      <c r="AA164" s="372"/>
      <c r="AB164" s="372"/>
      <c r="AC164" s="372"/>
      <c r="AD164" s="372"/>
      <c r="AE164" s="372"/>
      <c r="AF164" s="372"/>
      <c r="AG164" s="372"/>
      <c r="AH164" s="372"/>
      <c r="AI164" s="372"/>
      <c r="AJ164" s="377">
        <v>1978.95</v>
      </c>
      <c r="AK164" s="377">
        <v>474.52</v>
      </c>
      <c r="AL164" s="378">
        <v>2483.5770000000002</v>
      </c>
      <c r="AN164" s="374"/>
      <c r="AO164" s="374"/>
      <c r="AP164" s="374"/>
      <c r="AQ164" s="374"/>
      <c r="AR164" s="374"/>
      <c r="AS164" s="374"/>
      <c r="AT164" s="374"/>
      <c r="AU164" s="374"/>
      <c r="AV164" s="374"/>
      <c r="AW164" s="374"/>
      <c r="AX164" s="380">
        <v>1442.31</v>
      </c>
      <c r="AY164" s="380">
        <v>-25</v>
      </c>
      <c r="AZ164" s="373">
        <v>1639.57</v>
      </c>
      <c r="BA164" s="373">
        <v>840.57</v>
      </c>
      <c r="BB164" s="373">
        <v>2396.2188000000001</v>
      </c>
    </row>
    <row r="165" spans="1:54" ht="15" customHeight="1" x14ac:dyDescent="0.3">
      <c r="AJ165" s="377">
        <v>1979.37</v>
      </c>
      <c r="AK165" s="377">
        <v>474.81</v>
      </c>
      <c r="AL165" s="378">
        <v>2483.6484</v>
      </c>
      <c r="AN165" s="374"/>
      <c r="AO165" s="374"/>
      <c r="AP165" s="374"/>
      <c r="AQ165" s="374"/>
      <c r="AR165" s="374"/>
      <c r="AS165" s="374"/>
      <c r="AT165" s="374"/>
      <c r="AU165" s="374"/>
      <c r="AV165" s="374"/>
      <c r="AW165" s="374"/>
      <c r="AX165" s="380">
        <v>1466.33</v>
      </c>
      <c r="AY165" s="380">
        <v>-25</v>
      </c>
      <c r="AZ165" s="373">
        <v>1639.08</v>
      </c>
      <c r="BA165" s="373">
        <v>837.73</v>
      </c>
      <c r="BB165" s="373">
        <v>2397.1428999999998</v>
      </c>
    </row>
    <row r="166" spans="1:54" ht="15" customHeight="1" x14ac:dyDescent="0.3">
      <c r="AJ166" s="377">
        <v>1979.91</v>
      </c>
      <c r="AK166" s="377">
        <v>475.68</v>
      </c>
      <c r="AL166" s="378">
        <v>2483.6307000000002</v>
      </c>
      <c r="AN166" s="374"/>
      <c r="AO166" s="374"/>
      <c r="AP166" s="374"/>
      <c r="AQ166" s="374"/>
      <c r="AR166" s="374"/>
      <c r="AS166" s="374"/>
      <c r="AT166" s="374"/>
      <c r="AU166" s="374"/>
      <c r="AV166" s="374"/>
      <c r="AW166" s="374"/>
      <c r="AX166" s="380">
        <v>1490.36</v>
      </c>
      <c r="AY166" s="380">
        <v>-25</v>
      </c>
      <c r="AZ166" s="373">
        <v>1638.27</v>
      </c>
      <c r="BA166" s="373">
        <v>836.2</v>
      </c>
      <c r="BB166" s="373">
        <v>2397.6916999999999</v>
      </c>
    </row>
    <row r="167" spans="1:54" ht="15" customHeight="1" x14ac:dyDescent="0.3">
      <c r="AJ167" s="377">
        <v>1980.07</v>
      </c>
      <c r="AK167" s="377">
        <v>476.08</v>
      </c>
      <c r="AL167" s="378">
        <v>2483.5859999999998</v>
      </c>
      <c r="AN167" s="374"/>
      <c r="AO167" s="374"/>
      <c r="AP167" s="374"/>
      <c r="AQ167" s="374"/>
      <c r="AR167" s="374"/>
      <c r="AS167" s="374"/>
      <c r="AT167" s="374"/>
      <c r="AU167" s="374"/>
      <c r="AV167" s="374"/>
      <c r="AW167" s="374"/>
      <c r="AX167" s="380">
        <v>1514.38</v>
      </c>
      <c r="AY167" s="380">
        <v>-25</v>
      </c>
      <c r="AZ167" s="373">
        <v>1637.72</v>
      </c>
      <c r="BA167" s="373">
        <v>835.43</v>
      </c>
      <c r="BB167" s="373">
        <v>2397.9866000000002</v>
      </c>
    </row>
    <row r="168" spans="1:54" ht="15" customHeight="1" x14ac:dyDescent="0.3">
      <c r="AJ168" s="377">
        <v>1980.22</v>
      </c>
      <c r="AK168" s="377">
        <v>476.48</v>
      </c>
      <c r="AL168" s="378">
        <v>2483.5414999999998</v>
      </c>
      <c r="AN168" s="374"/>
      <c r="AO168" s="374"/>
      <c r="AP168" s="374"/>
      <c r="AQ168" s="374"/>
      <c r="AR168" s="374"/>
      <c r="AS168" s="374"/>
      <c r="AT168" s="374"/>
      <c r="AU168" s="374"/>
      <c r="AV168" s="374"/>
      <c r="AW168" s="374"/>
      <c r="AX168" s="380">
        <v>1538.4</v>
      </c>
      <c r="AY168" s="380">
        <v>-25</v>
      </c>
      <c r="AZ168" s="373">
        <v>1636.19</v>
      </c>
      <c r="BA168" s="373">
        <v>833.61</v>
      </c>
      <c r="BB168" s="373">
        <v>2398.7257</v>
      </c>
    </row>
    <row r="169" spans="1:54" ht="15" customHeight="1" x14ac:dyDescent="0.3">
      <c r="AJ169" s="377">
        <v>1980.33</v>
      </c>
      <c r="AK169" s="377">
        <v>476.99</v>
      </c>
      <c r="AL169" s="378">
        <v>2483.4965999999999</v>
      </c>
      <c r="AN169" s="374"/>
      <c r="AO169" s="374"/>
      <c r="AP169" s="374"/>
      <c r="AQ169" s="374"/>
      <c r="AR169" s="374"/>
      <c r="AS169" s="374"/>
      <c r="AT169" s="374"/>
      <c r="AU169" s="374"/>
      <c r="AV169" s="374"/>
      <c r="AW169" s="374"/>
      <c r="AX169" s="380">
        <v>1562.43</v>
      </c>
      <c r="AY169" s="380">
        <v>-25</v>
      </c>
      <c r="AZ169" s="373">
        <v>1634.42</v>
      </c>
      <c r="BA169" s="373">
        <v>831.25</v>
      </c>
      <c r="BB169" s="373">
        <v>2399.6460000000002</v>
      </c>
    </row>
    <row r="170" spans="1:54" ht="15" customHeight="1" x14ac:dyDescent="0.3">
      <c r="AJ170" s="377">
        <v>1980.43</v>
      </c>
      <c r="AK170" s="377">
        <v>477.49</v>
      </c>
      <c r="AL170" s="378">
        <v>2483.4522999999999</v>
      </c>
      <c r="AN170" s="374"/>
      <c r="AO170" s="374"/>
      <c r="AP170" s="374"/>
      <c r="AQ170" s="374"/>
      <c r="AR170" s="374"/>
      <c r="AS170" s="374"/>
      <c r="AT170" s="374"/>
      <c r="AU170" s="374"/>
      <c r="AV170" s="374"/>
      <c r="AW170" s="374"/>
      <c r="AX170" s="380">
        <v>1586.45</v>
      </c>
      <c r="AY170" s="380">
        <v>-25</v>
      </c>
      <c r="AZ170" s="373">
        <v>1636.36</v>
      </c>
      <c r="BA170" s="373">
        <v>827.03</v>
      </c>
      <c r="BB170" s="373">
        <v>2400.288</v>
      </c>
    </row>
    <row r="171" spans="1:54" ht="15" customHeight="1" x14ac:dyDescent="0.3">
      <c r="AJ171" s="377">
        <v>1979.09</v>
      </c>
      <c r="AK171" s="377">
        <v>479.17</v>
      </c>
      <c r="AL171" s="378">
        <v>2483.3022999999998</v>
      </c>
      <c r="AN171" s="374"/>
      <c r="AO171" s="374"/>
      <c r="AP171" s="374"/>
      <c r="AQ171" s="374"/>
      <c r="AR171" s="374"/>
      <c r="AS171" s="374"/>
      <c r="AT171" s="374"/>
      <c r="AU171" s="374"/>
      <c r="AV171" s="374"/>
      <c r="AW171" s="374"/>
      <c r="AX171" s="380">
        <v>1610.47</v>
      </c>
      <c r="AY171" s="380">
        <v>-25</v>
      </c>
      <c r="AZ171" s="373">
        <v>1636.98</v>
      </c>
      <c r="BA171" s="373">
        <v>824.77</v>
      </c>
      <c r="BB171" s="373">
        <v>2401.0160000000001</v>
      </c>
    </row>
    <row r="172" spans="1:54" ht="15" customHeight="1" x14ac:dyDescent="0.3">
      <c r="AJ172" s="377">
        <v>1978.1</v>
      </c>
      <c r="AK172" s="377">
        <v>479.77</v>
      </c>
      <c r="AL172" s="378">
        <v>2483.2415000000001</v>
      </c>
      <c r="AN172" s="374"/>
      <c r="AO172" s="374"/>
      <c r="AP172" s="374"/>
      <c r="AQ172" s="374"/>
      <c r="AR172" s="374"/>
      <c r="AS172" s="374"/>
      <c r="AT172" s="374"/>
      <c r="AU172" s="374"/>
      <c r="AV172" s="374"/>
      <c r="AW172" s="374"/>
      <c r="AX172" s="380">
        <v>1634.49</v>
      </c>
      <c r="AY172" s="380">
        <v>-25</v>
      </c>
      <c r="AZ172" s="373">
        <v>1637.15</v>
      </c>
      <c r="BA172" s="373">
        <v>819.31</v>
      </c>
      <c r="BB172" s="373">
        <v>2402.7231000000002</v>
      </c>
    </row>
    <row r="173" spans="1:54" ht="15" customHeight="1" x14ac:dyDescent="0.3">
      <c r="AJ173" s="377">
        <v>1974.85</v>
      </c>
      <c r="AK173" s="377">
        <v>481.69</v>
      </c>
      <c r="AL173" s="378">
        <v>2482.7321000000002</v>
      </c>
      <c r="AN173" s="374"/>
      <c r="AO173" s="374"/>
      <c r="AP173" s="374"/>
      <c r="AQ173" s="374"/>
      <c r="AR173" s="374"/>
      <c r="AS173" s="374"/>
      <c r="AT173" s="374"/>
      <c r="AU173" s="374"/>
      <c r="AV173" s="374"/>
      <c r="AW173" s="374"/>
      <c r="AX173" s="380">
        <v>1658.52</v>
      </c>
      <c r="AY173" s="380">
        <v>-25</v>
      </c>
      <c r="AZ173" s="373">
        <v>1638.25</v>
      </c>
      <c r="BA173" s="373">
        <v>814</v>
      </c>
      <c r="BB173" s="373">
        <v>2404.3458999999998</v>
      </c>
    </row>
    <row r="174" spans="1:54" ht="15" customHeight="1" x14ac:dyDescent="0.3">
      <c r="AJ174" s="377">
        <v>1965.75</v>
      </c>
      <c r="AK174" s="377">
        <v>483.77</v>
      </c>
      <c r="AL174" s="378">
        <v>2482.3910000000001</v>
      </c>
      <c r="AN174" s="374"/>
      <c r="AO174" s="374"/>
      <c r="AP174" s="374"/>
      <c r="AQ174" s="374"/>
      <c r="AR174" s="374"/>
      <c r="AS174" s="374"/>
      <c r="AT174" s="374"/>
      <c r="AU174" s="374"/>
      <c r="AV174" s="374"/>
      <c r="AW174" s="374"/>
      <c r="AX174" s="380">
        <v>1671.34</v>
      </c>
      <c r="AY174" s="380">
        <v>-25</v>
      </c>
      <c r="AZ174" s="373">
        <v>1637.94</v>
      </c>
      <c r="BA174" s="373">
        <v>809.08</v>
      </c>
      <c r="BB174" s="373">
        <v>2405.9169999999999</v>
      </c>
    </row>
    <row r="175" spans="1:54" ht="15" customHeight="1" x14ac:dyDescent="0.3">
      <c r="AJ175" s="377">
        <v>1956.09</v>
      </c>
      <c r="AK175" s="377">
        <v>484.07</v>
      </c>
      <c r="AL175" s="378">
        <v>2482.7939000000001</v>
      </c>
      <c r="AN175" s="374"/>
      <c r="AO175" s="374"/>
      <c r="AP175" s="374"/>
      <c r="AQ175" s="374"/>
      <c r="AR175" s="374"/>
      <c r="AS175" s="374"/>
      <c r="AT175" s="374"/>
      <c r="AU175" s="374"/>
      <c r="AV175" s="374"/>
      <c r="AW175" s="374"/>
      <c r="AX175" s="380">
        <v>1698.4</v>
      </c>
      <c r="AY175" s="380">
        <v>-47.55</v>
      </c>
      <c r="AZ175" s="373">
        <v>1636.18</v>
      </c>
      <c r="BA175" s="373">
        <v>805.22</v>
      </c>
      <c r="BB175" s="373">
        <v>2407.5291000000002</v>
      </c>
    </row>
    <row r="176" spans="1:54" ht="15" customHeight="1" x14ac:dyDescent="0.3">
      <c r="AJ176" s="377">
        <v>1949.47</v>
      </c>
      <c r="AK176" s="377">
        <v>488.22</v>
      </c>
      <c r="AL176" s="378">
        <v>2482.4250000000002</v>
      </c>
      <c r="AN176" s="374"/>
      <c r="AO176" s="374"/>
      <c r="AP176" s="374"/>
      <c r="AQ176" s="374"/>
      <c r="AR176" s="374"/>
      <c r="AS176" s="374"/>
      <c r="AT176" s="374"/>
      <c r="AU176" s="374"/>
      <c r="AV176" s="374"/>
      <c r="AW176" s="374"/>
      <c r="AX176" s="380">
        <v>1716.85</v>
      </c>
      <c r="AY176" s="380">
        <v>-62.93</v>
      </c>
      <c r="AZ176" s="373">
        <v>1634.43</v>
      </c>
      <c r="BA176" s="373">
        <v>802.16</v>
      </c>
      <c r="BB176" s="373">
        <v>2408.2469000000001</v>
      </c>
    </row>
    <row r="177" spans="36:54" ht="15" customHeight="1" x14ac:dyDescent="0.3">
      <c r="AJ177" s="377">
        <v>1941.9</v>
      </c>
      <c r="AK177" s="377">
        <v>495.55</v>
      </c>
      <c r="AL177" s="378">
        <v>2481.8110000000001</v>
      </c>
      <c r="AN177" s="374"/>
      <c r="AO177" s="374"/>
      <c r="AP177" s="374"/>
      <c r="AQ177" s="374"/>
      <c r="AR177" s="374"/>
      <c r="AS177" s="374"/>
      <c r="AT177" s="374"/>
      <c r="AU177" s="374"/>
      <c r="AV177" s="374"/>
      <c r="AW177" s="374"/>
      <c r="AX177" s="380">
        <v>1735.31</v>
      </c>
      <c r="AY177" s="380">
        <v>-78.31</v>
      </c>
      <c r="AZ177" s="373">
        <v>1633.5</v>
      </c>
      <c r="BA177" s="373">
        <v>800.38</v>
      </c>
      <c r="BB177" s="373">
        <v>2408.1801</v>
      </c>
    </row>
    <row r="178" spans="36:54" ht="15" customHeight="1" x14ac:dyDescent="0.3">
      <c r="AJ178" s="377">
        <v>1937.87</v>
      </c>
      <c r="AK178" s="377">
        <v>497.52</v>
      </c>
      <c r="AL178" s="378">
        <v>2481.65</v>
      </c>
      <c r="AN178" s="374"/>
      <c r="AO178" s="374"/>
      <c r="AP178" s="374"/>
      <c r="AQ178" s="374"/>
      <c r="AR178" s="374"/>
      <c r="AS178" s="374"/>
      <c r="AT178" s="374"/>
      <c r="AU178" s="374"/>
      <c r="AV178" s="374"/>
      <c r="AW178" s="374"/>
      <c r="AX178" s="380">
        <v>1753.76</v>
      </c>
      <c r="AY178" s="380">
        <v>-93.69</v>
      </c>
      <c r="AZ178" s="373">
        <v>1623.24</v>
      </c>
      <c r="BA178" s="373">
        <v>802.63</v>
      </c>
      <c r="BB178" s="373">
        <v>2407.4041000000002</v>
      </c>
    </row>
    <row r="179" spans="36:54" ht="15" customHeight="1" x14ac:dyDescent="0.3">
      <c r="AJ179" s="377">
        <v>1931.99</v>
      </c>
      <c r="AK179" s="377">
        <v>503.06</v>
      </c>
      <c r="AL179" s="378">
        <v>2480.9540000000002</v>
      </c>
      <c r="AN179" s="374"/>
      <c r="AO179" s="374"/>
      <c r="AP179" s="374"/>
      <c r="AQ179" s="374"/>
      <c r="AR179" s="374"/>
      <c r="AS179" s="374"/>
      <c r="AT179" s="374"/>
      <c r="AU179" s="374"/>
      <c r="AV179" s="374"/>
      <c r="AW179" s="374"/>
      <c r="AX179" s="380">
        <v>1772.22</v>
      </c>
      <c r="AY179" s="380">
        <v>-109.07</v>
      </c>
      <c r="AZ179" s="373">
        <v>1625.35</v>
      </c>
      <c r="BA179" s="373">
        <v>799.16</v>
      </c>
      <c r="BB179" s="373">
        <v>2408.2240000000002</v>
      </c>
    </row>
    <row r="180" spans="36:54" ht="15" customHeight="1" x14ac:dyDescent="0.3">
      <c r="AJ180" s="377">
        <v>1924.36</v>
      </c>
      <c r="AK180" s="377">
        <v>511.68</v>
      </c>
      <c r="AL180" s="378">
        <v>2479.8062</v>
      </c>
      <c r="AN180" s="374"/>
      <c r="AO180" s="374"/>
      <c r="AP180" s="374"/>
      <c r="AQ180" s="374"/>
      <c r="AR180" s="374"/>
      <c r="AS180" s="374"/>
      <c r="AT180" s="374"/>
      <c r="AU180" s="374"/>
      <c r="AV180" s="374"/>
      <c r="AW180" s="374"/>
      <c r="AX180" s="380">
        <v>1790.67</v>
      </c>
      <c r="AY180" s="380">
        <v>-124.44</v>
      </c>
      <c r="AZ180" s="373">
        <v>1626.29</v>
      </c>
      <c r="BA180" s="373">
        <v>798.44</v>
      </c>
      <c r="BB180" s="373">
        <v>2408.4839999999999</v>
      </c>
    </row>
    <row r="181" spans="36:54" ht="15" customHeight="1" x14ac:dyDescent="0.3">
      <c r="AJ181" s="377">
        <v>1920.96</v>
      </c>
      <c r="AK181" s="377">
        <v>517.46</v>
      </c>
      <c r="AL181" s="378">
        <v>2478.808</v>
      </c>
      <c r="AN181" s="374"/>
      <c r="AO181" s="374"/>
      <c r="AP181" s="374"/>
      <c r="AQ181" s="374"/>
      <c r="AR181" s="374"/>
      <c r="AS181" s="374"/>
      <c r="AT181" s="374"/>
      <c r="AU181" s="374"/>
      <c r="AV181" s="374"/>
      <c r="AW181" s="374"/>
      <c r="AX181" s="380">
        <v>1809.13</v>
      </c>
      <c r="AY181" s="380">
        <v>-139.82</v>
      </c>
      <c r="AZ181" s="373">
        <v>1628.99</v>
      </c>
      <c r="BA181" s="373">
        <v>793.65</v>
      </c>
      <c r="BB181" s="373">
        <v>2409.4919</v>
      </c>
    </row>
    <row r="182" spans="36:54" ht="15" customHeight="1" x14ac:dyDescent="0.3">
      <c r="AJ182" s="377">
        <v>1913.13</v>
      </c>
      <c r="AK182" s="377">
        <v>525.42999999999995</v>
      </c>
      <c r="AL182" s="378">
        <v>2477.3314999999998</v>
      </c>
      <c r="AN182" s="374"/>
      <c r="AO182" s="374"/>
      <c r="AP182" s="374"/>
      <c r="AQ182" s="374"/>
      <c r="AR182" s="374"/>
      <c r="AS182" s="374"/>
      <c r="AT182" s="374"/>
      <c r="AU182" s="374"/>
      <c r="AV182" s="374"/>
      <c r="AW182" s="374"/>
      <c r="AX182" s="380">
        <v>1827.58</v>
      </c>
      <c r="AY182" s="380">
        <v>-155.19999999999999</v>
      </c>
      <c r="AZ182" s="373">
        <v>1632.63</v>
      </c>
      <c r="BA182" s="373">
        <v>786.77</v>
      </c>
      <c r="BB182" s="373">
        <v>2411.4389999999999</v>
      </c>
    </row>
    <row r="183" spans="36:54" ht="15" customHeight="1" x14ac:dyDescent="0.3">
      <c r="AJ183" s="377">
        <v>1908.51</v>
      </c>
      <c r="AK183" s="377">
        <v>530.36</v>
      </c>
      <c r="AL183" s="378">
        <v>2476.0160000000001</v>
      </c>
      <c r="AN183" s="374"/>
      <c r="AO183" s="374"/>
      <c r="AP183" s="374"/>
      <c r="AQ183" s="374"/>
      <c r="AR183" s="374"/>
      <c r="AS183" s="374"/>
      <c r="AT183" s="374"/>
      <c r="AU183" s="374"/>
      <c r="AV183" s="374"/>
      <c r="AW183" s="374"/>
      <c r="AX183" s="380">
        <v>1846.04</v>
      </c>
      <c r="AY183" s="380">
        <v>-170.58</v>
      </c>
      <c r="AZ183" s="373">
        <v>1634.69</v>
      </c>
      <c r="BA183" s="373">
        <v>782.31</v>
      </c>
      <c r="BB183" s="373">
        <v>2412.6619999999998</v>
      </c>
    </row>
    <row r="184" spans="36:54" ht="15" customHeight="1" x14ac:dyDescent="0.3">
      <c r="AJ184" s="377">
        <v>1901.89</v>
      </c>
      <c r="AK184" s="377">
        <v>536.83000000000004</v>
      </c>
      <c r="AL184" s="378">
        <v>2474.2159000000001</v>
      </c>
      <c r="AN184" s="374"/>
      <c r="AO184" s="374"/>
      <c r="AP184" s="374"/>
      <c r="AQ184" s="374"/>
      <c r="AR184" s="374"/>
      <c r="AS184" s="374"/>
      <c r="AT184" s="374"/>
      <c r="AU184" s="374"/>
      <c r="AV184" s="374"/>
      <c r="AW184" s="374"/>
      <c r="AX184" s="380">
        <v>1870.14</v>
      </c>
      <c r="AY184" s="380">
        <v>-190.67</v>
      </c>
      <c r="AZ184" s="373">
        <v>1637.3</v>
      </c>
      <c r="BA184" s="373">
        <v>776.12</v>
      </c>
      <c r="BB184" s="373">
        <v>2414.8888999999999</v>
      </c>
    </row>
    <row r="185" spans="36:54" ht="15" customHeight="1" x14ac:dyDescent="0.3">
      <c r="AJ185" s="377">
        <v>1897.52</v>
      </c>
      <c r="AK185" s="377">
        <v>544.79</v>
      </c>
      <c r="AL185" s="378">
        <v>2472.038</v>
      </c>
      <c r="AN185" s="374"/>
      <c r="AO185" s="374"/>
      <c r="AP185" s="374"/>
      <c r="AQ185" s="374"/>
      <c r="AR185" s="374"/>
      <c r="AS185" s="374"/>
      <c r="AT185" s="374"/>
      <c r="AU185" s="374"/>
      <c r="AV185" s="374"/>
      <c r="AW185" s="374"/>
      <c r="AX185" s="380">
        <v>1886.59</v>
      </c>
      <c r="AY185" s="380">
        <v>-193.39</v>
      </c>
      <c r="AZ185" s="373">
        <v>1637.93</v>
      </c>
      <c r="BA185" s="373">
        <v>769.61</v>
      </c>
      <c r="BB185" s="373">
        <v>2417.2489</v>
      </c>
    </row>
    <row r="186" spans="36:54" ht="15" customHeight="1" x14ac:dyDescent="0.3">
      <c r="AJ186" s="377">
        <v>1894.03</v>
      </c>
      <c r="AK186" s="377">
        <v>551.97</v>
      </c>
      <c r="AL186" s="378">
        <v>2470.15</v>
      </c>
      <c r="AN186" s="374"/>
      <c r="AO186" s="374"/>
      <c r="AP186" s="374"/>
      <c r="AQ186" s="374"/>
      <c r="AR186" s="374"/>
      <c r="AS186" s="374"/>
      <c r="AT186" s="374"/>
      <c r="AU186" s="374"/>
      <c r="AV186" s="374"/>
      <c r="AW186" s="374"/>
      <c r="AX186" s="380">
        <v>1910.29</v>
      </c>
      <c r="AY186" s="380">
        <v>-197.31</v>
      </c>
      <c r="AZ186" s="373">
        <v>1638.02</v>
      </c>
      <c r="BA186" s="373">
        <v>763.64</v>
      </c>
      <c r="BB186" s="373">
        <v>2419.6028000000001</v>
      </c>
    </row>
    <row r="187" spans="36:54" ht="15" customHeight="1" x14ac:dyDescent="0.3">
      <c r="AJ187" s="377">
        <v>1891.09</v>
      </c>
      <c r="AK187" s="377">
        <v>560.37</v>
      </c>
      <c r="AL187" s="378">
        <v>2467.7539999999999</v>
      </c>
      <c r="AN187" s="374"/>
      <c r="AO187" s="374"/>
      <c r="AP187" s="374"/>
      <c r="AQ187" s="374"/>
      <c r="AR187" s="374"/>
      <c r="AS187" s="374"/>
      <c r="AT187" s="374"/>
      <c r="AU187" s="374"/>
      <c r="AV187" s="374"/>
      <c r="AW187" s="374"/>
      <c r="AX187" s="380">
        <v>1933.99</v>
      </c>
      <c r="AY187" s="380">
        <v>-201.23</v>
      </c>
      <c r="AZ187" s="373">
        <v>1636.99</v>
      </c>
      <c r="BA187" s="373">
        <v>757.34</v>
      </c>
      <c r="BB187" s="373">
        <v>2421.5747999999999</v>
      </c>
    </row>
    <row r="188" spans="36:54" ht="15" customHeight="1" x14ac:dyDescent="0.3">
      <c r="AJ188" s="377">
        <v>1887.76</v>
      </c>
      <c r="AK188" s="377">
        <v>570.64</v>
      </c>
      <c r="AL188" s="378">
        <v>2464.8910000000001</v>
      </c>
      <c r="AN188" s="374"/>
      <c r="AO188" s="374"/>
      <c r="AP188" s="374"/>
      <c r="AQ188" s="374"/>
      <c r="AR188" s="374"/>
      <c r="AS188" s="374"/>
      <c r="AT188" s="374"/>
      <c r="AU188" s="374"/>
      <c r="AV188" s="374"/>
      <c r="AW188" s="374"/>
      <c r="AX188" s="380">
        <v>1957.69</v>
      </c>
      <c r="AY188" s="380">
        <v>-205.16</v>
      </c>
      <c r="AZ188" s="373">
        <v>1635.8</v>
      </c>
      <c r="BA188" s="373">
        <v>751.44</v>
      </c>
      <c r="BB188" s="373">
        <v>2423.3067999999998</v>
      </c>
    </row>
    <row r="189" spans="36:54" ht="15" customHeight="1" x14ac:dyDescent="0.3">
      <c r="AJ189" s="377">
        <v>1885.99</v>
      </c>
      <c r="AK189" s="377">
        <v>578.97</v>
      </c>
      <c r="AL189" s="378">
        <v>2461.9065000000001</v>
      </c>
      <c r="AN189" s="374"/>
      <c r="AO189" s="374"/>
      <c r="AP189" s="374"/>
      <c r="AQ189" s="374"/>
      <c r="AR189" s="374"/>
      <c r="AS189" s="374"/>
      <c r="AT189" s="374"/>
      <c r="AU189" s="374"/>
      <c r="AV189" s="374"/>
      <c r="AW189" s="374"/>
      <c r="AX189" s="380">
        <v>1981.39</v>
      </c>
      <c r="AY189" s="380">
        <v>-209.08</v>
      </c>
      <c r="AZ189" s="373">
        <v>1635.7</v>
      </c>
      <c r="BA189" s="373">
        <v>746.08</v>
      </c>
      <c r="BB189" s="373">
        <v>2424.8488000000002</v>
      </c>
    </row>
    <row r="190" spans="36:54" ht="15" customHeight="1" x14ac:dyDescent="0.3">
      <c r="AJ190" s="377">
        <v>1885.85</v>
      </c>
      <c r="AK190" s="377">
        <v>581.04999999999995</v>
      </c>
      <c r="AL190" s="378">
        <v>2461.163</v>
      </c>
      <c r="AN190" s="374"/>
      <c r="AO190" s="374"/>
      <c r="AP190" s="374"/>
      <c r="AQ190" s="374"/>
      <c r="AR190" s="374"/>
      <c r="AS190" s="374"/>
      <c r="AT190" s="374"/>
      <c r="AU190" s="374"/>
      <c r="AV190" s="374"/>
      <c r="AW190" s="374"/>
      <c r="AX190" s="380">
        <v>2005.09</v>
      </c>
      <c r="AY190" s="380">
        <v>-213</v>
      </c>
      <c r="AZ190" s="373">
        <v>1635.21</v>
      </c>
      <c r="BA190" s="373">
        <v>741.68</v>
      </c>
      <c r="BB190" s="373">
        <v>2426.0936000000002</v>
      </c>
    </row>
    <row r="191" spans="36:54" ht="15" customHeight="1" x14ac:dyDescent="0.3">
      <c r="AJ191" s="377">
        <v>1887.49</v>
      </c>
      <c r="AK191" s="377">
        <v>590.33000000000004</v>
      </c>
      <c r="AL191" s="378">
        <v>2457.4456</v>
      </c>
      <c r="AN191" s="374"/>
      <c r="AO191" s="374"/>
      <c r="AP191" s="374"/>
      <c r="AQ191" s="374"/>
      <c r="AR191" s="374"/>
      <c r="AS191" s="374"/>
      <c r="AT191" s="374"/>
      <c r="AU191" s="374"/>
      <c r="AV191" s="374"/>
      <c r="AW191" s="374"/>
      <c r="AX191" s="380">
        <v>2028.79</v>
      </c>
      <c r="AY191" s="380">
        <v>-216.92</v>
      </c>
      <c r="AZ191" s="373">
        <v>1634.34</v>
      </c>
      <c r="BA191" s="373">
        <v>740.87</v>
      </c>
      <c r="BB191" s="373">
        <v>2426.326</v>
      </c>
    </row>
    <row r="192" spans="36:54" ht="15" customHeight="1" x14ac:dyDescent="0.3">
      <c r="AJ192" s="377">
        <v>1891.5</v>
      </c>
      <c r="AK192" s="377">
        <v>596.86</v>
      </c>
      <c r="AL192" s="378">
        <v>2454.8780999999999</v>
      </c>
      <c r="AN192" s="374"/>
      <c r="AO192" s="374"/>
      <c r="AP192" s="374"/>
      <c r="AQ192" s="374"/>
      <c r="AR192" s="374"/>
      <c r="AS192" s="374"/>
      <c r="AT192" s="374"/>
      <c r="AU192" s="374"/>
      <c r="AV192" s="374"/>
      <c r="AW192" s="374"/>
      <c r="AX192" s="380">
        <v>2052.4899999999998</v>
      </c>
      <c r="AY192" s="380">
        <v>-220.84</v>
      </c>
      <c r="AZ192" s="373">
        <v>1633.78</v>
      </c>
      <c r="BA192" s="373">
        <v>740.59</v>
      </c>
      <c r="BB192" s="373">
        <v>2426.3290000000002</v>
      </c>
    </row>
    <row r="193" spans="36:54" ht="15" customHeight="1" x14ac:dyDescent="0.3">
      <c r="AJ193" s="377">
        <v>1896.63</v>
      </c>
      <c r="AK193" s="377">
        <v>599.23</v>
      </c>
      <c r="AL193" s="378">
        <v>2453.6880000000001</v>
      </c>
      <c r="AN193" s="374"/>
      <c r="AO193" s="374"/>
      <c r="AP193" s="374"/>
      <c r="AQ193" s="374"/>
      <c r="AR193" s="374"/>
      <c r="AS193" s="374"/>
      <c r="AT193" s="374"/>
      <c r="AU193" s="374"/>
      <c r="AV193" s="374"/>
      <c r="AW193" s="374"/>
      <c r="AX193" s="380">
        <v>2076.19</v>
      </c>
      <c r="AY193" s="380">
        <v>-224.77</v>
      </c>
      <c r="AZ193" s="373">
        <v>1632.84</v>
      </c>
      <c r="BA193" s="373">
        <v>742.46</v>
      </c>
      <c r="BB193" s="373">
        <v>2426.4041000000002</v>
      </c>
    </row>
    <row r="194" spans="36:54" ht="15" customHeight="1" x14ac:dyDescent="0.3">
      <c r="AJ194" s="377">
        <v>1904.84</v>
      </c>
      <c r="AK194" s="377">
        <v>599.79999999999995</v>
      </c>
      <c r="AL194" s="378">
        <v>2452.5610000000001</v>
      </c>
      <c r="AN194" s="374"/>
      <c r="AO194" s="374"/>
      <c r="AP194" s="374"/>
      <c r="AQ194" s="374"/>
      <c r="AR194" s="374"/>
      <c r="AS194" s="374"/>
      <c r="AT194" s="374"/>
      <c r="AU194" s="374"/>
      <c r="AV194" s="374"/>
      <c r="AW194" s="374"/>
      <c r="AX194" s="380">
        <v>2099.89</v>
      </c>
      <c r="AY194" s="380">
        <v>-228.69</v>
      </c>
      <c r="AZ194" s="373">
        <v>1631.78</v>
      </c>
      <c r="BA194" s="373">
        <v>744.42</v>
      </c>
      <c r="BB194" s="373">
        <v>2426.4029999999998</v>
      </c>
    </row>
    <row r="195" spans="36:54" ht="15" customHeight="1" x14ac:dyDescent="0.3">
      <c r="AJ195" s="377">
        <v>1915.5</v>
      </c>
      <c r="AK195" s="377">
        <v>600.55999999999995</v>
      </c>
      <c r="AL195" s="378">
        <v>2452.9749999999999</v>
      </c>
      <c r="AN195" s="374"/>
      <c r="AO195" s="374"/>
      <c r="AP195" s="374"/>
      <c r="AQ195" s="374"/>
      <c r="AR195" s="374"/>
      <c r="AS195" s="374"/>
      <c r="AT195" s="374"/>
      <c r="AU195" s="374"/>
      <c r="AV195" s="374"/>
      <c r="AW195" s="374"/>
      <c r="AX195" s="380">
        <v>2123.59</v>
      </c>
      <c r="AY195" s="380">
        <v>-232.61</v>
      </c>
      <c r="AZ195" s="373">
        <v>1631.2</v>
      </c>
      <c r="BA195" s="373">
        <v>746.33</v>
      </c>
      <c r="BB195" s="373">
        <v>2426.5601000000001</v>
      </c>
    </row>
    <row r="196" spans="36:54" ht="15" customHeight="1" x14ac:dyDescent="0.3">
      <c r="AJ196" s="377">
        <v>1911.2</v>
      </c>
      <c r="AK196" s="377">
        <v>608.41</v>
      </c>
      <c r="AL196" s="378">
        <v>2451.8110000000001</v>
      </c>
      <c r="AN196" s="374"/>
      <c r="AO196" s="374"/>
      <c r="AP196" s="374"/>
      <c r="AQ196" s="374"/>
      <c r="AR196" s="374"/>
      <c r="AS196" s="374"/>
      <c r="AT196" s="374"/>
      <c r="AU196" s="374"/>
      <c r="AV196" s="374"/>
      <c r="AW196" s="374"/>
      <c r="AX196" s="380">
        <v>2147.29</v>
      </c>
      <c r="AY196" s="380">
        <v>-236.53</v>
      </c>
      <c r="AZ196" s="373">
        <v>1629.41</v>
      </c>
      <c r="BA196" s="373">
        <v>747.31</v>
      </c>
      <c r="BB196" s="373">
        <v>2426.5360000000001</v>
      </c>
    </row>
    <row r="197" spans="36:54" ht="15" customHeight="1" x14ac:dyDescent="0.3">
      <c r="AJ197" s="377">
        <v>1909.29</v>
      </c>
      <c r="AK197" s="377">
        <v>614.21</v>
      </c>
      <c r="AL197" s="378">
        <v>2450.902</v>
      </c>
      <c r="AN197" s="374"/>
      <c r="AO197" s="374"/>
      <c r="AP197" s="374"/>
      <c r="AQ197" s="374"/>
      <c r="AR197" s="374"/>
      <c r="AS197" s="374"/>
      <c r="AT197" s="374"/>
      <c r="AU197" s="374"/>
      <c r="AV197" s="374"/>
      <c r="AW197" s="374"/>
      <c r="AX197" s="380">
        <v>2170.9899999999998</v>
      </c>
      <c r="AY197" s="380">
        <v>-240.46</v>
      </c>
      <c r="AZ197" s="373">
        <v>1627.8</v>
      </c>
      <c r="BA197" s="373">
        <v>746.09</v>
      </c>
      <c r="BB197" s="373">
        <v>2426.5410000000002</v>
      </c>
    </row>
    <row r="198" spans="36:54" ht="15" customHeight="1" x14ac:dyDescent="0.3">
      <c r="AJ198" s="377">
        <v>1907.92</v>
      </c>
      <c r="AK198" s="377">
        <v>619.84</v>
      </c>
      <c r="AL198" s="378">
        <v>2450.5</v>
      </c>
      <c r="AN198" s="374"/>
      <c r="AO198" s="374"/>
      <c r="AP198" s="374"/>
      <c r="AQ198" s="374"/>
      <c r="AR198" s="374"/>
      <c r="AS198" s="374"/>
      <c r="AT198" s="374"/>
      <c r="AU198" s="374"/>
      <c r="AV198" s="374"/>
      <c r="AW198" s="374"/>
      <c r="AX198" s="380">
        <v>2194.69</v>
      </c>
      <c r="AY198" s="380">
        <v>-244.38</v>
      </c>
      <c r="AZ198" s="373">
        <v>1628.76</v>
      </c>
      <c r="BA198" s="373">
        <v>744.27</v>
      </c>
      <c r="BB198" s="373">
        <v>2426.5070000000001</v>
      </c>
    </row>
    <row r="199" spans="36:54" ht="15" customHeight="1" x14ac:dyDescent="0.3">
      <c r="AJ199" s="377">
        <v>1906.12</v>
      </c>
      <c r="AK199" s="377">
        <v>624.89</v>
      </c>
      <c r="AL199" s="378">
        <v>2449.7860000000001</v>
      </c>
      <c r="AN199" s="374"/>
      <c r="AO199" s="374"/>
      <c r="AP199" s="374"/>
      <c r="AQ199" s="374"/>
      <c r="AR199" s="374"/>
      <c r="AS199" s="374"/>
      <c r="AT199" s="374"/>
      <c r="AU199" s="374"/>
      <c r="AV199" s="374"/>
      <c r="AW199" s="374"/>
      <c r="AX199" s="380">
        <v>2218.39</v>
      </c>
      <c r="AY199" s="380">
        <v>-248.3</v>
      </c>
      <c r="AZ199" s="373">
        <v>1629.66</v>
      </c>
      <c r="BA199" s="373">
        <v>742.44</v>
      </c>
      <c r="BB199" s="373">
        <v>2426.4850000000001</v>
      </c>
    </row>
    <row r="200" spans="36:54" ht="15" customHeight="1" x14ac:dyDescent="0.3">
      <c r="AJ200" s="377">
        <v>1899.83</v>
      </c>
      <c r="AK200" s="377">
        <v>633.83000000000004</v>
      </c>
      <c r="AL200" s="378">
        <v>2448.3216000000002</v>
      </c>
      <c r="AN200" s="374"/>
      <c r="AO200" s="374"/>
      <c r="AP200" s="374"/>
      <c r="AQ200" s="374"/>
      <c r="AR200" s="374"/>
      <c r="AS200" s="374"/>
      <c r="AT200" s="374"/>
      <c r="AU200" s="374"/>
      <c r="AV200" s="374"/>
      <c r="AW200" s="374"/>
      <c r="AX200" s="380">
        <v>2242.09</v>
      </c>
      <c r="AY200" s="380">
        <v>-252.22</v>
      </c>
      <c r="AZ200" s="373">
        <v>1630.12</v>
      </c>
      <c r="BA200" s="373">
        <v>741.44</v>
      </c>
      <c r="BB200" s="373">
        <v>2426.4760999999999</v>
      </c>
    </row>
    <row r="201" spans="36:54" ht="15" customHeight="1" x14ac:dyDescent="0.3">
      <c r="AJ201" s="377">
        <v>1898.59</v>
      </c>
      <c r="AK201" s="377">
        <v>635.65</v>
      </c>
      <c r="AL201" s="378">
        <v>2447.8919999999998</v>
      </c>
      <c r="AN201" s="374"/>
      <c r="AO201" s="374"/>
      <c r="AP201" s="374"/>
      <c r="AQ201" s="374"/>
      <c r="AR201" s="374"/>
      <c r="AS201" s="374"/>
      <c r="AT201" s="374"/>
      <c r="AU201" s="374"/>
      <c r="AV201" s="374"/>
      <c r="AW201" s="374"/>
      <c r="AX201" s="380">
        <v>2265.79</v>
      </c>
      <c r="AY201" s="380">
        <v>-256.14</v>
      </c>
      <c r="AZ201" s="373">
        <v>1630.59</v>
      </c>
      <c r="BA201" s="373">
        <v>739.79</v>
      </c>
      <c r="BB201" s="373">
        <v>2426.5245</v>
      </c>
    </row>
    <row r="202" spans="36:54" ht="15" customHeight="1" x14ac:dyDescent="0.3">
      <c r="AJ202" s="377">
        <v>1890.27</v>
      </c>
      <c r="AK202" s="377">
        <v>642.33000000000004</v>
      </c>
      <c r="AL202" s="378">
        <v>2446.2359999999999</v>
      </c>
      <c r="AN202" s="374"/>
      <c r="AO202" s="374"/>
      <c r="AP202" s="374"/>
      <c r="AQ202" s="374"/>
      <c r="AR202" s="374"/>
      <c r="AS202" s="374"/>
      <c r="AT202" s="374"/>
      <c r="AU202" s="374"/>
      <c r="AV202" s="374"/>
      <c r="AW202" s="374"/>
      <c r="AX202" s="380">
        <v>2289.4899999999998</v>
      </c>
      <c r="AY202" s="380">
        <v>-260.07</v>
      </c>
      <c r="AZ202" s="373">
        <v>1630.62</v>
      </c>
      <c r="BA202" s="373">
        <v>739.14</v>
      </c>
      <c r="BB202" s="373">
        <v>2426.5819999999999</v>
      </c>
    </row>
    <row r="203" spans="36:54" ht="15" customHeight="1" x14ac:dyDescent="0.3">
      <c r="AJ203" s="377">
        <v>1886.08</v>
      </c>
      <c r="AK203" s="377">
        <v>647.07000000000005</v>
      </c>
      <c r="AL203" s="378">
        <v>2444.5839999999998</v>
      </c>
      <c r="AN203" s="374"/>
      <c r="AO203" s="374"/>
      <c r="AP203" s="374"/>
      <c r="AQ203" s="374"/>
      <c r="AR203" s="374"/>
      <c r="AS203" s="374"/>
      <c r="AT203" s="374"/>
      <c r="AU203" s="374"/>
      <c r="AV203" s="374"/>
      <c r="AW203" s="374"/>
      <c r="AX203" s="380">
        <v>2313.19</v>
      </c>
      <c r="AY203" s="380">
        <v>-263.99</v>
      </c>
      <c r="AZ203" s="373">
        <v>1631.29</v>
      </c>
      <c r="BA203" s="373">
        <v>736.94</v>
      </c>
      <c r="BB203" s="373">
        <v>2427.0601000000001</v>
      </c>
    </row>
    <row r="204" spans="36:54" ht="15" customHeight="1" x14ac:dyDescent="0.3">
      <c r="AJ204" s="377">
        <v>1880.17</v>
      </c>
      <c r="AK204" s="377">
        <v>656.6</v>
      </c>
      <c r="AL204" s="378">
        <v>2442.192</v>
      </c>
      <c r="AN204" s="374"/>
      <c r="AO204" s="374"/>
      <c r="AP204" s="374"/>
      <c r="AQ204" s="374"/>
      <c r="AR204" s="374"/>
      <c r="AS204" s="374"/>
      <c r="AT204" s="374"/>
      <c r="AU204" s="374"/>
      <c r="AV204" s="374"/>
      <c r="AW204" s="374"/>
      <c r="AX204" s="380"/>
      <c r="AY204" s="380"/>
      <c r="AZ204" s="373">
        <v>1631.93</v>
      </c>
      <c r="BA204" s="373">
        <v>734.84</v>
      </c>
      <c r="BB204" s="373">
        <v>2427.5875999999998</v>
      </c>
    </row>
    <row r="205" spans="36:54" ht="15" customHeight="1" x14ac:dyDescent="0.3">
      <c r="AJ205" s="377">
        <v>1876.04</v>
      </c>
      <c r="AK205" s="377">
        <v>663.4</v>
      </c>
      <c r="AL205" s="378">
        <v>2440.1747</v>
      </c>
      <c r="AN205" s="374"/>
      <c r="AO205" s="374"/>
      <c r="AP205" s="374"/>
      <c r="AQ205" s="374"/>
      <c r="AR205" s="374"/>
      <c r="AS205" s="374"/>
      <c r="AT205" s="374"/>
      <c r="AU205" s="374"/>
      <c r="AV205" s="374"/>
      <c r="AW205" s="374"/>
      <c r="AX205" s="380"/>
      <c r="AY205" s="380"/>
      <c r="AZ205" s="373">
        <v>1632.66</v>
      </c>
      <c r="BA205" s="373">
        <v>732.76</v>
      </c>
      <c r="BB205" s="373">
        <v>2428.1154000000001</v>
      </c>
    </row>
    <row r="206" spans="36:54" ht="15" customHeight="1" x14ac:dyDescent="0.3">
      <c r="AJ206" s="377">
        <v>1874.35</v>
      </c>
      <c r="AK206" s="377">
        <v>666</v>
      </c>
      <c r="AL206" s="378">
        <v>2439.3926999999999</v>
      </c>
      <c r="AN206" s="374"/>
      <c r="AO206" s="374"/>
      <c r="AP206" s="374"/>
      <c r="AQ206" s="374"/>
      <c r="AR206" s="374"/>
      <c r="AS206" s="374"/>
      <c r="AT206" s="374"/>
      <c r="AU206" s="374"/>
      <c r="AV206" s="374"/>
      <c r="AW206" s="374"/>
      <c r="AX206" s="380"/>
      <c r="AY206" s="380"/>
      <c r="AZ206" s="373">
        <v>1632.2</v>
      </c>
      <c r="BA206" s="373">
        <v>728.77</v>
      </c>
      <c r="BB206" s="373">
        <v>2430.0068000000001</v>
      </c>
    </row>
    <row r="207" spans="36:54" ht="15" customHeight="1" x14ac:dyDescent="0.3">
      <c r="AJ207" s="377">
        <v>1873.52</v>
      </c>
      <c r="AK207" s="377">
        <v>667.25</v>
      </c>
      <c r="AL207" s="378">
        <v>2439.0291000000002</v>
      </c>
      <c r="AN207" s="374"/>
      <c r="AO207" s="374"/>
      <c r="AP207" s="374"/>
      <c r="AQ207" s="374"/>
      <c r="AR207" s="374"/>
      <c r="AS207" s="374"/>
      <c r="AT207" s="374"/>
      <c r="AU207" s="374"/>
      <c r="AV207" s="374"/>
      <c r="AW207" s="374"/>
      <c r="AX207" s="380"/>
      <c r="AY207" s="380"/>
      <c r="AZ207" s="373">
        <v>1631.22</v>
      </c>
      <c r="BA207" s="373">
        <v>724.18</v>
      </c>
      <c r="BB207" s="373">
        <v>2431.1057999999998</v>
      </c>
    </row>
    <row r="208" spans="36:54" ht="15" customHeight="1" x14ac:dyDescent="0.3">
      <c r="AJ208" s="377">
        <v>1870.81</v>
      </c>
      <c r="AK208" s="377">
        <v>671.61</v>
      </c>
      <c r="AL208" s="378">
        <v>2437.9074999999998</v>
      </c>
      <c r="AN208" s="374"/>
      <c r="AO208" s="374"/>
      <c r="AP208" s="374"/>
      <c r="AQ208" s="374"/>
      <c r="AR208" s="374"/>
      <c r="AS208" s="374"/>
      <c r="AT208" s="374"/>
      <c r="AU208" s="374"/>
      <c r="AV208" s="374"/>
      <c r="AW208" s="374"/>
      <c r="AX208" s="380"/>
      <c r="AY208" s="380"/>
      <c r="AZ208" s="373">
        <v>1629.69</v>
      </c>
      <c r="BA208" s="373">
        <v>719</v>
      </c>
      <c r="BB208" s="373">
        <v>2432.6397999999999</v>
      </c>
    </row>
    <row r="209" spans="36:54" ht="15" customHeight="1" x14ac:dyDescent="0.3">
      <c r="AJ209" s="377">
        <v>1866.13</v>
      </c>
      <c r="AK209" s="377">
        <v>680.43</v>
      </c>
      <c r="AL209" s="378">
        <v>2435.6430999999998</v>
      </c>
      <c r="AN209" s="374"/>
      <c r="AO209" s="374"/>
      <c r="AP209" s="374"/>
      <c r="AQ209" s="374"/>
      <c r="AR209" s="374"/>
      <c r="AS209" s="374"/>
      <c r="AT209" s="374"/>
      <c r="AU209" s="374"/>
      <c r="AV209" s="374"/>
      <c r="AW209" s="374"/>
      <c r="AX209" s="380"/>
      <c r="AY209" s="380"/>
      <c r="AZ209" s="373">
        <v>1627.85</v>
      </c>
      <c r="BA209" s="373">
        <v>714.11</v>
      </c>
      <c r="BB209" s="373">
        <v>2434.0947999999999</v>
      </c>
    </row>
    <row r="210" spans="36:54" ht="15" customHeight="1" x14ac:dyDescent="0.3">
      <c r="AJ210" s="377">
        <v>1864.26</v>
      </c>
      <c r="AK210" s="377">
        <v>684.76</v>
      </c>
      <c r="AL210" s="378">
        <v>2434.4940000000001</v>
      </c>
      <c r="AN210" s="374"/>
      <c r="AO210" s="374"/>
      <c r="AP210" s="374"/>
      <c r="AQ210" s="374"/>
      <c r="AR210" s="374"/>
      <c r="AS210" s="374"/>
      <c r="AT210" s="374"/>
      <c r="AU210" s="374"/>
      <c r="AV210" s="374"/>
      <c r="AW210" s="374"/>
      <c r="AX210" s="380"/>
      <c r="AY210" s="380"/>
      <c r="AZ210" s="373">
        <v>1626.11</v>
      </c>
      <c r="BA210" s="373">
        <v>708.18</v>
      </c>
      <c r="BB210" s="373">
        <v>2435.6188999999999</v>
      </c>
    </row>
    <row r="211" spans="36:54" ht="15" customHeight="1" x14ac:dyDescent="0.3">
      <c r="AJ211" s="377">
        <v>1863.37</v>
      </c>
      <c r="AK211" s="377">
        <v>687.72</v>
      </c>
      <c r="AL211" s="378">
        <v>2433.7919999999999</v>
      </c>
      <c r="AN211" s="374"/>
      <c r="AO211" s="374"/>
      <c r="AP211" s="374"/>
      <c r="AQ211" s="374"/>
      <c r="AR211" s="374"/>
      <c r="AS211" s="374"/>
      <c r="AT211" s="374"/>
      <c r="AU211" s="374"/>
      <c r="AV211" s="374"/>
      <c r="AW211" s="374"/>
      <c r="AX211" s="380"/>
      <c r="AY211" s="380"/>
      <c r="AZ211" s="373">
        <v>1625.08</v>
      </c>
      <c r="BA211" s="373">
        <v>702.2</v>
      </c>
      <c r="BB211" s="373">
        <v>2437.1098999999999</v>
      </c>
    </row>
    <row r="212" spans="36:54" ht="15" customHeight="1" x14ac:dyDescent="0.3">
      <c r="AJ212" s="377">
        <v>1862.13</v>
      </c>
      <c r="AK212" s="377">
        <v>695.38</v>
      </c>
      <c r="AL212" s="378">
        <v>2431.7628</v>
      </c>
      <c r="AN212" s="374"/>
      <c r="AO212" s="374"/>
      <c r="AP212" s="374"/>
      <c r="AQ212" s="374"/>
      <c r="AR212" s="374"/>
      <c r="AS212" s="374"/>
      <c r="AT212" s="374"/>
      <c r="AU212" s="374"/>
      <c r="AV212" s="374"/>
      <c r="AW212" s="374"/>
      <c r="AX212" s="380"/>
      <c r="AY212" s="380"/>
      <c r="AZ212" s="373">
        <v>1624.06</v>
      </c>
      <c r="BA212" s="373">
        <v>696.63</v>
      </c>
      <c r="BB212" s="373">
        <v>2438.5459000000001</v>
      </c>
    </row>
    <row r="213" spans="36:54" ht="15" customHeight="1" x14ac:dyDescent="0.3">
      <c r="AJ213" s="377">
        <v>1862.07</v>
      </c>
      <c r="AK213" s="377">
        <v>696.91</v>
      </c>
      <c r="AL213" s="378">
        <v>2431.335</v>
      </c>
      <c r="AN213" s="374"/>
      <c r="AO213" s="374"/>
      <c r="AP213" s="374"/>
      <c r="AQ213" s="374"/>
      <c r="AR213" s="374"/>
      <c r="AS213" s="374"/>
      <c r="AT213" s="374"/>
      <c r="AU213" s="374"/>
      <c r="AV213" s="374"/>
      <c r="AW213" s="374"/>
      <c r="AX213" s="380"/>
      <c r="AY213" s="380"/>
      <c r="AZ213" s="373">
        <v>1622.37</v>
      </c>
      <c r="BA213" s="373">
        <v>689.88</v>
      </c>
      <c r="BB213" s="373">
        <v>2440.2649000000001</v>
      </c>
    </row>
    <row r="214" spans="36:54" ht="15" customHeight="1" x14ac:dyDescent="0.3">
      <c r="AJ214" s="377">
        <v>1864.73</v>
      </c>
      <c r="AK214" s="377">
        <v>704.51</v>
      </c>
      <c r="AL214" s="378">
        <v>2429.3463999999999</v>
      </c>
      <c r="AN214" s="374"/>
      <c r="AO214" s="374"/>
      <c r="AP214" s="374"/>
      <c r="AQ214" s="374"/>
      <c r="AR214" s="374"/>
      <c r="AS214" s="374"/>
      <c r="AT214" s="374"/>
      <c r="AU214" s="374"/>
      <c r="AV214" s="374"/>
      <c r="AW214" s="374"/>
      <c r="AX214" s="380"/>
      <c r="AY214" s="380"/>
      <c r="AZ214" s="373">
        <v>1620.89</v>
      </c>
      <c r="BA214" s="373">
        <v>685.85</v>
      </c>
      <c r="BB214" s="373">
        <v>2441.2388999999998</v>
      </c>
    </row>
    <row r="215" spans="36:54" ht="15" customHeight="1" x14ac:dyDescent="0.3">
      <c r="AJ215" s="377">
        <v>1865.16</v>
      </c>
      <c r="AK215" s="377">
        <v>705.1</v>
      </c>
      <c r="AL215" s="378">
        <v>2429.165</v>
      </c>
      <c r="AN215" s="374"/>
      <c r="AO215" s="374"/>
      <c r="AP215" s="374"/>
      <c r="AQ215" s="374"/>
      <c r="AR215" s="374"/>
      <c r="AS215" s="374"/>
      <c r="AT215" s="374"/>
      <c r="AU215" s="374"/>
      <c r="AV215" s="374"/>
      <c r="AW215" s="374"/>
      <c r="AX215" s="380"/>
      <c r="AY215" s="380"/>
      <c r="AZ215" s="373">
        <v>1619.02</v>
      </c>
      <c r="BA215" s="373">
        <v>679.53</v>
      </c>
      <c r="BB215" s="373">
        <v>2442.4449</v>
      </c>
    </row>
    <row r="216" spans="36:54" ht="15" customHeight="1" x14ac:dyDescent="0.3">
      <c r="AJ216" s="377">
        <v>1867.64</v>
      </c>
      <c r="AK216" s="377">
        <v>709.49</v>
      </c>
      <c r="AL216" s="378">
        <v>2428.627</v>
      </c>
      <c r="AN216" s="374"/>
      <c r="AO216" s="374"/>
      <c r="AP216" s="374"/>
      <c r="AQ216" s="374"/>
      <c r="AR216" s="374"/>
      <c r="AS216" s="374"/>
      <c r="AT216" s="374"/>
      <c r="AU216" s="374"/>
      <c r="AV216" s="374"/>
      <c r="AW216" s="374"/>
      <c r="AX216" s="380"/>
      <c r="AY216" s="380"/>
      <c r="AZ216" s="373">
        <v>1618.51</v>
      </c>
      <c r="BA216" s="373">
        <v>675.15</v>
      </c>
      <c r="BB216" s="373">
        <v>2443.2368999999999</v>
      </c>
    </row>
    <row r="217" spans="36:54" ht="15" customHeight="1" x14ac:dyDescent="0.3">
      <c r="AJ217" s="377">
        <v>1864.79</v>
      </c>
      <c r="AK217" s="377">
        <v>727.9</v>
      </c>
      <c r="AL217" s="378">
        <v>2426.5010000000002</v>
      </c>
      <c r="AN217" s="374"/>
      <c r="AO217" s="374"/>
      <c r="AP217" s="374"/>
      <c r="AQ217" s="374"/>
      <c r="AR217" s="374"/>
      <c r="AS217" s="374"/>
      <c r="AT217" s="374"/>
      <c r="AU217" s="374"/>
      <c r="AV217" s="374"/>
      <c r="AW217" s="374"/>
      <c r="AX217" s="380"/>
      <c r="AY217" s="380"/>
      <c r="AZ217" s="373">
        <v>1618.8</v>
      </c>
      <c r="BA217" s="373">
        <v>671.84</v>
      </c>
      <c r="BB217" s="373">
        <v>2443.9659000000001</v>
      </c>
    </row>
    <row r="218" spans="36:54" ht="15" customHeight="1" x14ac:dyDescent="0.3">
      <c r="AJ218" s="377">
        <v>1862.68</v>
      </c>
      <c r="AK218" s="377">
        <v>729.42</v>
      </c>
      <c r="AL218" s="378">
        <v>2425.8978999999999</v>
      </c>
      <c r="AN218" s="374"/>
      <c r="AO218" s="374"/>
      <c r="AP218" s="374"/>
      <c r="AQ218" s="374"/>
      <c r="AR218" s="374"/>
      <c r="AS218" s="374"/>
      <c r="AT218" s="374"/>
      <c r="AU218" s="374"/>
      <c r="AV218" s="374"/>
      <c r="AW218" s="374"/>
      <c r="AX218" s="380"/>
      <c r="AY218" s="380"/>
      <c r="AZ218" s="373">
        <v>1618.75</v>
      </c>
      <c r="BA218" s="373">
        <v>664.7</v>
      </c>
      <c r="BB218" s="373">
        <v>2445.5081</v>
      </c>
    </row>
    <row r="219" spans="36:54" ht="15" customHeight="1" x14ac:dyDescent="0.3">
      <c r="AJ219" s="377">
        <v>1859.69</v>
      </c>
      <c r="AK219" s="377">
        <v>737.5</v>
      </c>
      <c r="AL219" s="378">
        <v>2424.0789</v>
      </c>
      <c r="AN219" s="374"/>
      <c r="AO219" s="374"/>
      <c r="AP219" s="374"/>
      <c r="AQ219" s="374"/>
      <c r="AR219" s="374"/>
      <c r="AS219" s="374"/>
      <c r="AT219" s="374"/>
      <c r="AU219" s="374"/>
      <c r="AV219" s="374"/>
      <c r="AW219" s="374"/>
      <c r="AX219" s="380"/>
      <c r="AY219" s="380"/>
      <c r="AZ219" s="373">
        <v>1615.25</v>
      </c>
      <c r="BA219" s="373">
        <v>659.55</v>
      </c>
      <c r="BB219" s="373">
        <v>2446.8798000000002</v>
      </c>
    </row>
    <row r="220" spans="36:54" ht="15" customHeight="1" x14ac:dyDescent="0.3">
      <c r="AJ220" s="377">
        <v>1859.21</v>
      </c>
      <c r="AK220" s="377">
        <v>746.13</v>
      </c>
      <c r="AL220" s="378">
        <v>2420.9328999999998</v>
      </c>
      <c r="AN220" s="374"/>
      <c r="AO220" s="374"/>
      <c r="AP220" s="374"/>
      <c r="AQ220" s="374"/>
      <c r="AR220" s="374"/>
      <c r="AS220" s="374"/>
      <c r="AT220" s="374"/>
      <c r="AU220" s="374"/>
      <c r="AV220" s="374"/>
      <c r="AW220" s="374"/>
      <c r="AX220" s="380"/>
      <c r="AY220" s="380"/>
      <c r="AZ220" s="373">
        <v>1615.98</v>
      </c>
      <c r="BA220" s="373">
        <v>656.68</v>
      </c>
      <c r="BB220" s="373">
        <v>2447.3904000000002</v>
      </c>
    </row>
    <row r="221" spans="36:54" ht="15" customHeight="1" x14ac:dyDescent="0.3">
      <c r="AJ221" s="377">
        <v>1859.34</v>
      </c>
      <c r="AK221" s="377">
        <v>749.16</v>
      </c>
      <c r="AL221" s="378">
        <v>2419.683</v>
      </c>
      <c r="AN221" s="374"/>
      <c r="AO221" s="374"/>
      <c r="AP221" s="374"/>
      <c r="AQ221" s="374"/>
      <c r="AR221" s="374"/>
      <c r="AS221" s="374"/>
      <c r="AT221" s="374"/>
      <c r="AU221" s="374"/>
      <c r="AV221" s="374"/>
      <c r="AW221" s="374"/>
      <c r="AX221" s="380"/>
      <c r="AY221" s="380"/>
      <c r="AZ221" s="373">
        <v>1618.45</v>
      </c>
      <c r="BA221" s="373">
        <v>651.27</v>
      </c>
      <c r="BB221" s="373">
        <v>2448.6046999999999</v>
      </c>
    </row>
    <row r="222" spans="36:54" ht="15" customHeight="1" x14ac:dyDescent="0.3">
      <c r="AJ222" s="377">
        <v>1865.72</v>
      </c>
      <c r="AK222" s="377">
        <v>754.39</v>
      </c>
      <c r="AL222" s="378">
        <v>2418.308</v>
      </c>
      <c r="AN222" s="374"/>
      <c r="AO222" s="374"/>
      <c r="AP222" s="374"/>
      <c r="AQ222" s="374"/>
      <c r="AR222" s="374"/>
      <c r="AS222" s="374"/>
      <c r="AT222" s="374"/>
      <c r="AU222" s="374"/>
      <c r="AV222" s="374"/>
      <c r="AW222" s="374"/>
      <c r="AX222" s="380"/>
      <c r="AY222" s="380"/>
      <c r="AZ222" s="373">
        <v>1620.93</v>
      </c>
      <c r="BA222" s="373">
        <v>645.86</v>
      </c>
      <c r="BB222" s="373">
        <v>2449.819</v>
      </c>
    </row>
    <row r="223" spans="36:54" ht="15" customHeight="1" x14ac:dyDescent="0.3">
      <c r="AJ223" s="377">
        <v>1867.19</v>
      </c>
      <c r="AK223" s="377">
        <v>760.06</v>
      </c>
      <c r="AL223" s="378">
        <v>2417.7429999999999</v>
      </c>
      <c r="AN223" s="374"/>
      <c r="AO223" s="374"/>
      <c r="AP223" s="374"/>
      <c r="AQ223" s="374"/>
      <c r="AR223" s="374"/>
      <c r="AS223" s="374"/>
      <c r="AT223" s="374"/>
      <c r="AU223" s="374"/>
      <c r="AV223" s="374"/>
      <c r="AW223" s="374"/>
      <c r="AX223" s="380"/>
      <c r="AY223" s="380"/>
      <c r="AZ223" s="373">
        <v>1623.3</v>
      </c>
      <c r="BA223" s="373">
        <v>640.15</v>
      </c>
      <c r="BB223" s="373">
        <v>2451.6320000000001</v>
      </c>
    </row>
    <row r="224" spans="36:54" ht="15" customHeight="1" x14ac:dyDescent="0.3">
      <c r="AJ224" s="377">
        <v>1866.31</v>
      </c>
      <c r="AK224" s="377">
        <v>765.48</v>
      </c>
      <c r="AL224" s="378">
        <v>2417.136</v>
      </c>
      <c r="AN224" s="374"/>
      <c r="AO224" s="374"/>
      <c r="AP224" s="374"/>
      <c r="AQ224" s="374"/>
      <c r="AR224" s="374"/>
      <c r="AS224" s="374"/>
      <c r="AT224" s="374"/>
      <c r="AU224" s="374"/>
      <c r="AV224" s="374"/>
      <c r="AW224" s="374"/>
      <c r="AX224" s="380"/>
      <c r="AY224" s="380"/>
      <c r="AZ224" s="373">
        <v>1624.22</v>
      </c>
      <c r="BA224" s="373">
        <v>636.07000000000005</v>
      </c>
      <c r="BB224" s="373">
        <v>2452.8960000000002</v>
      </c>
    </row>
    <row r="225" spans="36:54" ht="15" customHeight="1" x14ac:dyDescent="0.3">
      <c r="AJ225" s="377">
        <v>1864.04</v>
      </c>
      <c r="AK225" s="377">
        <v>774.46</v>
      </c>
      <c r="AL225" s="378">
        <v>2416.2957000000001</v>
      </c>
      <c r="AN225" s="374"/>
      <c r="AO225" s="374"/>
      <c r="AP225" s="374"/>
      <c r="AQ225" s="374"/>
      <c r="AR225" s="374"/>
      <c r="AS225" s="374"/>
      <c r="AT225" s="374"/>
      <c r="AU225" s="374"/>
      <c r="AV225" s="374"/>
      <c r="AW225" s="374"/>
      <c r="AX225" s="380"/>
      <c r="AY225" s="380"/>
      <c r="AZ225" s="373">
        <v>1623.89</v>
      </c>
      <c r="BA225" s="373">
        <v>630.74</v>
      </c>
      <c r="BB225" s="373">
        <v>2454.4639999999999</v>
      </c>
    </row>
    <row r="226" spans="36:54" ht="15" customHeight="1" x14ac:dyDescent="0.3">
      <c r="AJ226" s="377">
        <v>1863.66</v>
      </c>
      <c r="AK226" s="377">
        <v>777.65</v>
      </c>
      <c r="AL226" s="378">
        <v>2416.1322</v>
      </c>
      <c r="AN226" s="374"/>
      <c r="AO226" s="374"/>
      <c r="AP226" s="374"/>
      <c r="AQ226" s="374"/>
      <c r="AR226" s="374"/>
      <c r="AS226" s="374"/>
      <c r="AT226" s="374"/>
      <c r="AU226" s="374"/>
      <c r="AV226" s="374"/>
      <c r="AW226" s="374"/>
      <c r="AX226" s="380"/>
      <c r="AY226" s="380"/>
      <c r="AZ226" s="373">
        <v>1621.8</v>
      </c>
      <c r="BA226" s="373">
        <v>625.24</v>
      </c>
      <c r="BB226" s="373">
        <v>2455.3850000000002</v>
      </c>
    </row>
    <row r="227" spans="36:54" ht="15" customHeight="1" x14ac:dyDescent="0.3">
      <c r="AJ227" s="377">
        <v>1861.4</v>
      </c>
      <c r="AK227" s="377">
        <v>787.11</v>
      </c>
      <c r="AL227" s="378">
        <v>2415.9436000000001</v>
      </c>
      <c r="AN227" s="374"/>
      <c r="AO227" s="374"/>
      <c r="AP227" s="374"/>
      <c r="AQ227" s="374"/>
      <c r="AR227" s="374"/>
      <c r="AS227" s="374"/>
      <c r="AT227" s="374"/>
      <c r="AU227" s="374"/>
      <c r="AV227" s="374"/>
      <c r="AW227" s="374"/>
      <c r="AX227" s="380"/>
      <c r="AY227" s="380"/>
      <c r="AZ227" s="373">
        <v>1620.25</v>
      </c>
      <c r="BA227" s="373">
        <v>619.9</v>
      </c>
      <c r="BB227" s="373">
        <v>2456.6179999999999</v>
      </c>
    </row>
    <row r="228" spans="36:54" ht="15" customHeight="1" x14ac:dyDescent="0.3">
      <c r="AJ228" s="377">
        <v>1859.09</v>
      </c>
      <c r="AK228" s="377">
        <v>792.45</v>
      </c>
      <c r="AL228" s="378">
        <v>2415.6889999999999</v>
      </c>
      <c r="AN228" s="374"/>
      <c r="AO228" s="374"/>
      <c r="AP228" s="374"/>
      <c r="AQ228" s="374"/>
      <c r="AR228" s="374"/>
      <c r="AS228" s="374"/>
      <c r="AT228" s="374"/>
      <c r="AU228" s="374"/>
      <c r="AV228" s="374"/>
      <c r="AW228" s="374"/>
      <c r="AX228" s="380"/>
      <c r="AY228" s="380"/>
      <c r="AZ228" s="373">
        <v>1619.47</v>
      </c>
      <c r="BA228" s="373">
        <v>614.19000000000005</v>
      </c>
      <c r="BB228" s="373">
        <v>2458.2310000000002</v>
      </c>
    </row>
    <row r="229" spans="36:54" ht="15" customHeight="1" x14ac:dyDescent="0.3">
      <c r="AJ229" s="377">
        <v>1861.49</v>
      </c>
      <c r="AK229" s="377">
        <v>800.2</v>
      </c>
      <c r="AL229" s="378">
        <v>2415.5450000000001</v>
      </c>
      <c r="AN229" s="374"/>
      <c r="AO229" s="374"/>
      <c r="AP229" s="374"/>
      <c r="AQ229" s="374"/>
      <c r="AR229" s="374"/>
      <c r="AS229" s="374"/>
      <c r="AT229" s="374"/>
      <c r="AU229" s="374"/>
      <c r="AV229" s="374"/>
      <c r="AW229" s="374"/>
      <c r="AX229" s="380"/>
      <c r="AY229" s="380"/>
      <c r="AZ229" s="373">
        <v>1618.87</v>
      </c>
      <c r="BA229" s="373">
        <v>609.02</v>
      </c>
      <c r="BB229" s="373">
        <v>2459.8589999999999</v>
      </c>
    </row>
    <row r="230" spans="36:54" ht="15" customHeight="1" x14ac:dyDescent="0.3">
      <c r="AJ230" s="377">
        <v>1862.93</v>
      </c>
      <c r="AK230" s="377">
        <v>805.54</v>
      </c>
      <c r="AL230" s="378">
        <v>2415.5536999999999</v>
      </c>
      <c r="AN230" s="374"/>
      <c r="AO230" s="374"/>
      <c r="AP230" s="374"/>
      <c r="AQ230" s="374"/>
      <c r="AR230" s="374"/>
      <c r="AS230" s="374"/>
      <c r="AT230" s="374"/>
      <c r="AU230" s="374"/>
      <c r="AV230" s="374"/>
      <c r="AW230" s="374"/>
      <c r="AX230" s="380"/>
      <c r="AY230" s="380"/>
      <c r="AZ230" s="373">
        <v>1618.37</v>
      </c>
      <c r="BA230" s="373">
        <v>604.38</v>
      </c>
      <c r="BB230" s="373">
        <v>2461.348</v>
      </c>
    </row>
    <row r="231" spans="36:54" ht="15" customHeight="1" x14ac:dyDescent="0.3">
      <c r="AJ231" s="377">
        <v>1862.74</v>
      </c>
      <c r="AK231" s="377">
        <v>808.47</v>
      </c>
      <c r="AL231" s="378">
        <v>2415.5630000000001</v>
      </c>
      <c r="AN231" s="374"/>
      <c r="AO231" s="374"/>
      <c r="AP231" s="374"/>
      <c r="AQ231" s="374"/>
      <c r="AR231" s="374"/>
      <c r="AS231" s="374"/>
      <c r="AT231" s="374"/>
      <c r="AU231" s="374"/>
      <c r="AV231" s="374"/>
      <c r="AW231" s="374"/>
      <c r="AX231" s="380"/>
      <c r="AY231" s="380"/>
      <c r="AZ231" s="373">
        <v>1617.35</v>
      </c>
      <c r="BA231" s="373">
        <v>599.12</v>
      </c>
      <c r="BB231" s="373">
        <v>2462.4560999999999</v>
      </c>
    </row>
    <row r="232" spans="36:54" ht="15" customHeight="1" x14ac:dyDescent="0.3">
      <c r="AJ232" s="377">
        <v>1857.34</v>
      </c>
      <c r="AK232" s="377">
        <v>809.58</v>
      </c>
      <c r="AL232" s="378">
        <v>2415.7600000000002</v>
      </c>
      <c r="AN232" s="374"/>
      <c r="AO232" s="374"/>
      <c r="AP232" s="374"/>
      <c r="AQ232" s="374"/>
      <c r="AR232" s="374"/>
      <c r="AS232" s="374"/>
      <c r="AT232" s="374"/>
      <c r="AU232" s="374"/>
      <c r="AV232" s="374"/>
      <c r="AW232" s="374"/>
      <c r="AX232" s="380"/>
      <c r="AY232" s="380"/>
      <c r="AZ232" s="373">
        <v>1617.48</v>
      </c>
      <c r="BA232" s="373">
        <v>593.82000000000005</v>
      </c>
      <c r="BB232" s="373">
        <v>2463.5509999999999</v>
      </c>
    </row>
    <row r="233" spans="36:54" ht="15" customHeight="1" x14ac:dyDescent="0.3">
      <c r="AJ233" s="377">
        <v>1850.56</v>
      </c>
      <c r="AK233" s="377">
        <v>809.75</v>
      </c>
      <c r="AL233" s="378">
        <v>2415.7889</v>
      </c>
      <c r="AN233" s="374"/>
      <c r="AO233" s="374"/>
      <c r="AP233" s="374"/>
      <c r="AQ233" s="374"/>
      <c r="AR233" s="374"/>
      <c r="AS233" s="374"/>
      <c r="AT233" s="374"/>
      <c r="AU233" s="374"/>
      <c r="AV233" s="374"/>
      <c r="AW233" s="374"/>
      <c r="AX233" s="380"/>
      <c r="AY233" s="380"/>
      <c r="AZ233" s="373">
        <v>1619.29</v>
      </c>
      <c r="BA233" s="373">
        <v>587.53</v>
      </c>
      <c r="BB233" s="373">
        <v>2465.0160000000001</v>
      </c>
    </row>
    <row r="234" spans="36:54" ht="15" customHeight="1" x14ac:dyDescent="0.3">
      <c r="AJ234" s="377">
        <v>1836.47</v>
      </c>
      <c r="AK234" s="377">
        <v>809.45</v>
      </c>
      <c r="AL234" s="378">
        <v>2414.8395</v>
      </c>
      <c r="AN234" s="374"/>
      <c r="AO234" s="374"/>
      <c r="AP234" s="374"/>
      <c r="AQ234" s="374"/>
      <c r="AR234" s="374"/>
      <c r="AS234" s="374"/>
      <c r="AT234" s="374"/>
      <c r="AU234" s="374"/>
      <c r="AV234" s="374"/>
      <c r="AW234" s="374"/>
      <c r="AX234" s="380"/>
      <c r="AY234" s="380"/>
      <c r="AZ234" s="373">
        <v>1620.21</v>
      </c>
      <c r="BA234" s="373">
        <v>582.04999999999995</v>
      </c>
      <c r="BB234" s="373">
        <v>2466.623</v>
      </c>
    </row>
    <row r="235" spans="36:54" ht="15" customHeight="1" x14ac:dyDescent="0.3">
      <c r="AJ235" s="377">
        <v>1835.12</v>
      </c>
      <c r="AK235" s="377">
        <v>805.87</v>
      </c>
      <c r="AL235" s="378">
        <v>2414.7739999999999</v>
      </c>
      <c r="AN235" s="374"/>
      <c r="AO235" s="374"/>
      <c r="AP235" s="374"/>
      <c r="AQ235" s="374"/>
      <c r="AR235" s="374"/>
      <c r="AS235" s="374"/>
      <c r="AT235" s="374"/>
      <c r="AU235" s="374"/>
      <c r="AV235" s="374"/>
      <c r="AW235" s="374"/>
      <c r="AX235" s="380"/>
      <c r="AY235" s="380"/>
      <c r="AZ235" s="373">
        <v>1625.49</v>
      </c>
      <c r="BA235" s="373">
        <v>580.45000000000005</v>
      </c>
      <c r="BB235" s="373">
        <v>2467.52</v>
      </c>
    </row>
    <row r="236" spans="36:54" ht="15" customHeight="1" x14ac:dyDescent="0.3">
      <c r="AJ236" s="377">
        <v>1826.5</v>
      </c>
      <c r="AK236" s="377">
        <v>808.24</v>
      </c>
      <c r="AL236" s="378">
        <v>2413.1005</v>
      </c>
      <c r="AN236" s="374"/>
      <c r="AO236" s="374"/>
      <c r="AP236" s="374"/>
      <c r="AQ236" s="374"/>
      <c r="AR236" s="374"/>
      <c r="AS236" s="374"/>
      <c r="AT236" s="374"/>
      <c r="AU236" s="374"/>
      <c r="AV236" s="374"/>
      <c r="AW236" s="374"/>
      <c r="AX236" s="380"/>
      <c r="AY236" s="380"/>
      <c r="AZ236" s="373">
        <v>1629.12</v>
      </c>
      <c r="BA236" s="373">
        <v>576.99</v>
      </c>
      <c r="BB236" s="373">
        <v>2469.3020000000001</v>
      </c>
    </row>
    <row r="237" spans="36:54" ht="15" customHeight="1" x14ac:dyDescent="0.3">
      <c r="AJ237" s="377">
        <v>1816.1</v>
      </c>
      <c r="AK237" s="377">
        <v>813.31</v>
      </c>
      <c r="AL237" s="378">
        <v>2411.3206</v>
      </c>
      <c r="AN237" s="374"/>
      <c r="AO237" s="374"/>
      <c r="AP237" s="374"/>
      <c r="AQ237" s="374"/>
      <c r="AR237" s="374"/>
      <c r="AS237" s="374"/>
      <c r="AT237" s="374"/>
      <c r="AU237" s="374"/>
      <c r="AV237" s="374"/>
      <c r="AW237" s="374"/>
      <c r="AX237" s="380"/>
      <c r="AY237" s="380"/>
      <c r="AZ237" s="373">
        <v>1631.67</v>
      </c>
      <c r="BA237" s="373">
        <v>571.41</v>
      </c>
      <c r="BB237" s="373">
        <v>2471.4919</v>
      </c>
    </row>
    <row r="238" spans="36:54" ht="15" customHeight="1" x14ac:dyDescent="0.3">
      <c r="AJ238" s="377">
        <v>1814.73</v>
      </c>
      <c r="AK238" s="377">
        <v>814.25</v>
      </c>
      <c r="AL238" s="378">
        <v>2411.3910000000001</v>
      </c>
      <c r="AN238" s="374"/>
      <c r="AO238" s="374"/>
      <c r="AP238" s="374"/>
      <c r="AQ238" s="374"/>
      <c r="AR238" s="374"/>
      <c r="AS238" s="374"/>
      <c r="AT238" s="374"/>
      <c r="AU238" s="374"/>
      <c r="AV238" s="374"/>
      <c r="AW238" s="374"/>
      <c r="AX238" s="380"/>
      <c r="AY238" s="380"/>
      <c r="AZ238" s="373">
        <v>1632.18</v>
      </c>
      <c r="BA238" s="373">
        <v>566.48</v>
      </c>
      <c r="BB238" s="373">
        <v>2472.855</v>
      </c>
    </row>
    <row r="239" spans="36:54" ht="15" customHeight="1" x14ac:dyDescent="0.3">
      <c r="AJ239" s="377">
        <v>1808.56</v>
      </c>
      <c r="AK239" s="377">
        <v>816.69</v>
      </c>
      <c r="AL239" s="378">
        <v>2410.9052999999999</v>
      </c>
      <c r="AN239" s="374"/>
      <c r="AO239" s="374"/>
      <c r="AP239" s="374"/>
      <c r="AQ239" s="374"/>
      <c r="AR239" s="374"/>
      <c r="AS239" s="374"/>
      <c r="AT239" s="374"/>
      <c r="AU239" s="374"/>
      <c r="AV239" s="374"/>
      <c r="AW239" s="374"/>
      <c r="AX239" s="380"/>
      <c r="AY239" s="380"/>
      <c r="AZ239" s="373">
        <v>1634.03</v>
      </c>
      <c r="BA239" s="373">
        <v>560.87</v>
      </c>
      <c r="BB239" s="373">
        <v>2474.3440000000001</v>
      </c>
    </row>
    <row r="240" spans="36:54" ht="15" customHeight="1" x14ac:dyDescent="0.3">
      <c r="AJ240" s="377">
        <v>1799.17</v>
      </c>
      <c r="AK240" s="377">
        <v>820.78</v>
      </c>
      <c r="AL240" s="378">
        <v>2409.9386</v>
      </c>
      <c r="AN240" s="374"/>
      <c r="AO240" s="374"/>
      <c r="AP240" s="374"/>
      <c r="AQ240" s="374"/>
      <c r="AR240" s="374"/>
      <c r="AS240" s="374"/>
      <c r="AT240" s="374"/>
      <c r="AU240" s="374"/>
      <c r="AV240" s="374"/>
      <c r="AW240" s="374"/>
      <c r="AX240" s="380"/>
      <c r="AY240" s="380"/>
      <c r="AZ240" s="373">
        <v>1635.4</v>
      </c>
      <c r="BA240" s="373">
        <v>555.6</v>
      </c>
      <c r="BB240" s="373">
        <v>2475.8330000000001</v>
      </c>
    </row>
    <row r="241" spans="36:54" ht="15" customHeight="1" x14ac:dyDescent="0.3">
      <c r="AJ241" s="377">
        <v>1794.69</v>
      </c>
      <c r="AK241" s="377">
        <v>822.98</v>
      </c>
      <c r="AL241" s="378">
        <v>2409.5472</v>
      </c>
      <c r="AN241" s="374"/>
      <c r="AO241" s="374"/>
      <c r="AP241" s="374"/>
      <c r="AQ241" s="374"/>
      <c r="AR241" s="374"/>
      <c r="AS241" s="374"/>
      <c r="AT241" s="374"/>
      <c r="AU241" s="374"/>
      <c r="AV241" s="374"/>
      <c r="AW241" s="374"/>
      <c r="AX241" s="380"/>
      <c r="AY241" s="380"/>
      <c r="AZ241" s="373">
        <v>1635.78</v>
      </c>
      <c r="BA241" s="373">
        <v>550.30999999999995</v>
      </c>
      <c r="BB241" s="373">
        <v>2477.1750000000002</v>
      </c>
    </row>
    <row r="242" spans="36:54" ht="15" customHeight="1" x14ac:dyDescent="0.3">
      <c r="AJ242" s="377">
        <v>1789.3</v>
      </c>
      <c r="AK242" s="377">
        <v>825.69</v>
      </c>
      <c r="AL242" s="378">
        <v>2408.9942999999998</v>
      </c>
      <c r="AN242" s="374"/>
      <c r="AO242" s="374"/>
      <c r="AP242" s="374"/>
      <c r="AQ242" s="374"/>
      <c r="AR242" s="374"/>
      <c r="AS242" s="374"/>
      <c r="AT242" s="374"/>
      <c r="AU242" s="374"/>
      <c r="AV242" s="374"/>
      <c r="AW242" s="374"/>
      <c r="AX242" s="380"/>
      <c r="AY242" s="380"/>
      <c r="AZ242" s="373">
        <v>1637.7</v>
      </c>
      <c r="BA242" s="373">
        <v>545.54999999999995</v>
      </c>
      <c r="BB242" s="373">
        <v>2478.2111</v>
      </c>
    </row>
    <row r="243" spans="36:54" ht="15" customHeight="1" x14ac:dyDescent="0.3">
      <c r="AJ243" s="377">
        <v>1783.24</v>
      </c>
      <c r="AK243" s="377">
        <v>829.66</v>
      </c>
      <c r="AL243" s="378">
        <v>2407.9852000000001</v>
      </c>
      <c r="AN243" s="374"/>
      <c r="AO243" s="374"/>
      <c r="AP243" s="374"/>
      <c r="AQ243" s="374"/>
      <c r="AR243" s="374"/>
      <c r="AS243" s="374"/>
      <c r="AT243" s="374"/>
      <c r="AU243" s="374"/>
      <c r="AV243" s="374"/>
      <c r="AW243" s="374"/>
      <c r="AX243" s="380"/>
      <c r="AY243" s="380"/>
      <c r="AZ243" s="373">
        <v>1641.69</v>
      </c>
      <c r="BA243" s="373">
        <v>541.99</v>
      </c>
      <c r="BB243" s="373">
        <v>2479.0920000000001</v>
      </c>
    </row>
    <row r="244" spans="36:54" ht="15" customHeight="1" x14ac:dyDescent="0.3">
      <c r="AJ244" s="377">
        <v>1778.1</v>
      </c>
      <c r="AK244" s="377">
        <v>833.13</v>
      </c>
      <c r="AL244" s="378">
        <v>2407.0171</v>
      </c>
      <c r="AN244" s="374"/>
      <c r="AO244" s="374"/>
      <c r="AP244" s="374"/>
      <c r="AQ244" s="374"/>
      <c r="AR244" s="374"/>
      <c r="AS244" s="374"/>
      <c r="AT244" s="374"/>
      <c r="AU244" s="374"/>
      <c r="AV244" s="374"/>
      <c r="AW244" s="374"/>
      <c r="AX244" s="380"/>
      <c r="AY244" s="380"/>
      <c r="AZ244" s="373">
        <v>1646.49</v>
      </c>
      <c r="BA244" s="373">
        <v>542.09</v>
      </c>
      <c r="BB244" s="373">
        <v>2479.5740000000001</v>
      </c>
    </row>
    <row r="245" spans="36:54" ht="15" customHeight="1" x14ac:dyDescent="0.3">
      <c r="AJ245" s="377">
        <v>1772.83</v>
      </c>
      <c r="AK245" s="377">
        <v>837.72</v>
      </c>
      <c r="AL245" s="378">
        <v>2406.1102000000001</v>
      </c>
      <c r="AN245" s="374"/>
      <c r="AO245" s="374"/>
      <c r="AP245" s="374"/>
      <c r="AQ245" s="374"/>
      <c r="AR245" s="374"/>
      <c r="AS245" s="374"/>
      <c r="AT245" s="374"/>
      <c r="AU245" s="374"/>
      <c r="AV245" s="374"/>
      <c r="AW245" s="374"/>
      <c r="AX245" s="380"/>
      <c r="AY245" s="380"/>
      <c r="AZ245" s="373">
        <v>1650.08</v>
      </c>
      <c r="BA245" s="373">
        <v>540.85</v>
      </c>
      <c r="BB245" s="373">
        <v>2479.9580000000001</v>
      </c>
    </row>
    <row r="246" spans="36:54" ht="15" customHeight="1" x14ac:dyDescent="0.3">
      <c r="AJ246" s="377">
        <v>1767.56</v>
      </c>
      <c r="AK246" s="377">
        <v>842.1</v>
      </c>
      <c r="AL246" s="378">
        <v>2404.8710999999998</v>
      </c>
      <c r="AN246" s="374"/>
      <c r="AO246" s="374"/>
      <c r="AP246" s="374"/>
      <c r="AQ246" s="374"/>
      <c r="AR246" s="374"/>
      <c r="AS246" s="374"/>
      <c r="AT246" s="374"/>
      <c r="AU246" s="374"/>
      <c r="AV246" s="374"/>
      <c r="AW246" s="374"/>
      <c r="AX246" s="380"/>
      <c r="AY246" s="380"/>
      <c r="AZ246" s="373">
        <v>1654.02</v>
      </c>
      <c r="BA246" s="373">
        <v>538.91</v>
      </c>
      <c r="BB246" s="373">
        <v>2480.1949</v>
      </c>
    </row>
    <row r="247" spans="36:54" ht="15" customHeight="1" x14ac:dyDescent="0.3">
      <c r="AJ247" s="377">
        <v>1762.65</v>
      </c>
      <c r="AK247" s="377">
        <v>846.24</v>
      </c>
      <c r="AL247" s="378">
        <v>2403.7849999999999</v>
      </c>
      <c r="AN247" s="374"/>
      <c r="AO247" s="374"/>
      <c r="AP247" s="374"/>
      <c r="AQ247" s="374"/>
      <c r="AR247" s="374"/>
      <c r="AS247" s="374"/>
      <c r="AT247" s="374"/>
      <c r="AU247" s="374"/>
      <c r="AV247" s="374"/>
      <c r="AW247" s="374"/>
      <c r="AX247" s="380"/>
      <c r="AY247" s="380"/>
      <c r="AZ247" s="373">
        <v>1657.59</v>
      </c>
      <c r="BA247" s="373">
        <v>534.41</v>
      </c>
      <c r="BB247" s="373">
        <v>2481.7750000000001</v>
      </c>
    </row>
    <row r="248" spans="36:54" ht="15" customHeight="1" x14ac:dyDescent="0.3">
      <c r="AJ248" s="377">
        <v>1757.4</v>
      </c>
      <c r="AK248" s="377">
        <v>850.41</v>
      </c>
      <c r="AL248" s="378">
        <v>2402.42</v>
      </c>
      <c r="AN248" s="374"/>
      <c r="AO248" s="374"/>
      <c r="AP248" s="374"/>
      <c r="AQ248" s="374"/>
      <c r="AR248" s="374"/>
      <c r="AS248" s="374"/>
      <c r="AT248" s="374"/>
      <c r="AU248" s="374"/>
      <c r="AV248" s="374"/>
      <c r="AW248" s="374"/>
      <c r="AX248" s="380"/>
      <c r="AY248" s="380"/>
      <c r="AZ248" s="373">
        <v>1662.7</v>
      </c>
      <c r="BA248" s="373">
        <v>530.12</v>
      </c>
      <c r="BB248" s="373">
        <v>2483.3139999999999</v>
      </c>
    </row>
    <row r="249" spans="36:54" ht="15" customHeight="1" x14ac:dyDescent="0.3">
      <c r="AJ249" s="377">
        <v>1754.22</v>
      </c>
      <c r="AK249" s="377">
        <v>854.5</v>
      </c>
      <c r="AL249" s="378">
        <v>2401.877</v>
      </c>
      <c r="AN249" s="374"/>
      <c r="AO249" s="374"/>
      <c r="AP249" s="374"/>
      <c r="AQ249" s="374"/>
      <c r="AR249" s="374"/>
      <c r="AS249" s="374"/>
      <c r="AT249" s="374"/>
      <c r="AU249" s="374"/>
      <c r="AV249" s="374"/>
      <c r="AW249" s="374"/>
      <c r="AX249" s="380"/>
      <c r="AY249" s="380"/>
      <c r="AZ249" s="373">
        <v>1666.94</v>
      </c>
      <c r="BA249" s="373">
        <v>526.92999999999995</v>
      </c>
      <c r="BB249" s="373">
        <v>2484.7249999999999</v>
      </c>
    </row>
    <row r="250" spans="36:54" ht="15" customHeight="1" x14ac:dyDescent="0.3">
      <c r="AJ250" s="377">
        <v>1747.8</v>
      </c>
      <c r="AK250" s="377">
        <v>859.19</v>
      </c>
      <c r="AL250" s="378">
        <v>2400.9708999999998</v>
      </c>
      <c r="AN250" s="374"/>
      <c r="AO250" s="374"/>
      <c r="AP250" s="374"/>
      <c r="AQ250" s="374"/>
      <c r="AR250" s="374"/>
      <c r="AS250" s="374"/>
      <c r="AT250" s="374"/>
      <c r="AU250" s="374"/>
      <c r="AV250" s="374"/>
      <c r="AW250" s="374"/>
      <c r="AX250" s="380"/>
      <c r="AY250" s="380"/>
      <c r="AZ250" s="373">
        <v>1669.49</v>
      </c>
      <c r="BA250" s="373">
        <v>522.27</v>
      </c>
      <c r="BB250" s="373">
        <v>2486.6190000000001</v>
      </c>
    </row>
    <row r="251" spans="36:54" ht="15" customHeight="1" x14ac:dyDescent="0.3">
      <c r="AJ251" s="377">
        <v>1743.01</v>
      </c>
      <c r="AK251" s="377">
        <v>861.87</v>
      </c>
      <c r="AL251" s="378">
        <v>2399.9050000000002</v>
      </c>
      <c r="AN251" s="374"/>
      <c r="AO251" s="374"/>
      <c r="AP251" s="374"/>
      <c r="AQ251" s="374"/>
      <c r="AR251" s="374"/>
      <c r="AS251" s="374"/>
      <c r="AT251" s="374"/>
      <c r="AU251" s="374"/>
      <c r="AV251" s="374"/>
      <c r="AW251" s="374"/>
      <c r="AX251" s="380"/>
      <c r="AY251" s="380"/>
      <c r="AZ251" s="373">
        <v>1669.99</v>
      </c>
      <c r="BA251" s="373">
        <v>518.63</v>
      </c>
      <c r="BB251" s="373">
        <v>2488.3040000000001</v>
      </c>
    </row>
    <row r="252" spans="36:54" ht="15" customHeight="1" x14ac:dyDescent="0.3">
      <c r="AJ252" s="377">
        <v>1735.3</v>
      </c>
      <c r="AK252" s="377">
        <v>869.27</v>
      </c>
      <c r="AL252" s="378">
        <v>2398.7345999999998</v>
      </c>
      <c r="AN252" s="374"/>
      <c r="AO252" s="374"/>
      <c r="AP252" s="374"/>
      <c r="AQ252" s="374"/>
      <c r="AR252" s="374"/>
      <c r="AS252" s="374"/>
      <c r="AT252" s="374"/>
      <c r="AU252" s="374"/>
      <c r="AV252" s="374"/>
      <c r="AW252" s="374"/>
      <c r="AX252" s="380"/>
      <c r="AY252" s="380"/>
      <c r="AZ252" s="373">
        <v>1669.71</v>
      </c>
      <c r="BA252" s="373">
        <v>512.83000000000004</v>
      </c>
      <c r="BB252" s="373">
        <v>2490.7139999999999</v>
      </c>
    </row>
    <row r="253" spans="36:54" ht="15" customHeight="1" x14ac:dyDescent="0.3">
      <c r="AJ253" s="377">
        <v>1730.74</v>
      </c>
      <c r="AK253" s="377">
        <v>873.17</v>
      </c>
      <c r="AL253" s="378">
        <v>2398.0861</v>
      </c>
      <c r="AN253" s="374"/>
      <c r="AO253" s="374"/>
      <c r="AP253" s="374"/>
      <c r="AQ253" s="374"/>
      <c r="AR253" s="374"/>
      <c r="AS253" s="374"/>
      <c r="AT253" s="374"/>
      <c r="AU253" s="374"/>
      <c r="AV253" s="374"/>
      <c r="AW253" s="374"/>
      <c r="AX253" s="380"/>
      <c r="AY253" s="380"/>
      <c r="AZ253" s="373">
        <v>1668.36</v>
      </c>
      <c r="BA253" s="373">
        <v>508.36</v>
      </c>
      <c r="BB253" s="373">
        <v>2492.4360000000001</v>
      </c>
    </row>
    <row r="254" spans="36:54" ht="15" customHeight="1" x14ac:dyDescent="0.3">
      <c r="AJ254" s="377">
        <v>1722.63</v>
      </c>
      <c r="AK254" s="377">
        <v>879.46</v>
      </c>
      <c r="AL254" s="378">
        <v>2396.9459999999999</v>
      </c>
      <c r="AN254" s="374"/>
      <c r="AO254" s="374"/>
      <c r="AP254" s="374"/>
      <c r="AQ254" s="374"/>
      <c r="AR254" s="374"/>
      <c r="AS254" s="374"/>
      <c r="AT254" s="374"/>
      <c r="AU254" s="374"/>
      <c r="AV254" s="374"/>
      <c r="AW254" s="374"/>
      <c r="AX254" s="380"/>
      <c r="AY254" s="380"/>
      <c r="AZ254" s="373">
        <v>1666.1</v>
      </c>
      <c r="BA254" s="373">
        <v>504.04</v>
      </c>
      <c r="BB254" s="373">
        <v>2494.3890000000001</v>
      </c>
    </row>
    <row r="255" spans="36:54" ht="15" customHeight="1" x14ac:dyDescent="0.3">
      <c r="AJ255" s="377">
        <v>1716.3</v>
      </c>
      <c r="AK255" s="377">
        <v>884.29</v>
      </c>
      <c r="AL255" s="378">
        <v>2396.0257000000001</v>
      </c>
      <c r="AN255" s="374"/>
      <c r="AO255" s="374"/>
      <c r="AP255" s="374"/>
      <c r="AQ255" s="374"/>
      <c r="AR255" s="374"/>
      <c r="AS255" s="374"/>
      <c r="AT255" s="374"/>
      <c r="AU255" s="374"/>
      <c r="AV255" s="374"/>
      <c r="AW255" s="374"/>
      <c r="AX255" s="380"/>
      <c r="AY255" s="380"/>
      <c r="AZ255" s="373">
        <v>1663.29</v>
      </c>
      <c r="BA255" s="373">
        <v>499.97</v>
      </c>
      <c r="BB255" s="373">
        <v>2496.0320000000002</v>
      </c>
    </row>
    <row r="256" spans="36:54" ht="15" customHeight="1" x14ac:dyDescent="0.3">
      <c r="AJ256" s="377">
        <v>1710.99</v>
      </c>
      <c r="AK256" s="377">
        <v>887.04</v>
      </c>
      <c r="AL256" s="378">
        <v>2395.3571000000002</v>
      </c>
      <c r="AN256" s="374"/>
      <c r="AO256" s="374"/>
      <c r="AP256" s="374"/>
      <c r="AQ256" s="374"/>
      <c r="AR256" s="374"/>
      <c r="AS256" s="374"/>
      <c r="AT256" s="374"/>
      <c r="AU256" s="374"/>
      <c r="AV256" s="374"/>
      <c r="AW256" s="374"/>
      <c r="AX256" s="380"/>
      <c r="AY256" s="380"/>
      <c r="AZ256" s="373">
        <v>1661.31</v>
      </c>
      <c r="BA256" s="373">
        <v>495.88</v>
      </c>
      <c r="BB256" s="373">
        <v>2497.5990000000002</v>
      </c>
    </row>
    <row r="257" spans="36:54" ht="15" customHeight="1" x14ac:dyDescent="0.3">
      <c r="AJ257" s="377">
        <v>1707.85</v>
      </c>
      <c r="AK257" s="377">
        <v>890.14</v>
      </c>
      <c r="AL257" s="378">
        <v>2394.8164999999999</v>
      </c>
      <c r="AN257" s="374"/>
      <c r="AO257" s="374"/>
      <c r="AP257" s="374"/>
      <c r="AQ257" s="374"/>
      <c r="AR257" s="374"/>
      <c r="AS257" s="374"/>
      <c r="AT257" s="374"/>
      <c r="AU257" s="374"/>
      <c r="AV257" s="374"/>
      <c r="AW257" s="374"/>
      <c r="AX257" s="380"/>
      <c r="AY257" s="380"/>
      <c r="AZ257" s="373">
        <v>1658.8</v>
      </c>
      <c r="BA257" s="373">
        <v>491.93</v>
      </c>
      <c r="BB257" s="373">
        <v>2498.9771000000001</v>
      </c>
    </row>
    <row r="258" spans="36:54" ht="15" customHeight="1" x14ac:dyDescent="0.3">
      <c r="AJ258" s="377">
        <v>1707.09</v>
      </c>
      <c r="AK258" s="377">
        <v>891.21</v>
      </c>
      <c r="AL258" s="378">
        <v>2394.6370000000002</v>
      </c>
      <c r="AN258" s="374"/>
      <c r="AO258" s="374"/>
      <c r="AP258" s="374"/>
      <c r="AQ258" s="374"/>
      <c r="AR258" s="374"/>
      <c r="AS258" s="374"/>
      <c r="AT258" s="374"/>
      <c r="AU258" s="374"/>
      <c r="AV258" s="374"/>
      <c r="AW258" s="374"/>
      <c r="AX258" s="380"/>
      <c r="AY258" s="380"/>
      <c r="AZ258" s="373">
        <v>1657.48</v>
      </c>
      <c r="BA258" s="373">
        <v>487.85</v>
      </c>
      <c r="BB258" s="373">
        <v>2500.2750000000001</v>
      </c>
    </row>
    <row r="259" spans="36:54" ht="15" customHeight="1" x14ac:dyDescent="0.3">
      <c r="AJ259" s="377">
        <v>1699.76</v>
      </c>
      <c r="AK259" s="377">
        <v>900.72</v>
      </c>
      <c r="AL259" s="378">
        <v>2392.9783000000002</v>
      </c>
      <c r="AN259" s="374"/>
      <c r="AO259" s="374"/>
      <c r="AP259" s="374"/>
      <c r="AQ259" s="374"/>
      <c r="AR259" s="374"/>
      <c r="AS259" s="374"/>
      <c r="AT259" s="374"/>
      <c r="AU259" s="374"/>
      <c r="AV259" s="374"/>
      <c r="AW259" s="374"/>
      <c r="AX259" s="380"/>
      <c r="AY259" s="380"/>
      <c r="AZ259" s="373">
        <v>1655.69</v>
      </c>
      <c r="BA259" s="373">
        <v>483.57</v>
      </c>
      <c r="BB259" s="373">
        <v>2501.6550000000002</v>
      </c>
    </row>
    <row r="260" spans="36:54" ht="15" customHeight="1" x14ac:dyDescent="0.3">
      <c r="AJ260" s="377">
        <v>1695.72</v>
      </c>
      <c r="AK260" s="377">
        <v>902.04</v>
      </c>
      <c r="AL260" s="378">
        <v>2392.4666000000002</v>
      </c>
      <c r="AN260" s="374"/>
      <c r="AO260" s="374"/>
      <c r="AP260" s="374"/>
      <c r="AQ260" s="374"/>
      <c r="AR260" s="374"/>
      <c r="AS260" s="374"/>
      <c r="AT260" s="374"/>
      <c r="AU260" s="374"/>
      <c r="AV260" s="374"/>
      <c r="AW260" s="374"/>
      <c r="AX260" s="380"/>
      <c r="AY260" s="380"/>
      <c r="AZ260" s="373">
        <v>1653.38</v>
      </c>
      <c r="BA260" s="373">
        <v>479.1</v>
      </c>
      <c r="BB260" s="373">
        <v>2503.0880000000002</v>
      </c>
    </row>
    <row r="261" spans="36:54" ht="15" customHeight="1" x14ac:dyDescent="0.3">
      <c r="AJ261" s="377">
        <v>1688.8</v>
      </c>
      <c r="AK261" s="377">
        <v>904.6</v>
      </c>
      <c r="AL261" s="378">
        <v>2390.4160000000002</v>
      </c>
      <c r="AN261" s="374"/>
      <c r="AO261" s="374"/>
      <c r="AP261" s="374"/>
      <c r="AQ261" s="374"/>
      <c r="AR261" s="374"/>
      <c r="AS261" s="374"/>
      <c r="AT261" s="374"/>
      <c r="AU261" s="374"/>
      <c r="AV261" s="374"/>
      <c r="AW261" s="374"/>
      <c r="AX261" s="380"/>
      <c r="AY261" s="380"/>
      <c r="AZ261" s="373">
        <v>1651.64</v>
      </c>
      <c r="BA261" s="373">
        <v>477.4</v>
      </c>
      <c r="BB261" s="373">
        <v>2504.5349999999999</v>
      </c>
    </row>
    <row r="262" spans="36:54" ht="15" customHeight="1" x14ac:dyDescent="0.3">
      <c r="AJ262" s="377">
        <v>1683.76</v>
      </c>
      <c r="AK262" s="377">
        <v>907.31</v>
      </c>
      <c r="AL262" s="378">
        <v>2387.9580000000001</v>
      </c>
      <c r="AN262" s="374"/>
      <c r="AO262" s="374"/>
      <c r="AP262" s="374"/>
      <c r="AQ262" s="374"/>
      <c r="AR262" s="374"/>
      <c r="AS262" s="374"/>
      <c r="AT262" s="374"/>
      <c r="AU262" s="374"/>
      <c r="AV262" s="374"/>
      <c r="AW262" s="374"/>
      <c r="AX262" s="380"/>
      <c r="AY262" s="380"/>
      <c r="AZ262" s="373">
        <v>1649.32</v>
      </c>
      <c r="BA262" s="373">
        <v>476.35</v>
      </c>
      <c r="BB262" s="373">
        <v>2505.0529999999999</v>
      </c>
    </row>
    <row r="263" spans="36:54" ht="15" customHeight="1" x14ac:dyDescent="0.3">
      <c r="AJ263" s="377">
        <v>1680.08</v>
      </c>
      <c r="AK263" s="377">
        <v>911.4</v>
      </c>
      <c r="AL263" s="378">
        <v>2386.5039999999999</v>
      </c>
      <c r="AN263" s="374"/>
      <c r="AO263" s="374"/>
      <c r="AP263" s="374"/>
      <c r="AQ263" s="374"/>
      <c r="AR263" s="374"/>
      <c r="AS263" s="374"/>
      <c r="AT263" s="374"/>
      <c r="AU263" s="374"/>
      <c r="AV263" s="374"/>
      <c r="AW263" s="374"/>
      <c r="AX263" s="380"/>
      <c r="AY263" s="380"/>
      <c r="AZ263" s="373">
        <v>1645.09</v>
      </c>
      <c r="BA263" s="373">
        <v>474.79</v>
      </c>
      <c r="BB263" s="373">
        <v>2506.3620999999998</v>
      </c>
    </row>
    <row r="264" spans="36:54" ht="15" customHeight="1" x14ac:dyDescent="0.3">
      <c r="AJ264" s="377">
        <v>1672.3</v>
      </c>
      <c r="AK264" s="377">
        <v>920.6</v>
      </c>
      <c r="AL264" s="378">
        <v>2383.9562999999998</v>
      </c>
      <c r="AN264" s="374"/>
      <c r="AO264" s="374"/>
      <c r="AP264" s="374"/>
      <c r="AQ264" s="374"/>
      <c r="AR264" s="374"/>
      <c r="AS264" s="374"/>
      <c r="AT264" s="374"/>
      <c r="AU264" s="374"/>
      <c r="AV264" s="374"/>
      <c r="AW264" s="374"/>
      <c r="AX264" s="380"/>
      <c r="AY264" s="380"/>
      <c r="AZ264" s="373">
        <v>1639.98</v>
      </c>
      <c r="BA264" s="373">
        <v>473.44</v>
      </c>
      <c r="BB264" s="373">
        <v>2506.902</v>
      </c>
    </row>
    <row r="265" spans="36:54" ht="15" customHeight="1" x14ac:dyDescent="0.3">
      <c r="AJ265" s="377">
        <v>1665.45</v>
      </c>
      <c r="AK265" s="377">
        <v>929.89</v>
      </c>
      <c r="AL265" s="378">
        <v>2382.0601000000001</v>
      </c>
      <c r="AN265" s="374"/>
      <c r="AO265" s="374"/>
      <c r="AP265" s="374"/>
      <c r="AQ265" s="374"/>
      <c r="AR265" s="374"/>
      <c r="AS265" s="374"/>
      <c r="AT265" s="374"/>
      <c r="AU265" s="374"/>
      <c r="AV265" s="374"/>
      <c r="AW265" s="374"/>
      <c r="AX265" s="380"/>
      <c r="AY265" s="380"/>
      <c r="AZ265" s="373">
        <v>1634.81</v>
      </c>
      <c r="BA265" s="373">
        <v>471.93</v>
      </c>
      <c r="BB265" s="373">
        <v>2507.1080000000002</v>
      </c>
    </row>
    <row r="266" spans="36:54" ht="15" customHeight="1" x14ac:dyDescent="0.3">
      <c r="AJ266" s="377">
        <v>1663.97</v>
      </c>
      <c r="AK266" s="377">
        <v>934.87</v>
      </c>
      <c r="AL266" s="378">
        <v>2381.8148999999999</v>
      </c>
      <c r="AN266" s="374"/>
      <c r="AO266" s="374"/>
      <c r="AP266" s="374"/>
      <c r="AQ266" s="374"/>
      <c r="AR266" s="374"/>
      <c r="AS266" s="374"/>
      <c r="AT266" s="374"/>
      <c r="AU266" s="374"/>
      <c r="AV266" s="374"/>
      <c r="AW266" s="374"/>
      <c r="AX266" s="380"/>
      <c r="AY266" s="380"/>
      <c r="AZ266" s="373">
        <v>1630.27</v>
      </c>
      <c r="BA266" s="373">
        <v>470.43</v>
      </c>
      <c r="BB266" s="373">
        <v>2507.1680000000001</v>
      </c>
    </row>
    <row r="267" spans="36:54" ht="15" customHeight="1" x14ac:dyDescent="0.3">
      <c r="AJ267" s="377">
        <v>1662.48</v>
      </c>
      <c r="AK267" s="377">
        <v>939.84</v>
      </c>
      <c r="AL267" s="378">
        <v>2381.5699</v>
      </c>
      <c r="AN267" s="374"/>
      <c r="AO267" s="374"/>
      <c r="AP267" s="374"/>
      <c r="AQ267" s="374"/>
      <c r="AR267" s="374"/>
      <c r="AS267" s="374"/>
      <c r="AT267" s="374"/>
      <c r="AU267" s="374"/>
      <c r="AV267" s="374"/>
      <c r="AW267" s="374"/>
      <c r="AX267" s="380"/>
      <c r="AY267" s="380"/>
      <c r="AZ267" s="373">
        <v>1627.16</v>
      </c>
      <c r="BA267" s="373">
        <v>468.16</v>
      </c>
      <c r="BB267" s="373">
        <v>2507.4169999999999</v>
      </c>
    </row>
    <row r="268" spans="36:54" ht="15" customHeight="1" x14ac:dyDescent="0.3">
      <c r="AJ268" s="377">
        <v>1657.61</v>
      </c>
      <c r="AK268" s="377">
        <v>947.84</v>
      </c>
      <c r="AL268" s="378">
        <v>2381.5500000000002</v>
      </c>
      <c r="AN268" s="374"/>
      <c r="AO268" s="374"/>
      <c r="AP268" s="374"/>
      <c r="AQ268" s="374"/>
      <c r="AR268" s="374"/>
      <c r="AS268" s="374"/>
      <c r="AT268" s="374"/>
      <c r="AU268" s="374"/>
      <c r="AV268" s="374"/>
      <c r="AW268" s="374"/>
      <c r="AX268" s="380"/>
      <c r="AY268" s="380"/>
      <c r="AZ268" s="373">
        <v>1623.51</v>
      </c>
      <c r="BA268" s="373">
        <v>465.43</v>
      </c>
      <c r="BB268" s="373">
        <v>2507.9679999999998</v>
      </c>
    </row>
    <row r="269" spans="36:54" ht="15" customHeight="1" x14ac:dyDescent="0.3">
      <c r="AJ269" s="377">
        <v>1651.01</v>
      </c>
      <c r="AK269" s="377">
        <v>953.09</v>
      </c>
      <c r="AL269" s="378">
        <v>2381.415</v>
      </c>
      <c r="AN269" s="374"/>
      <c r="AO269" s="374"/>
      <c r="AP269" s="374"/>
      <c r="AQ269" s="374"/>
      <c r="AR269" s="374"/>
      <c r="AS269" s="374"/>
      <c r="AT269" s="374"/>
      <c r="AU269" s="374"/>
      <c r="AV269" s="374"/>
      <c r="AW269" s="374"/>
      <c r="AX269" s="380"/>
      <c r="AY269" s="380"/>
      <c r="AZ269" s="373">
        <v>1620.9</v>
      </c>
      <c r="BA269" s="373">
        <v>463</v>
      </c>
      <c r="BB269" s="373">
        <v>2508.14</v>
      </c>
    </row>
    <row r="270" spans="36:54" ht="15" customHeight="1" x14ac:dyDescent="0.3">
      <c r="AJ270" s="377">
        <v>1644.42</v>
      </c>
      <c r="AK270" s="377">
        <v>958.34</v>
      </c>
      <c r="AL270" s="378">
        <v>2381.2800000000002</v>
      </c>
      <c r="AN270" s="374"/>
      <c r="AO270" s="374"/>
      <c r="AP270" s="374"/>
      <c r="AQ270" s="374"/>
      <c r="AR270" s="374"/>
      <c r="AS270" s="374"/>
      <c r="AT270" s="374"/>
      <c r="AU270" s="374"/>
      <c r="AV270" s="374"/>
      <c r="AW270" s="374"/>
      <c r="AX270" s="380"/>
      <c r="AY270" s="380"/>
      <c r="AZ270" s="373">
        <v>1617.13</v>
      </c>
      <c r="BA270" s="373">
        <v>462.52</v>
      </c>
      <c r="BB270" s="373">
        <v>2508.895</v>
      </c>
    </row>
    <row r="271" spans="36:54" ht="15" customHeight="1" x14ac:dyDescent="0.3">
      <c r="AJ271" s="377">
        <v>1638.31</v>
      </c>
      <c r="AK271" s="377">
        <v>959.69</v>
      </c>
      <c r="AL271" s="378">
        <v>2379.9391000000001</v>
      </c>
      <c r="AN271" s="374"/>
      <c r="AO271" s="374"/>
      <c r="AP271" s="374"/>
      <c r="AQ271" s="374"/>
      <c r="AR271" s="374"/>
      <c r="AS271" s="374"/>
      <c r="AT271" s="374"/>
      <c r="AU271" s="374"/>
      <c r="AV271" s="374"/>
      <c r="AW271" s="374"/>
      <c r="AX271" s="380"/>
      <c r="AY271" s="380"/>
      <c r="AZ271" s="373">
        <v>1613.93</v>
      </c>
      <c r="BA271" s="373">
        <v>463.03</v>
      </c>
      <c r="BB271" s="373">
        <v>2509.1729999999998</v>
      </c>
    </row>
    <row r="272" spans="36:54" ht="15" customHeight="1" x14ac:dyDescent="0.3">
      <c r="AJ272" s="377">
        <v>1628.82</v>
      </c>
      <c r="AK272" s="377">
        <v>958.14</v>
      </c>
      <c r="AL272" s="378">
        <v>2380.4</v>
      </c>
      <c r="AN272" s="374"/>
      <c r="AO272" s="374"/>
      <c r="AP272" s="374"/>
      <c r="AQ272" s="374"/>
      <c r="AR272" s="374"/>
      <c r="AS272" s="374"/>
      <c r="AT272" s="374"/>
      <c r="AU272" s="374"/>
      <c r="AV272" s="374"/>
      <c r="AW272" s="374"/>
      <c r="AX272" s="380"/>
      <c r="AY272" s="380"/>
      <c r="AZ272" s="373">
        <v>1610.97</v>
      </c>
      <c r="BA272" s="373">
        <v>462.62</v>
      </c>
      <c r="BB272" s="373">
        <v>2509.1990000000001</v>
      </c>
    </row>
    <row r="273" spans="36:54" ht="15" customHeight="1" x14ac:dyDescent="0.3">
      <c r="AJ273" s="377">
        <v>1620.8</v>
      </c>
      <c r="AK273" s="377">
        <v>960.48</v>
      </c>
      <c r="AL273" s="378">
        <v>2380.1302000000001</v>
      </c>
      <c r="AN273" s="374"/>
      <c r="AO273" s="374"/>
      <c r="AP273" s="374"/>
      <c r="AQ273" s="374"/>
      <c r="AR273" s="374"/>
      <c r="AS273" s="374"/>
      <c r="AT273" s="374"/>
      <c r="AU273" s="374"/>
      <c r="AV273" s="374"/>
      <c r="AW273" s="374"/>
      <c r="AX273" s="380"/>
      <c r="AY273" s="380"/>
      <c r="AZ273" s="373">
        <v>1610.75</v>
      </c>
      <c r="BA273" s="373">
        <v>460.02</v>
      </c>
      <c r="BB273" s="373">
        <v>2509.569</v>
      </c>
    </row>
    <row r="274" spans="36:54" ht="15" customHeight="1" x14ac:dyDescent="0.3">
      <c r="AJ274" s="377">
        <v>1607.41</v>
      </c>
      <c r="AK274" s="377">
        <v>963.13</v>
      </c>
      <c r="AL274" s="378">
        <v>2379.1293999999998</v>
      </c>
      <c r="AN274" s="374"/>
      <c r="AO274" s="374"/>
      <c r="AP274" s="374"/>
      <c r="AQ274" s="374"/>
      <c r="AR274" s="374"/>
      <c r="AS274" s="374"/>
      <c r="AT274" s="374"/>
      <c r="AU274" s="374"/>
      <c r="AV274" s="374"/>
      <c r="AW274" s="374"/>
      <c r="AX274" s="380"/>
      <c r="AY274" s="380"/>
      <c r="AZ274" s="373">
        <v>1611.27</v>
      </c>
      <c r="BA274" s="373">
        <v>455.04</v>
      </c>
      <c r="BB274" s="373">
        <v>2510.1331</v>
      </c>
    </row>
    <row r="275" spans="36:54" ht="15" customHeight="1" x14ac:dyDescent="0.3">
      <c r="AJ275" s="377">
        <v>1601.77</v>
      </c>
      <c r="AK275" s="377">
        <v>963.64</v>
      </c>
      <c r="AL275" s="378">
        <v>2378.5030999999999</v>
      </c>
      <c r="AN275" s="374"/>
      <c r="AO275" s="374"/>
      <c r="AP275" s="374"/>
      <c r="AQ275" s="374"/>
      <c r="AR275" s="374"/>
      <c r="AS275" s="374"/>
      <c r="AT275" s="374"/>
      <c r="AU275" s="374"/>
      <c r="AV275" s="374"/>
      <c r="AW275" s="374"/>
      <c r="AX275" s="380"/>
      <c r="AY275" s="380"/>
      <c r="AZ275" s="373">
        <v>1608.02</v>
      </c>
      <c r="BA275" s="373">
        <v>452.41</v>
      </c>
      <c r="BB275" s="373">
        <v>2510.4690000000001</v>
      </c>
    </row>
    <row r="276" spans="36:54" ht="15" customHeight="1" x14ac:dyDescent="0.3">
      <c r="AJ276" s="377">
        <v>1589.85</v>
      </c>
      <c r="AK276" s="377">
        <v>967.63</v>
      </c>
      <c r="AL276" s="378">
        <v>2377.5898000000002</v>
      </c>
      <c r="AN276" s="374"/>
      <c r="AO276" s="374"/>
      <c r="AP276" s="374"/>
      <c r="AQ276" s="374"/>
      <c r="AR276" s="374"/>
      <c r="AS276" s="374"/>
      <c r="AT276" s="374"/>
      <c r="AU276" s="374"/>
      <c r="AV276" s="374"/>
      <c r="AW276" s="374"/>
      <c r="AX276" s="380"/>
      <c r="AY276" s="380"/>
      <c r="AZ276" s="373">
        <v>1606.87</v>
      </c>
      <c r="BA276" s="373">
        <v>452.36</v>
      </c>
      <c r="BB276" s="373">
        <v>2509.5709999999999</v>
      </c>
    </row>
    <row r="277" spans="36:54" ht="15" customHeight="1" x14ac:dyDescent="0.3">
      <c r="AJ277" s="377">
        <v>1587.76</v>
      </c>
      <c r="AK277" s="377">
        <v>968.49</v>
      </c>
      <c r="AL277" s="378">
        <v>2377.366</v>
      </c>
      <c r="AN277" s="374"/>
      <c r="AO277" s="374"/>
      <c r="AP277" s="374"/>
      <c r="AQ277" s="374"/>
      <c r="AR277" s="374"/>
      <c r="AS277" s="374"/>
      <c r="AT277" s="374"/>
      <c r="AU277" s="374"/>
      <c r="AV277" s="374"/>
      <c r="AW277" s="374"/>
      <c r="AX277" s="380"/>
      <c r="AY277" s="380"/>
      <c r="AZ277" s="373">
        <v>1607.9</v>
      </c>
      <c r="BA277" s="373">
        <v>455.29</v>
      </c>
      <c r="BB277" s="373">
        <v>2509.4139</v>
      </c>
    </row>
    <row r="278" spans="36:54" ht="15" customHeight="1" x14ac:dyDescent="0.3">
      <c r="AJ278" s="377">
        <v>1579.12</v>
      </c>
      <c r="AK278" s="377">
        <v>972.57</v>
      </c>
      <c r="AL278" s="378">
        <v>2376.5178999999998</v>
      </c>
      <c r="AN278" s="374"/>
      <c r="AO278" s="374"/>
      <c r="AP278" s="374"/>
      <c r="AQ278" s="374"/>
      <c r="AR278" s="374"/>
      <c r="AS278" s="374"/>
      <c r="AT278" s="374"/>
      <c r="AU278" s="374"/>
      <c r="AV278" s="374"/>
      <c r="AW278" s="374"/>
      <c r="AX278" s="380"/>
      <c r="AY278" s="380"/>
      <c r="AZ278" s="373">
        <v>1609.22</v>
      </c>
      <c r="BA278" s="373">
        <v>459.42</v>
      </c>
      <c r="BB278" s="373">
        <v>2508.973</v>
      </c>
    </row>
    <row r="279" spans="36:54" ht="15" customHeight="1" x14ac:dyDescent="0.3">
      <c r="AJ279" s="377">
        <v>1571.35</v>
      </c>
      <c r="AK279" s="377">
        <v>977.9</v>
      </c>
      <c r="AL279" s="378">
        <v>2375.6320000000001</v>
      </c>
      <c r="AN279" s="374"/>
      <c r="AO279" s="374"/>
      <c r="AP279" s="374"/>
      <c r="AQ279" s="374"/>
      <c r="AR279" s="374"/>
      <c r="AS279" s="374"/>
      <c r="AT279" s="374"/>
      <c r="AU279" s="374"/>
      <c r="AV279" s="374"/>
      <c r="AW279" s="374"/>
      <c r="AX279" s="380"/>
      <c r="AY279" s="380"/>
      <c r="AZ279" s="373">
        <v>1610.33</v>
      </c>
      <c r="BA279" s="373">
        <v>463.31</v>
      </c>
      <c r="BB279" s="373">
        <v>2508.5970000000002</v>
      </c>
    </row>
    <row r="280" spans="36:54" ht="15" customHeight="1" x14ac:dyDescent="0.3">
      <c r="AJ280" s="377">
        <v>1564.55</v>
      </c>
      <c r="AK280" s="377">
        <v>982.4</v>
      </c>
      <c r="AL280" s="378">
        <v>2374.7979999999998</v>
      </c>
      <c r="AN280" s="374"/>
      <c r="AO280" s="374"/>
      <c r="AP280" s="374"/>
      <c r="AQ280" s="374"/>
      <c r="AR280" s="374"/>
      <c r="AS280" s="374"/>
      <c r="AT280" s="374"/>
      <c r="AU280" s="374"/>
      <c r="AV280" s="374"/>
      <c r="AW280" s="374"/>
      <c r="AX280" s="380"/>
      <c r="AY280" s="380"/>
      <c r="AZ280" s="373">
        <v>1611.77</v>
      </c>
      <c r="BA280" s="373">
        <v>469.58</v>
      </c>
      <c r="BB280" s="373">
        <v>2508.0250000000001</v>
      </c>
    </row>
    <row r="281" spans="36:54" ht="15" customHeight="1" x14ac:dyDescent="0.3">
      <c r="AJ281" s="377">
        <v>1559.93</v>
      </c>
      <c r="AK281" s="377">
        <v>985.58</v>
      </c>
      <c r="AL281" s="378">
        <v>2374.3270000000002</v>
      </c>
      <c r="AN281" s="374"/>
      <c r="AO281" s="374"/>
      <c r="AP281" s="374"/>
      <c r="AQ281" s="374"/>
      <c r="AR281" s="374"/>
      <c r="AS281" s="374"/>
      <c r="AT281" s="374"/>
      <c r="AU281" s="374"/>
      <c r="AV281" s="374"/>
      <c r="AW281" s="374"/>
      <c r="AX281" s="380"/>
      <c r="AY281" s="380"/>
      <c r="AZ281" s="373">
        <v>1613.15</v>
      </c>
      <c r="BA281" s="373">
        <v>474.8</v>
      </c>
      <c r="BB281" s="373">
        <v>2507.6</v>
      </c>
    </row>
    <row r="282" spans="36:54" ht="15" customHeight="1" x14ac:dyDescent="0.3">
      <c r="AJ282" s="377">
        <v>1551.81</v>
      </c>
      <c r="AK282" s="377">
        <v>994.36</v>
      </c>
      <c r="AL282" s="378">
        <v>2373.0720000000001</v>
      </c>
      <c r="AN282" s="374"/>
      <c r="AO282" s="374"/>
      <c r="AP282" s="374"/>
      <c r="AQ282" s="374"/>
      <c r="AR282" s="374"/>
      <c r="AS282" s="374"/>
      <c r="AT282" s="374"/>
      <c r="AU282" s="374"/>
      <c r="AV282" s="374"/>
      <c r="AW282" s="374"/>
      <c r="AX282" s="380"/>
      <c r="AY282" s="380"/>
      <c r="AZ282" s="373">
        <v>1614.28</v>
      </c>
      <c r="BA282" s="373">
        <v>479.81</v>
      </c>
      <c r="BB282" s="373">
        <v>2507.4659000000001</v>
      </c>
    </row>
    <row r="283" spans="36:54" ht="15" customHeight="1" x14ac:dyDescent="0.3">
      <c r="AJ283" s="377">
        <v>1550.05</v>
      </c>
      <c r="AK283" s="377">
        <v>995.97</v>
      </c>
      <c r="AL283" s="378">
        <v>2372.8240000000001</v>
      </c>
      <c r="AN283" s="374"/>
      <c r="AO283" s="374"/>
      <c r="AP283" s="374"/>
      <c r="AQ283" s="374"/>
      <c r="AR283" s="374"/>
      <c r="AS283" s="374"/>
      <c r="AT283" s="374"/>
      <c r="AU283" s="374"/>
      <c r="AV283" s="374"/>
      <c r="AW283" s="374"/>
      <c r="AX283" s="380"/>
      <c r="AY283" s="380"/>
      <c r="AZ283" s="373">
        <v>1616.34</v>
      </c>
      <c r="BA283" s="373">
        <v>484.34</v>
      </c>
      <c r="BB283" s="373">
        <v>2506.8919999999998</v>
      </c>
    </row>
    <row r="284" spans="36:54" ht="15" customHeight="1" x14ac:dyDescent="0.3">
      <c r="AJ284" s="377">
        <v>1544.4</v>
      </c>
      <c r="AK284" s="377">
        <v>998.91</v>
      </c>
      <c r="AL284" s="378">
        <v>2372.0081</v>
      </c>
      <c r="AN284" s="374"/>
      <c r="AO284" s="374"/>
      <c r="AP284" s="374"/>
      <c r="AQ284" s="374"/>
      <c r="AR284" s="374"/>
      <c r="AS284" s="374"/>
      <c r="AT284" s="374"/>
      <c r="AU284" s="374"/>
      <c r="AV284" s="374"/>
      <c r="AW284" s="374"/>
      <c r="AX284" s="380"/>
      <c r="AY284" s="380"/>
      <c r="AZ284" s="373">
        <v>1616.83</v>
      </c>
      <c r="BA284" s="373">
        <v>487.43</v>
      </c>
      <c r="BB284" s="373">
        <v>2506.27</v>
      </c>
    </row>
    <row r="285" spans="36:54" ht="15" customHeight="1" x14ac:dyDescent="0.3">
      <c r="AJ285" s="377">
        <v>1538.99</v>
      </c>
      <c r="AK285" s="377">
        <v>1002.34</v>
      </c>
      <c r="AL285" s="378">
        <v>2371.1239999999998</v>
      </c>
      <c r="AN285" s="374"/>
      <c r="AO285" s="374"/>
      <c r="AP285" s="374"/>
      <c r="AQ285" s="374"/>
      <c r="AR285" s="374"/>
      <c r="AS285" s="374"/>
      <c r="AT285" s="374"/>
      <c r="AU285" s="374"/>
      <c r="AV285" s="374"/>
      <c r="AW285" s="374"/>
      <c r="AX285" s="380"/>
      <c r="AY285" s="380"/>
      <c r="AZ285" s="373">
        <v>1616.01</v>
      </c>
      <c r="BA285" s="373">
        <v>490.01</v>
      </c>
      <c r="BB285" s="373">
        <v>2505.6179999999999</v>
      </c>
    </row>
    <row r="286" spans="36:54" ht="15" customHeight="1" x14ac:dyDescent="0.3">
      <c r="AJ286" s="377">
        <v>1527.94</v>
      </c>
      <c r="AK286" s="377">
        <v>1008.67</v>
      </c>
      <c r="AL286" s="378">
        <v>2369.4765000000002</v>
      </c>
      <c r="AN286" s="374"/>
      <c r="AO286" s="374"/>
      <c r="AP286" s="374"/>
      <c r="AQ286" s="374"/>
      <c r="AR286" s="374"/>
      <c r="AS286" s="374"/>
      <c r="AT286" s="374"/>
      <c r="AU286" s="374"/>
      <c r="AV286" s="374"/>
      <c r="AW286" s="374"/>
      <c r="AX286" s="380"/>
      <c r="AY286" s="380"/>
      <c r="AZ286" s="373">
        <v>1615.24</v>
      </c>
      <c r="BA286" s="373">
        <v>490.86</v>
      </c>
      <c r="BB286" s="373">
        <v>2505.6140999999998</v>
      </c>
    </row>
    <row r="287" spans="36:54" ht="15" customHeight="1" x14ac:dyDescent="0.3">
      <c r="AJ287" s="377">
        <v>1525.32</v>
      </c>
      <c r="AK287" s="377">
        <v>1009.58</v>
      </c>
      <c r="AL287" s="378">
        <v>2369.0619999999999</v>
      </c>
      <c r="AN287" s="374"/>
      <c r="AO287" s="374"/>
      <c r="AP287" s="374"/>
      <c r="AQ287" s="374"/>
      <c r="AR287" s="374"/>
      <c r="AS287" s="374"/>
      <c r="AT287" s="374"/>
      <c r="AU287" s="374"/>
      <c r="AV287" s="374"/>
      <c r="AW287" s="374"/>
      <c r="AX287" s="380"/>
      <c r="AY287" s="380"/>
      <c r="AZ287" s="373">
        <v>1614.18</v>
      </c>
      <c r="BA287" s="373">
        <v>491.91</v>
      </c>
      <c r="BB287" s="373">
        <v>2505.665</v>
      </c>
    </row>
    <row r="288" spans="36:54" ht="15" customHeight="1" x14ac:dyDescent="0.3">
      <c r="AJ288" s="377">
        <v>1513.76</v>
      </c>
      <c r="AK288" s="377">
        <v>1014.29</v>
      </c>
      <c r="AL288" s="378">
        <v>2367.4911999999999</v>
      </c>
      <c r="AN288" s="374"/>
      <c r="AO288" s="374"/>
      <c r="AP288" s="374"/>
      <c r="AQ288" s="374"/>
      <c r="AR288" s="374"/>
      <c r="AS288" s="374"/>
      <c r="AT288" s="374"/>
      <c r="AU288" s="374"/>
      <c r="AV288" s="374"/>
      <c r="AW288" s="374"/>
      <c r="AX288" s="380"/>
      <c r="AY288" s="380"/>
      <c r="AZ288" s="373">
        <v>1611.95</v>
      </c>
      <c r="BA288" s="373">
        <v>492.3</v>
      </c>
      <c r="BB288" s="373">
        <v>2505.9041000000002</v>
      </c>
    </row>
    <row r="289" spans="36:54" ht="15" customHeight="1" x14ac:dyDescent="0.3">
      <c r="AJ289" s="377">
        <v>1510.62</v>
      </c>
      <c r="AK289" s="377">
        <v>1017.92</v>
      </c>
      <c r="AL289" s="378">
        <v>2366.2710000000002</v>
      </c>
      <c r="AN289" s="374"/>
      <c r="AO289" s="374"/>
      <c r="AP289" s="374"/>
      <c r="AQ289" s="374"/>
      <c r="AR289" s="374"/>
      <c r="AS289" s="374"/>
      <c r="AT289" s="374"/>
      <c r="AU289" s="374"/>
      <c r="AV289" s="374"/>
      <c r="AW289" s="374"/>
      <c r="AX289" s="380"/>
      <c r="AY289" s="380"/>
      <c r="AZ289" s="373">
        <v>1606.46</v>
      </c>
      <c r="BA289" s="373">
        <v>493.03</v>
      </c>
      <c r="BB289" s="373">
        <v>2506.41</v>
      </c>
    </row>
    <row r="290" spans="36:54" ht="15" customHeight="1" x14ac:dyDescent="0.3">
      <c r="AJ290" s="377">
        <v>1508.54</v>
      </c>
      <c r="AK290" s="377">
        <v>1019.19</v>
      </c>
      <c r="AL290" s="378">
        <v>2366.3361</v>
      </c>
      <c r="AN290" s="374"/>
      <c r="AO290" s="374"/>
      <c r="AP290" s="374"/>
      <c r="AQ290" s="374"/>
      <c r="AR290" s="374"/>
      <c r="AS290" s="374"/>
      <c r="AT290" s="374"/>
      <c r="AU290" s="374"/>
      <c r="AV290" s="374"/>
      <c r="AW290" s="374"/>
      <c r="AX290" s="380"/>
      <c r="AY290" s="380"/>
      <c r="AZ290" s="373">
        <v>1603.2</v>
      </c>
      <c r="BA290" s="373">
        <v>493.29</v>
      </c>
      <c r="BB290" s="373">
        <v>2506.5189999999998</v>
      </c>
    </row>
    <row r="291" spans="36:54" ht="15" customHeight="1" x14ac:dyDescent="0.3">
      <c r="AJ291" s="377">
        <v>1508.72</v>
      </c>
      <c r="AK291" s="377">
        <v>1011.7</v>
      </c>
      <c r="AL291" s="378">
        <v>2367.1790000000001</v>
      </c>
      <c r="AN291" s="374"/>
      <c r="AO291" s="374"/>
      <c r="AP291" s="374"/>
      <c r="AQ291" s="374"/>
      <c r="AR291" s="374"/>
      <c r="AS291" s="374"/>
      <c r="AT291" s="374"/>
      <c r="AU291" s="374"/>
      <c r="AV291" s="374"/>
      <c r="AW291" s="374"/>
      <c r="AX291" s="380"/>
      <c r="AY291" s="380"/>
      <c r="AZ291" s="373">
        <v>1599.42</v>
      </c>
      <c r="BA291" s="373">
        <v>493.43</v>
      </c>
      <c r="BB291" s="373">
        <v>2506.7271999999998</v>
      </c>
    </row>
    <row r="292" spans="36:54" ht="15" customHeight="1" x14ac:dyDescent="0.3">
      <c r="AJ292" s="377">
        <v>1512.87</v>
      </c>
      <c r="AK292" s="377">
        <v>1007.13</v>
      </c>
      <c r="AL292" s="378">
        <v>2368.1039999999998</v>
      </c>
      <c r="AN292" s="374"/>
      <c r="AO292" s="374"/>
      <c r="AP292" s="374"/>
      <c r="AQ292" s="374"/>
      <c r="AR292" s="374"/>
      <c r="AS292" s="374"/>
      <c r="AT292" s="374"/>
      <c r="AU292" s="374"/>
      <c r="AV292" s="374"/>
      <c r="AW292" s="374"/>
      <c r="AX292" s="380"/>
      <c r="AY292" s="380"/>
      <c r="AZ292" s="373">
        <v>1598.99</v>
      </c>
      <c r="BA292" s="373">
        <v>493.44</v>
      </c>
      <c r="BB292" s="373">
        <v>2506.8850000000002</v>
      </c>
    </row>
    <row r="293" spans="36:54" ht="15" customHeight="1" x14ac:dyDescent="0.3">
      <c r="AJ293" s="377">
        <v>1514.47</v>
      </c>
      <c r="AK293" s="377">
        <v>999.1</v>
      </c>
      <c r="AL293" s="378">
        <v>2369.0664999999999</v>
      </c>
      <c r="AN293" s="374"/>
      <c r="AO293" s="374"/>
      <c r="AP293" s="374"/>
      <c r="AQ293" s="374"/>
      <c r="AR293" s="374"/>
      <c r="AS293" s="374"/>
      <c r="AT293" s="374"/>
      <c r="AU293" s="374"/>
      <c r="AV293" s="374"/>
      <c r="AW293" s="374"/>
      <c r="AX293" s="380"/>
      <c r="AY293" s="380"/>
      <c r="AZ293" s="373">
        <v>1595.62</v>
      </c>
      <c r="BA293" s="373">
        <v>494.51</v>
      </c>
      <c r="BB293" s="373">
        <v>2506.36</v>
      </c>
    </row>
    <row r="294" spans="36:54" ht="15" customHeight="1" x14ac:dyDescent="0.3">
      <c r="AJ294" s="377">
        <v>1511.65</v>
      </c>
      <c r="AK294" s="377">
        <v>991.17</v>
      </c>
      <c r="AL294" s="378">
        <v>2369.5129000000002</v>
      </c>
      <c r="AN294" s="374"/>
      <c r="AO294" s="374"/>
      <c r="AP294" s="374"/>
      <c r="AQ294" s="374"/>
      <c r="AR294" s="374"/>
      <c r="AS294" s="374"/>
      <c r="AT294" s="374"/>
      <c r="AU294" s="374"/>
      <c r="AV294" s="374"/>
      <c r="AW294" s="374"/>
      <c r="AX294" s="380"/>
      <c r="AY294" s="380"/>
      <c r="AZ294" s="373">
        <v>1592.82</v>
      </c>
      <c r="BA294" s="373">
        <v>493.57</v>
      </c>
      <c r="BB294" s="373">
        <v>2506.0369999999998</v>
      </c>
    </row>
    <row r="295" spans="36:54" ht="15" customHeight="1" x14ac:dyDescent="0.3">
      <c r="AJ295" s="377">
        <v>1508.16</v>
      </c>
      <c r="AK295" s="377">
        <v>985.23</v>
      </c>
      <c r="AL295" s="378">
        <v>2369.4360000000001</v>
      </c>
      <c r="AN295" s="374"/>
      <c r="AO295" s="374"/>
      <c r="AP295" s="374"/>
      <c r="AQ295" s="374"/>
      <c r="AR295" s="374"/>
      <c r="AS295" s="374"/>
      <c r="AT295" s="374"/>
      <c r="AU295" s="374"/>
      <c r="AV295" s="374"/>
      <c r="AW295" s="374"/>
      <c r="AX295" s="380"/>
      <c r="AY295" s="380"/>
      <c r="AZ295" s="373">
        <v>1591.85</v>
      </c>
      <c r="BA295" s="373">
        <v>492.93</v>
      </c>
      <c r="BB295" s="373">
        <v>2505.759</v>
      </c>
    </row>
    <row r="296" spans="36:54" ht="15" customHeight="1" x14ac:dyDescent="0.3">
      <c r="AJ296" s="377">
        <v>1503.27</v>
      </c>
      <c r="AK296" s="377">
        <v>978.39</v>
      </c>
      <c r="AL296" s="378">
        <v>2369.2882</v>
      </c>
      <c r="AN296" s="374"/>
      <c r="AO296" s="374"/>
      <c r="AP296" s="374"/>
      <c r="AQ296" s="374"/>
      <c r="AR296" s="374"/>
      <c r="AS296" s="374"/>
      <c r="AT296" s="374"/>
      <c r="AU296" s="374"/>
      <c r="AV296" s="374"/>
      <c r="AW296" s="374"/>
      <c r="AX296" s="380"/>
      <c r="AY296" s="380"/>
      <c r="AZ296" s="373">
        <v>1588.96</v>
      </c>
      <c r="BA296" s="373">
        <v>489.37</v>
      </c>
      <c r="BB296" s="373">
        <v>2505.7779999999998</v>
      </c>
    </row>
    <row r="297" spans="36:54" ht="15" customHeight="1" x14ac:dyDescent="0.3">
      <c r="AJ297" s="377">
        <v>1498.03</v>
      </c>
      <c r="AK297" s="377">
        <v>971.43</v>
      </c>
      <c r="AL297" s="378">
        <v>2369.1750000000002</v>
      </c>
      <c r="AN297" s="374"/>
      <c r="AO297" s="374"/>
      <c r="AP297" s="374"/>
      <c r="AQ297" s="374"/>
      <c r="AR297" s="374"/>
      <c r="AS297" s="374"/>
      <c r="AT297" s="374"/>
      <c r="AU297" s="374"/>
      <c r="AV297" s="374"/>
      <c r="AW297" s="374"/>
      <c r="AX297" s="380"/>
      <c r="AY297" s="380"/>
      <c r="AZ297" s="373">
        <v>1588.03</v>
      </c>
      <c r="BA297" s="373">
        <v>485.68</v>
      </c>
      <c r="BB297" s="373">
        <v>2505.7150000000001</v>
      </c>
    </row>
    <row r="298" spans="36:54" ht="15" customHeight="1" x14ac:dyDescent="0.3">
      <c r="AJ298" s="377">
        <v>1492.19</v>
      </c>
      <c r="AK298" s="377">
        <v>962.37</v>
      </c>
      <c r="AL298" s="378">
        <v>2369.386</v>
      </c>
      <c r="AN298" s="374"/>
      <c r="AO298" s="374"/>
      <c r="AP298" s="374"/>
      <c r="AQ298" s="374"/>
      <c r="AR298" s="374"/>
      <c r="AS298" s="374"/>
      <c r="AT298" s="374"/>
      <c r="AU298" s="374"/>
      <c r="AV298" s="374"/>
      <c r="AW298" s="374"/>
      <c r="AX298" s="380"/>
      <c r="AY298" s="380"/>
      <c r="AZ298" s="373">
        <v>1587.61</v>
      </c>
      <c r="BA298" s="373">
        <v>480.64</v>
      </c>
      <c r="BB298" s="373">
        <v>2506.1801</v>
      </c>
    </row>
    <row r="299" spans="36:54" ht="15" customHeight="1" x14ac:dyDescent="0.3">
      <c r="AJ299" s="377">
        <v>1482.4</v>
      </c>
      <c r="AK299" s="377">
        <v>963.49</v>
      </c>
      <c r="AL299" s="378">
        <v>2368.4326000000001</v>
      </c>
      <c r="AN299" s="374"/>
      <c r="AO299" s="374"/>
      <c r="AP299" s="374"/>
      <c r="AQ299" s="374"/>
      <c r="AR299" s="374"/>
      <c r="AS299" s="374"/>
      <c r="AT299" s="374"/>
      <c r="AU299" s="374"/>
      <c r="AV299" s="374"/>
      <c r="AW299" s="374"/>
      <c r="AX299" s="380"/>
      <c r="AY299" s="380"/>
      <c r="AZ299" s="373">
        <v>1586.76</v>
      </c>
      <c r="BA299" s="373">
        <v>476.99</v>
      </c>
      <c r="BB299" s="373">
        <v>2506.288</v>
      </c>
    </row>
    <row r="300" spans="36:54" ht="15" customHeight="1" x14ac:dyDescent="0.3">
      <c r="AJ300" s="377">
        <v>1472.6</v>
      </c>
      <c r="AK300" s="377">
        <v>964.61</v>
      </c>
      <c r="AL300" s="378">
        <v>2367.4789999999998</v>
      </c>
      <c r="AN300" s="374"/>
      <c r="AO300" s="374"/>
      <c r="AP300" s="374"/>
      <c r="AQ300" s="374"/>
      <c r="AR300" s="374"/>
      <c r="AS300" s="374"/>
      <c r="AT300" s="374"/>
      <c r="AU300" s="374"/>
      <c r="AV300" s="374"/>
      <c r="AW300" s="374"/>
      <c r="AX300" s="380"/>
      <c r="AY300" s="380"/>
      <c r="AZ300" s="373">
        <v>1585.71</v>
      </c>
      <c r="BA300" s="373">
        <v>470.66</v>
      </c>
      <c r="BB300" s="373">
        <v>2506.614</v>
      </c>
    </row>
    <row r="301" spans="36:54" ht="15" customHeight="1" x14ac:dyDescent="0.3">
      <c r="AJ301" s="377">
        <v>1463.28</v>
      </c>
      <c r="AK301" s="377">
        <v>971.66</v>
      </c>
      <c r="AL301" s="378">
        <v>2365.8009999999999</v>
      </c>
      <c r="AN301" s="374"/>
      <c r="AO301" s="374"/>
      <c r="AP301" s="374"/>
      <c r="AQ301" s="374"/>
      <c r="AR301" s="374"/>
      <c r="AS301" s="374"/>
      <c r="AT301" s="374"/>
      <c r="AU301" s="374"/>
      <c r="AV301" s="374"/>
      <c r="AW301" s="374"/>
      <c r="AX301" s="380"/>
      <c r="AY301" s="380"/>
      <c r="AZ301" s="373">
        <v>1585.09</v>
      </c>
      <c r="BA301" s="373">
        <v>463.89</v>
      </c>
      <c r="BB301" s="373">
        <v>2507.2440000000001</v>
      </c>
    </row>
    <row r="302" spans="36:54" ht="15" customHeight="1" x14ac:dyDescent="0.3">
      <c r="AJ302" s="377">
        <v>1459.09</v>
      </c>
      <c r="AK302" s="377">
        <v>973.51</v>
      </c>
      <c r="AL302" s="378">
        <v>2365.4139</v>
      </c>
      <c r="AN302" s="374"/>
      <c r="AO302" s="374"/>
      <c r="AP302" s="374"/>
      <c r="AQ302" s="374"/>
      <c r="AR302" s="374"/>
      <c r="AS302" s="374"/>
      <c r="AT302" s="374"/>
      <c r="AU302" s="374"/>
      <c r="AV302" s="374"/>
      <c r="AW302" s="374"/>
      <c r="AX302" s="380"/>
      <c r="AY302" s="380"/>
      <c r="AZ302" s="373">
        <v>1583.82</v>
      </c>
      <c r="BA302" s="373">
        <v>460.07</v>
      </c>
      <c r="BB302" s="373">
        <v>2506.9301</v>
      </c>
    </row>
    <row r="303" spans="36:54" ht="15" customHeight="1" x14ac:dyDescent="0.3">
      <c r="AJ303" s="377">
        <v>1448.08</v>
      </c>
      <c r="AK303" s="377">
        <v>983.65</v>
      </c>
      <c r="AL303" s="378">
        <v>2363.6293000000001</v>
      </c>
      <c r="AN303" s="374"/>
      <c r="AO303" s="374"/>
      <c r="AP303" s="374"/>
      <c r="AQ303" s="374"/>
      <c r="AR303" s="374"/>
      <c r="AS303" s="374"/>
      <c r="AT303" s="374"/>
      <c r="AU303" s="374"/>
      <c r="AV303" s="374"/>
      <c r="AW303" s="374"/>
      <c r="AX303" s="380"/>
      <c r="AY303" s="380"/>
      <c r="AZ303" s="373">
        <v>1582.96</v>
      </c>
      <c r="BA303" s="373">
        <v>456.13</v>
      </c>
      <c r="BB303" s="373">
        <v>2507.1619999999998</v>
      </c>
    </row>
    <row r="304" spans="36:54" ht="15" customHeight="1" x14ac:dyDescent="0.3">
      <c r="AJ304" s="377">
        <v>1440.4</v>
      </c>
      <c r="AK304" s="377">
        <v>989.86</v>
      </c>
      <c r="AL304" s="378">
        <v>2362.5558000000001</v>
      </c>
      <c r="AN304" s="374"/>
      <c r="AO304" s="374"/>
      <c r="AP304" s="374"/>
      <c r="AQ304" s="374"/>
      <c r="AR304" s="374"/>
      <c r="AS304" s="374"/>
      <c r="AT304" s="374"/>
      <c r="AU304" s="374"/>
      <c r="AV304" s="374"/>
      <c r="AW304" s="374"/>
      <c r="AX304" s="380"/>
      <c r="AY304" s="380"/>
      <c r="AZ304" s="373">
        <v>1582.76</v>
      </c>
      <c r="BA304" s="373">
        <v>451.38</v>
      </c>
      <c r="BB304" s="373">
        <v>2507.2581</v>
      </c>
    </row>
    <row r="305" spans="36:54" ht="15" customHeight="1" x14ac:dyDescent="0.3">
      <c r="AJ305" s="377">
        <v>1434.42</v>
      </c>
      <c r="AK305" s="377">
        <v>995.33</v>
      </c>
      <c r="AL305" s="378">
        <v>2361.6255000000001</v>
      </c>
      <c r="AN305" s="374"/>
      <c r="AO305" s="374"/>
      <c r="AP305" s="374"/>
      <c r="AQ305" s="374"/>
      <c r="AR305" s="374"/>
      <c r="AS305" s="374"/>
      <c r="AT305" s="374"/>
      <c r="AU305" s="374"/>
      <c r="AV305" s="374"/>
      <c r="AW305" s="374"/>
      <c r="AX305" s="380"/>
      <c r="AY305" s="380"/>
      <c r="AZ305" s="373">
        <v>1582.16</v>
      </c>
      <c r="BA305" s="373">
        <v>450.22</v>
      </c>
      <c r="BB305" s="373">
        <v>2507.587</v>
      </c>
    </row>
    <row r="306" spans="36:54" ht="15" customHeight="1" x14ac:dyDescent="0.3">
      <c r="AJ306" s="377">
        <v>1427.19</v>
      </c>
      <c r="AK306" s="377">
        <v>1002.2</v>
      </c>
      <c r="AL306" s="378">
        <v>2360.4603999999999</v>
      </c>
      <c r="AN306" s="374"/>
      <c r="AO306" s="374"/>
      <c r="AP306" s="374"/>
      <c r="AQ306" s="374"/>
      <c r="AR306" s="374"/>
      <c r="AS306" s="374"/>
      <c r="AT306" s="374"/>
      <c r="AU306" s="374"/>
      <c r="AV306" s="374"/>
      <c r="AW306" s="374"/>
      <c r="AX306" s="380"/>
      <c r="AY306" s="380"/>
      <c r="AZ306" s="373">
        <v>1580.39</v>
      </c>
      <c r="BA306" s="373">
        <v>453.86</v>
      </c>
      <c r="BB306" s="373">
        <v>2506.3389999999999</v>
      </c>
    </row>
    <row r="307" spans="36:54" ht="15" customHeight="1" x14ac:dyDescent="0.3">
      <c r="AJ307" s="377">
        <v>1425.56</v>
      </c>
      <c r="AK307" s="377">
        <v>1003.78</v>
      </c>
      <c r="AL307" s="378">
        <v>2360.1855</v>
      </c>
      <c r="AN307" s="374"/>
      <c r="AO307" s="374"/>
      <c r="AP307" s="374"/>
      <c r="AQ307" s="374"/>
      <c r="AR307" s="374"/>
      <c r="AS307" s="374"/>
      <c r="AT307" s="374"/>
      <c r="AU307" s="374"/>
      <c r="AV307" s="374"/>
      <c r="AW307" s="374"/>
      <c r="AX307" s="380"/>
      <c r="AY307" s="380"/>
      <c r="AZ307" s="373">
        <v>1578.92</v>
      </c>
      <c r="BA307" s="373">
        <v>457.48</v>
      </c>
      <c r="BB307" s="373">
        <v>2505.1559999999999</v>
      </c>
    </row>
    <row r="308" spans="36:54" ht="15" customHeight="1" x14ac:dyDescent="0.3">
      <c r="AJ308" s="377">
        <v>1417.49</v>
      </c>
      <c r="AK308" s="377">
        <v>1009.78</v>
      </c>
      <c r="AL308" s="378">
        <v>2359.2134000000001</v>
      </c>
      <c r="AN308" s="374"/>
      <c r="AO308" s="374"/>
      <c r="AP308" s="374"/>
      <c r="AQ308" s="374"/>
      <c r="AR308" s="374"/>
      <c r="AS308" s="374"/>
      <c r="AT308" s="374"/>
      <c r="AU308" s="374"/>
      <c r="AV308" s="374"/>
      <c r="AW308" s="374"/>
      <c r="AX308" s="380"/>
      <c r="AY308" s="380"/>
      <c r="AZ308" s="373">
        <v>1575.39</v>
      </c>
      <c r="BA308" s="373">
        <v>459.88</v>
      </c>
      <c r="BB308" s="373">
        <v>2504.0189999999998</v>
      </c>
    </row>
    <row r="309" spans="36:54" ht="15" customHeight="1" x14ac:dyDescent="0.3">
      <c r="AJ309" s="377">
        <v>1411.16</v>
      </c>
      <c r="AK309" s="377">
        <v>1013.25</v>
      </c>
      <c r="AL309" s="378">
        <v>2358.0072</v>
      </c>
      <c r="AN309" s="374"/>
      <c r="AO309" s="374"/>
      <c r="AP309" s="374"/>
      <c r="AQ309" s="374"/>
      <c r="AR309" s="374"/>
      <c r="AS309" s="374"/>
      <c r="AT309" s="374"/>
      <c r="AU309" s="374"/>
      <c r="AV309" s="374"/>
      <c r="AW309" s="374"/>
      <c r="AX309" s="380"/>
      <c r="AY309" s="380"/>
      <c r="AZ309" s="373">
        <v>1574.31</v>
      </c>
      <c r="BA309" s="373">
        <v>465.41</v>
      </c>
      <c r="BB309" s="373">
        <v>2503.0504999999998</v>
      </c>
    </row>
    <row r="310" spans="36:54" ht="15" customHeight="1" x14ac:dyDescent="0.3">
      <c r="AJ310" s="377">
        <v>1410.34</v>
      </c>
      <c r="AK310" s="377">
        <v>1013.72</v>
      </c>
      <c r="AL310" s="378">
        <v>2357.8573999999999</v>
      </c>
      <c r="AN310" s="374"/>
      <c r="AO310" s="374"/>
      <c r="AP310" s="374"/>
      <c r="AQ310" s="374"/>
      <c r="AR310" s="374"/>
      <c r="AS310" s="374"/>
      <c r="AT310" s="374"/>
      <c r="AU310" s="374"/>
      <c r="AV310" s="374"/>
      <c r="AW310" s="374"/>
      <c r="AX310" s="380"/>
      <c r="AY310" s="380"/>
      <c r="AZ310" s="373">
        <v>1573.24</v>
      </c>
      <c r="BA310" s="373">
        <v>470.94</v>
      </c>
      <c r="BB310" s="373">
        <v>2502.0819999999999</v>
      </c>
    </row>
    <row r="311" spans="36:54" ht="15" customHeight="1" x14ac:dyDescent="0.3">
      <c r="AJ311" s="377">
        <v>1407.24</v>
      </c>
      <c r="AK311" s="377">
        <v>1017.98</v>
      </c>
      <c r="AL311" s="378">
        <v>2357.0645</v>
      </c>
      <c r="AN311" s="374"/>
      <c r="AO311" s="374"/>
      <c r="AP311" s="374"/>
      <c r="AQ311" s="374"/>
      <c r="AR311" s="374"/>
      <c r="AS311" s="374"/>
      <c r="AT311" s="374"/>
      <c r="AU311" s="374"/>
      <c r="AV311" s="374"/>
      <c r="AW311" s="374"/>
      <c r="AX311" s="380"/>
      <c r="AY311" s="380"/>
      <c r="AZ311" s="373">
        <v>1570.45</v>
      </c>
      <c r="BA311" s="373">
        <v>475.9</v>
      </c>
      <c r="BB311" s="373">
        <v>2500.7620000000002</v>
      </c>
    </row>
    <row r="312" spans="36:54" ht="15" customHeight="1" x14ac:dyDescent="0.3">
      <c r="AJ312" s="377">
        <v>1404.36</v>
      </c>
      <c r="AK312" s="377">
        <v>1022.52</v>
      </c>
      <c r="AL312" s="378">
        <v>2356.7950000000001</v>
      </c>
      <c r="AN312" s="374"/>
      <c r="AO312" s="374"/>
      <c r="AP312" s="374"/>
      <c r="AQ312" s="374"/>
      <c r="AR312" s="374"/>
      <c r="AS312" s="374"/>
      <c r="AT312" s="374"/>
      <c r="AU312" s="374"/>
      <c r="AV312" s="374"/>
      <c r="AW312" s="374"/>
      <c r="AX312" s="380"/>
      <c r="AY312" s="380"/>
      <c r="AZ312" s="373">
        <v>1568.61</v>
      </c>
      <c r="BA312" s="373">
        <v>479.3</v>
      </c>
      <c r="BB312" s="373">
        <v>2499.5709999999999</v>
      </c>
    </row>
    <row r="313" spans="36:54" ht="15" customHeight="1" x14ac:dyDescent="0.3">
      <c r="AJ313" s="377">
        <v>1403.3</v>
      </c>
      <c r="AK313" s="377">
        <v>1022.25</v>
      </c>
      <c r="AL313" s="378">
        <v>2356.5886</v>
      </c>
      <c r="AN313" s="374"/>
      <c r="AO313" s="374"/>
      <c r="AP313" s="374"/>
      <c r="AQ313" s="374"/>
      <c r="AR313" s="374"/>
      <c r="AS313" s="374"/>
      <c r="AT313" s="374"/>
      <c r="AU313" s="374"/>
      <c r="AV313" s="374"/>
      <c r="AW313" s="374"/>
      <c r="AX313" s="380"/>
      <c r="AY313" s="380"/>
      <c r="AZ313" s="373">
        <v>1566.6</v>
      </c>
      <c r="BA313" s="373">
        <v>482.68</v>
      </c>
      <c r="BB313" s="373">
        <v>2498.7049999999999</v>
      </c>
    </row>
    <row r="314" spans="36:54" ht="15" customHeight="1" x14ac:dyDescent="0.3">
      <c r="AJ314" s="377">
        <v>1402.24</v>
      </c>
      <c r="AK314" s="377">
        <v>1021.98</v>
      </c>
      <c r="AL314" s="378">
        <v>2356.3816999999999</v>
      </c>
      <c r="AN314" s="374"/>
      <c r="AO314" s="374"/>
      <c r="AP314" s="374"/>
      <c r="AQ314" s="374"/>
      <c r="AR314" s="374"/>
      <c r="AS314" s="374"/>
      <c r="AT314" s="374"/>
      <c r="AU314" s="374"/>
      <c r="AV314" s="374"/>
      <c r="AW314" s="374"/>
      <c r="AX314" s="380"/>
      <c r="AY314" s="380"/>
      <c r="AZ314" s="373">
        <v>1564.5</v>
      </c>
      <c r="BA314" s="373">
        <v>486.23</v>
      </c>
      <c r="BB314" s="373">
        <v>2497.8580000000002</v>
      </c>
    </row>
    <row r="315" spans="36:54" ht="15" customHeight="1" x14ac:dyDescent="0.3">
      <c r="AJ315" s="377">
        <v>1396.22</v>
      </c>
      <c r="AK315" s="377">
        <v>1018.07</v>
      </c>
      <c r="AL315" s="378">
        <v>2356.5374999999999</v>
      </c>
      <c r="AN315" s="374"/>
      <c r="AO315" s="374"/>
      <c r="AP315" s="374"/>
      <c r="AQ315" s="374"/>
      <c r="AR315" s="374"/>
      <c r="AS315" s="374"/>
      <c r="AT315" s="374"/>
      <c r="AU315" s="374"/>
      <c r="AV315" s="374"/>
      <c r="AW315" s="374"/>
      <c r="AX315" s="380"/>
      <c r="AY315" s="380"/>
      <c r="AZ315" s="373">
        <v>1561.03</v>
      </c>
      <c r="BA315" s="373">
        <v>490.1</v>
      </c>
      <c r="BB315" s="373">
        <v>2496.6851000000001</v>
      </c>
    </row>
    <row r="316" spans="36:54" ht="15" customHeight="1" x14ac:dyDescent="0.3">
      <c r="AJ316" s="377">
        <v>1390.18</v>
      </c>
      <c r="AK316" s="377">
        <v>1019.52</v>
      </c>
      <c r="AL316" s="378">
        <v>2356.3317999999999</v>
      </c>
      <c r="AN316" s="374"/>
      <c r="AO316" s="374"/>
      <c r="AP316" s="374"/>
      <c r="AQ316" s="374"/>
      <c r="AR316" s="374"/>
      <c r="AS316" s="374"/>
      <c r="AT316" s="374"/>
      <c r="AU316" s="374"/>
      <c r="AV316" s="374"/>
      <c r="AW316" s="374"/>
      <c r="AX316" s="380"/>
      <c r="AY316" s="380"/>
      <c r="AZ316" s="373">
        <v>1558.81</v>
      </c>
      <c r="BA316" s="373">
        <v>493.35</v>
      </c>
      <c r="BB316" s="373">
        <v>2495.8069999999998</v>
      </c>
    </row>
    <row r="317" spans="36:54" ht="15" customHeight="1" x14ac:dyDescent="0.3">
      <c r="AJ317" s="377">
        <v>1379.9</v>
      </c>
      <c r="AK317" s="377">
        <v>1022.41</v>
      </c>
      <c r="AL317" s="378">
        <v>2356.1194999999998</v>
      </c>
      <c r="AN317" s="374"/>
      <c r="AO317" s="374"/>
      <c r="AP317" s="374"/>
      <c r="AQ317" s="374"/>
      <c r="AR317" s="374"/>
      <c r="AS317" s="374"/>
      <c r="AT317" s="374"/>
      <c r="AU317" s="374"/>
      <c r="AV317" s="374"/>
      <c r="AW317" s="374"/>
      <c r="AX317" s="380"/>
      <c r="AY317" s="380"/>
      <c r="AZ317" s="373">
        <v>1555.66</v>
      </c>
      <c r="BA317" s="373">
        <v>497.66</v>
      </c>
      <c r="BB317" s="373">
        <v>2494.7449999999999</v>
      </c>
    </row>
    <row r="318" spans="36:54" ht="15" customHeight="1" x14ac:dyDescent="0.3">
      <c r="AJ318" s="377">
        <v>1374.02</v>
      </c>
      <c r="AK318" s="377">
        <v>1023.45</v>
      </c>
      <c r="AL318" s="378">
        <v>2355.9020999999998</v>
      </c>
      <c r="AN318" s="374"/>
      <c r="AO318" s="374"/>
      <c r="AP318" s="374"/>
      <c r="AQ318" s="374"/>
      <c r="AR318" s="374"/>
      <c r="AS318" s="374"/>
      <c r="AT318" s="374"/>
      <c r="AU318" s="374"/>
      <c r="AV318" s="374"/>
      <c r="AW318" s="374"/>
      <c r="AX318" s="380"/>
      <c r="AY318" s="380"/>
      <c r="AZ318" s="373">
        <v>1553.56</v>
      </c>
      <c r="BA318" s="373">
        <v>501.16</v>
      </c>
      <c r="BB318" s="373">
        <v>2493.7350000000001</v>
      </c>
    </row>
    <row r="319" spans="36:54" ht="15" customHeight="1" x14ac:dyDescent="0.3">
      <c r="AJ319" s="377">
        <v>1367.34</v>
      </c>
      <c r="AK319" s="377">
        <v>1024.74</v>
      </c>
      <c r="AL319" s="378">
        <v>2355.9573999999998</v>
      </c>
      <c r="AN319" s="374"/>
      <c r="AO319" s="374"/>
      <c r="AP319" s="374"/>
      <c r="AQ319" s="374"/>
      <c r="AR319" s="374"/>
      <c r="AS319" s="374"/>
      <c r="AT319" s="374"/>
      <c r="AU319" s="374"/>
      <c r="AV319" s="374"/>
      <c r="AW319" s="374"/>
      <c r="AX319" s="380"/>
      <c r="AY319" s="380"/>
      <c r="AZ319" s="373">
        <v>1550.92</v>
      </c>
      <c r="BA319" s="373">
        <v>505.28</v>
      </c>
      <c r="BB319" s="373">
        <v>2492.5349999999999</v>
      </c>
    </row>
    <row r="320" spans="36:54" ht="15" customHeight="1" x14ac:dyDescent="0.3">
      <c r="AJ320" s="377">
        <v>1358.44</v>
      </c>
      <c r="AK320" s="377">
        <v>1026.55</v>
      </c>
      <c r="AL320" s="378">
        <v>2356.0311000000002</v>
      </c>
      <c r="AN320" s="374"/>
      <c r="AO320" s="374"/>
      <c r="AP320" s="374"/>
      <c r="AQ320" s="374"/>
      <c r="AR320" s="374"/>
      <c r="AS320" s="374"/>
      <c r="AT320" s="374"/>
      <c r="AU320" s="374"/>
      <c r="AV320" s="374"/>
      <c r="AW320" s="374"/>
      <c r="AX320" s="380"/>
      <c r="AY320" s="380"/>
      <c r="AZ320" s="373">
        <v>1549.31</v>
      </c>
      <c r="BA320" s="373">
        <v>508.94</v>
      </c>
      <c r="BB320" s="373">
        <v>2491.6529999999998</v>
      </c>
    </row>
    <row r="321" spans="36:54" ht="15" customHeight="1" x14ac:dyDescent="0.3">
      <c r="AJ321" s="377">
        <v>1348.26</v>
      </c>
      <c r="AK321" s="377">
        <v>1027.95</v>
      </c>
      <c r="AL321" s="378">
        <v>2355.7926000000002</v>
      </c>
      <c r="AN321" s="374"/>
      <c r="AO321" s="374"/>
      <c r="AP321" s="374"/>
      <c r="AQ321" s="374"/>
      <c r="AR321" s="374"/>
      <c r="AS321" s="374"/>
      <c r="AT321" s="374"/>
      <c r="AU321" s="374"/>
      <c r="AV321" s="374"/>
      <c r="AW321" s="374"/>
      <c r="AX321" s="380"/>
      <c r="AY321" s="380"/>
      <c r="AZ321" s="373">
        <v>1547.09</v>
      </c>
      <c r="BA321" s="373">
        <v>512.79</v>
      </c>
      <c r="BB321" s="373">
        <v>2490.9780000000001</v>
      </c>
    </row>
    <row r="322" spans="36:54" ht="15" customHeight="1" x14ac:dyDescent="0.3">
      <c r="AJ322" s="377">
        <v>1340.63</v>
      </c>
      <c r="AK322" s="377">
        <v>1030.08</v>
      </c>
      <c r="AL322" s="378">
        <v>2355.6833000000001</v>
      </c>
      <c r="AN322" s="374"/>
      <c r="AO322" s="374"/>
      <c r="AP322" s="374"/>
      <c r="AQ322" s="374"/>
      <c r="AR322" s="374"/>
      <c r="AS322" s="374"/>
      <c r="AT322" s="374"/>
      <c r="AU322" s="374"/>
      <c r="AV322" s="374"/>
      <c r="AW322" s="374"/>
      <c r="AX322" s="380"/>
      <c r="AY322" s="380"/>
      <c r="AZ322" s="373">
        <v>1545.36</v>
      </c>
      <c r="BA322" s="373">
        <v>515.04</v>
      </c>
      <c r="BB322" s="373">
        <v>2490.5149999999999</v>
      </c>
    </row>
    <row r="323" spans="36:54" ht="15" customHeight="1" x14ac:dyDescent="0.3">
      <c r="AJ323" s="377">
        <v>1334.88</v>
      </c>
      <c r="AK323" s="377">
        <v>1032.57</v>
      </c>
      <c r="AL323" s="378">
        <v>2355.7161999999998</v>
      </c>
      <c r="AN323" s="374"/>
      <c r="AO323" s="374"/>
      <c r="AP323" s="374"/>
      <c r="AQ323" s="374"/>
      <c r="AR323" s="374"/>
      <c r="AS323" s="374"/>
      <c r="AT323" s="374"/>
      <c r="AU323" s="374"/>
      <c r="AV323" s="374"/>
      <c r="AW323" s="374"/>
      <c r="AX323" s="380"/>
      <c r="AY323" s="380"/>
      <c r="AZ323" s="373">
        <v>1541.84</v>
      </c>
      <c r="BA323" s="373">
        <v>517.13</v>
      </c>
      <c r="BB323" s="373">
        <v>2489.5790000000002</v>
      </c>
    </row>
    <row r="324" spans="36:54" ht="15" customHeight="1" x14ac:dyDescent="0.3">
      <c r="AJ324" s="377">
        <v>1328.52</v>
      </c>
      <c r="AK324" s="377">
        <v>1034.32</v>
      </c>
      <c r="AL324" s="378">
        <v>2355.8083000000001</v>
      </c>
      <c r="AN324" s="374"/>
      <c r="AO324" s="374"/>
      <c r="AP324" s="374"/>
      <c r="AQ324" s="374"/>
      <c r="AR324" s="374"/>
      <c r="AS324" s="374"/>
      <c r="AT324" s="374"/>
      <c r="AU324" s="374"/>
      <c r="AV324" s="374"/>
      <c r="AW324" s="374"/>
      <c r="AX324" s="380"/>
      <c r="AY324" s="380"/>
      <c r="AZ324" s="373">
        <v>1539.56</v>
      </c>
      <c r="BA324" s="373">
        <v>519.46</v>
      </c>
      <c r="BB324" s="373">
        <v>2488.922</v>
      </c>
    </row>
    <row r="325" spans="36:54" ht="15" customHeight="1" x14ac:dyDescent="0.3">
      <c r="AJ325" s="377">
        <v>1321.06</v>
      </c>
      <c r="AK325" s="377">
        <v>1035.8699999999999</v>
      </c>
      <c r="AL325" s="378">
        <v>2355.8355999999999</v>
      </c>
      <c r="AN325" s="374"/>
      <c r="AO325" s="374"/>
      <c r="AP325" s="374"/>
      <c r="AQ325" s="374"/>
      <c r="AR325" s="374"/>
      <c r="AS325" s="374"/>
      <c r="AT325" s="374"/>
      <c r="AU325" s="374"/>
      <c r="AV325" s="374"/>
      <c r="AW325" s="374"/>
      <c r="AX325" s="380"/>
      <c r="AY325" s="380"/>
      <c r="AZ325" s="373">
        <v>1536.2</v>
      </c>
      <c r="BA325" s="373">
        <v>522.54</v>
      </c>
      <c r="BB325" s="373">
        <v>2488.0520000000001</v>
      </c>
    </row>
    <row r="326" spans="36:54" ht="15" customHeight="1" x14ac:dyDescent="0.3">
      <c r="AJ326" s="377">
        <v>1311.35</v>
      </c>
      <c r="AK326" s="377">
        <v>1037.04</v>
      </c>
      <c r="AL326" s="378">
        <v>2355.8787000000002</v>
      </c>
      <c r="AN326" s="374"/>
      <c r="AO326" s="374"/>
      <c r="AP326" s="374"/>
      <c r="AQ326" s="374"/>
      <c r="AR326" s="374"/>
      <c r="AS326" s="374"/>
      <c r="AT326" s="374"/>
      <c r="AU326" s="374"/>
      <c r="AV326" s="374"/>
      <c r="AW326" s="374"/>
      <c r="AX326" s="380"/>
      <c r="AY326" s="380"/>
      <c r="AZ326" s="373">
        <v>1533.31</v>
      </c>
      <c r="BA326" s="373">
        <v>526.22</v>
      </c>
      <c r="BB326" s="373">
        <v>2487.1190000000001</v>
      </c>
    </row>
    <row r="327" spans="36:54" ht="15" customHeight="1" x14ac:dyDescent="0.3">
      <c r="AJ327" s="377">
        <v>1305.25</v>
      </c>
      <c r="AK327" s="377">
        <v>1036.93</v>
      </c>
      <c r="AL327" s="378">
        <v>2355.7280000000001</v>
      </c>
      <c r="AN327" s="374"/>
      <c r="AO327" s="374"/>
      <c r="AP327" s="374"/>
      <c r="AQ327" s="374"/>
      <c r="AR327" s="374"/>
      <c r="AS327" s="374"/>
      <c r="AT327" s="374"/>
      <c r="AU327" s="374"/>
      <c r="AV327" s="374"/>
      <c r="AW327" s="374"/>
      <c r="AX327" s="380"/>
      <c r="AY327" s="380"/>
      <c r="AZ327" s="373">
        <v>1531.03</v>
      </c>
      <c r="BA327" s="373">
        <v>529.88</v>
      </c>
      <c r="BB327" s="373">
        <v>2486.3679999999999</v>
      </c>
    </row>
    <row r="328" spans="36:54" ht="15" customHeight="1" x14ac:dyDescent="0.3">
      <c r="AJ328" s="377">
        <v>1297.56</v>
      </c>
      <c r="AK328" s="377">
        <v>1036.69</v>
      </c>
      <c r="AL328" s="378">
        <v>2355.6707000000001</v>
      </c>
      <c r="AN328" s="374"/>
      <c r="AO328" s="374"/>
      <c r="AP328" s="374"/>
      <c r="AQ328" s="374"/>
      <c r="AR328" s="374"/>
      <c r="AS328" s="374"/>
      <c r="AT328" s="374"/>
      <c r="AU328" s="374"/>
      <c r="AV328" s="374"/>
      <c r="AW328" s="374"/>
      <c r="AX328" s="380"/>
      <c r="AY328" s="380"/>
      <c r="AZ328" s="373">
        <v>1528.86</v>
      </c>
      <c r="BA328" s="373">
        <v>533.01</v>
      </c>
      <c r="BB328" s="373">
        <v>2485.5081</v>
      </c>
    </row>
    <row r="329" spans="36:54" ht="15" customHeight="1" x14ac:dyDescent="0.3">
      <c r="AJ329" s="377">
        <v>1291.8399999999999</v>
      </c>
      <c r="AK329" s="377">
        <v>1036.02</v>
      </c>
      <c r="AL329" s="378">
        <v>2355.7103999999999</v>
      </c>
      <c r="AN329" s="374"/>
      <c r="AO329" s="374"/>
      <c r="AP329" s="374"/>
      <c r="AQ329" s="374"/>
      <c r="AR329" s="374"/>
      <c r="AS329" s="374"/>
      <c r="AT329" s="374"/>
      <c r="AU329" s="374"/>
      <c r="AV329" s="374"/>
      <c r="AW329" s="374"/>
      <c r="AX329" s="380"/>
      <c r="AY329" s="380"/>
      <c r="AZ329" s="373">
        <v>1526.37</v>
      </c>
      <c r="BA329" s="373">
        <v>536.33000000000004</v>
      </c>
      <c r="BB329" s="373">
        <v>2484.4549999999999</v>
      </c>
    </row>
    <row r="330" spans="36:54" ht="15" customHeight="1" x14ac:dyDescent="0.3">
      <c r="AJ330" s="377">
        <v>1286.1099999999999</v>
      </c>
      <c r="AK330" s="377">
        <v>1035.3399999999999</v>
      </c>
      <c r="AL330" s="378">
        <v>2355.7501000000002</v>
      </c>
      <c r="AN330" s="374"/>
      <c r="AO330" s="374"/>
      <c r="AP330" s="374"/>
      <c r="AQ330" s="374"/>
      <c r="AR330" s="374"/>
      <c r="AS330" s="374"/>
      <c r="AT330" s="374"/>
      <c r="AU330" s="374"/>
      <c r="AV330" s="374"/>
      <c r="AW330" s="374"/>
      <c r="AX330" s="380"/>
      <c r="AY330" s="380"/>
      <c r="AZ330" s="373">
        <v>1523.8</v>
      </c>
      <c r="BA330" s="373">
        <v>540.03</v>
      </c>
      <c r="BB330" s="373">
        <v>2483.3290000000002</v>
      </c>
    </row>
    <row r="331" spans="36:54" ht="15" customHeight="1" x14ac:dyDescent="0.3">
      <c r="AJ331" s="377">
        <v>1276.0899999999999</v>
      </c>
      <c r="AK331" s="377">
        <v>1034.92</v>
      </c>
      <c r="AL331" s="378">
        <v>2355.8357000000001</v>
      </c>
      <c r="AN331" s="374"/>
      <c r="AO331" s="374"/>
      <c r="AP331" s="374"/>
      <c r="AQ331" s="374"/>
      <c r="AR331" s="374"/>
      <c r="AS331" s="374"/>
      <c r="AT331" s="374"/>
      <c r="AU331" s="374"/>
      <c r="AV331" s="374"/>
      <c r="AW331" s="374"/>
      <c r="AX331" s="380"/>
      <c r="AY331" s="380"/>
    </row>
    <row r="332" spans="36:54" ht="15" customHeight="1" x14ac:dyDescent="0.3">
      <c r="AJ332" s="377">
        <v>1269.92</v>
      </c>
      <c r="AK332" s="377">
        <v>1034.76</v>
      </c>
      <c r="AL332" s="378">
        <v>2355.8517000000002</v>
      </c>
      <c r="AN332" s="374"/>
      <c r="AO332" s="374"/>
      <c r="AP332" s="374"/>
      <c r="AQ332" s="374"/>
      <c r="AR332" s="374"/>
      <c r="AS332" s="374"/>
      <c r="AT332" s="374"/>
      <c r="AU332" s="374"/>
      <c r="AV332" s="374"/>
      <c r="AW332" s="374"/>
      <c r="AX332" s="380"/>
      <c r="AY332" s="380"/>
    </row>
    <row r="333" spans="36:54" ht="15" customHeight="1" x14ac:dyDescent="0.3">
      <c r="AJ333" s="377">
        <v>1264.31</v>
      </c>
      <c r="AK333" s="377">
        <v>1034.92</v>
      </c>
      <c r="AL333" s="378">
        <v>2355.7937999999999</v>
      </c>
      <c r="AN333" s="374"/>
      <c r="AO333" s="374"/>
      <c r="AP333" s="374"/>
      <c r="AQ333" s="374"/>
      <c r="AR333" s="374"/>
      <c r="AS333" s="374"/>
      <c r="AT333" s="374"/>
      <c r="AU333" s="374"/>
      <c r="AV333" s="374"/>
      <c r="AW333" s="374"/>
      <c r="AX333" s="380"/>
      <c r="AY333" s="380"/>
    </row>
    <row r="334" spans="36:54" ht="15" customHeight="1" x14ac:dyDescent="0.3">
      <c r="AJ334" s="377">
        <v>1255.53</v>
      </c>
      <c r="AK334" s="377">
        <v>1036.33</v>
      </c>
      <c r="AL334" s="378">
        <v>2355.6902</v>
      </c>
      <c r="AN334" s="374"/>
      <c r="AO334" s="374"/>
      <c r="AP334" s="374"/>
      <c r="AQ334" s="374"/>
      <c r="AR334" s="374"/>
      <c r="AS334" s="374"/>
      <c r="AT334" s="374"/>
      <c r="AU334" s="374"/>
      <c r="AV334" s="374"/>
      <c r="AW334" s="374"/>
      <c r="AX334" s="380"/>
      <c r="AY334" s="380"/>
    </row>
    <row r="335" spans="36:54" ht="15" customHeight="1" x14ac:dyDescent="0.3">
      <c r="AJ335" s="377">
        <v>1254.6099999999999</v>
      </c>
      <c r="AK335" s="377">
        <v>1036.4000000000001</v>
      </c>
      <c r="AL335" s="378">
        <v>2355.7635</v>
      </c>
      <c r="AN335" s="374"/>
      <c r="AO335" s="374"/>
      <c r="AP335" s="374"/>
      <c r="AQ335" s="374"/>
      <c r="AR335" s="374"/>
      <c r="AS335" s="374"/>
      <c r="AT335" s="374"/>
      <c r="AU335" s="374"/>
      <c r="AV335" s="374"/>
      <c r="AW335" s="374"/>
      <c r="AX335" s="380"/>
      <c r="AY335" s="380"/>
    </row>
    <row r="336" spans="36:54" ht="15" customHeight="1" x14ac:dyDescent="0.3">
      <c r="AJ336" s="377">
        <v>1248.9100000000001</v>
      </c>
      <c r="AK336" s="377">
        <v>1030.57</v>
      </c>
      <c r="AL336" s="378">
        <v>2356.0194000000001</v>
      </c>
      <c r="AN336" s="374"/>
      <c r="AO336" s="374"/>
      <c r="AP336" s="374"/>
      <c r="AQ336" s="374"/>
      <c r="AR336" s="374"/>
      <c r="AS336" s="374"/>
      <c r="AT336" s="374"/>
      <c r="AU336" s="374"/>
      <c r="AV336" s="374"/>
      <c r="AW336" s="374"/>
      <c r="AX336" s="380"/>
      <c r="AY336" s="380"/>
    </row>
    <row r="337" spans="36:51" ht="15" customHeight="1" x14ac:dyDescent="0.3">
      <c r="AJ337" s="377">
        <v>1249.96</v>
      </c>
      <c r="AK337" s="377">
        <v>1029.6199999999999</v>
      </c>
      <c r="AL337" s="378">
        <v>2356.2294999999999</v>
      </c>
      <c r="AN337" s="374"/>
      <c r="AO337" s="374"/>
      <c r="AP337" s="374"/>
      <c r="AQ337" s="374"/>
      <c r="AR337" s="374"/>
      <c r="AS337" s="374"/>
      <c r="AT337" s="374"/>
      <c r="AU337" s="374"/>
      <c r="AV337" s="374"/>
      <c r="AW337" s="374"/>
      <c r="AX337" s="380"/>
      <c r="AY337" s="380"/>
    </row>
    <row r="338" spans="36:51" ht="15" customHeight="1" x14ac:dyDescent="0.3">
      <c r="AJ338" s="377">
        <v>1247.67</v>
      </c>
      <c r="AK338" s="377">
        <v>1024.79</v>
      </c>
      <c r="AL338" s="378">
        <v>2357.4584</v>
      </c>
      <c r="AN338" s="374"/>
      <c r="AO338" s="374"/>
      <c r="AP338" s="374"/>
      <c r="AQ338" s="374"/>
      <c r="AR338" s="374"/>
      <c r="AS338" s="374"/>
      <c r="AT338" s="374"/>
      <c r="AU338" s="374"/>
      <c r="AV338" s="374"/>
      <c r="AW338" s="374"/>
      <c r="AX338" s="380"/>
      <c r="AY338" s="380"/>
    </row>
    <row r="339" spans="36:51" ht="15" customHeight="1" x14ac:dyDescent="0.3">
      <c r="AJ339" s="377">
        <v>1240.9100000000001</v>
      </c>
      <c r="AK339" s="377">
        <v>1025.31</v>
      </c>
      <c r="AL339" s="378">
        <v>2357.7478999999998</v>
      </c>
      <c r="AN339" s="374"/>
      <c r="AO339" s="374"/>
      <c r="AP339" s="374"/>
      <c r="AQ339" s="374"/>
      <c r="AR339" s="374"/>
      <c r="AS339" s="374"/>
      <c r="AT339" s="374"/>
      <c r="AU339" s="374"/>
      <c r="AV339" s="374"/>
      <c r="AW339" s="374"/>
      <c r="AX339" s="380"/>
      <c r="AY339" s="380"/>
    </row>
    <row r="340" spans="36:51" ht="15" customHeight="1" x14ac:dyDescent="0.3">
      <c r="AJ340" s="377">
        <v>1237.8399999999999</v>
      </c>
      <c r="AK340" s="377">
        <v>1025.97</v>
      </c>
      <c r="AL340" s="378">
        <v>2357.6900999999998</v>
      </c>
      <c r="AN340" s="374"/>
      <c r="AO340" s="374"/>
      <c r="AP340" s="374"/>
      <c r="AQ340" s="374"/>
      <c r="AR340" s="374"/>
      <c r="AS340" s="374"/>
      <c r="AT340" s="374"/>
      <c r="AU340" s="374"/>
      <c r="AV340" s="374"/>
      <c r="AW340" s="374"/>
      <c r="AX340" s="380"/>
      <c r="AY340" s="380"/>
    </row>
    <row r="341" spans="36:51" ht="15" customHeight="1" x14ac:dyDescent="0.3">
      <c r="AJ341" s="377">
        <v>1227.6300000000001</v>
      </c>
      <c r="AK341" s="377">
        <v>1027.3599999999999</v>
      </c>
      <c r="AL341" s="378">
        <v>2357.6273999999999</v>
      </c>
      <c r="AN341" s="374"/>
      <c r="AO341" s="374"/>
      <c r="AP341" s="374"/>
      <c r="AQ341" s="374"/>
      <c r="AR341" s="374"/>
      <c r="AS341" s="374"/>
      <c r="AT341" s="374"/>
      <c r="AU341" s="374"/>
      <c r="AV341" s="374"/>
      <c r="AW341" s="374"/>
      <c r="AX341" s="380"/>
      <c r="AY341" s="380"/>
    </row>
    <row r="342" spans="36:51" ht="15" customHeight="1" x14ac:dyDescent="0.3">
      <c r="AJ342" s="377">
        <v>1223.2</v>
      </c>
      <c r="AK342" s="377">
        <v>1024.1300000000001</v>
      </c>
      <c r="AL342" s="378">
        <v>2357.9829</v>
      </c>
      <c r="AN342" s="374"/>
      <c r="AO342" s="374"/>
      <c r="AP342" s="374"/>
      <c r="AQ342" s="374"/>
      <c r="AR342" s="374"/>
      <c r="AS342" s="374"/>
      <c r="AT342" s="374"/>
      <c r="AU342" s="374"/>
      <c r="AV342" s="374"/>
      <c r="AW342" s="374"/>
      <c r="AX342" s="380"/>
      <c r="AY342" s="380"/>
    </row>
    <row r="343" spans="36:51" ht="15" customHeight="1" x14ac:dyDescent="0.3">
      <c r="AJ343" s="377">
        <v>1220.92</v>
      </c>
      <c r="AK343" s="377">
        <v>1020.31</v>
      </c>
      <c r="AL343" s="378">
        <v>2360.2959000000001</v>
      </c>
      <c r="AN343" s="374"/>
      <c r="AO343" s="374"/>
      <c r="AP343" s="374"/>
      <c r="AQ343" s="374"/>
      <c r="AR343" s="374"/>
      <c r="AS343" s="374"/>
      <c r="AT343" s="374"/>
      <c r="AU343" s="374"/>
      <c r="AV343" s="374"/>
      <c r="AW343" s="374"/>
      <c r="AX343" s="380"/>
      <c r="AY343" s="380"/>
    </row>
    <row r="344" spans="36:51" ht="15" customHeight="1" x14ac:dyDescent="0.3">
      <c r="AJ344" s="377">
        <v>1216.6600000000001</v>
      </c>
      <c r="AK344" s="377">
        <v>1013.59</v>
      </c>
      <c r="AL344" s="378">
        <v>2363.788</v>
      </c>
      <c r="AN344" s="374"/>
      <c r="AO344" s="374"/>
      <c r="AP344" s="374"/>
      <c r="AQ344" s="374"/>
      <c r="AR344" s="374"/>
      <c r="AS344" s="374"/>
      <c r="AT344" s="374"/>
      <c r="AU344" s="374"/>
      <c r="AV344" s="374"/>
      <c r="AW344" s="374"/>
      <c r="AX344" s="380"/>
      <c r="AY344" s="380"/>
    </row>
    <row r="345" spans="36:51" ht="15" customHeight="1" x14ac:dyDescent="0.3">
      <c r="AJ345" s="377">
        <v>1213.6300000000001</v>
      </c>
      <c r="AK345" s="377">
        <v>1009.08</v>
      </c>
      <c r="AL345" s="378">
        <v>2365.9409999999998</v>
      </c>
      <c r="AN345" s="374"/>
      <c r="AO345" s="374"/>
      <c r="AP345" s="374"/>
      <c r="AQ345" s="374"/>
      <c r="AR345" s="374"/>
      <c r="AS345" s="374"/>
      <c r="AT345" s="374"/>
      <c r="AU345" s="374"/>
      <c r="AV345" s="374"/>
      <c r="AW345" s="374"/>
      <c r="AX345" s="380"/>
      <c r="AY345" s="380"/>
    </row>
    <row r="346" spans="36:51" ht="15" customHeight="1" x14ac:dyDescent="0.3">
      <c r="AJ346" s="377">
        <v>1212.9100000000001</v>
      </c>
      <c r="AK346" s="377">
        <v>1008.66</v>
      </c>
      <c r="AL346" s="378">
        <v>2366.4182999999998</v>
      </c>
      <c r="AN346" s="374"/>
      <c r="AO346" s="374"/>
      <c r="AP346" s="374"/>
      <c r="AQ346" s="374"/>
      <c r="AR346" s="374"/>
      <c r="AS346" s="374"/>
      <c r="AT346" s="374"/>
      <c r="AU346" s="374"/>
      <c r="AV346" s="374"/>
      <c r="AW346" s="374"/>
      <c r="AX346" s="380"/>
      <c r="AY346" s="380"/>
    </row>
    <row r="347" spans="36:51" ht="15" customHeight="1" x14ac:dyDescent="0.3">
      <c r="AJ347" s="377">
        <v>1212.18</v>
      </c>
      <c r="AK347" s="377">
        <v>1008.24</v>
      </c>
      <c r="AL347" s="378">
        <v>2366.8739999999998</v>
      </c>
      <c r="AN347" s="374"/>
      <c r="AO347" s="374"/>
      <c r="AP347" s="374"/>
      <c r="AQ347" s="374"/>
      <c r="AR347" s="374"/>
      <c r="AS347" s="374"/>
      <c r="AT347" s="374"/>
      <c r="AU347" s="374"/>
      <c r="AV347" s="374"/>
      <c r="AW347" s="374"/>
      <c r="AX347" s="380"/>
      <c r="AY347" s="380"/>
    </row>
    <row r="348" spans="36:51" ht="15" customHeight="1" x14ac:dyDescent="0.3">
      <c r="AJ348" s="377">
        <v>1207.8399999999999</v>
      </c>
      <c r="AK348" s="377">
        <v>1006.45</v>
      </c>
      <c r="AL348" s="378">
        <v>2368.5128</v>
      </c>
      <c r="AN348" s="374"/>
      <c r="AO348" s="374"/>
      <c r="AP348" s="374"/>
      <c r="AQ348" s="374"/>
      <c r="AR348" s="374"/>
      <c r="AS348" s="374"/>
      <c r="AT348" s="374"/>
      <c r="AU348" s="374"/>
      <c r="AV348" s="374"/>
      <c r="AW348" s="374"/>
      <c r="AX348" s="380"/>
      <c r="AY348" s="380"/>
    </row>
    <row r="349" spans="36:51" ht="15" customHeight="1" x14ac:dyDescent="0.3">
      <c r="AJ349" s="377">
        <v>1203.45</v>
      </c>
      <c r="AK349" s="377">
        <v>1004.63</v>
      </c>
      <c r="AL349" s="378">
        <v>2370.1428999999998</v>
      </c>
      <c r="AN349" s="374"/>
      <c r="AO349" s="374"/>
      <c r="AP349" s="374"/>
      <c r="AQ349" s="374"/>
      <c r="AR349" s="374"/>
      <c r="AS349" s="374"/>
      <c r="AT349" s="374"/>
      <c r="AU349" s="374"/>
      <c r="AV349" s="374"/>
      <c r="AW349" s="374"/>
      <c r="AX349" s="380"/>
      <c r="AY349" s="380"/>
    </row>
    <row r="350" spans="36:51" ht="15" customHeight="1" x14ac:dyDescent="0.3">
      <c r="AJ350" s="377">
        <v>1198.5999999999999</v>
      </c>
      <c r="AK350" s="377">
        <v>1002.49</v>
      </c>
      <c r="AL350" s="378">
        <v>2371.0389</v>
      </c>
      <c r="AN350" s="374"/>
      <c r="AO350" s="374"/>
      <c r="AP350" s="374"/>
      <c r="AQ350" s="374"/>
      <c r="AR350" s="374"/>
      <c r="AS350" s="374"/>
      <c r="AT350" s="374"/>
      <c r="AU350" s="374"/>
      <c r="AV350" s="374"/>
      <c r="AW350" s="374"/>
      <c r="AX350" s="380"/>
      <c r="AY350" s="380"/>
    </row>
    <row r="351" spans="36:51" ht="15" customHeight="1" x14ac:dyDescent="0.3">
      <c r="AJ351" s="377">
        <v>1192.73</v>
      </c>
      <c r="AK351" s="377">
        <v>998.89</v>
      </c>
      <c r="AL351" s="378">
        <v>2372.2539999999999</v>
      </c>
      <c r="AN351" s="374"/>
      <c r="AO351" s="374"/>
      <c r="AP351" s="374"/>
      <c r="AQ351" s="374"/>
      <c r="AR351" s="374"/>
      <c r="AS351" s="374"/>
      <c r="AT351" s="374"/>
      <c r="AU351" s="374"/>
      <c r="AV351" s="374"/>
      <c r="AW351" s="374"/>
      <c r="AX351" s="380"/>
      <c r="AY351" s="380"/>
    </row>
    <row r="352" spans="36:51" ht="15" customHeight="1" x14ac:dyDescent="0.3">
      <c r="AJ352" s="377">
        <v>1182.6099999999999</v>
      </c>
      <c r="AK352" s="377">
        <v>992.32</v>
      </c>
      <c r="AL352" s="378">
        <v>2373.7620000000002</v>
      </c>
      <c r="AN352" s="374"/>
      <c r="AO352" s="374"/>
      <c r="AP352" s="374"/>
      <c r="AQ352" s="374"/>
      <c r="AR352" s="374"/>
      <c r="AS352" s="374"/>
      <c r="AT352" s="374"/>
      <c r="AU352" s="374"/>
      <c r="AV352" s="374"/>
      <c r="AW352" s="374"/>
      <c r="AX352" s="380"/>
      <c r="AY352" s="380"/>
    </row>
    <row r="353" spans="36:51" ht="15" customHeight="1" x14ac:dyDescent="0.3">
      <c r="AJ353" s="377">
        <v>1177.0899999999999</v>
      </c>
      <c r="AK353" s="377">
        <v>988.87</v>
      </c>
      <c r="AL353" s="378">
        <v>2374.415</v>
      </c>
      <c r="AN353" s="374"/>
      <c r="AO353" s="374"/>
      <c r="AP353" s="374"/>
      <c r="AQ353" s="374"/>
      <c r="AR353" s="374"/>
      <c r="AS353" s="374"/>
      <c r="AT353" s="374"/>
      <c r="AU353" s="374"/>
      <c r="AV353" s="374"/>
      <c r="AW353" s="374"/>
      <c r="AX353" s="380"/>
      <c r="AY353" s="380"/>
    </row>
    <row r="354" spans="36:51" ht="15" customHeight="1" x14ac:dyDescent="0.3">
      <c r="AJ354" s="377">
        <v>1169.77</v>
      </c>
      <c r="AK354" s="377">
        <v>985.45</v>
      </c>
      <c r="AL354" s="378">
        <v>2374.5810999999999</v>
      </c>
      <c r="AN354" s="374"/>
      <c r="AO354" s="374"/>
      <c r="AP354" s="374"/>
      <c r="AQ354" s="374"/>
      <c r="AR354" s="374"/>
      <c r="AS354" s="374"/>
      <c r="AT354" s="374"/>
      <c r="AU354" s="374"/>
      <c r="AV354" s="374"/>
      <c r="AW354" s="374"/>
      <c r="AX354" s="380"/>
      <c r="AY354" s="380"/>
    </row>
    <row r="355" spans="36:51" ht="15" customHeight="1" x14ac:dyDescent="0.3">
      <c r="AJ355" s="377">
        <v>1158.3800000000001</v>
      </c>
      <c r="AK355" s="377">
        <v>980.96</v>
      </c>
      <c r="AL355" s="378">
        <v>2376.2175000000002</v>
      </c>
      <c r="AN355" s="374"/>
      <c r="AO355" s="374"/>
      <c r="AP355" s="374"/>
      <c r="AQ355" s="374"/>
      <c r="AR355" s="374"/>
      <c r="AS355" s="374"/>
      <c r="AT355" s="374"/>
      <c r="AU355" s="374"/>
      <c r="AV355" s="374"/>
      <c r="AW355" s="374"/>
      <c r="AX355" s="380"/>
      <c r="AY355" s="380"/>
    </row>
    <row r="356" spans="36:51" ht="15" customHeight="1" x14ac:dyDescent="0.3">
      <c r="AJ356" s="377">
        <v>1154.57</v>
      </c>
      <c r="AK356" s="377">
        <v>974.96</v>
      </c>
      <c r="AL356" s="378">
        <v>2376.5909999999999</v>
      </c>
      <c r="AN356" s="374"/>
      <c r="AO356" s="374"/>
      <c r="AP356" s="374"/>
      <c r="AQ356" s="374"/>
      <c r="AR356" s="374"/>
      <c r="AS356" s="374"/>
      <c r="AT356" s="374"/>
      <c r="AU356" s="374"/>
      <c r="AV356" s="374"/>
      <c r="AW356" s="374"/>
      <c r="AX356" s="380"/>
      <c r="AY356" s="380"/>
    </row>
    <row r="357" spans="36:51" ht="15" customHeight="1" x14ac:dyDescent="0.3">
      <c r="AJ357" s="377">
        <v>1154.18</v>
      </c>
      <c r="AK357" s="377">
        <v>968.98</v>
      </c>
      <c r="AL357" s="378">
        <v>2376.9319999999998</v>
      </c>
      <c r="AN357" s="374"/>
      <c r="AO357" s="374"/>
      <c r="AP357" s="374"/>
      <c r="AQ357" s="374"/>
      <c r="AR357" s="374"/>
      <c r="AS357" s="374"/>
      <c r="AT357" s="374"/>
      <c r="AU357" s="374"/>
      <c r="AV357" s="374"/>
      <c r="AW357" s="374"/>
      <c r="AX357" s="380"/>
      <c r="AY357" s="380"/>
    </row>
    <row r="358" spans="36:51" ht="15" customHeight="1" x14ac:dyDescent="0.3">
      <c r="AJ358" s="377">
        <v>1151.8399999999999</v>
      </c>
      <c r="AK358" s="377">
        <v>960.14</v>
      </c>
      <c r="AL358" s="378">
        <v>2378.6979999999999</v>
      </c>
      <c r="AN358" s="374"/>
      <c r="AO358" s="374"/>
      <c r="AP358" s="374"/>
      <c r="AQ358" s="374"/>
      <c r="AR358" s="374"/>
      <c r="AS358" s="374"/>
      <c r="AT358" s="374"/>
      <c r="AU358" s="374"/>
      <c r="AV358" s="374"/>
      <c r="AW358" s="374"/>
      <c r="AX358" s="380"/>
      <c r="AY358" s="380"/>
    </row>
    <row r="359" spans="36:51" ht="15" customHeight="1" x14ac:dyDescent="0.3">
      <c r="AJ359" s="377">
        <v>1150.1199999999999</v>
      </c>
      <c r="AK359" s="377">
        <v>955.21</v>
      </c>
      <c r="AL359" s="378">
        <v>2379.6851000000001</v>
      </c>
      <c r="AN359" s="374"/>
      <c r="AO359" s="374"/>
      <c r="AP359" s="374"/>
      <c r="AQ359" s="374"/>
      <c r="AR359" s="374"/>
      <c r="AS359" s="374"/>
      <c r="AT359" s="374"/>
      <c r="AU359" s="374"/>
      <c r="AV359" s="374"/>
      <c r="AW359" s="374"/>
      <c r="AX359" s="380"/>
      <c r="AY359" s="380"/>
    </row>
    <row r="360" spans="36:51" ht="15" customHeight="1" x14ac:dyDescent="0.3">
      <c r="AJ360" s="377">
        <v>1143.97</v>
      </c>
      <c r="AK360" s="377">
        <v>945.87</v>
      </c>
      <c r="AL360" s="378">
        <v>2381.0500000000002</v>
      </c>
      <c r="AN360" s="374"/>
      <c r="AO360" s="374"/>
      <c r="AP360" s="374"/>
      <c r="AQ360" s="374"/>
      <c r="AR360" s="374"/>
      <c r="AS360" s="374"/>
      <c r="AT360" s="374"/>
      <c r="AU360" s="374"/>
      <c r="AV360" s="374"/>
      <c r="AW360" s="374"/>
      <c r="AX360" s="380"/>
      <c r="AY360" s="380"/>
    </row>
    <row r="361" spans="36:51" ht="15" customHeight="1" x14ac:dyDescent="0.3">
      <c r="AJ361" s="377">
        <v>1137.47</v>
      </c>
      <c r="AK361" s="377">
        <v>940.49</v>
      </c>
      <c r="AL361" s="378">
        <v>2381.52</v>
      </c>
    </row>
    <row r="362" spans="36:51" ht="15" customHeight="1" x14ac:dyDescent="0.3">
      <c r="AJ362" s="377">
        <v>1130.97</v>
      </c>
      <c r="AK362" s="377">
        <v>936.86</v>
      </c>
      <c r="AL362" s="378">
        <v>2382.1129999999998</v>
      </c>
    </row>
    <row r="363" spans="36:51" ht="15" customHeight="1" x14ac:dyDescent="0.3">
      <c r="AJ363" s="377">
        <v>1124.8399999999999</v>
      </c>
      <c r="AK363" s="377">
        <v>934.12</v>
      </c>
      <c r="AL363" s="378">
        <v>2382.645</v>
      </c>
    </row>
    <row r="364" spans="36:51" ht="15" customHeight="1" x14ac:dyDescent="0.3">
      <c r="AJ364" s="377">
        <v>1118.8699999999999</v>
      </c>
      <c r="AK364" s="377">
        <v>931.62</v>
      </c>
      <c r="AL364" s="378">
        <v>2382.922</v>
      </c>
    </row>
    <row r="365" spans="36:51" ht="15" customHeight="1" x14ac:dyDescent="0.3">
      <c r="AJ365" s="377">
        <v>1111.54</v>
      </c>
      <c r="AK365" s="377">
        <v>928.53</v>
      </c>
      <c r="AL365" s="378">
        <v>2383.1898999999999</v>
      </c>
    </row>
    <row r="366" spans="36:51" ht="15" customHeight="1" x14ac:dyDescent="0.3">
      <c r="AJ366" s="377">
        <v>1105.3800000000001</v>
      </c>
      <c r="AK366" s="377">
        <v>925.14</v>
      </c>
      <c r="AL366" s="378">
        <v>2383.1970000000001</v>
      </c>
    </row>
    <row r="367" spans="36:51" ht="15" customHeight="1" x14ac:dyDescent="0.3">
      <c r="AJ367" s="377">
        <v>1099.42</v>
      </c>
      <c r="AK367" s="377">
        <v>922.39</v>
      </c>
      <c r="AL367" s="378">
        <v>2383.4340000000002</v>
      </c>
    </row>
    <row r="368" spans="36:51" ht="15" customHeight="1" x14ac:dyDescent="0.3">
      <c r="AJ368" s="377">
        <v>1092.95</v>
      </c>
      <c r="AK368" s="377">
        <v>919.86</v>
      </c>
      <c r="AL368" s="378">
        <v>2383.6999999999998</v>
      </c>
    </row>
    <row r="369" spans="36:38" ht="15" customHeight="1" x14ac:dyDescent="0.3">
      <c r="AJ369" s="377">
        <v>1084.31</v>
      </c>
      <c r="AK369" s="377">
        <v>917.38</v>
      </c>
      <c r="AL369" s="378">
        <v>2383.6958</v>
      </c>
    </row>
    <row r="370" spans="36:38" ht="15" customHeight="1" x14ac:dyDescent="0.3">
      <c r="AJ370" s="377">
        <v>1082.1500000000001</v>
      </c>
      <c r="AK370" s="377">
        <v>916.3</v>
      </c>
      <c r="AL370" s="378">
        <v>2383.7914999999998</v>
      </c>
    </row>
    <row r="371" spans="36:38" ht="15" customHeight="1" x14ac:dyDescent="0.3">
      <c r="AJ371" s="377">
        <v>1077.18</v>
      </c>
      <c r="AK371" s="377">
        <v>912.97</v>
      </c>
      <c r="AL371" s="378">
        <v>2384.2130000000002</v>
      </c>
    </row>
    <row r="372" spans="36:38" ht="15" customHeight="1" x14ac:dyDescent="0.3">
      <c r="AJ372" s="377">
        <v>1069.04</v>
      </c>
      <c r="AK372" s="377">
        <v>907.87</v>
      </c>
      <c r="AL372" s="378">
        <v>2385.4041000000002</v>
      </c>
    </row>
    <row r="373" spans="36:38" ht="15" customHeight="1" x14ac:dyDescent="0.3">
      <c r="AJ373" s="377">
        <v>1064.6500000000001</v>
      </c>
      <c r="AK373" s="377">
        <v>906.98</v>
      </c>
      <c r="AL373" s="378">
        <v>2386.0259999999998</v>
      </c>
    </row>
    <row r="374" spans="36:38" ht="15" customHeight="1" x14ac:dyDescent="0.3">
      <c r="AJ374" s="377">
        <v>1061.3</v>
      </c>
      <c r="AK374" s="377">
        <v>908.57</v>
      </c>
      <c r="AL374" s="378">
        <v>2386.4110999999998</v>
      </c>
    </row>
    <row r="375" spans="36:38" ht="15" customHeight="1" x14ac:dyDescent="0.3">
      <c r="AJ375" s="377">
        <v>1058.07</v>
      </c>
      <c r="AK375" s="377">
        <v>908.03</v>
      </c>
      <c r="AL375" s="378">
        <v>2386.7100999999998</v>
      </c>
    </row>
    <row r="376" spans="36:38" ht="15" customHeight="1" x14ac:dyDescent="0.3">
      <c r="AJ376" s="377">
        <v>1050.9000000000001</v>
      </c>
      <c r="AK376" s="377">
        <v>907.92</v>
      </c>
      <c r="AL376" s="378">
        <v>2387.0790999999999</v>
      </c>
    </row>
    <row r="377" spans="36:38" ht="15" customHeight="1" x14ac:dyDescent="0.3">
      <c r="AJ377" s="377">
        <v>1044.3399999999999</v>
      </c>
      <c r="AK377" s="377">
        <v>910.23</v>
      </c>
      <c r="AL377" s="378">
        <v>2387.7849999999999</v>
      </c>
    </row>
    <row r="378" spans="36:38" ht="15" customHeight="1" x14ac:dyDescent="0.3">
      <c r="AJ378" s="377">
        <v>1037.6300000000001</v>
      </c>
      <c r="AK378" s="377">
        <v>912.56</v>
      </c>
      <c r="AL378" s="378">
        <v>2388.2480999999998</v>
      </c>
    </row>
    <row r="379" spans="36:38" ht="15" customHeight="1" x14ac:dyDescent="0.3">
      <c r="AJ379" s="377">
        <v>1036.72</v>
      </c>
      <c r="AK379" s="377">
        <v>911.24</v>
      </c>
      <c r="AL379" s="378">
        <v>2388.2080000000001</v>
      </c>
    </row>
    <row r="380" spans="36:38" ht="15" customHeight="1" x14ac:dyDescent="0.3">
      <c r="AJ380" s="377">
        <v>1032.93</v>
      </c>
      <c r="AK380" s="377">
        <v>903.35</v>
      </c>
      <c r="AL380" s="378">
        <v>2388.1169</v>
      </c>
    </row>
    <row r="381" spans="36:38" ht="16.5" x14ac:dyDescent="0.3">
      <c r="AJ381" s="377">
        <v>1031.58</v>
      </c>
      <c r="AK381" s="377">
        <v>896.94</v>
      </c>
      <c r="AL381" s="378">
        <v>2388.2910000000002</v>
      </c>
    </row>
    <row r="382" spans="36:38" ht="16.5" x14ac:dyDescent="0.3">
      <c r="AJ382" s="377">
        <v>1032.8800000000001</v>
      </c>
      <c r="AK382" s="377">
        <v>895.76</v>
      </c>
      <c r="AL382" s="378">
        <v>2388.1936000000001</v>
      </c>
    </row>
    <row r="383" spans="36:38" ht="16.5" x14ac:dyDescent="0.3">
      <c r="AJ383" s="377">
        <v>1033.8900000000001</v>
      </c>
      <c r="AK383" s="377">
        <v>892.24</v>
      </c>
      <c r="AL383" s="378">
        <v>2388.067</v>
      </c>
    </row>
    <row r="384" spans="36:38" ht="16.5" x14ac:dyDescent="0.3">
      <c r="AJ384" s="377">
        <v>1033.8900000000001</v>
      </c>
      <c r="AK384" s="377">
        <v>892.22</v>
      </c>
      <c r="AL384" s="378">
        <v>2388.0680000000002</v>
      </c>
    </row>
    <row r="385" spans="36:38" ht="16.5" x14ac:dyDescent="0.3">
      <c r="AJ385" s="377">
        <v>1037.0999999999999</v>
      </c>
      <c r="AK385" s="377">
        <v>889.48</v>
      </c>
      <c r="AL385" s="378">
        <v>2387.7719999999999</v>
      </c>
    </row>
    <row r="386" spans="36:38" ht="16.5" x14ac:dyDescent="0.3">
      <c r="AJ386" s="377">
        <v>1040.56</v>
      </c>
      <c r="AK386" s="377">
        <v>886.71</v>
      </c>
      <c r="AL386" s="378">
        <v>2387.3420000000001</v>
      </c>
    </row>
    <row r="387" spans="36:38" ht="16.5" x14ac:dyDescent="0.3">
      <c r="AJ387" s="377">
        <v>1050.4000000000001</v>
      </c>
      <c r="AK387" s="377">
        <v>881.88</v>
      </c>
      <c r="AL387" s="378">
        <v>2386.8361</v>
      </c>
    </row>
    <row r="388" spans="36:38" ht="16.5" x14ac:dyDescent="0.3">
      <c r="AJ388" s="377">
        <v>1053.49</v>
      </c>
      <c r="AK388" s="377">
        <v>878.55</v>
      </c>
      <c r="AL388" s="378">
        <v>2386.739</v>
      </c>
    </row>
    <row r="389" spans="36:38" ht="16.5" x14ac:dyDescent="0.3">
      <c r="AJ389" s="377">
        <v>1052.58</v>
      </c>
      <c r="AK389" s="377">
        <v>876.55</v>
      </c>
      <c r="AL389" s="378">
        <v>2386.7979999999998</v>
      </c>
    </row>
    <row r="390" spans="36:38" ht="16.5" x14ac:dyDescent="0.3">
      <c r="AJ390" s="377">
        <v>1049.44</v>
      </c>
      <c r="AK390" s="377">
        <v>873.84</v>
      </c>
      <c r="AL390" s="378">
        <v>2387.1680000000001</v>
      </c>
    </row>
    <row r="391" spans="36:38" ht="16.5" x14ac:dyDescent="0.3">
      <c r="AJ391" s="377">
        <v>1042.1300000000001</v>
      </c>
      <c r="AK391" s="377">
        <v>868.45</v>
      </c>
      <c r="AL391" s="378">
        <v>2388.3159999999998</v>
      </c>
    </row>
    <row r="392" spans="36:38" ht="16.5" x14ac:dyDescent="0.3">
      <c r="AJ392" s="377">
        <v>1038.1600000000001</v>
      </c>
      <c r="AK392" s="377">
        <v>867.35</v>
      </c>
      <c r="AL392" s="378">
        <v>2388.71</v>
      </c>
    </row>
    <row r="393" spans="36:38" ht="16.5" x14ac:dyDescent="0.3">
      <c r="AJ393" s="377">
        <v>1030.02</v>
      </c>
      <c r="AK393" s="377">
        <v>868.04</v>
      </c>
      <c r="AL393" s="378">
        <v>2389.7728999999999</v>
      </c>
    </row>
    <row r="394" spans="36:38" ht="16.5" x14ac:dyDescent="0.3">
      <c r="AJ394" s="377">
        <v>1030.03</v>
      </c>
      <c r="AK394" s="377">
        <v>868.03</v>
      </c>
      <c r="AL394" s="378">
        <v>2389.7737999999999</v>
      </c>
    </row>
    <row r="395" spans="36:38" ht="16.5" x14ac:dyDescent="0.3">
      <c r="AJ395" s="377">
        <v>1030.03</v>
      </c>
      <c r="AK395" s="377">
        <v>868.02</v>
      </c>
      <c r="AL395" s="378">
        <v>2389.7750000000001</v>
      </c>
    </row>
    <row r="396" spans="36:38" ht="16.5" x14ac:dyDescent="0.3">
      <c r="AJ396" s="377">
        <v>1027.8699999999999</v>
      </c>
      <c r="AK396" s="377">
        <v>854.35</v>
      </c>
      <c r="AL396" s="378">
        <v>2389.8301000000001</v>
      </c>
    </row>
    <row r="397" spans="36:38" ht="16.5" x14ac:dyDescent="0.3">
      <c r="AJ397" s="377">
        <v>1029.07</v>
      </c>
      <c r="AK397" s="377">
        <v>850.58</v>
      </c>
      <c r="AL397" s="378">
        <v>2389.6504</v>
      </c>
    </row>
    <row r="398" spans="36:38" ht="16.5" x14ac:dyDescent="0.3">
      <c r="AJ398" s="377">
        <v>1030.53</v>
      </c>
      <c r="AK398" s="377">
        <v>850.75</v>
      </c>
      <c r="AL398" s="378">
        <v>2389.5970000000002</v>
      </c>
    </row>
    <row r="399" spans="36:38" ht="16.5" x14ac:dyDescent="0.3">
      <c r="AJ399" s="377">
        <v>1038.52</v>
      </c>
      <c r="AK399" s="377">
        <v>849.39</v>
      </c>
      <c r="AL399" s="378">
        <v>2388.5129000000002</v>
      </c>
    </row>
    <row r="400" spans="36:38" ht="16.5" x14ac:dyDescent="0.3">
      <c r="AJ400" s="377">
        <v>1041.1099999999999</v>
      </c>
      <c r="AK400" s="377">
        <v>846.79</v>
      </c>
      <c r="AL400" s="378">
        <v>2388.3051</v>
      </c>
    </row>
    <row r="401" spans="36:38" ht="16.5" x14ac:dyDescent="0.3">
      <c r="AJ401" s="377">
        <v>1046.74</v>
      </c>
      <c r="AK401" s="377">
        <v>847.19</v>
      </c>
      <c r="AL401" s="378">
        <v>2388.0320000000002</v>
      </c>
    </row>
    <row r="402" spans="36:38" ht="16.5" x14ac:dyDescent="0.3">
      <c r="AJ402" s="377">
        <v>1056.1300000000001</v>
      </c>
      <c r="AK402" s="377">
        <v>848.19</v>
      </c>
      <c r="AL402" s="378">
        <v>2387.6118000000001</v>
      </c>
    </row>
    <row r="403" spans="36:38" ht="16.5" x14ac:dyDescent="0.3">
      <c r="AJ403" s="377">
        <v>1064.22</v>
      </c>
      <c r="AK403" s="377">
        <v>852.57</v>
      </c>
      <c r="AL403" s="378">
        <v>2387.442</v>
      </c>
    </row>
    <row r="404" spans="36:38" ht="16.5" x14ac:dyDescent="0.3">
      <c r="AJ404" s="377">
        <v>1072.3399999999999</v>
      </c>
      <c r="AK404" s="377">
        <v>852.53</v>
      </c>
      <c r="AL404" s="378">
        <v>2388.6569</v>
      </c>
    </row>
    <row r="405" spans="36:38" ht="16.5" x14ac:dyDescent="0.3">
      <c r="AJ405" s="377">
        <v>1080.67</v>
      </c>
      <c r="AK405" s="377">
        <v>851.9</v>
      </c>
      <c r="AL405" s="378">
        <v>2389.9522999999999</v>
      </c>
    </row>
    <row r="406" spans="36:38" ht="16.5" x14ac:dyDescent="0.3">
      <c r="AJ406" s="377">
        <v>1088.3699999999999</v>
      </c>
      <c r="AK406" s="377">
        <v>851.67</v>
      </c>
      <c r="AL406" s="378">
        <v>2391.0994999999998</v>
      </c>
    </row>
    <row r="407" spans="36:38" ht="16.5" x14ac:dyDescent="0.3">
      <c r="AJ407" s="377">
        <v>1094.8599999999999</v>
      </c>
      <c r="AK407" s="377">
        <v>852.76</v>
      </c>
      <c r="AL407" s="378">
        <v>2392.4456</v>
      </c>
    </row>
    <row r="408" spans="36:38" ht="16.5" x14ac:dyDescent="0.3">
      <c r="AJ408" s="377">
        <v>1095.9000000000001</v>
      </c>
      <c r="AK408" s="377">
        <v>852.44</v>
      </c>
      <c r="AL408" s="378">
        <v>2392.8148999999999</v>
      </c>
    </row>
    <row r="409" spans="36:38" ht="16.5" x14ac:dyDescent="0.3">
      <c r="AJ409" s="377">
        <v>1099.18</v>
      </c>
      <c r="AK409" s="377">
        <v>845.24</v>
      </c>
      <c r="AL409" s="378">
        <v>2396.4805000000001</v>
      </c>
    </row>
    <row r="410" spans="36:38" ht="16.5" x14ac:dyDescent="0.3">
      <c r="AJ410" s="377">
        <v>1098.07</v>
      </c>
      <c r="AK410" s="377">
        <v>841.3</v>
      </c>
      <c r="AL410" s="378">
        <v>2398.0500000000002</v>
      </c>
    </row>
    <row r="411" spans="36:38" ht="16.5" x14ac:dyDescent="0.3">
      <c r="AJ411" s="377">
        <v>1096.23</v>
      </c>
      <c r="AK411" s="377">
        <v>839.79</v>
      </c>
      <c r="AL411" s="378">
        <v>2398.9209999999998</v>
      </c>
    </row>
    <row r="412" spans="36:38" ht="16.5" x14ac:dyDescent="0.3">
      <c r="AJ412" s="377">
        <v>1092.6400000000001</v>
      </c>
      <c r="AK412" s="377">
        <v>837.45</v>
      </c>
      <c r="AL412" s="378">
        <v>2399.4326000000001</v>
      </c>
    </row>
    <row r="413" spans="36:38" ht="16.5" x14ac:dyDescent="0.3">
      <c r="AJ413" s="377">
        <v>1091.69</v>
      </c>
      <c r="AK413" s="377">
        <v>836.74</v>
      </c>
      <c r="AL413" s="378">
        <v>2399.6291999999999</v>
      </c>
    </row>
    <row r="414" spans="36:38" ht="16.5" x14ac:dyDescent="0.3">
      <c r="AJ414" s="377">
        <v>1086.19</v>
      </c>
      <c r="AK414" s="377">
        <v>832.45</v>
      </c>
      <c r="AL414" s="378">
        <v>2400.7840999999999</v>
      </c>
    </row>
    <row r="415" spans="36:38" ht="16.5" x14ac:dyDescent="0.3">
      <c r="AJ415" s="377">
        <v>1082.6199999999999</v>
      </c>
      <c r="AK415" s="377">
        <v>828.58</v>
      </c>
      <c r="AL415" s="378">
        <v>2401.7568999999999</v>
      </c>
    </row>
    <row r="416" spans="36:38" ht="16.5" x14ac:dyDescent="0.3">
      <c r="AJ416" s="377">
        <v>1081.8399999999999</v>
      </c>
      <c r="AK416" s="377">
        <v>827.67</v>
      </c>
      <c r="AL416" s="378">
        <v>2401.931</v>
      </c>
    </row>
    <row r="417" spans="36:38" ht="16.5" x14ac:dyDescent="0.3">
      <c r="AJ417" s="377">
        <v>1081.1099999999999</v>
      </c>
      <c r="AK417" s="377">
        <v>825.88</v>
      </c>
      <c r="AL417" s="378">
        <v>2401.9041000000002</v>
      </c>
    </row>
    <row r="418" spans="36:38" ht="16.5" x14ac:dyDescent="0.3">
      <c r="AJ418" s="377">
        <v>1074.97</v>
      </c>
      <c r="AK418" s="377">
        <v>822.01</v>
      </c>
      <c r="AL418" s="378">
        <v>2403.5680000000002</v>
      </c>
    </row>
    <row r="419" spans="36:38" ht="16.5" x14ac:dyDescent="0.3">
      <c r="AJ419" s="377">
        <v>1069.06</v>
      </c>
      <c r="AK419" s="377">
        <v>818.69</v>
      </c>
      <c r="AL419" s="378">
        <v>2405.1790000000001</v>
      </c>
    </row>
    <row r="420" spans="36:38" ht="16.5" x14ac:dyDescent="0.3">
      <c r="AJ420" s="377">
        <v>1063.8399999999999</v>
      </c>
      <c r="AK420" s="377">
        <v>816.65</v>
      </c>
      <c r="AL420" s="378">
        <v>2406.1219000000001</v>
      </c>
    </row>
    <row r="421" spans="36:38" ht="16.5" x14ac:dyDescent="0.3">
      <c r="AJ421" s="377">
        <v>1058.01</v>
      </c>
      <c r="AK421" s="377">
        <v>813.9</v>
      </c>
      <c r="AL421" s="378">
        <v>2407.3148999999999</v>
      </c>
    </row>
    <row r="422" spans="36:38" ht="16.5" x14ac:dyDescent="0.3">
      <c r="AJ422" s="377">
        <v>1050.01</v>
      </c>
      <c r="AK422" s="377">
        <v>811.08</v>
      </c>
      <c r="AL422" s="378">
        <v>2408.6010000000001</v>
      </c>
    </row>
    <row r="423" spans="36:38" ht="16.5" x14ac:dyDescent="0.3">
      <c r="AJ423" s="377">
        <v>1042.0999999999999</v>
      </c>
      <c r="AK423" s="377">
        <v>808.62</v>
      </c>
      <c r="AL423" s="378">
        <v>2409.73</v>
      </c>
    </row>
    <row r="424" spans="36:38" ht="16.5" x14ac:dyDescent="0.3">
      <c r="AJ424" s="377">
        <v>1034.77</v>
      </c>
      <c r="AK424" s="377">
        <v>804.6</v>
      </c>
      <c r="AL424" s="378">
        <v>2410.6210000000001</v>
      </c>
    </row>
    <row r="425" spans="36:38" ht="16.5" x14ac:dyDescent="0.3">
      <c r="AJ425" s="377">
        <v>1026.57</v>
      </c>
      <c r="AK425" s="377">
        <v>798.92</v>
      </c>
      <c r="AL425" s="378">
        <v>2412.3580000000002</v>
      </c>
    </row>
    <row r="426" spans="36:38" ht="16.5" x14ac:dyDescent="0.3">
      <c r="AJ426" s="377">
        <v>1020.54</v>
      </c>
      <c r="AK426" s="377">
        <v>794.78</v>
      </c>
      <c r="AL426" s="378">
        <v>2413.7829999999999</v>
      </c>
    </row>
    <row r="427" spans="36:38" ht="16.5" x14ac:dyDescent="0.3">
      <c r="AJ427" s="377">
        <v>1014.45</v>
      </c>
      <c r="AK427" s="377">
        <v>791.99</v>
      </c>
      <c r="AL427" s="378">
        <v>2415.1060000000002</v>
      </c>
    </row>
    <row r="428" spans="36:38" ht="16.5" x14ac:dyDescent="0.3">
      <c r="AJ428" s="377">
        <v>1006.75</v>
      </c>
      <c r="AK428" s="377">
        <v>789</v>
      </c>
      <c r="AL428" s="378">
        <v>2416.2791000000002</v>
      </c>
    </row>
    <row r="429" spans="36:38" ht="16.5" x14ac:dyDescent="0.3">
      <c r="AJ429" s="377">
        <v>1000.87</v>
      </c>
      <c r="AK429" s="377">
        <v>787.95</v>
      </c>
      <c r="AL429" s="378">
        <v>2416.933</v>
      </c>
    </row>
    <row r="430" spans="36:38" ht="16.5" x14ac:dyDescent="0.3">
      <c r="AJ430" s="377">
        <v>991.58</v>
      </c>
      <c r="AK430" s="377">
        <v>784.45</v>
      </c>
      <c r="AL430" s="378">
        <v>2418.36</v>
      </c>
    </row>
    <row r="431" spans="36:38" ht="16.5" x14ac:dyDescent="0.3">
      <c r="AJ431" s="377">
        <v>984.69</v>
      </c>
      <c r="AK431" s="377">
        <v>781.26</v>
      </c>
      <c r="AL431" s="378">
        <v>2419.538</v>
      </c>
    </row>
    <row r="432" spans="36:38" ht="16.5" x14ac:dyDescent="0.3">
      <c r="AJ432" s="377">
        <v>971.69</v>
      </c>
      <c r="AK432" s="377">
        <v>780.17</v>
      </c>
      <c r="AL432" s="378">
        <v>2420.1350000000002</v>
      </c>
    </row>
    <row r="433" spans="36:38" ht="16.5" x14ac:dyDescent="0.3">
      <c r="AJ433" s="377">
        <v>962.63</v>
      </c>
      <c r="AK433" s="377">
        <v>781.74</v>
      </c>
      <c r="AL433" s="378">
        <v>2420.2370999999998</v>
      </c>
    </row>
    <row r="434" spans="36:38" ht="16.5" x14ac:dyDescent="0.3">
      <c r="AJ434" s="377">
        <v>955.22</v>
      </c>
      <c r="AK434" s="377">
        <v>782.27</v>
      </c>
      <c r="AL434" s="378">
        <v>2420.3620999999998</v>
      </c>
    </row>
    <row r="435" spans="36:38" ht="16.5" x14ac:dyDescent="0.3">
      <c r="AJ435" s="377">
        <v>947.42</v>
      </c>
      <c r="AK435" s="377">
        <v>782.76</v>
      </c>
      <c r="AL435" s="378">
        <v>2420.3679999999999</v>
      </c>
    </row>
    <row r="436" spans="36:38" ht="16.5" x14ac:dyDescent="0.3">
      <c r="AJ436" s="377">
        <v>933.34</v>
      </c>
      <c r="AK436" s="377">
        <v>784.64</v>
      </c>
      <c r="AL436" s="378">
        <v>2420.6066000000001</v>
      </c>
    </row>
    <row r="437" spans="36:38" ht="16.5" x14ac:dyDescent="0.3">
      <c r="AJ437" s="377">
        <v>931.22</v>
      </c>
      <c r="AK437" s="377">
        <v>784.85</v>
      </c>
      <c r="AL437" s="378">
        <v>2420.614</v>
      </c>
    </row>
    <row r="438" spans="36:38" ht="16.5" x14ac:dyDescent="0.3">
      <c r="AJ438" s="377">
        <v>928.2</v>
      </c>
      <c r="AK438" s="377">
        <v>790.3</v>
      </c>
      <c r="AL438" s="378">
        <v>2420.4708999999998</v>
      </c>
    </row>
    <row r="439" spans="36:38" ht="16.5" x14ac:dyDescent="0.3">
      <c r="AJ439" s="377">
        <v>921.77</v>
      </c>
      <c r="AK439" s="377">
        <v>794.26</v>
      </c>
      <c r="AL439" s="378">
        <v>2420.2728999999999</v>
      </c>
    </row>
    <row r="440" spans="36:38" ht="16.5" x14ac:dyDescent="0.3">
      <c r="AJ440" s="377">
        <v>917.13</v>
      </c>
      <c r="AK440" s="377">
        <v>797.03</v>
      </c>
      <c r="AL440" s="378">
        <v>2419.7179999999998</v>
      </c>
    </row>
    <row r="441" spans="36:38" ht="16.5" x14ac:dyDescent="0.3">
      <c r="AJ441" s="377">
        <v>913.55</v>
      </c>
      <c r="AK441" s="377">
        <v>792.28</v>
      </c>
      <c r="AL441" s="378">
        <v>2420.1617999999999</v>
      </c>
    </row>
    <row r="442" spans="36:38" ht="16.5" x14ac:dyDescent="0.3">
      <c r="AJ442" s="377">
        <v>914.51</v>
      </c>
      <c r="AK442" s="377">
        <v>790.69</v>
      </c>
      <c r="AL442" s="378">
        <v>2420.3069999999998</v>
      </c>
    </row>
    <row r="443" spans="36:38" ht="16.5" x14ac:dyDescent="0.3">
      <c r="AJ443" s="377">
        <v>918.28</v>
      </c>
      <c r="AK443" s="377">
        <v>783.64</v>
      </c>
      <c r="AL443" s="378">
        <v>2420.6619999999998</v>
      </c>
    </row>
    <row r="444" spans="36:38" ht="16.5" x14ac:dyDescent="0.3">
      <c r="AJ444" s="377">
        <v>921.45</v>
      </c>
      <c r="AK444" s="377">
        <v>775.07</v>
      </c>
      <c r="AL444" s="378">
        <v>2421.2159999999999</v>
      </c>
    </row>
    <row r="445" spans="36:38" ht="16.5" x14ac:dyDescent="0.3">
      <c r="AJ445" s="377">
        <v>920.63</v>
      </c>
      <c r="AK445" s="377">
        <v>767.84</v>
      </c>
      <c r="AL445" s="378">
        <v>2422.14</v>
      </c>
    </row>
    <row r="446" spans="36:38" ht="16.5" x14ac:dyDescent="0.3">
      <c r="AJ446" s="377">
        <v>916.09</v>
      </c>
      <c r="AK446" s="377">
        <v>761.22</v>
      </c>
      <c r="AL446" s="378">
        <v>2423.2820000000002</v>
      </c>
    </row>
    <row r="447" spans="36:38" ht="16.5" x14ac:dyDescent="0.3">
      <c r="AJ447" s="377">
        <v>910.98</v>
      </c>
      <c r="AK447" s="377">
        <v>755.89</v>
      </c>
      <c r="AL447" s="378">
        <v>2424.2791000000002</v>
      </c>
    </row>
    <row r="448" spans="36:38" ht="16.5" x14ac:dyDescent="0.3">
      <c r="AJ448" s="377">
        <v>905.24</v>
      </c>
      <c r="AK448" s="377">
        <v>746.53</v>
      </c>
      <c r="AL448" s="378">
        <v>2425.9789999999998</v>
      </c>
    </row>
    <row r="449" spans="36:38" ht="16.5" x14ac:dyDescent="0.3">
      <c r="AJ449" s="377">
        <v>904.72</v>
      </c>
      <c r="AK449" s="377">
        <v>740.8</v>
      </c>
      <c r="AL449" s="378">
        <v>2426.8339999999998</v>
      </c>
    </row>
    <row r="450" spans="36:38" ht="16.5" x14ac:dyDescent="0.3">
      <c r="AJ450" s="377">
        <v>909.57</v>
      </c>
      <c r="AK450" s="377">
        <v>733.31</v>
      </c>
      <c r="AL450" s="378">
        <v>2427.9178000000002</v>
      </c>
    </row>
    <row r="451" spans="36:38" ht="16.5" x14ac:dyDescent="0.3">
      <c r="AJ451" s="377">
        <v>912.07</v>
      </c>
      <c r="AK451" s="377">
        <v>730.13</v>
      </c>
      <c r="AL451" s="378">
        <v>2428.4989999999998</v>
      </c>
    </row>
    <row r="452" spans="36:38" ht="16.5" x14ac:dyDescent="0.3">
      <c r="AJ452" s="377">
        <v>913.04</v>
      </c>
      <c r="AK452" s="377">
        <v>728.96</v>
      </c>
      <c r="AL452" s="378">
        <v>2428.8524000000002</v>
      </c>
    </row>
    <row r="453" spans="36:38" ht="16.5" x14ac:dyDescent="0.3">
      <c r="AJ453" s="377">
        <v>914.01</v>
      </c>
      <c r="AK453" s="377">
        <v>727.79</v>
      </c>
      <c r="AL453" s="378">
        <v>2429.2060999999999</v>
      </c>
    </row>
    <row r="454" spans="36:38" ht="16.5" x14ac:dyDescent="0.3">
      <c r="AJ454" s="377">
        <v>918.31</v>
      </c>
      <c r="AK454" s="377">
        <v>720.43</v>
      </c>
      <c r="AL454" s="378">
        <v>2431.4447</v>
      </c>
    </row>
    <row r="455" spans="36:38" ht="16.5" x14ac:dyDescent="0.3">
      <c r="AJ455" s="377">
        <v>920.09</v>
      </c>
      <c r="AK455" s="377">
        <v>715.79</v>
      </c>
      <c r="AL455" s="378">
        <v>2433.2330000000002</v>
      </c>
    </row>
    <row r="456" spans="36:38" ht="16.5" x14ac:dyDescent="0.3">
      <c r="AJ456" s="377">
        <v>920.06</v>
      </c>
      <c r="AK456" s="377">
        <v>706.82</v>
      </c>
      <c r="AL456" s="378">
        <v>2436.364</v>
      </c>
    </row>
    <row r="457" spans="36:38" ht="16.5" x14ac:dyDescent="0.3">
      <c r="AJ457" s="377">
        <v>919.79</v>
      </c>
      <c r="AK457" s="377">
        <v>705.08</v>
      </c>
      <c r="AL457" s="378">
        <v>2436.9569999999999</v>
      </c>
    </row>
    <row r="458" spans="36:38" ht="16.5" x14ac:dyDescent="0.3">
      <c r="AJ458" s="377">
        <v>914.56</v>
      </c>
      <c r="AK458" s="377">
        <v>694.34</v>
      </c>
      <c r="AL458" s="378">
        <v>2441.09</v>
      </c>
    </row>
    <row r="459" spans="36:38" ht="16.5" x14ac:dyDescent="0.3">
      <c r="AJ459" s="377">
        <v>911.16</v>
      </c>
      <c r="AK459" s="377">
        <v>690.98</v>
      </c>
      <c r="AL459" s="378">
        <v>2442.2959999999998</v>
      </c>
    </row>
    <row r="460" spans="36:38" ht="16.5" x14ac:dyDescent="0.3">
      <c r="AJ460" s="377">
        <v>901.82</v>
      </c>
      <c r="AK460" s="377">
        <v>682.58</v>
      </c>
      <c r="AL460" s="378">
        <v>2444.6064000000001</v>
      </c>
    </row>
    <row r="461" spans="36:38" ht="16.5" x14ac:dyDescent="0.3">
      <c r="AJ461" s="377">
        <v>899.46</v>
      </c>
      <c r="AK461" s="377">
        <v>675.84</v>
      </c>
      <c r="AL461" s="378">
        <v>2446.3069999999998</v>
      </c>
    </row>
    <row r="462" spans="36:38" ht="16.5" x14ac:dyDescent="0.3">
      <c r="AJ462" s="377">
        <v>897.86</v>
      </c>
      <c r="AK462" s="377">
        <v>667.74</v>
      </c>
      <c r="AL462" s="378">
        <v>2448.0729999999999</v>
      </c>
    </row>
    <row r="463" spans="36:38" ht="16.5" x14ac:dyDescent="0.3">
      <c r="AJ463" s="377">
        <v>900.21</v>
      </c>
      <c r="AK463" s="377">
        <v>660.68</v>
      </c>
      <c r="AL463" s="378">
        <v>2450.11</v>
      </c>
    </row>
    <row r="464" spans="36:38" ht="16.5" x14ac:dyDescent="0.3">
      <c r="AJ464" s="377">
        <v>898.36</v>
      </c>
      <c r="AK464" s="377">
        <v>653.19000000000005</v>
      </c>
      <c r="AL464" s="378">
        <v>2452.7959999999998</v>
      </c>
    </row>
    <row r="465" spans="36:38" ht="16.5" x14ac:dyDescent="0.3">
      <c r="AJ465" s="377">
        <v>897.61</v>
      </c>
      <c r="AK465" s="377">
        <v>649.59</v>
      </c>
      <c r="AL465" s="378">
        <v>2454.3159999999998</v>
      </c>
    </row>
    <row r="466" spans="36:38" ht="16.5" x14ac:dyDescent="0.3">
      <c r="AJ466" s="377">
        <v>897.09</v>
      </c>
      <c r="AK466" s="377">
        <v>644.48</v>
      </c>
      <c r="AL466" s="378">
        <v>2456.2429999999999</v>
      </c>
    </row>
    <row r="467" spans="36:38" ht="16.5" x14ac:dyDescent="0.3">
      <c r="AJ467" s="377">
        <v>891.73</v>
      </c>
      <c r="AK467" s="377">
        <v>636.99</v>
      </c>
      <c r="AL467" s="378">
        <v>2459.3789999999999</v>
      </c>
    </row>
    <row r="468" spans="36:38" ht="16.5" x14ac:dyDescent="0.3">
      <c r="AJ468" s="377">
        <v>887.96</v>
      </c>
      <c r="AK468" s="377">
        <v>634.86</v>
      </c>
      <c r="AL468" s="378">
        <v>2460.4560999999999</v>
      </c>
    </row>
    <row r="469" spans="36:38" ht="16.5" x14ac:dyDescent="0.3">
      <c r="AJ469" s="377">
        <v>881.47</v>
      </c>
      <c r="AK469" s="377">
        <v>631.5</v>
      </c>
      <c r="AL469" s="378">
        <v>2462.3485000000001</v>
      </c>
    </row>
    <row r="470" spans="36:38" ht="16.5" x14ac:dyDescent="0.3">
      <c r="AJ470" s="377">
        <v>874.56</v>
      </c>
      <c r="AK470" s="377">
        <v>628.80999999999995</v>
      </c>
      <c r="AL470" s="378">
        <v>2464.4189000000001</v>
      </c>
    </row>
    <row r="471" spans="36:38" ht="16.5" x14ac:dyDescent="0.3">
      <c r="AJ471" s="377">
        <v>862.5</v>
      </c>
      <c r="AK471" s="377">
        <v>629.16999999999996</v>
      </c>
      <c r="AL471" s="378">
        <v>2466.8154</v>
      </c>
    </row>
    <row r="472" spans="36:38" ht="16.5" x14ac:dyDescent="0.3">
      <c r="AJ472" s="377">
        <v>852.91</v>
      </c>
      <c r="AK472" s="377">
        <v>629.6</v>
      </c>
      <c r="AL472" s="378">
        <v>2468.4009999999998</v>
      </c>
    </row>
    <row r="473" spans="36:38" ht="16.5" x14ac:dyDescent="0.3">
      <c r="AJ473" s="377">
        <v>842.76</v>
      </c>
      <c r="AK473" s="377">
        <v>630.29999999999995</v>
      </c>
      <c r="AL473" s="378">
        <v>2469.7890000000002</v>
      </c>
    </row>
    <row r="474" spans="36:38" ht="16.5" x14ac:dyDescent="0.3">
      <c r="AJ474" s="377">
        <v>835.93</v>
      </c>
      <c r="AK474" s="377">
        <v>632.91999999999996</v>
      </c>
      <c r="AL474" s="378">
        <v>2470.4432999999999</v>
      </c>
    </row>
    <row r="475" spans="36:38" ht="16.5" x14ac:dyDescent="0.3">
      <c r="AJ475" s="377">
        <v>835.22</v>
      </c>
      <c r="AK475" s="377">
        <v>633.77</v>
      </c>
      <c r="AL475" s="378">
        <v>2470.4771000000001</v>
      </c>
    </row>
    <row r="476" spans="36:38" ht="16.5" x14ac:dyDescent="0.3">
      <c r="AJ476" s="377">
        <v>828.75</v>
      </c>
      <c r="AK476" s="377">
        <v>641.21</v>
      </c>
      <c r="AL476" s="378">
        <v>2470.797</v>
      </c>
    </row>
    <row r="477" spans="36:38" ht="16.5" x14ac:dyDescent="0.3">
      <c r="AJ477" s="377">
        <v>824.71</v>
      </c>
      <c r="AK477" s="377">
        <v>644.38</v>
      </c>
      <c r="AL477" s="378">
        <v>2470.6970000000001</v>
      </c>
    </row>
    <row r="478" spans="36:38" ht="16.5" x14ac:dyDescent="0.3">
      <c r="AJ478" s="377">
        <v>814.96</v>
      </c>
      <c r="AK478" s="377">
        <v>649.13</v>
      </c>
      <c r="AL478" s="378">
        <v>2471.0300000000002</v>
      </c>
    </row>
    <row r="479" spans="36:38" ht="16.5" x14ac:dyDescent="0.3">
      <c r="AJ479" s="377">
        <v>808.05</v>
      </c>
      <c r="AK479" s="377">
        <v>651.47</v>
      </c>
      <c r="AL479" s="378">
        <v>2471.3647000000001</v>
      </c>
    </row>
    <row r="480" spans="36:38" ht="16.5" x14ac:dyDescent="0.3">
      <c r="AJ480" s="377">
        <v>799.41</v>
      </c>
      <c r="AK480" s="377">
        <v>653.6</v>
      </c>
      <c r="AL480" s="378">
        <v>2471.9189000000001</v>
      </c>
    </row>
    <row r="481" spans="36:38" ht="16.5" x14ac:dyDescent="0.3">
      <c r="AJ481" s="377">
        <v>795.83</v>
      </c>
      <c r="AK481" s="377">
        <v>655.5</v>
      </c>
      <c r="AL481" s="378">
        <v>2471.7150000000001</v>
      </c>
    </row>
    <row r="482" spans="36:38" ht="16.5" x14ac:dyDescent="0.3">
      <c r="AJ482" s="377">
        <v>788.98</v>
      </c>
      <c r="AK482" s="377">
        <v>661.14</v>
      </c>
      <c r="AL482" s="378">
        <v>2470.998</v>
      </c>
    </row>
    <row r="483" spans="36:38" ht="16.5" x14ac:dyDescent="0.3">
      <c r="AJ483" s="377">
        <v>786.25</v>
      </c>
      <c r="AK483" s="377">
        <v>664.49</v>
      </c>
      <c r="AL483" s="378">
        <v>2470.7600000000002</v>
      </c>
    </row>
    <row r="484" spans="36:38" ht="16.5" x14ac:dyDescent="0.3">
      <c r="AJ484" s="377">
        <v>779.1</v>
      </c>
      <c r="AK484" s="377">
        <v>668.45</v>
      </c>
      <c r="AL484" s="378">
        <v>2470.8249999999998</v>
      </c>
    </row>
    <row r="485" spans="36:38" ht="16.5" x14ac:dyDescent="0.3">
      <c r="AJ485" s="377">
        <v>775.24</v>
      </c>
      <c r="AK485" s="377">
        <v>670.89</v>
      </c>
      <c r="AL485" s="378">
        <v>2470.6179999999999</v>
      </c>
    </row>
    <row r="486" spans="36:38" ht="16.5" x14ac:dyDescent="0.3">
      <c r="AJ486" s="377">
        <v>766.73</v>
      </c>
      <c r="AK486" s="377">
        <v>668.93</v>
      </c>
      <c r="AL486" s="378">
        <v>2470.7979999999998</v>
      </c>
    </row>
    <row r="487" spans="36:38" ht="16.5" x14ac:dyDescent="0.3">
      <c r="AJ487" s="377">
        <v>758.04</v>
      </c>
      <c r="AK487" s="377">
        <v>663.04</v>
      </c>
      <c r="AL487" s="378">
        <v>2471.2739999999999</v>
      </c>
    </row>
    <row r="488" spans="36:38" ht="16.5" x14ac:dyDescent="0.3">
      <c r="AJ488" s="377">
        <v>752.73</v>
      </c>
      <c r="AK488" s="377">
        <v>659.46</v>
      </c>
      <c r="AL488" s="378">
        <v>2471.61</v>
      </c>
    </row>
    <row r="489" spans="36:38" ht="16.5" x14ac:dyDescent="0.3">
      <c r="AJ489" s="377">
        <v>743.17</v>
      </c>
      <c r="AK489" s="377">
        <v>657.27</v>
      </c>
      <c r="AL489" s="378">
        <v>2472.6289999999999</v>
      </c>
    </row>
    <row r="490" spans="36:38" ht="16.5" x14ac:dyDescent="0.3">
      <c r="AJ490" s="377">
        <v>735.39</v>
      </c>
      <c r="AK490" s="377">
        <v>656.11</v>
      </c>
      <c r="AL490" s="378">
        <v>2472.9119999999998</v>
      </c>
    </row>
    <row r="491" spans="36:38" ht="16.5" x14ac:dyDescent="0.3">
      <c r="AJ491" s="377">
        <v>726.9</v>
      </c>
      <c r="AK491" s="377">
        <v>657.89</v>
      </c>
      <c r="AL491" s="378">
        <v>2474.2873</v>
      </c>
    </row>
    <row r="492" spans="36:38" ht="16.5" x14ac:dyDescent="0.3">
      <c r="AJ492" s="377">
        <v>726.07</v>
      </c>
      <c r="AK492" s="377">
        <v>657.52</v>
      </c>
      <c r="AL492" s="378">
        <v>2474.3352</v>
      </c>
    </row>
    <row r="493" spans="36:38" ht="16.5" x14ac:dyDescent="0.3">
      <c r="AJ493" s="377">
        <v>717.73</v>
      </c>
      <c r="AK493" s="377">
        <v>654.15</v>
      </c>
      <c r="AL493" s="378">
        <v>2474.3119999999999</v>
      </c>
    </row>
    <row r="494" spans="36:38" ht="16.5" x14ac:dyDescent="0.3">
      <c r="AJ494" s="377">
        <v>712.32</v>
      </c>
      <c r="AK494" s="377">
        <v>652.79</v>
      </c>
      <c r="AL494" s="378">
        <v>2474.5500000000002</v>
      </c>
    </row>
    <row r="495" spans="36:38" ht="16.5" x14ac:dyDescent="0.3">
      <c r="AJ495" s="377">
        <v>702.27</v>
      </c>
      <c r="AK495" s="377">
        <v>651.04999999999995</v>
      </c>
      <c r="AL495" s="378">
        <v>2475.1729999999998</v>
      </c>
    </row>
    <row r="496" spans="36:38" ht="16.5" x14ac:dyDescent="0.3">
      <c r="AJ496" s="377">
        <v>696.67</v>
      </c>
      <c r="AK496" s="377">
        <v>649.29999999999995</v>
      </c>
      <c r="AL496" s="378">
        <v>2475.5861</v>
      </c>
    </row>
    <row r="497" spans="36:38" ht="16.5" x14ac:dyDescent="0.3">
      <c r="AJ497" s="377">
        <v>689.19</v>
      </c>
      <c r="AK497" s="377">
        <v>643.45000000000005</v>
      </c>
      <c r="AL497" s="378">
        <v>2476.9560999999999</v>
      </c>
    </row>
    <row r="498" spans="36:38" ht="16.5" x14ac:dyDescent="0.3">
      <c r="AJ498" s="377">
        <v>685.57</v>
      </c>
      <c r="AK498" s="377">
        <v>639.32000000000005</v>
      </c>
      <c r="AL498" s="378">
        <v>2478.0648999999999</v>
      </c>
    </row>
    <row r="499" spans="36:38" ht="16.5" x14ac:dyDescent="0.3">
      <c r="AJ499" s="377">
        <v>681.21</v>
      </c>
      <c r="AK499" s="377">
        <v>635.72</v>
      </c>
      <c r="AL499" s="378">
        <v>2478.8928999999998</v>
      </c>
    </row>
    <row r="500" spans="36:38" ht="16.5" x14ac:dyDescent="0.3">
      <c r="AJ500" s="377">
        <v>676.97</v>
      </c>
      <c r="AK500" s="377">
        <v>632.79999999999995</v>
      </c>
      <c r="AL500" s="378">
        <v>2479.777</v>
      </c>
    </row>
    <row r="501" spans="36:38" ht="16.5" x14ac:dyDescent="0.3">
      <c r="AJ501" s="377">
        <v>668.47</v>
      </c>
      <c r="AK501" s="377">
        <v>626.29</v>
      </c>
      <c r="AL501" s="378">
        <v>2481.7208999999998</v>
      </c>
    </row>
    <row r="502" spans="36:38" ht="16.5" x14ac:dyDescent="0.3">
      <c r="AJ502" s="377">
        <v>662.68</v>
      </c>
      <c r="AK502" s="377">
        <v>616.41</v>
      </c>
      <c r="AL502" s="378">
        <v>2484.7945</v>
      </c>
    </row>
    <row r="503" spans="36:38" ht="16.5" x14ac:dyDescent="0.3">
      <c r="AJ503" s="377">
        <v>659.92</v>
      </c>
      <c r="AK503" s="377">
        <v>613.02</v>
      </c>
      <c r="AL503" s="378">
        <v>2486.1469999999999</v>
      </c>
    </row>
    <row r="504" spans="36:38" ht="16.5" x14ac:dyDescent="0.3">
      <c r="AJ504" s="377">
        <v>657.44</v>
      </c>
      <c r="AK504" s="377">
        <v>612.09</v>
      </c>
      <c r="AL504" s="378">
        <v>2486.6840000000002</v>
      </c>
    </row>
    <row r="505" spans="36:38" ht="16.5" x14ac:dyDescent="0.3">
      <c r="AJ505" s="377">
        <v>656.74</v>
      </c>
      <c r="AK505" s="377">
        <v>611.78</v>
      </c>
      <c r="AL505" s="378">
        <v>2486.8497000000002</v>
      </c>
    </row>
    <row r="506" spans="36:38" ht="16.5" x14ac:dyDescent="0.3">
      <c r="AJ506" s="377">
        <v>654.58000000000004</v>
      </c>
      <c r="AK506" s="377">
        <v>610.16</v>
      </c>
      <c r="AL506" s="378">
        <v>2487.4405000000002</v>
      </c>
    </row>
    <row r="507" spans="36:38" ht="16.5" x14ac:dyDescent="0.3">
      <c r="AJ507" s="377">
        <v>654.30999999999995</v>
      </c>
      <c r="AK507" s="377">
        <v>609.84</v>
      </c>
      <c r="AL507" s="378">
        <v>2487.5320000000002</v>
      </c>
    </row>
    <row r="508" spans="36:38" ht="16.5" x14ac:dyDescent="0.3">
      <c r="AJ508" s="377">
        <v>648.95000000000005</v>
      </c>
      <c r="AK508" s="377">
        <v>604.53</v>
      </c>
      <c r="AL508" s="378">
        <v>2489.8125</v>
      </c>
    </row>
    <row r="509" spans="36:38" ht="16.5" x14ac:dyDescent="0.3">
      <c r="AJ509" s="377">
        <v>645.13</v>
      </c>
      <c r="AK509" s="377">
        <v>603.6</v>
      </c>
      <c r="AL509" s="378">
        <v>2490.616</v>
      </c>
    </row>
    <row r="510" spans="36:38" ht="16.5" x14ac:dyDescent="0.3">
      <c r="AJ510" s="377">
        <v>640.85</v>
      </c>
      <c r="AK510" s="377">
        <v>599.84</v>
      </c>
      <c r="AL510" s="378">
        <v>2492.0180999999998</v>
      </c>
    </row>
    <row r="511" spans="36:38" ht="16.5" x14ac:dyDescent="0.3">
      <c r="AJ511" s="377">
        <v>639.82000000000005</v>
      </c>
      <c r="AK511" s="377">
        <v>598.83000000000004</v>
      </c>
      <c r="AL511" s="378">
        <v>2492.4560999999999</v>
      </c>
    </row>
    <row r="512" spans="36:38" ht="16.5" x14ac:dyDescent="0.3">
      <c r="AJ512" s="377">
        <v>632.29999999999995</v>
      </c>
      <c r="AK512" s="377">
        <v>595.69000000000005</v>
      </c>
      <c r="AL512" s="378">
        <v>2493.8719000000001</v>
      </c>
    </row>
    <row r="513" spans="36:38" ht="16.5" x14ac:dyDescent="0.3">
      <c r="AJ513" s="377">
        <v>626.5</v>
      </c>
      <c r="AK513" s="377">
        <v>594.96</v>
      </c>
      <c r="AL513" s="378">
        <v>2494.4859999999999</v>
      </c>
    </row>
    <row r="514" spans="36:38" ht="16.5" x14ac:dyDescent="0.3">
      <c r="AJ514" s="377">
        <v>617</v>
      </c>
      <c r="AK514" s="377">
        <v>591.4</v>
      </c>
      <c r="AL514" s="378">
        <v>2495.9180000000001</v>
      </c>
    </row>
    <row r="515" spans="36:38" ht="16.5" x14ac:dyDescent="0.3">
      <c r="AJ515" s="377">
        <v>612.76</v>
      </c>
      <c r="AK515" s="377">
        <v>589.16999999999996</v>
      </c>
      <c r="AL515" s="378">
        <v>2496.8148999999999</v>
      </c>
    </row>
    <row r="516" spans="36:38" ht="16.5" x14ac:dyDescent="0.3">
      <c r="AJ516" s="377">
        <v>606.01</v>
      </c>
      <c r="AK516" s="377">
        <v>586.47</v>
      </c>
      <c r="AL516" s="378">
        <v>2498.0311000000002</v>
      </c>
    </row>
    <row r="517" spans="36:38" ht="16.5" x14ac:dyDescent="0.3">
      <c r="AJ517" s="377">
        <v>602.58000000000004</v>
      </c>
      <c r="AK517" s="377">
        <v>586.38</v>
      </c>
      <c r="AL517" s="378">
        <v>2498.7491</v>
      </c>
    </row>
    <row r="518" spans="36:38" ht="16.5" x14ac:dyDescent="0.3">
      <c r="AJ518" s="377">
        <v>599.03</v>
      </c>
      <c r="AK518" s="377">
        <v>586.76</v>
      </c>
      <c r="AL518" s="378">
        <v>2499.1028999999999</v>
      </c>
    </row>
    <row r="519" spans="36:38" ht="16.5" x14ac:dyDescent="0.3">
      <c r="AJ519" s="377">
        <v>597.79999999999995</v>
      </c>
      <c r="AK519" s="377">
        <v>586.38</v>
      </c>
      <c r="AL519" s="378">
        <v>2499.2773000000002</v>
      </c>
    </row>
    <row r="520" spans="36:38" ht="16.5" x14ac:dyDescent="0.3">
      <c r="AJ520" s="377">
        <v>594.08000000000004</v>
      </c>
      <c r="AK520" s="377">
        <v>583.39</v>
      </c>
      <c r="AL520" s="378">
        <v>2499.6471000000001</v>
      </c>
    </row>
    <row r="521" spans="36:38" ht="16.5" x14ac:dyDescent="0.3">
      <c r="AJ521" s="377">
        <v>593.16999999999996</v>
      </c>
      <c r="AK521" s="377">
        <v>580.25</v>
      </c>
      <c r="AL521" s="378">
        <v>2500.1581999999999</v>
      </c>
    </row>
    <row r="522" spans="36:38" ht="16.5" x14ac:dyDescent="0.3">
      <c r="AJ522" s="377">
        <v>591.39</v>
      </c>
      <c r="AK522" s="377">
        <v>577.46</v>
      </c>
      <c r="AL522" s="378">
        <v>2500.5590000000002</v>
      </c>
    </row>
    <row r="523" spans="36:38" ht="16.5" x14ac:dyDescent="0.3">
      <c r="AJ523" s="377">
        <v>591.03</v>
      </c>
      <c r="AK523" s="377">
        <v>576.99</v>
      </c>
      <c r="AL523" s="378">
        <v>2500.6279</v>
      </c>
    </row>
    <row r="524" spans="36:38" ht="16.5" x14ac:dyDescent="0.3">
      <c r="AJ524" s="377">
        <v>590.67999999999995</v>
      </c>
      <c r="AK524" s="377">
        <v>576.52</v>
      </c>
      <c r="AL524" s="378">
        <v>2500.6970000000001</v>
      </c>
    </row>
    <row r="525" spans="36:38" ht="16.5" x14ac:dyDescent="0.3">
      <c r="AJ525" s="377">
        <v>586.99</v>
      </c>
      <c r="AK525" s="377">
        <v>573.66</v>
      </c>
      <c r="AL525" s="378">
        <v>2501.1080000000002</v>
      </c>
    </row>
    <row r="526" spans="36:38" ht="16.5" x14ac:dyDescent="0.3">
      <c r="AJ526" s="377">
        <v>580.33000000000004</v>
      </c>
      <c r="AK526" s="377">
        <v>568.63</v>
      </c>
      <c r="AL526" s="378">
        <v>2502.4353999999998</v>
      </c>
    </row>
    <row r="527" spans="36:38" ht="16.5" x14ac:dyDescent="0.3">
      <c r="AJ527" s="377">
        <v>572.41</v>
      </c>
      <c r="AK527" s="377">
        <v>563.37</v>
      </c>
      <c r="AL527" s="378">
        <v>2503.7523999999999</v>
      </c>
    </row>
    <row r="528" spans="36:38" ht="16.5" x14ac:dyDescent="0.3">
      <c r="AJ528" s="377">
        <v>566.57000000000005</v>
      </c>
      <c r="AK528" s="377">
        <v>561.03</v>
      </c>
      <c r="AL528" s="378">
        <v>2504.9931999999999</v>
      </c>
    </row>
    <row r="529" spans="36:38" ht="16.5" x14ac:dyDescent="0.3">
      <c r="AJ529" s="377">
        <v>561.80999999999995</v>
      </c>
      <c r="AK529" s="377">
        <v>562.70000000000005</v>
      </c>
      <c r="AL529" s="378">
        <v>2505.808</v>
      </c>
    </row>
    <row r="530" spans="36:38" ht="16.5" x14ac:dyDescent="0.3">
      <c r="AJ530" s="377">
        <v>553.97</v>
      </c>
      <c r="AK530" s="377">
        <v>557.51</v>
      </c>
      <c r="AL530" s="378">
        <v>2506.4121</v>
      </c>
    </row>
    <row r="531" spans="36:38" ht="16.5" x14ac:dyDescent="0.3">
      <c r="AJ531" s="377">
        <v>549.87</v>
      </c>
      <c r="AK531" s="377">
        <v>556.41</v>
      </c>
      <c r="AL531" s="378">
        <v>2506.8094000000001</v>
      </c>
    </row>
    <row r="532" spans="36:38" ht="16.5" x14ac:dyDescent="0.3">
      <c r="AJ532" s="377">
        <v>544.54</v>
      </c>
      <c r="AK532" s="377">
        <v>551.13</v>
      </c>
      <c r="AL532" s="378">
        <v>2507.8517999999999</v>
      </c>
    </row>
    <row r="533" spans="36:38" ht="16.5" x14ac:dyDescent="0.3">
      <c r="AJ533" s="377">
        <v>536.66</v>
      </c>
      <c r="AK533" s="377">
        <v>543.04</v>
      </c>
      <c r="AL533" s="378">
        <v>2510.2332999999999</v>
      </c>
    </row>
    <row r="534" spans="36:38" ht="16.5" x14ac:dyDescent="0.3">
      <c r="AJ534" s="377">
        <v>531.02</v>
      </c>
      <c r="AK534" s="377">
        <v>536.98</v>
      </c>
      <c r="AL534" s="378">
        <v>2510.9766</v>
      </c>
    </row>
    <row r="535" spans="36:38" ht="16.5" x14ac:dyDescent="0.3">
      <c r="AJ535" s="377">
        <v>526.09</v>
      </c>
      <c r="AK535" s="377">
        <v>530.87</v>
      </c>
      <c r="AL535" s="378">
        <v>2511.9522999999999</v>
      </c>
    </row>
    <row r="536" spans="36:38" ht="16.5" x14ac:dyDescent="0.3">
      <c r="AJ536" s="377">
        <v>523.82000000000005</v>
      </c>
      <c r="AK536" s="377">
        <v>528.47</v>
      </c>
      <c r="AL536" s="378">
        <v>2512.4319</v>
      </c>
    </row>
    <row r="537" spans="36:38" ht="16.5" x14ac:dyDescent="0.3">
      <c r="AJ537" s="377">
        <v>519.73</v>
      </c>
      <c r="AK537" s="377">
        <v>523.79</v>
      </c>
      <c r="AL537" s="378">
        <v>2513.3407999999999</v>
      </c>
    </row>
    <row r="538" spans="36:38" ht="16.5" x14ac:dyDescent="0.3">
      <c r="AJ538" s="377">
        <v>516.22</v>
      </c>
      <c r="AK538" s="377">
        <v>520.02</v>
      </c>
      <c r="AL538" s="378">
        <v>2514.2029000000002</v>
      </c>
    </row>
    <row r="539" spans="36:38" ht="16.5" x14ac:dyDescent="0.3">
      <c r="AJ539" s="377">
        <v>505.59</v>
      </c>
      <c r="AK539" s="377">
        <v>509.19</v>
      </c>
      <c r="AL539" s="378">
        <v>2516.7402999999999</v>
      </c>
    </row>
    <row r="540" spans="36:38" ht="16.5" x14ac:dyDescent="0.3">
      <c r="AJ540" s="377">
        <v>500.62</v>
      </c>
      <c r="AK540" s="377">
        <v>504.83</v>
      </c>
      <c r="AL540" s="378">
        <v>2517.5731999999998</v>
      </c>
    </row>
    <row r="541" spans="36:38" ht="16.5" x14ac:dyDescent="0.3">
      <c r="AJ541" s="377">
        <v>495.06</v>
      </c>
      <c r="AK541" s="377">
        <v>498.24</v>
      </c>
      <c r="AL541" s="378">
        <v>2519.0048999999999</v>
      </c>
    </row>
    <row r="542" spans="36:38" ht="16.5" x14ac:dyDescent="0.3">
      <c r="AJ542" s="377">
        <v>489.7</v>
      </c>
      <c r="AK542" s="377">
        <v>494.4</v>
      </c>
      <c r="AL542" s="378">
        <v>2519.8887</v>
      </c>
    </row>
    <row r="543" spans="36:38" ht="16.5" x14ac:dyDescent="0.3">
      <c r="AJ543" s="377">
        <v>481.28</v>
      </c>
      <c r="AK543" s="377">
        <v>489.41</v>
      </c>
      <c r="AL543" s="378">
        <v>2520.9953999999998</v>
      </c>
    </row>
    <row r="544" spans="36:38" ht="16.5" x14ac:dyDescent="0.3">
      <c r="AJ544" s="377">
        <v>475.7</v>
      </c>
      <c r="AK544" s="377">
        <v>486.11</v>
      </c>
      <c r="AL544" s="378">
        <v>2521.7462</v>
      </c>
    </row>
    <row r="545" spans="36:38" ht="16.5" x14ac:dyDescent="0.3">
      <c r="AJ545" s="377">
        <v>467.76</v>
      </c>
      <c r="AK545" s="377">
        <v>483.24</v>
      </c>
      <c r="AL545" s="378">
        <v>2522.5634</v>
      </c>
    </row>
    <row r="546" spans="36:38" ht="16.5" x14ac:dyDescent="0.3">
      <c r="AJ546" s="377">
        <v>457</v>
      </c>
      <c r="AK546" s="377">
        <v>479.44</v>
      </c>
      <c r="AL546" s="378">
        <v>2523.7399999999998</v>
      </c>
    </row>
    <row r="547" spans="36:38" ht="16.5" x14ac:dyDescent="0.3">
      <c r="AJ547" s="377">
        <v>450.38</v>
      </c>
      <c r="AK547" s="377">
        <v>477.46</v>
      </c>
      <c r="AL547" s="378">
        <v>2524.2051999999999</v>
      </c>
    </row>
    <row r="548" spans="36:38" ht="16.5" x14ac:dyDescent="0.3">
      <c r="AJ548" s="377">
        <v>443.2</v>
      </c>
      <c r="AK548" s="377">
        <v>476.23</v>
      </c>
      <c r="AL548" s="378">
        <v>2524.7797999999998</v>
      </c>
    </row>
    <row r="549" spans="36:38" ht="16.5" x14ac:dyDescent="0.3">
      <c r="AJ549" s="377">
        <v>435.45</v>
      </c>
      <c r="AK549" s="377">
        <v>474.33</v>
      </c>
      <c r="AL549" s="378">
        <v>2525.549</v>
      </c>
    </row>
    <row r="550" spans="36:38" ht="16.5" x14ac:dyDescent="0.3">
      <c r="AJ550" s="377">
        <v>430.8</v>
      </c>
      <c r="AK550" s="377">
        <v>473.19</v>
      </c>
      <c r="AL550" s="378">
        <v>2525.8919999999998</v>
      </c>
    </row>
    <row r="551" spans="36:38" ht="16.5" x14ac:dyDescent="0.3">
      <c r="AJ551" s="377">
        <v>425.72</v>
      </c>
      <c r="AK551" s="377">
        <v>471.86</v>
      </c>
      <c r="AL551" s="378">
        <v>2526.172</v>
      </c>
    </row>
    <row r="552" spans="36:38" ht="16.5" x14ac:dyDescent="0.3">
      <c r="AJ552" s="377">
        <v>420.03</v>
      </c>
      <c r="AK552" s="377">
        <v>471.46</v>
      </c>
      <c r="AL552" s="378">
        <v>2526.2339999999999</v>
      </c>
    </row>
    <row r="553" spans="36:38" ht="16.5" x14ac:dyDescent="0.3">
      <c r="AJ553" s="377">
        <v>419.02</v>
      </c>
      <c r="AK553" s="377">
        <v>471.42</v>
      </c>
      <c r="AL553" s="378">
        <v>2526.2874999999999</v>
      </c>
    </row>
    <row r="554" spans="36:38" ht="16.5" x14ac:dyDescent="0.3">
      <c r="AJ554" s="377">
        <v>419.02</v>
      </c>
      <c r="AK554" s="377">
        <v>471.42</v>
      </c>
      <c r="AL554" s="378">
        <v>2526.2876000000001</v>
      </c>
    </row>
    <row r="555" spans="36:38" ht="16.5" x14ac:dyDescent="0.3">
      <c r="AJ555" s="377">
        <v>416.99</v>
      </c>
      <c r="AK555" s="377">
        <v>470.26</v>
      </c>
      <c r="AL555" s="378">
        <v>2526.6169</v>
      </c>
    </row>
    <row r="556" spans="36:38" ht="16.5" x14ac:dyDescent="0.3">
      <c r="AJ556" s="377">
        <v>416.37</v>
      </c>
      <c r="AK556" s="377">
        <v>469.72</v>
      </c>
      <c r="AL556" s="378">
        <v>2526.8235</v>
      </c>
    </row>
    <row r="557" spans="36:38" ht="16.5" x14ac:dyDescent="0.3">
      <c r="AJ557" s="377">
        <v>412.38</v>
      </c>
      <c r="AK557" s="377">
        <v>467.95</v>
      </c>
      <c r="AL557" s="378">
        <v>2527.2069999999999</v>
      </c>
    </row>
    <row r="558" spans="36:38" ht="16.5" x14ac:dyDescent="0.3">
      <c r="AJ558" s="377">
        <v>407.48</v>
      </c>
      <c r="AK558" s="377">
        <v>466.38</v>
      </c>
      <c r="AL558" s="378">
        <v>2527.5909000000001</v>
      </c>
    </row>
    <row r="559" spans="36:38" ht="16.5" x14ac:dyDescent="0.3">
      <c r="AJ559" s="377">
        <v>402.03</v>
      </c>
      <c r="AK559" s="377">
        <v>463.38</v>
      </c>
      <c r="AL559" s="378">
        <v>2528.1990000000001</v>
      </c>
    </row>
    <row r="560" spans="36:38" ht="16.5" x14ac:dyDescent="0.3">
      <c r="AJ560" s="377">
        <v>398.79</v>
      </c>
      <c r="AK560" s="377">
        <v>462.41</v>
      </c>
      <c r="AL560" s="378">
        <v>2528.3090000000002</v>
      </c>
    </row>
    <row r="561" spans="36:38" ht="16.5" x14ac:dyDescent="0.3">
      <c r="AJ561" s="377">
        <v>393.84</v>
      </c>
      <c r="AK561" s="377">
        <v>461.17</v>
      </c>
      <c r="AL561" s="378">
        <v>2528.652</v>
      </c>
    </row>
    <row r="562" spans="36:38" ht="16.5" x14ac:dyDescent="0.3">
      <c r="AJ562" s="377">
        <v>387.25</v>
      </c>
      <c r="AK562" s="377">
        <v>458.71</v>
      </c>
      <c r="AL562" s="378">
        <v>2529.1550000000002</v>
      </c>
    </row>
    <row r="563" spans="36:38" ht="16.5" x14ac:dyDescent="0.3">
      <c r="AJ563" s="377">
        <v>381.37</v>
      </c>
      <c r="AK563" s="377">
        <v>456.21</v>
      </c>
      <c r="AL563" s="378">
        <v>2529.9101999999998</v>
      </c>
    </row>
    <row r="564" spans="36:38" ht="16.5" x14ac:dyDescent="0.3">
      <c r="AJ564" s="377">
        <v>375.81</v>
      </c>
      <c r="AK564" s="377">
        <v>451.72</v>
      </c>
      <c r="AL564" s="378">
        <v>2530.4171999999999</v>
      </c>
    </row>
    <row r="565" spans="36:38" ht="16.5" x14ac:dyDescent="0.3">
      <c r="AJ565" s="377">
        <v>372.59</v>
      </c>
      <c r="AK565" s="377">
        <v>446.57</v>
      </c>
      <c r="AL565" s="378">
        <v>2531.3600999999999</v>
      </c>
    </row>
    <row r="566" spans="36:38" ht="16.5" x14ac:dyDescent="0.3">
      <c r="AJ566" s="377">
        <v>368.89</v>
      </c>
      <c r="AK566" s="377">
        <v>438.41</v>
      </c>
      <c r="AL566" s="378">
        <v>2533.3449999999998</v>
      </c>
    </row>
    <row r="567" spans="36:38" ht="16.5" x14ac:dyDescent="0.3">
      <c r="AJ567" s="377">
        <v>366.14</v>
      </c>
      <c r="AK567" s="377">
        <v>435.28</v>
      </c>
      <c r="AL567" s="378">
        <v>2534.3652000000002</v>
      </c>
    </row>
    <row r="568" spans="36:38" ht="16.5" x14ac:dyDescent="0.3">
      <c r="AJ568" s="377">
        <v>362.05</v>
      </c>
      <c r="AK568" s="377">
        <v>426.33</v>
      </c>
      <c r="AL568" s="378">
        <v>2536.6531</v>
      </c>
    </row>
    <row r="569" spans="36:38" ht="16.5" x14ac:dyDescent="0.3">
      <c r="AJ569" s="377">
        <v>358.46</v>
      </c>
      <c r="AK569" s="377">
        <v>419.76</v>
      </c>
      <c r="AL569" s="378">
        <v>2538.5513000000001</v>
      </c>
    </row>
    <row r="570" spans="36:38" ht="16.5" x14ac:dyDescent="0.3">
      <c r="AJ570" s="377">
        <v>355.62</v>
      </c>
      <c r="AK570" s="377">
        <v>411.95</v>
      </c>
      <c r="AL570" s="378">
        <v>2540.6790000000001</v>
      </c>
    </row>
    <row r="571" spans="36:38" ht="16.5" x14ac:dyDescent="0.3">
      <c r="AJ571" s="377">
        <v>349.76</v>
      </c>
      <c r="AK571" s="377">
        <v>401.94</v>
      </c>
      <c r="AL571" s="378">
        <v>2544.6736999999998</v>
      </c>
    </row>
    <row r="572" spans="36:38" ht="16.5" x14ac:dyDescent="0.3">
      <c r="AJ572" s="377">
        <v>347.88</v>
      </c>
      <c r="AK572" s="377">
        <v>400.62</v>
      </c>
      <c r="AL572" s="378">
        <v>2545.2321000000002</v>
      </c>
    </row>
    <row r="573" spans="36:38" ht="16.5" x14ac:dyDescent="0.3">
      <c r="AJ573" s="377">
        <v>340.86</v>
      </c>
      <c r="AK573" s="377">
        <v>392.03</v>
      </c>
      <c r="AL573" s="378">
        <v>2548.2995999999998</v>
      </c>
    </row>
    <row r="574" spans="36:38" ht="16.5" x14ac:dyDescent="0.3">
      <c r="AJ574" s="377">
        <v>340.42</v>
      </c>
      <c r="AK574" s="377">
        <v>390.98</v>
      </c>
      <c r="AL574" s="378">
        <v>2548.7530999999999</v>
      </c>
    </row>
    <row r="575" spans="36:38" ht="16.5" x14ac:dyDescent="0.3">
      <c r="AJ575" s="377">
        <v>333.42</v>
      </c>
      <c r="AK575" s="377">
        <v>385.83</v>
      </c>
      <c r="AL575" s="378">
        <v>2550.8199</v>
      </c>
    </row>
    <row r="576" spans="36:38" ht="16.5" x14ac:dyDescent="0.3">
      <c r="AJ576" s="377">
        <v>330.27</v>
      </c>
      <c r="AK576" s="377">
        <v>381.65</v>
      </c>
      <c r="AL576" s="378">
        <v>2552.5419999999999</v>
      </c>
    </row>
    <row r="577" spans="36:38" ht="16.5" x14ac:dyDescent="0.3">
      <c r="AJ577" s="377">
        <v>325.04000000000002</v>
      </c>
      <c r="AK577" s="377">
        <v>377.73</v>
      </c>
      <c r="AL577" s="378">
        <v>2554.6010000000001</v>
      </c>
    </row>
    <row r="578" spans="36:38" ht="16.5" x14ac:dyDescent="0.3">
      <c r="AJ578" s="377">
        <v>323.68</v>
      </c>
      <c r="AK578" s="377">
        <v>377.05</v>
      </c>
      <c r="AL578" s="378">
        <v>2554.6639</v>
      </c>
    </row>
    <row r="579" spans="36:38" ht="16.5" x14ac:dyDescent="0.3">
      <c r="AJ579" s="377">
        <v>322.52</v>
      </c>
      <c r="AK579" s="377">
        <v>378.38</v>
      </c>
      <c r="AL579" s="378">
        <v>2554.9506999999999</v>
      </c>
    </row>
    <row r="580" spans="36:38" ht="16.5" x14ac:dyDescent="0.3">
      <c r="AJ580" s="377">
        <v>319.83</v>
      </c>
      <c r="AK580" s="377">
        <v>378.82</v>
      </c>
      <c r="AL580" s="378">
        <v>2555.605</v>
      </c>
    </row>
    <row r="581" spans="36:38" ht="16.5" x14ac:dyDescent="0.3">
      <c r="AJ581" s="377">
        <v>319.83</v>
      </c>
      <c r="AK581" s="377">
        <v>378.82</v>
      </c>
      <c r="AL581" s="378">
        <v>2555.6051000000002</v>
      </c>
    </row>
    <row r="582" spans="36:38" ht="16.5" x14ac:dyDescent="0.3">
      <c r="AJ582" s="377">
        <v>318.87</v>
      </c>
      <c r="AK582" s="377">
        <v>377.61</v>
      </c>
      <c r="AL582" s="378">
        <v>2555.6635999999999</v>
      </c>
    </row>
    <row r="583" spans="36:38" ht="16.5" x14ac:dyDescent="0.3">
      <c r="AJ583" s="377">
        <v>318.64999999999998</v>
      </c>
      <c r="AK583" s="377">
        <v>377.54</v>
      </c>
      <c r="AL583" s="378">
        <v>2555.6752000000001</v>
      </c>
    </row>
    <row r="584" spans="36:38" ht="16.5" x14ac:dyDescent="0.3">
      <c r="AJ584" s="377">
        <v>318.25</v>
      </c>
      <c r="AK584" s="377">
        <v>376.97</v>
      </c>
      <c r="AL584" s="378">
        <v>2555.6997000000001</v>
      </c>
    </row>
    <row r="585" spans="36:38" ht="16.5" x14ac:dyDescent="0.3">
      <c r="AJ585" s="377">
        <v>317.86</v>
      </c>
      <c r="AK585" s="377">
        <v>376.4</v>
      </c>
      <c r="AL585" s="378">
        <v>2555.7244000000001</v>
      </c>
    </row>
    <row r="586" spans="36:38" ht="16.5" x14ac:dyDescent="0.3">
      <c r="AJ586" s="377">
        <v>316.27999999999997</v>
      </c>
      <c r="AK586" s="377">
        <v>375.46</v>
      </c>
      <c r="AL586" s="378">
        <v>2556.0279999999998</v>
      </c>
    </row>
    <row r="587" spans="36:38" ht="16.5" x14ac:dyDescent="0.3">
      <c r="AJ587" s="377">
        <v>307.68</v>
      </c>
      <c r="AK587" s="377">
        <v>373.27</v>
      </c>
      <c r="AL587" s="378">
        <v>2556.9611</v>
      </c>
    </row>
    <row r="588" spans="36:38" ht="16.5" x14ac:dyDescent="0.3">
      <c r="AJ588" s="377">
        <v>302.79000000000002</v>
      </c>
      <c r="AK588" s="377">
        <v>370.49</v>
      </c>
      <c r="AL588" s="378">
        <v>2558.3029999999999</v>
      </c>
    </row>
    <row r="589" spans="36:38" ht="16.5" x14ac:dyDescent="0.3">
      <c r="AJ589" s="377">
        <v>292.63</v>
      </c>
      <c r="AK589" s="377">
        <v>364.53</v>
      </c>
      <c r="AL589" s="378">
        <v>2560.0859</v>
      </c>
    </row>
    <row r="590" spans="36:38" ht="16.5" x14ac:dyDescent="0.3">
      <c r="AJ590" s="377">
        <v>292.63</v>
      </c>
      <c r="AK590" s="377">
        <v>364.53</v>
      </c>
      <c r="AL590" s="378">
        <v>2560.0859</v>
      </c>
    </row>
    <row r="591" spans="36:38" ht="16.5" x14ac:dyDescent="0.3">
      <c r="AJ591" s="377">
        <v>287.02</v>
      </c>
      <c r="AK591" s="377">
        <v>362.88</v>
      </c>
      <c r="AL591" s="378">
        <v>2560.6491000000001</v>
      </c>
    </row>
    <row r="592" spans="36:38" ht="16.5" x14ac:dyDescent="0.3">
      <c r="AJ592" s="377">
        <v>285.47000000000003</v>
      </c>
      <c r="AK592" s="377">
        <v>361.82</v>
      </c>
      <c r="AL592" s="378">
        <v>2560.9521</v>
      </c>
    </row>
    <row r="593" spans="36:38" ht="16.5" x14ac:dyDescent="0.3">
      <c r="AJ593" s="377">
        <v>279.37</v>
      </c>
      <c r="AK593" s="377">
        <v>358.65</v>
      </c>
      <c r="AL593" s="378">
        <v>2561.8598999999999</v>
      </c>
    </row>
    <row r="594" spans="36:38" ht="16.5" x14ac:dyDescent="0.3">
      <c r="AJ594" s="377">
        <v>272.58</v>
      </c>
      <c r="AK594" s="377">
        <v>353.88</v>
      </c>
      <c r="AL594" s="378">
        <v>2562.5747000000001</v>
      </c>
    </row>
    <row r="595" spans="36:38" ht="16.5" x14ac:dyDescent="0.3">
      <c r="AJ595" s="377">
        <v>269.49</v>
      </c>
      <c r="AK595" s="377">
        <v>351.13</v>
      </c>
      <c r="AL595" s="378">
        <v>2562.8112000000001</v>
      </c>
    </row>
    <row r="596" spans="36:38" ht="16.5" x14ac:dyDescent="0.3">
      <c r="AJ596" s="377">
        <v>267.56</v>
      </c>
      <c r="AK596" s="377">
        <v>348.74</v>
      </c>
      <c r="AL596" s="378">
        <v>2563.0232000000001</v>
      </c>
    </row>
    <row r="597" spans="36:38" ht="16.5" x14ac:dyDescent="0.3">
      <c r="AJ597" s="377">
        <v>262.51</v>
      </c>
      <c r="AK597" s="377">
        <v>342.09</v>
      </c>
      <c r="AL597" s="378">
        <v>2564.0160000000001</v>
      </c>
    </row>
    <row r="598" spans="36:38" ht="16.5" x14ac:dyDescent="0.3">
      <c r="AJ598" s="377">
        <v>257.51</v>
      </c>
      <c r="AK598" s="377">
        <v>337.55</v>
      </c>
      <c r="AL598" s="378">
        <v>2565.0254</v>
      </c>
    </row>
    <row r="599" spans="36:38" ht="16.5" x14ac:dyDescent="0.3">
      <c r="AJ599" s="377">
        <v>256.77</v>
      </c>
      <c r="AK599" s="377">
        <v>337.03</v>
      </c>
      <c r="AL599" s="378">
        <v>2565.0778</v>
      </c>
    </row>
    <row r="600" spans="36:38" ht="16.5" x14ac:dyDescent="0.3">
      <c r="AJ600" s="377">
        <v>255.48</v>
      </c>
      <c r="AK600" s="377">
        <v>333.66</v>
      </c>
      <c r="AL600" s="378">
        <v>2565.4902000000002</v>
      </c>
    </row>
    <row r="601" spans="36:38" ht="16.5" x14ac:dyDescent="0.3">
      <c r="AJ601" s="377">
        <v>254.58</v>
      </c>
      <c r="AK601" s="377">
        <v>330.38</v>
      </c>
      <c r="AL601" s="378">
        <v>2566.145</v>
      </c>
    </row>
    <row r="602" spans="36:38" ht="16.5" x14ac:dyDescent="0.3">
      <c r="AJ602" s="377">
        <v>253.04</v>
      </c>
      <c r="AK602" s="377">
        <v>327.45</v>
      </c>
      <c r="AL602" s="378">
        <v>2566.8975</v>
      </c>
    </row>
    <row r="603" spans="36:38" ht="16.5" x14ac:dyDescent="0.3">
      <c r="AJ603" s="377">
        <v>252.27</v>
      </c>
      <c r="AK603" s="377">
        <v>326.89</v>
      </c>
      <c r="AL603" s="378">
        <v>2566.953</v>
      </c>
    </row>
    <row r="604" spans="36:38" ht="16.5" x14ac:dyDescent="0.3">
      <c r="AJ604" s="377">
        <v>249.06</v>
      </c>
      <c r="AK604" s="377">
        <v>324.79000000000002</v>
      </c>
      <c r="AL604" s="378">
        <v>2567.5239999999999</v>
      </c>
    </row>
    <row r="605" spans="36:38" ht="16.5" x14ac:dyDescent="0.3">
      <c r="AJ605" s="377">
        <v>244.56</v>
      </c>
      <c r="AK605" s="377">
        <v>320.94</v>
      </c>
      <c r="AL605" s="378">
        <v>2568.5823</v>
      </c>
    </row>
    <row r="606" spans="36:38" ht="16.5" x14ac:dyDescent="0.3">
      <c r="AJ606" s="377">
        <v>240.87</v>
      </c>
      <c r="AK606" s="377">
        <v>316.72000000000003</v>
      </c>
      <c r="AL606" s="378">
        <v>2569.5124999999998</v>
      </c>
    </row>
    <row r="607" spans="36:38" ht="16.5" x14ac:dyDescent="0.3">
      <c r="AJ607" s="377">
        <v>231.32</v>
      </c>
      <c r="AK607" s="377">
        <v>308.41000000000003</v>
      </c>
      <c r="AL607" s="378">
        <v>2570.9771999999998</v>
      </c>
    </row>
    <row r="608" spans="36:38" ht="16.5" x14ac:dyDescent="0.3">
      <c r="AJ608" s="377">
        <v>228.68</v>
      </c>
      <c r="AK608" s="377">
        <v>307.2</v>
      </c>
      <c r="AL608" s="378">
        <v>2571.3892000000001</v>
      </c>
    </row>
    <row r="609" spans="36:38" ht="16.5" x14ac:dyDescent="0.3">
      <c r="AJ609" s="377">
        <v>217.92</v>
      </c>
      <c r="AK609" s="377">
        <v>299.58999999999997</v>
      </c>
      <c r="AL609" s="378">
        <v>2573.0720000000001</v>
      </c>
    </row>
    <row r="610" spans="36:38" ht="16.5" x14ac:dyDescent="0.3">
      <c r="AJ610" s="377">
        <v>210.14</v>
      </c>
      <c r="AK610" s="377">
        <v>293.7</v>
      </c>
      <c r="AL610" s="378">
        <v>2574.2581</v>
      </c>
    </row>
    <row r="611" spans="36:38" ht="16.5" x14ac:dyDescent="0.3">
      <c r="AJ611" s="377">
        <v>201.8</v>
      </c>
      <c r="AK611" s="377">
        <v>289.79000000000002</v>
      </c>
      <c r="AL611" s="378">
        <v>2575.2808</v>
      </c>
    </row>
    <row r="612" spans="36:38" ht="16.5" x14ac:dyDescent="0.3">
      <c r="AJ612" s="377">
        <v>199.19</v>
      </c>
      <c r="AK612" s="377">
        <v>288.64999999999998</v>
      </c>
      <c r="AL612" s="378">
        <v>2575.6093000000001</v>
      </c>
    </row>
    <row r="613" spans="36:38" ht="16.5" x14ac:dyDescent="0.3">
      <c r="AJ613" s="377">
        <v>190.75</v>
      </c>
      <c r="AK613" s="377">
        <v>280.73</v>
      </c>
      <c r="AL613" s="378">
        <v>2577.4106000000002</v>
      </c>
    </row>
    <row r="614" spans="36:38" ht="16.5" x14ac:dyDescent="0.3">
      <c r="AJ614" s="377">
        <v>186.54</v>
      </c>
      <c r="AK614" s="377">
        <v>275.77</v>
      </c>
      <c r="AL614" s="378">
        <v>2578.8555000000001</v>
      </c>
    </row>
    <row r="615" spans="36:38" ht="16.5" x14ac:dyDescent="0.3">
      <c r="AJ615" s="377">
        <v>181.89</v>
      </c>
      <c r="AK615" s="377">
        <v>270.36</v>
      </c>
      <c r="AL615" s="378">
        <v>2580.5902999999998</v>
      </c>
    </row>
    <row r="616" spans="36:38" ht="16.5" x14ac:dyDescent="0.3">
      <c r="AJ616" s="377">
        <v>176.04</v>
      </c>
      <c r="AK616" s="377">
        <v>262.44</v>
      </c>
      <c r="AL616" s="378">
        <v>2582.7197000000001</v>
      </c>
    </row>
    <row r="617" spans="36:38" ht="16.5" x14ac:dyDescent="0.3">
      <c r="AJ617" s="377">
        <v>170.15</v>
      </c>
      <c r="AK617" s="377">
        <v>255.7</v>
      </c>
      <c r="AL617" s="378">
        <v>2584.6412</v>
      </c>
    </row>
    <row r="618" spans="36:38" ht="16.5" x14ac:dyDescent="0.3">
      <c r="AJ618" s="377">
        <v>162.86000000000001</v>
      </c>
      <c r="AK618" s="377">
        <v>249.17</v>
      </c>
      <c r="AL618" s="378">
        <v>2586.9126999999999</v>
      </c>
    </row>
    <row r="619" spans="36:38" ht="16.5" x14ac:dyDescent="0.3">
      <c r="AJ619" s="377">
        <v>162.54</v>
      </c>
      <c r="AK619" s="377">
        <v>248.8</v>
      </c>
      <c r="AL619" s="378">
        <v>2587.0358000000001</v>
      </c>
    </row>
    <row r="620" spans="36:38" ht="16.5" x14ac:dyDescent="0.3">
      <c r="AJ620" s="377">
        <v>161.41999999999999</v>
      </c>
      <c r="AK620" s="377">
        <v>247.62</v>
      </c>
      <c r="AL620" s="378">
        <v>2587.4115999999999</v>
      </c>
    </row>
    <row r="621" spans="36:38" ht="16.5" x14ac:dyDescent="0.3">
      <c r="AJ621" s="377">
        <v>158.62</v>
      </c>
      <c r="AK621" s="377">
        <v>245.6</v>
      </c>
      <c r="AL621" s="378">
        <v>2588.1343999999999</v>
      </c>
    </row>
    <row r="622" spans="36:38" ht="16.5" x14ac:dyDescent="0.3">
      <c r="AJ622" s="377">
        <v>152.54</v>
      </c>
      <c r="AK622" s="377">
        <v>239.81</v>
      </c>
      <c r="AL622" s="378">
        <v>2589.9512</v>
      </c>
    </row>
    <row r="623" spans="36:38" ht="16.5" x14ac:dyDescent="0.3">
      <c r="AJ623" s="377">
        <v>144.91</v>
      </c>
      <c r="AK623" s="377">
        <v>233.18</v>
      </c>
      <c r="AL623" s="378">
        <v>2592.6941999999999</v>
      </c>
    </row>
    <row r="624" spans="36:38" ht="16.5" x14ac:dyDescent="0.3">
      <c r="AJ624" s="377">
        <v>144.61000000000001</v>
      </c>
      <c r="AK624" s="377">
        <v>232.65</v>
      </c>
      <c r="AL624" s="378">
        <v>2592.7570000000001</v>
      </c>
    </row>
    <row r="625" spans="36:38" ht="16.5" x14ac:dyDescent="0.3">
      <c r="AJ625" s="377">
        <v>143.34</v>
      </c>
      <c r="AK625" s="377">
        <v>230.61</v>
      </c>
      <c r="AL625" s="378">
        <v>2593.2401</v>
      </c>
    </row>
    <row r="626" spans="36:38" ht="16.5" x14ac:dyDescent="0.3">
      <c r="AJ626" s="377">
        <v>142.55000000000001</v>
      </c>
      <c r="AK626" s="377">
        <v>230.25</v>
      </c>
      <c r="AL626" s="378">
        <v>2593.4391000000001</v>
      </c>
    </row>
    <row r="627" spans="36:38" ht="16.5" x14ac:dyDescent="0.3">
      <c r="AJ627" s="377">
        <v>141.37</v>
      </c>
      <c r="AK627" s="377">
        <v>230.67</v>
      </c>
      <c r="AL627" s="378">
        <v>2593.7161000000001</v>
      </c>
    </row>
    <row r="628" spans="36:38" ht="16.5" x14ac:dyDescent="0.3">
      <c r="AJ628" s="377">
        <v>140.99</v>
      </c>
      <c r="AK628" s="377">
        <v>231.45</v>
      </c>
      <c r="AL628" s="378">
        <v>2593.7948999999999</v>
      </c>
    </row>
    <row r="629" spans="36:38" ht="16.5" x14ac:dyDescent="0.3">
      <c r="AJ629" s="377">
        <v>140.16</v>
      </c>
      <c r="AK629" s="377">
        <v>232.07</v>
      </c>
      <c r="AL629" s="378">
        <v>2593.741</v>
      </c>
    </row>
    <row r="630" spans="36:38" ht="16.5" x14ac:dyDescent="0.3">
      <c r="AJ630" s="377">
        <v>139.63999999999999</v>
      </c>
      <c r="AK630" s="377">
        <v>233.27</v>
      </c>
      <c r="AL630" s="378">
        <v>2593.5918999999999</v>
      </c>
    </row>
    <row r="631" spans="36:38" ht="16.5" x14ac:dyDescent="0.3">
      <c r="AJ631" s="377">
        <v>139.12</v>
      </c>
      <c r="AK631" s="377">
        <v>234.47</v>
      </c>
      <c r="AL631" s="378">
        <v>2593.4429</v>
      </c>
    </row>
    <row r="632" spans="36:38" ht="16.5" x14ac:dyDescent="0.3">
      <c r="AJ632" s="377">
        <v>134.02000000000001</v>
      </c>
      <c r="AK632" s="377">
        <v>228.51</v>
      </c>
      <c r="AL632" s="378">
        <v>2594.1930000000002</v>
      </c>
    </row>
    <row r="633" spans="36:38" ht="16.5" x14ac:dyDescent="0.3">
      <c r="AJ633" s="377">
        <v>134.08000000000001</v>
      </c>
      <c r="AK633" s="377">
        <v>228.23</v>
      </c>
      <c r="AL633" s="378">
        <v>2594.1997999999999</v>
      </c>
    </row>
    <row r="634" spans="36:38" ht="16.5" x14ac:dyDescent="0.3">
      <c r="AJ634" s="377">
        <v>132.1</v>
      </c>
      <c r="AK634" s="377">
        <v>223.71</v>
      </c>
      <c r="AL634" s="378">
        <v>2595.2269999999999</v>
      </c>
    </row>
    <row r="635" spans="36:38" ht="16.5" x14ac:dyDescent="0.3">
      <c r="AJ635" s="377">
        <v>131.87</v>
      </c>
      <c r="AK635" s="377">
        <v>223.32</v>
      </c>
      <c r="AL635" s="378">
        <v>2595.4070000000002</v>
      </c>
    </row>
    <row r="636" spans="36:38" ht="16.5" x14ac:dyDescent="0.3">
      <c r="AJ636" s="377">
        <v>130.76</v>
      </c>
      <c r="AK636" s="377">
        <v>222.23</v>
      </c>
      <c r="AL636" s="378">
        <v>2595.8489</v>
      </c>
    </row>
    <row r="637" spans="36:38" ht="16.5" x14ac:dyDescent="0.3">
      <c r="AJ637" s="377">
        <v>126.43</v>
      </c>
      <c r="AK637" s="377">
        <v>217.59</v>
      </c>
      <c r="AL637" s="378">
        <v>2597.2399999999998</v>
      </c>
    </row>
    <row r="638" spans="36:38" ht="16.5" x14ac:dyDescent="0.3">
      <c r="AJ638" s="377">
        <v>119.21</v>
      </c>
      <c r="AK638" s="377">
        <v>211.78</v>
      </c>
      <c r="AL638" s="378">
        <v>2598.8209999999999</v>
      </c>
    </row>
    <row r="639" spans="36:38" ht="16.5" x14ac:dyDescent="0.3">
      <c r="AJ639" s="377">
        <v>108.12</v>
      </c>
      <c r="AK639" s="377">
        <v>204.55</v>
      </c>
      <c r="AL639" s="378">
        <v>2599.835</v>
      </c>
    </row>
    <row r="640" spans="36:38" ht="16.5" x14ac:dyDescent="0.3">
      <c r="AJ640" s="377">
        <v>106.3</v>
      </c>
      <c r="AK640" s="377">
        <v>203.28</v>
      </c>
      <c r="AL640" s="378">
        <v>2600.0221000000001</v>
      </c>
    </row>
    <row r="641" spans="36:38" ht="16.5" x14ac:dyDescent="0.3">
      <c r="AJ641" s="377">
        <v>100.93</v>
      </c>
      <c r="AK641" s="377">
        <v>196.49</v>
      </c>
      <c r="AL641" s="378">
        <v>2600.8524000000002</v>
      </c>
    </row>
    <row r="642" spans="36:38" ht="16.5" x14ac:dyDescent="0.3">
      <c r="AJ642" s="377">
        <v>94.45</v>
      </c>
      <c r="AK642" s="377">
        <v>187.56</v>
      </c>
      <c r="AL642" s="378">
        <v>2601.5646999999999</v>
      </c>
    </row>
    <row r="643" spans="36:38" ht="16.5" x14ac:dyDescent="0.3">
      <c r="AJ643" s="377">
        <v>90.13</v>
      </c>
      <c r="AK643" s="377">
        <v>179.97</v>
      </c>
      <c r="AL643" s="378">
        <v>2602.2981</v>
      </c>
    </row>
    <row r="644" spans="36:38" ht="16.5" x14ac:dyDescent="0.3">
      <c r="AJ644" s="377">
        <v>86.9</v>
      </c>
      <c r="AK644" s="377">
        <v>169.49</v>
      </c>
      <c r="AL644" s="378">
        <v>2603.6131999999998</v>
      </c>
    </row>
    <row r="645" spans="36:38" ht="16.5" x14ac:dyDescent="0.3">
      <c r="AJ645" s="377">
        <v>85.33</v>
      </c>
      <c r="AK645" s="377">
        <v>163.98</v>
      </c>
      <c r="AL645" s="378">
        <v>2604.4041000000002</v>
      </c>
    </row>
    <row r="646" spans="36:38" ht="16.5" x14ac:dyDescent="0.3">
      <c r="AJ646" s="377">
        <v>82.87</v>
      </c>
      <c r="AK646" s="377">
        <v>151.62</v>
      </c>
      <c r="AL646" s="378">
        <v>2606.2849999999999</v>
      </c>
    </row>
    <row r="647" spans="36:38" ht="16.5" x14ac:dyDescent="0.3">
      <c r="AJ647" s="377">
        <v>81.12</v>
      </c>
      <c r="AK647" s="377">
        <v>145.79</v>
      </c>
      <c r="AL647" s="378">
        <v>2607.1</v>
      </c>
    </row>
    <row r="648" spans="36:38" ht="16.5" x14ac:dyDescent="0.3">
      <c r="AJ648" s="377">
        <v>79.5</v>
      </c>
      <c r="AK648" s="377">
        <v>135.13999999999999</v>
      </c>
      <c r="AL648" s="378">
        <v>2609.2343999999998</v>
      </c>
    </row>
    <row r="649" spans="36:38" ht="16.5" x14ac:dyDescent="0.3">
      <c r="AJ649" s="377">
        <v>78.010000000000005</v>
      </c>
      <c r="AK649" s="377">
        <v>129.83000000000001</v>
      </c>
      <c r="AL649" s="378">
        <v>2610.248</v>
      </c>
    </row>
    <row r="650" spans="36:38" ht="16.5" x14ac:dyDescent="0.3">
      <c r="AJ650" s="377">
        <v>74.42</v>
      </c>
      <c r="AK650" s="377">
        <v>128.52000000000001</v>
      </c>
      <c r="AL650" s="378">
        <v>2610.6547999999998</v>
      </c>
    </row>
    <row r="651" spans="36:38" ht="16.5" x14ac:dyDescent="0.3">
      <c r="AJ651" s="377">
        <v>74.42</v>
      </c>
      <c r="AK651" s="377">
        <v>128.52000000000001</v>
      </c>
      <c r="AL651" s="378">
        <v>2610.6550000000002</v>
      </c>
    </row>
    <row r="652" spans="36:38" ht="16.5" x14ac:dyDescent="0.3">
      <c r="AJ652" s="377">
        <v>72.25</v>
      </c>
      <c r="AK652" s="377">
        <v>125.28</v>
      </c>
      <c r="AL652" s="378">
        <v>2611.0558000000001</v>
      </c>
    </row>
    <row r="653" spans="36:38" ht="16.5" x14ac:dyDescent="0.3">
      <c r="AJ653" s="377">
        <v>73.33</v>
      </c>
      <c r="AK653" s="377">
        <v>117.38</v>
      </c>
      <c r="AL653" s="378">
        <v>2611.9675000000002</v>
      </c>
    </row>
    <row r="654" spans="36:38" ht="16.5" x14ac:dyDescent="0.3">
      <c r="AJ654" s="377">
        <v>73.989999999999995</v>
      </c>
      <c r="AK654" s="377">
        <v>113.26</v>
      </c>
      <c r="AL654" s="378">
        <v>2612.8591999999999</v>
      </c>
    </row>
    <row r="655" spans="36:38" ht="16.5" x14ac:dyDescent="0.3">
      <c r="AJ655" s="377">
        <v>73.92</v>
      </c>
      <c r="AK655" s="377">
        <v>110.67</v>
      </c>
      <c r="AL655" s="378">
        <v>2613.4477999999999</v>
      </c>
    </row>
    <row r="656" spans="36:38" ht="16.5" x14ac:dyDescent="0.3">
      <c r="AJ656" s="377">
        <v>73.77</v>
      </c>
      <c r="AK656" s="377">
        <v>106.79</v>
      </c>
      <c r="AL656" s="378">
        <v>2614.1327000000001</v>
      </c>
    </row>
    <row r="657" spans="36:38" ht="16.5" x14ac:dyDescent="0.3">
      <c r="AJ657" s="377">
        <v>74.03</v>
      </c>
      <c r="AK657" s="377">
        <v>97.99</v>
      </c>
      <c r="AL657" s="378">
        <v>2616.0920000000001</v>
      </c>
    </row>
    <row r="658" spans="36:38" ht="16.5" x14ac:dyDescent="0.3">
      <c r="AJ658" s="377">
        <v>73.569999999999993</v>
      </c>
      <c r="AK658" s="377">
        <v>96.94</v>
      </c>
      <c r="AL658" s="378">
        <v>2616.2165</v>
      </c>
    </row>
    <row r="659" spans="36:38" ht="16.5" x14ac:dyDescent="0.3">
      <c r="AJ659" s="377">
        <v>72.099999999999994</v>
      </c>
      <c r="AK659" s="377">
        <v>93.48</v>
      </c>
      <c r="AL659" s="378">
        <v>2616.4924999999998</v>
      </c>
    </row>
    <row r="660" spans="36:38" ht="16.5" x14ac:dyDescent="0.3">
      <c r="AJ660" s="377">
        <v>72.099999999999994</v>
      </c>
      <c r="AK660" s="377">
        <v>93.47</v>
      </c>
      <c r="AL660" s="378">
        <v>2616.4924999999998</v>
      </c>
    </row>
    <row r="661" spans="36:38" ht="16.5" x14ac:dyDescent="0.3">
      <c r="AJ661" s="377">
        <v>71.900000000000006</v>
      </c>
      <c r="AK661" s="377">
        <v>89.89</v>
      </c>
      <c r="AL661" s="378">
        <v>2617.1282000000001</v>
      </c>
    </row>
    <row r="662" spans="36:38" ht="16.5" x14ac:dyDescent="0.3">
      <c r="AJ662" s="377">
        <v>72.25</v>
      </c>
      <c r="AK662" s="377">
        <v>86.93</v>
      </c>
      <c r="AL662" s="378">
        <v>2617.5619999999999</v>
      </c>
    </row>
    <row r="663" spans="36:38" ht="16.5" x14ac:dyDescent="0.3">
      <c r="AJ663" s="377">
        <v>65.260000000000005</v>
      </c>
      <c r="AK663" s="377">
        <v>88.83</v>
      </c>
      <c r="AL663" s="378">
        <v>2620.2240000000002</v>
      </c>
    </row>
    <row r="664" spans="36:38" ht="16.5" x14ac:dyDescent="0.3">
      <c r="AJ664" s="377">
        <v>64.39</v>
      </c>
      <c r="AK664" s="377">
        <v>89.63</v>
      </c>
      <c r="AL664" s="378">
        <v>2620.5648999999999</v>
      </c>
    </row>
    <row r="665" spans="36:38" ht="16.5" x14ac:dyDescent="0.3">
      <c r="AJ665" s="377">
        <v>60.6</v>
      </c>
      <c r="AK665" s="377">
        <v>91.07</v>
      </c>
      <c r="AL665" s="378">
        <v>2622.8595</v>
      </c>
    </row>
    <row r="666" spans="36:38" ht="16.5" x14ac:dyDescent="0.3">
      <c r="AJ666" s="377">
        <v>58.49</v>
      </c>
      <c r="AK666" s="377">
        <v>91.93</v>
      </c>
      <c r="AL666" s="378">
        <v>2623.9155000000001</v>
      </c>
    </row>
    <row r="667" spans="36:38" ht="16.5" x14ac:dyDescent="0.3">
      <c r="AJ667" s="377">
        <v>57.22</v>
      </c>
      <c r="AK667" s="377">
        <v>92.37</v>
      </c>
      <c r="AL667" s="378">
        <v>2624.569</v>
      </c>
    </row>
    <row r="668" spans="36:38" ht="16.5" x14ac:dyDescent="0.3">
      <c r="AJ668" s="377">
        <v>50.67</v>
      </c>
      <c r="AK668" s="377">
        <v>103.03</v>
      </c>
      <c r="AL668" s="378">
        <v>2625.8542000000002</v>
      </c>
    </row>
    <row r="669" spans="36:38" ht="16.5" x14ac:dyDescent="0.3">
      <c r="AJ669" s="377">
        <v>44.01</v>
      </c>
      <c r="AK669" s="377">
        <v>115.15</v>
      </c>
      <c r="AL669" s="378">
        <v>2627.7791000000002</v>
      </c>
    </row>
    <row r="670" spans="36:38" ht="16.5" x14ac:dyDescent="0.3">
      <c r="AJ670" s="377">
        <v>38.86</v>
      </c>
      <c r="AK670" s="377">
        <v>119.59</v>
      </c>
      <c r="AL670" s="378">
        <v>2628.0282999999999</v>
      </c>
    </row>
    <row r="671" spans="36:38" ht="16.5" x14ac:dyDescent="0.3">
      <c r="AJ671" s="377">
        <v>38.06</v>
      </c>
      <c r="AK671" s="377">
        <v>116.47</v>
      </c>
      <c r="AL671" s="378">
        <v>2627.9396999999999</v>
      </c>
    </row>
    <row r="672" spans="36:38" ht="16.5" x14ac:dyDescent="0.3">
      <c r="AJ672" s="377">
        <v>37.99</v>
      </c>
      <c r="AK672" s="377">
        <v>116.2</v>
      </c>
      <c r="AL672" s="378">
        <v>2627.9319</v>
      </c>
    </row>
    <row r="673" spans="36:38" ht="16.5" x14ac:dyDescent="0.3">
      <c r="AJ673" s="377">
        <v>37.83</v>
      </c>
      <c r="AK673" s="377">
        <v>115.53</v>
      </c>
      <c r="AL673" s="378">
        <v>2627.9128000000001</v>
      </c>
    </row>
    <row r="674" spans="36:38" ht="16.5" x14ac:dyDescent="0.3">
      <c r="AJ674" s="377">
        <v>37.200000000000003</v>
      </c>
      <c r="AK674" s="377">
        <v>112.94</v>
      </c>
      <c r="AL674" s="378">
        <v>2627.8386999999998</v>
      </c>
    </row>
    <row r="675" spans="36:38" ht="16.5" x14ac:dyDescent="0.3">
      <c r="AJ675" s="377">
        <v>37.17</v>
      </c>
      <c r="AK675" s="377">
        <v>112.83</v>
      </c>
      <c r="AL675" s="378">
        <v>2627.8355999999999</v>
      </c>
    </row>
    <row r="676" spans="36:38" ht="16.5" x14ac:dyDescent="0.3">
      <c r="AJ676" s="377">
        <v>37.03</v>
      </c>
      <c r="AK676" s="377">
        <v>112.28</v>
      </c>
      <c r="AL676" s="378">
        <v>2627.8198000000002</v>
      </c>
    </row>
    <row r="677" spans="36:38" ht="16.5" x14ac:dyDescent="0.3">
      <c r="AJ677" s="377">
        <v>36.99</v>
      </c>
      <c r="AK677" s="377">
        <v>112.08</v>
      </c>
      <c r="AL677" s="378">
        <v>2627.8141999999998</v>
      </c>
    </row>
    <row r="678" spans="36:38" ht="16.5" x14ac:dyDescent="0.3">
      <c r="AJ678" s="377">
        <v>36.229999999999997</v>
      </c>
      <c r="AK678" s="377">
        <v>109.01</v>
      </c>
      <c r="AL678" s="378">
        <v>2627.7460000000001</v>
      </c>
    </row>
    <row r="679" spans="36:38" ht="16.5" x14ac:dyDescent="0.3">
      <c r="AJ679" s="377">
        <v>36.18</v>
      </c>
      <c r="AK679" s="377">
        <v>108.82</v>
      </c>
      <c r="AL679" s="378">
        <v>2627.7501999999999</v>
      </c>
    </row>
    <row r="680" spans="36:38" ht="16.5" x14ac:dyDescent="0.3">
      <c r="AJ680" s="377">
        <v>36.14</v>
      </c>
      <c r="AK680" s="377">
        <v>108.64</v>
      </c>
      <c r="AL680" s="378">
        <v>2627.7546000000002</v>
      </c>
    </row>
    <row r="681" spans="36:38" ht="16.5" x14ac:dyDescent="0.3">
      <c r="AJ681" s="377">
        <v>35.99</v>
      </c>
      <c r="AK681" s="377">
        <v>108.05</v>
      </c>
      <c r="AL681" s="378">
        <v>2627.7640999999999</v>
      </c>
    </row>
    <row r="682" spans="36:38" ht="16.5" x14ac:dyDescent="0.3">
      <c r="AJ682" s="377">
        <v>35.85</v>
      </c>
      <c r="AK682" s="377">
        <v>107.45</v>
      </c>
      <c r="AL682" s="378">
        <v>2627.7737000000002</v>
      </c>
    </row>
    <row r="683" spans="36:38" ht="16.5" x14ac:dyDescent="0.3">
      <c r="AJ683" s="377">
        <v>35.33</v>
      </c>
      <c r="AK683" s="377">
        <v>105.57</v>
      </c>
      <c r="AL683" s="378">
        <v>2627.8040000000001</v>
      </c>
    </row>
    <row r="684" spans="36:38" ht="16.5" x14ac:dyDescent="0.3">
      <c r="AJ684" s="377">
        <v>35</v>
      </c>
      <c r="AK684" s="377">
        <v>104.37</v>
      </c>
      <c r="AL684" s="378">
        <v>2627.7051999999999</v>
      </c>
    </row>
    <row r="685" spans="36:38" ht="16.5" x14ac:dyDescent="0.3">
      <c r="AJ685" s="377">
        <v>34.630000000000003</v>
      </c>
      <c r="AK685" s="377">
        <v>103.03</v>
      </c>
      <c r="AL685" s="378">
        <v>2627.5970000000002</v>
      </c>
    </row>
    <row r="686" spans="36:38" ht="16.5" x14ac:dyDescent="0.3">
      <c r="AJ686" s="377">
        <v>34.57</v>
      </c>
      <c r="AK686" s="377">
        <v>102.82</v>
      </c>
      <c r="AL686" s="378">
        <v>2627.6010000000001</v>
      </c>
    </row>
    <row r="687" spans="36:38" ht="16.5" x14ac:dyDescent="0.3">
      <c r="AJ687" s="377">
        <v>34.56</v>
      </c>
      <c r="AK687" s="377">
        <v>102.76</v>
      </c>
      <c r="AL687" s="378">
        <v>2627.6014</v>
      </c>
    </row>
    <row r="688" spans="36:38" ht="16.5" x14ac:dyDescent="0.3">
      <c r="AJ688" s="377">
        <v>34.520000000000003</v>
      </c>
      <c r="AK688" s="377">
        <v>102.62</v>
      </c>
      <c r="AL688" s="378">
        <v>2627.6048999999998</v>
      </c>
    </row>
    <row r="689" spans="36:38" ht="16.5" x14ac:dyDescent="0.3">
      <c r="AJ689" s="377">
        <v>34.01</v>
      </c>
      <c r="AK689" s="377">
        <v>101.56</v>
      </c>
      <c r="AL689" s="378">
        <v>2627.6300999999999</v>
      </c>
    </row>
    <row r="690" spans="36:38" ht="16.5" x14ac:dyDescent="0.3">
      <c r="AJ690" s="377">
        <v>32.68</v>
      </c>
      <c r="AK690" s="377">
        <v>98.76</v>
      </c>
      <c r="AL690" s="378">
        <v>2627.6958</v>
      </c>
    </row>
    <row r="691" spans="36:38" ht="16.5" x14ac:dyDescent="0.3">
      <c r="AJ691" s="377">
        <v>32.56</v>
      </c>
      <c r="AK691" s="377">
        <v>98.52</v>
      </c>
      <c r="AL691" s="378">
        <v>2627.7006000000001</v>
      </c>
    </row>
    <row r="692" spans="36:38" ht="16.5" x14ac:dyDescent="0.3">
      <c r="AJ692" s="377">
        <v>32.270000000000003</v>
      </c>
      <c r="AK692" s="377">
        <v>97.3</v>
      </c>
      <c r="AL692" s="378">
        <v>2627.7251000000001</v>
      </c>
    </row>
    <row r="693" spans="36:38" ht="16.5" x14ac:dyDescent="0.3">
      <c r="AJ693" s="377">
        <v>32.26</v>
      </c>
      <c r="AK693" s="377">
        <v>97.29</v>
      </c>
      <c r="AL693" s="378">
        <v>2627.7253000000001</v>
      </c>
    </row>
    <row r="694" spans="36:38" ht="16.5" x14ac:dyDescent="0.3">
      <c r="AJ694" s="377">
        <v>32.26</v>
      </c>
      <c r="AK694" s="377">
        <v>97.26</v>
      </c>
      <c r="AL694" s="378">
        <v>2627.7260000000001</v>
      </c>
    </row>
    <row r="695" spans="36:38" ht="16.5" x14ac:dyDescent="0.3">
      <c r="AJ695" s="377">
        <v>31.47</v>
      </c>
      <c r="AK695" s="377">
        <v>94.05</v>
      </c>
      <c r="AL695" s="378">
        <v>2627.7939000000001</v>
      </c>
    </row>
    <row r="696" spans="36:38" ht="16.5" x14ac:dyDescent="0.3">
      <c r="AJ696" s="377">
        <v>31.35</v>
      </c>
      <c r="AK696" s="377">
        <v>93.46</v>
      </c>
      <c r="AL696" s="378">
        <v>2627.8181</v>
      </c>
    </row>
    <row r="697" spans="36:38" ht="16.5" x14ac:dyDescent="0.3">
      <c r="AJ697" s="377">
        <v>31.17</v>
      </c>
      <c r="AK697" s="377">
        <v>92.52</v>
      </c>
      <c r="AL697" s="378">
        <v>2627.8380000000002</v>
      </c>
    </row>
    <row r="698" spans="36:38" ht="16.5" x14ac:dyDescent="0.3">
      <c r="AJ698" s="377">
        <v>31.06</v>
      </c>
      <c r="AK698" s="377">
        <v>91.98</v>
      </c>
      <c r="AL698" s="378">
        <v>2627.8784000000001</v>
      </c>
    </row>
    <row r="699" spans="36:38" ht="16.5" x14ac:dyDescent="0.3">
      <c r="AJ699" s="377">
        <v>30.88</v>
      </c>
      <c r="AK699" s="377">
        <v>91.09</v>
      </c>
      <c r="AL699" s="378">
        <v>2627.9146000000001</v>
      </c>
    </row>
    <row r="700" spans="36:38" ht="16.5" x14ac:dyDescent="0.3">
      <c r="AJ700" s="377">
        <v>30.5</v>
      </c>
      <c r="AK700" s="377">
        <v>87.51</v>
      </c>
      <c r="AL700" s="378">
        <v>2628.0868999999998</v>
      </c>
    </row>
    <row r="701" spans="36:38" ht="16.5" x14ac:dyDescent="0.3">
      <c r="AJ701" s="377">
        <v>30.5</v>
      </c>
      <c r="AK701" s="377">
        <v>87.43</v>
      </c>
      <c r="AL701" s="378">
        <v>2628.0913999999998</v>
      </c>
    </row>
    <row r="702" spans="36:38" ht="16.5" x14ac:dyDescent="0.3">
      <c r="AJ702" s="377">
        <v>30.51</v>
      </c>
      <c r="AK702" s="377">
        <v>85.52</v>
      </c>
      <c r="AL702" s="378">
        <v>2628.183</v>
      </c>
    </row>
    <row r="703" spans="36:38" ht="16.5" x14ac:dyDescent="0.3">
      <c r="AJ703" s="377">
        <v>30.51</v>
      </c>
      <c r="AK703" s="377">
        <v>85.33</v>
      </c>
      <c r="AL703" s="378">
        <v>2628.1848</v>
      </c>
    </row>
    <row r="704" spans="36:38" ht="16.5" x14ac:dyDescent="0.3">
      <c r="AJ704" s="377">
        <v>30.51</v>
      </c>
      <c r="AK704" s="377">
        <v>84.77</v>
      </c>
      <c r="AL704" s="378">
        <v>2628.2096000000001</v>
      </c>
    </row>
    <row r="705" spans="36:38" ht="16.5" x14ac:dyDescent="0.3">
      <c r="AJ705" s="377">
        <v>31.03</v>
      </c>
      <c r="AK705" s="377">
        <v>83.01</v>
      </c>
      <c r="AL705" s="378">
        <v>2628.2393999999999</v>
      </c>
    </row>
    <row r="706" spans="36:38" ht="16.5" x14ac:dyDescent="0.3">
      <c r="AJ706" s="377">
        <v>33.270000000000003</v>
      </c>
      <c r="AK706" s="377">
        <v>78.69</v>
      </c>
      <c r="AL706" s="378">
        <v>2628.3510000000001</v>
      </c>
    </row>
    <row r="707" spans="36:38" ht="16.5" x14ac:dyDescent="0.3">
      <c r="AJ707" s="377">
        <v>34.159999999999997</v>
      </c>
      <c r="AK707" s="377">
        <v>77.63</v>
      </c>
      <c r="AL707" s="378">
        <v>2628.4052999999999</v>
      </c>
    </row>
    <row r="708" spans="36:38" ht="16.5" x14ac:dyDescent="0.3">
      <c r="AJ708" s="377">
        <v>34.97</v>
      </c>
      <c r="AK708" s="377">
        <v>77.599999999999994</v>
      </c>
      <c r="AL708" s="378">
        <v>2628.4209000000001</v>
      </c>
    </row>
    <row r="709" spans="36:38" ht="16.5" x14ac:dyDescent="0.3">
      <c r="AJ709" s="377">
        <v>35.78</v>
      </c>
      <c r="AK709" s="377">
        <v>77.569999999999993</v>
      </c>
      <c r="AL709" s="378">
        <v>2628.4366</v>
      </c>
    </row>
    <row r="710" spans="36:38" ht="16.5" x14ac:dyDescent="0.3">
      <c r="AJ710" s="377">
        <v>36.369999999999997</v>
      </c>
      <c r="AK710" s="377">
        <v>77.540000000000006</v>
      </c>
      <c r="AL710" s="378">
        <v>2628.4481999999998</v>
      </c>
    </row>
    <row r="711" spans="36:38" ht="16.5" x14ac:dyDescent="0.3">
      <c r="AJ711" s="377">
        <v>37.32</v>
      </c>
      <c r="AK711" s="377">
        <v>77.510000000000005</v>
      </c>
      <c r="AL711" s="378">
        <v>2628.4722999999999</v>
      </c>
    </row>
    <row r="712" spans="36:38" ht="16.5" x14ac:dyDescent="0.3">
      <c r="AJ712" s="377">
        <v>38.46</v>
      </c>
      <c r="AK712" s="377">
        <v>77.37</v>
      </c>
      <c r="AL712" s="378">
        <v>2628.5171999999998</v>
      </c>
    </row>
    <row r="713" spans="36:38" ht="16.5" x14ac:dyDescent="0.3">
      <c r="AJ713" s="377">
        <v>39.25</v>
      </c>
      <c r="AK713" s="377">
        <v>77.25</v>
      </c>
      <c r="AL713" s="378">
        <v>2628.5486000000001</v>
      </c>
    </row>
    <row r="714" spans="36:38" ht="16.5" x14ac:dyDescent="0.3">
      <c r="AJ714" s="377">
        <v>40.89</v>
      </c>
      <c r="AK714" s="377">
        <v>76.989999999999995</v>
      </c>
      <c r="AL714" s="378">
        <v>2628.6536000000001</v>
      </c>
    </row>
    <row r="715" spans="36:38" ht="16.5" x14ac:dyDescent="0.3">
      <c r="AJ715" s="377">
        <v>40.92</v>
      </c>
      <c r="AK715" s="377">
        <v>76.98</v>
      </c>
      <c r="AL715" s="378">
        <v>2628.6574999999998</v>
      </c>
    </row>
    <row r="716" spans="36:38" ht="16.5" x14ac:dyDescent="0.3">
      <c r="AJ716" s="377">
        <v>40.950000000000003</v>
      </c>
      <c r="AK716" s="377">
        <v>76.959999999999994</v>
      </c>
      <c r="AL716" s="378">
        <v>2628.6610999999998</v>
      </c>
    </row>
    <row r="717" spans="36:38" ht="16.5" x14ac:dyDescent="0.3">
      <c r="AJ717" s="377">
        <v>41.81</v>
      </c>
      <c r="AK717" s="377">
        <v>76.09</v>
      </c>
      <c r="AL717" s="378">
        <v>2628.8148000000001</v>
      </c>
    </row>
    <row r="718" spans="36:38" ht="16.5" x14ac:dyDescent="0.3">
      <c r="AJ718" s="377">
        <v>44.13</v>
      </c>
      <c r="AK718" s="377">
        <v>73.069999999999993</v>
      </c>
      <c r="AL718" s="378">
        <v>2629.3420000000001</v>
      </c>
    </row>
    <row r="719" spans="36:38" ht="16.5" x14ac:dyDescent="0.3">
      <c r="AJ719" s="377">
        <v>45.2</v>
      </c>
      <c r="AK719" s="377">
        <v>71.8</v>
      </c>
      <c r="AL719" s="378">
        <v>2629.5920000000001</v>
      </c>
    </row>
    <row r="720" spans="36:38" ht="16.5" x14ac:dyDescent="0.3">
      <c r="AJ720" s="377">
        <v>45.68</v>
      </c>
      <c r="AK720" s="377">
        <v>70.290000000000006</v>
      </c>
      <c r="AL720" s="378">
        <v>2629.7635</v>
      </c>
    </row>
    <row r="721" spans="36:38" ht="16.5" x14ac:dyDescent="0.3">
      <c r="AJ721" s="377">
        <v>47.87</v>
      </c>
      <c r="AK721" s="377">
        <v>65.08</v>
      </c>
      <c r="AL721" s="378">
        <v>2630.0958999999998</v>
      </c>
    </row>
    <row r="722" spans="36:38" ht="16.5" x14ac:dyDescent="0.3">
      <c r="AJ722" s="377">
        <v>46.96</v>
      </c>
      <c r="AK722" s="377">
        <v>60.87</v>
      </c>
      <c r="AL722" s="378">
        <v>2630.6525999999999</v>
      </c>
    </row>
    <row r="723" spans="36:38" ht="16.5" x14ac:dyDescent="0.3">
      <c r="AJ723" s="377">
        <v>47.32</v>
      </c>
      <c r="AK723" s="377">
        <v>60.39</v>
      </c>
      <c r="AL723" s="378">
        <v>2630.672</v>
      </c>
    </row>
    <row r="724" spans="36:38" ht="16.5" x14ac:dyDescent="0.3">
      <c r="AJ724" s="377">
        <v>46.49</v>
      </c>
      <c r="AK724" s="377">
        <v>53.95</v>
      </c>
      <c r="AL724" s="378">
        <v>2630.9319999999998</v>
      </c>
    </row>
    <row r="725" spans="36:38" ht="16.5" x14ac:dyDescent="0.3">
      <c r="AJ725" s="377">
        <v>47.02</v>
      </c>
      <c r="AK725" s="377">
        <v>53.61</v>
      </c>
      <c r="AL725" s="378">
        <v>2631.0408000000002</v>
      </c>
    </row>
    <row r="726" spans="36:38" ht="16.5" x14ac:dyDescent="0.3">
      <c r="AJ726" s="377">
        <v>47.56</v>
      </c>
      <c r="AK726" s="377">
        <v>53.27</v>
      </c>
      <c r="AL726" s="378">
        <v>2631.15</v>
      </c>
    </row>
    <row r="727" spans="36:38" ht="16.5" x14ac:dyDescent="0.3">
      <c r="AJ727" s="377">
        <v>45.49</v>
      </c>
      <c r="AK727" s="377">
        <v>47.6</v>
      </c>
      <c r="AL727" s="378">
        <v>2631.4794999999999</v>
      </c>
    </row>
    <row r="728" spans="36:38" ht="16.5" x14ac:dyDescent="0.3">
      <c r="AJ728" s="377">
        <v>45.59</v>
      </c>
      <c r="AK728" s="377">
        <v>44.81</v>
      </c>
      <c r="AL728" s="378">
        <v>2631.6660000000002</v>
      </c>
    </row>
    <row r="729" spans="36:38" ht="16.5" x14ac:dyDescent="0.3">
      <c r="AJ729" s="377">
        <v>45.66</v>
      </c>
      <c r="AK729" s="377">
        <v>43.06</v>
      </c>
      <c r="AL729" s="378">
        <v>2631.7260000000001</v>
      </c>
    </row>
    <row r="730" spans="36:38" ht="16.5" x14ac:dyDescent="0.3">
      <c r="AJ730" s="377">
        <v>43.6</v>
      </c>
      <c r="AK730" s="377">
        <v>36.659999999999997</v>
      </c>
      <c r="AL730" s="378">
        <v>2632.0940000000001</v>
      </c>
    </row>
    <row r="731" spans="36:38" ht="16.5" x14ac:dyDescent="0.3">
      <c r="AJ731" s="377">
        <v>42.82</v>
      </c>
      <c r="AK731" s="377">
        <v>34.159999999999997</v>
      </c>
      <c r="AL731" s="378">
        <v>2632.08</v>
      </c>
    </row>
    <row r="732" spans="36:38" ht="16.5" x14ac:dyDescent="0.3">
      <c r="AJ732" s="377">
        <v>42.53</v>
      </c>
      <c r="AK732" s="377">
        <v>34.03</v>
      </c>
      <c r="AL732" s="378">
        <v>2632.0444000000002</v>
      </c>
    </row>
    <row r="733" spans="36:38" ht="16.5" x14ac:dyDescent="0.3">
      <c r="AJ733" s="377">
        <v>42.23</v>
      </c>
      <c r="AK733" s="377">
        <v>33.89</v>
      </c>
      <c r="AL733" s="378">
        <v>2632.0088999999998</v>
      </c>
    </row>
    <row r="734" spans="36:38" ht="16.5" x14ac:dyDescent="0.3">
      <c r="AJ734" s="377">
        <v>42.13</v>
      </c>
      <c r="AK734" s="377">
        <v>33.619999999999997</v>
      </c>
      <c r="AL734" s="378">
        <v>2631.9775</v>
      </c>
    </row>
    <row r="735" spans="36:38" ht="16.5" x14ac:dyDescent="0.3">
      <c r="AJ735" s="377">
        <v>42.03</v>
      </c>
      <c r="AK735" s="377">
        <v>33.35</v>
      </c>
      <c r="AL735" s="378">
        <v>2631.9459999999999</v>
      </c>
    </row>
    <row r="736" spans="36:38" ht="16.5" x14ac:dyDescent="0.3">
      <c r="AJ736" s="377">
        <v>41.96</v>
      </c>
      <c r="AK736" s="377">
        <v>30.6</v>
      </c>
      <c r="AL736" s="378">
        <v>2632.0315000000001</v>
      </c>
    </row>
    <row r="737" spans="36:38" ht="16.5" x14ac:dyDescent="0.3">
      <c r="AJ737" s="377">
        <v>42.32</v>
      </c>
      <c r="AK737" s="377">
        <v>29.61</v>
      </c>
      <c r="AL737" s="378">
        <v>2632.0720000000001</v>
      </c>
    </row>
    <row r="738" spans="36:38" ht="16.5" x14ac:dyDescent="0.3">
      <c r="AJ738" s="377">
        <v>42.9</v>
      </c>
      <c r="AK738" s="377">
        <v>29.08</v>
      </c>
      <c r="AL738" s="378">
        <v>2632.0610000000001</v>
      </c>
    </row>
    <row r="739" spans="36:38" ht="16.5" x14ac:dyDescent="0.3">
      <c r="AJ739" s="377">
        <v>42.92</v>
      </c>
      <c r="AK739" s="377">
        <v>28.63</v>
      </c>
      <c r="AL739" s="378">
        <v>2632.1069000000002</v>
      </c>
    </row>
    <row r="740" spans="36:38" ht="16.5" x14ac:dyDescent="0.3">
      <c r="AJ740" s="377">
        <v>42.95</v>
      </c>
      <c r="AK740" s="377">
        <v>28.18</v>
      </c>
      <c r="AL740" s="378">
        <v>2632.1529999999998</v>
      </c>
    </row>
    <row r="741" spans="36:38" ht="16.5" x14ac:dyDescent="0.3">
      <c r="AJ741" s="377">
        <v>42.35</v>
      </c>
      <c r="AK741" s="377">
        <v>27.31</v>
      </c>
      <c r="AL741" s="378">
        <v>2632.0810999999999</v>
      </c>
    </row>
    <row r="742" spans="36:38" ht="16.5" x14ac:dyDescent="0.3">
      <c r="AJ742" s="377">
        <v>41.16</v>
      </c>
      <c r="AK742" s="377">
        <v>25.16</v>
      </c>
      <c r="AL742" s="378">
        <v>2632.0756000000001</v>
      </c>
    </row>
    <row r="743" spans="36:38" ht="16.5" x14ac:dyDescent="0.3">
      <c r="AJ743" s="377">
        <v>40.549999999999997</v>
      </c>
      <c r="AK743" s="377">
        <v>23.51</v>
      </c>
      <c r="AL743" s="378">
        <v>2632.0717</v>
      </c>
    </row>
    <row r="744" spans="36:38" ht="16.5" x14ac:dyDescent="0.3">
      <c r="AJ744" s="377">
        <v>40.11</v>
      </c>
      <c r="AK744" s="377">
        <v>21.96</v>
      </c>
      <c r="AL744" s="378">
        <v>2632.0680000000002</v>
      </c>
    </row>
    <row r="745" spans="36:38" ht="16.5" x14ac:dyDescent="0.3">
      <c r="AJ745" s="377">
        <v>39.72</v>
      </c>
      <c r="AK745" s="377">
        <v>15.67</v>
      </c>
      <c r="AL745" s="378">
        <v>2632.1615000000002</v>
      </c>
    </row>
    <row r="746" spans="36:38" ht="16.5" x14ac:dyDescent="0.3">
      <c r="AJ746" s="377">
        <v>39.74</v>
      </c>
      <c r="AK746" s="377">
        <v>11</v>
      </c>
      <c r="AL746" s="378">
        <v>2632.2678999999998</v>
      </c>
    </row>
    <row r="747" spans="36:38" ht="16.5" x14ac:dyDescent="0.3">
      <c r="AJ747" s="377">
        <v>37.74</v>
      </c>
      <c r="AK747" s="377">
        <v>0.15</v>
      </c>
      <c r="AL747" s="378">
        <v>2632.0502999999999</v>
      </c>
    </row>
    <row r="748" spans="36:38" ht="16.5" x14ac:dyDescent="0.3">
      <c r="AJ748" s="377">
        <v>38.01</v>
      </c>
      <c r="AK748" s="377">
        <v>-4.95</v>
      </c>
      <c r="AL748" s="378">
        <v>2632.0189999999998</v>
      </c>
    </row>
    <row r="749" spans="36:38" ht="16.5" x14ac:dyDescent="0.3">
      <c r="AJ749" s="377">
        <v>35.770000000000003</v>
      </c>
      <c r="AK749" s="377">
        <v>-12.27</v>
      </c>
      <c r="AL749" s="378">
        <v>2631.8894</v>
      </c>
    </row>
    <row r="750" spans="36:38" ht="16.5" x14ac:dyDescent="0.3">
      <c r="AJ750" s="377">
        <v>31.82</v>
      </c>
      <c r="AK750" s="377">
        <v>-17.36</v>
      </c>
      <c r="AL750" s="378">
        <v>2631.8469</v>
      </c>
    </row>
    <row r="751" spans="36:38" ht="16.5" x14ac:dyDescent="0.3">
      <c r="AJ751" s="377">
        <v>30.97</v>
      </c>
      <c r="AK751" s="377">
        <v>-17.600000000000001</v>
      </c>
      <c r="AL751" s="378">
        <v>2631.8690000000001</v>
      </c>
    </row>
    <row r="752" spans="36:38" ht="16.5" x14ac:dyDescent="0.3">
      <c r="AJ752" s="377">
        <v>31.05</v>
      </c>
      <c r="AK752" s="377">
        <v>-18.579999999999998</v>
      </c>
      <c r="AL752" s="378">
        <v>2631.8481000000002</v>
      </c>
    </row>
    <row r="753" spans="36:38" ht="16.5" x14ac:dyDescent="0.3">
      <c r="AJ753" s="377">
        <v>31.12</v>
      </c>
      <c r="AK753" s="377">
        <v>-19.57</v>
      </c>
      <c r="AL753" s="378">
        <v>2631.8271</v>
      </c>
    </row>
    <row r="754" spans="36:38" ht="16.5" x14ac:dyDescent="0.3">
      <c r="AJ754" s="377">
        <v>32.97</v>
      </c>
      <c r="AK754" s="377">
        <v>-22.83</v>
      </c>
      <c r="AL754" s="378">
        <v>2631.8831</v>
      </c>
    </row>
    <row r="755" spans="36:38" ht="16.5" x14ac:dyDescent="0.3">
      <c r="AJ755" s="377">
        <v>33.56</v>
      </c>
      <c r="AK755" s="377">
        <v>-26.85</v>
      </c>
      <c r="AL755" s="378">
        <v>2631.6801</v>
      </c>
    </row>
    <row r="756" spans="36:38" ht="16.5" x14ac:dyDescent="0.3">
      <c r="AJ756" s="377">
        <v>33.33</v>
      </c>
      <c r="AK756" s="377">
        <v>-27.12</v>
      </c>
      <c r="AL756" s="378">
        <v>2631.6006000000002</v>
      </c>
    </row>
    <row r="757" spans="36:38" ht="16.5" x14ac:dyDescent="0.3">
      <c r="AJ757" s="377">
        <v>33.1</v>
      </c>
      <c r="AK757" s="377">
        <v>-27.38</v>
      </c>
      <c r="AL757" s="378">
        <v>2631.5210999999999</v>
      </c>
    </row>
    <row r="758" spans="36:38" ht="16.5" x14ac:dyDescent="0.3">
      <c r="AJ758" s="377">
        <v>33.04</v>
      </c>
      <c r="AK758" s="377">
        <v>-29.27</v>
      </c>
      <c r="AL758" s="378">
        <v>2631.5459999999998</v>
      </c>
    </row>
    <row r="759" spans="36:38" ht="16.5" x14ac:dyDescent="0.3">
      <c r="AJ759" s="377">
        <v>38.81</v>
      </c>
      <c r="AK759" s="377">
        <v>-34.67</v>
      </c>
      <c r="AL759" s="378">
        <v>2631.1680000000001</v>
      </c>
    </row>
    <row r="760" spans="36:38" ht="16.5" x14ac:dyDescent="0.3">
      <c r="AJ760" s="377">
        <v>43.77</v>
      </c>
      <c r="AK760" s="377">
        <v>-38.1</v>
      </c>
      <c r="AL760" s="378">
        <v>2630.9479999999999</v>
      </c>
    </row>
    <row r="761" spans="36:38" ht="16.5" x14ac:dyDescent="0.3">
      <c r="AJ761" s="377">
        <v>52.48</v>
      </c>
      <c r="AK761" s="377">
        <v>-39.119999999999997</v>
      </c>
      <c r="AL761" s="378">
        <v>2631.1129999999998</v>
      </c>
    </row>
    <row r="762" spans="36:38" ht="16.5" x14ac:dyDescent="0.3">
      <c r="AJ762" s="377">
        <v>53.88</v>
      </c>
      <c r="AK762" s="377">
        <v>-39.43</v>
      </c>
      <c r="AL762" s="378">
        <v>2631.2060999999999</v>
      </c>
    </row>
    <row r="763" spans="36:38" ht="16.5" x14ac:dyDescent="0.3">
      <c r="AJ763" s="377">
        <v>58.5</v>
      </c>
      <c r="AK763" s="377">
        <v>-37.299999999999997</v>
      </c>
      <c r="AL763" s="378">
        <v>2631.0410999999999</v>
      </c>
    </row>
    <row r="764" spans="36:38" ht="16.5" x14ac:dyDescent="0.3">
      <c r="AJ764" s="377">
        <v>60.57</v>
      </c>
      <c r="AK764" s="377">
        <v>-33.03</v>
      </c>
      <c r="AL764" s="378">
        <v>2631.1794</v>
      </c>
    </row>
    <row r="765" spans="36:38" ht="16.5" x14ac:dyDescent="0.3">
      <c r="AJ765" s="377">
        <v>65.13</v>
      </c>
      <c r="AK765" s="377">
        <v>-28.51</v>
      </c>
      <c r="AL765" s="378">
        <v>2632.0241999999998</v>
      </c>
    </row>
    <row r="766" spans="36:38" ht="16.5" x14ac:dyDescent="0.3">
      <c r="AJ766" s="377">
        <v>65.25</v>
      </c>
      <c r="AK766" s="377">
        <v>-28.6</v>
      </c>
      <c r="AL766" s="378">
        <v>2632.0239999999999</v>
      </c>
    </row>
    <row r="767" spans="36:38" ht="16.5" x14ac:dyDescent="0.3">
      <c r="AJ767" s="377">
        <v>76.34</v>
      </c>
      <c r="AK767" s="377">
        <v>-31.1</v>
      </c>
      <c r="AL767" s="378">
        <v>2625.7103000000002</v>
      </c>
    </row>
    <row r="768" spans="36:38" ht="16.5" x14ac:dyDescent="0.3">
      <c r="AJ768" s="377">
        <v>82.33</v>
      </c>
      <c r="AK768" s="377">
        <v>-27.54</v>
      </c>
      <c r="AL768" s="378">
        <v>2625.71</v>
      </c>
    </row>
    <row r="769" spans="36:38" ht="16.5" x14ac:dyDescent="0.3">
      <c r="AJ769" s="377">
        <v>89.4</v>
      </c>
      <c r="AK769" s="377">
        <v>-24.12</v>
      </c>
      <c r="AL769" s="378">
        <v>2625.71</v>
      </c>
    </row>
    <row r="770" spans="36:38" ht="16.5" x14ac:dyDescent="0.3">
      <c r="AJ770" s="377">
        <v>96.68</v>
      </c>
      <c r="AK770" s="377">
        <v>-20.350000000000001</v>
      </c>
      <c r="AL770" s="378">
        <v>2625.71</v>
      </c>
    </row>
    <row r="771" spans="36:38" ht="16.5" x14ac:dyDescent="0.3">
      <c r="AJ771" s="377">
        <v>101.3</v>
      </c>
      <c r="AK771" s="377">
        <v>-18.809999999999999</v>
      </c>
      <c r="AL771" s="378">
        <v>2625.71</v>
      </c>
    </row>
    <row r="772" spans="36:38" ht="16.5" x14ac:dyDescent="0.3">
      <c r="AJ772" s="377">
        <v>109.11</v>
      </c>
      <c r="AK772" s="377">
        <v>-16.440000000000001</v>
      </c>
      <c r="AL772" s="378">
        <v>2625.7114000000001</v>
      </c>
    </row>
    <row r="773" spans="36:38" ht="16.5" x14ac:dyDescent="0.3">
      <c r="AJ773" s="377">
        <v>117.95</v>
      </c>
      <c r="AK773" s="377">
        <v>-14.29</v>
      </c>
      <c r="AL773" s="378">
        <v>2625.71</v>
      </c>
    </row>
    <row r="774" spans="36:38" ht="16.5" x14ac:dyDescent="0.3">
      <c r="AJ774" s="377">
        <v>124.33</v>
      </c>
      <c r="AK774" s="377">
        <v>-11.65</v>
      </c>
      <c r="AL774" s="378">
        <v>2625.71</v>
      </c>
    </row>
    <row r="775" spans="36:38" ht="16.5" x14ac:dyDescent="0.3">
      <c r="AJ775" s="377">
        <v>133.83000000000001</v>
      </c>
      <c r="AK775" s="377">
        <v>-8.26</v>
      </c>
      <c r="AL775" s="378">
        <v>2625.71</v>
      </c>
    </row>
    <row r="776" spans="36:38" ht="16.5" x14ac:dyDescent="0.3">
      <c r="AJ776" s="377">
        <v>139.94999999999999</v>
      </c>
      <c r="AK776" s="377">
        <v>-6.5</v>
      </c>
      <c r="AL776" s="378">
        <v>2625.71</v>
      </c>
    </row>
    <row r="777" spans="36:38" ht="16.5" x14ac:dyDescent="0.3">
      <c r="AJ777" s="377">
        <v>146.33000000000001</v>
      </c>
      <c r="AK777" s="377">
        <v>-3.97</v>
      </c>
      <c r="AL777" s="378">
        <v>2625.71</v>
      </c>
    </row>
    <row r="778" spans="36:38" ht="16.5" x14ac:dyDescent="0.3">
      <c r="AJ778" s="377">
        <v>156.97999999999999</v>
      </c>
      <c r="AK778" s="377">
        <v>-0.11</v>
      </c>
      <c r="AL778" s="378">
        <v>2625.71</v>
      </c>
    </row>
    <row r="779" spans="36:38" ht="16.5" x14ac:dyDescent="0.3">
      <c r="AJ779" s="377">
        <v>163.46</v>
      </c>
      <c r="AK779" s="377">
        <v>1.39</v>
      </c>
      <c r="AL779" s="378">
        <v>2625.71</v>
      </c>
    </row>
    <row r="780" spans="36:38" ht="16.5" x14ac:dyDescent="0.3">
      <c r="AJ780" s="377">
        <v>172.74</v>
      </c>
      <c r="AK780" s="377">
        <v>5.31</v>
      </c>
      <c r="AL780" s="378">
        <v>2625.7114999999999</v>
      </c>
    </row>
    <row r="781" spans="36:38" ht="16.5" x14ac:dyDescent="0.3">
      <c r="AJ781" s="377">
        <v>180.19</v>
      </c>
      <c r="AK781" s="377">
        <v>8.65</v>
      </c>
      <c r="AL781" s="378">
        <v>2625.71</v>
      </c>
    </row>
    <row r="782" spans="36:38" ht="16.5" x14ac:dyDescent="0.3">
      <c r="AJ782" s="377">
        <v>184.56</v>
      </c>
      <c r="AK782" s="377">
        <v>10.16</v>
      </c>
      <c r="AL782" s="378">
        <v>2625.71</v>
      </c>
    </row>
    <row r="783" spans="36:38" ht="16.5" x14ac:dyDescent="0.3">
      <c r="AJ783" s="377">
        <v>193.01</v>
      </c>
      <c r="AK783" s="377">
        <v>11.93</v>
      </c>
      <c r="AL783" s="378">
        <v>2625.71</v>
      </c>
    </row>
    <row r="784" spans="36:38" ht="16.5" x14ac:dyDescent="0.3">
      <c r="AJ784" s="377">
        <v>199.42</v>
      </c>
      <c r="AK784" s="377">
        <v>14.53</v>
      </c>
      <c r="AL784" s="378">
        <v>2625.71</v>
      </c>
    </row>
    <row r="785" spans="36:38" ht="16.5" x14ac:dyDescent="0.3">
      <c r="AJ785" s="377">
        <v>209.82</v>
      </c>
      <c r="AK785" s="377">
        <v>18.079999999999998</v>
      </c>
      <c r="AL785" s="378">
        <v>2625.71</v>
      </c>
    </row>
    <row r="786" spans="36:38" ht="16.5" x14ac:dyDescent="0.3">
      <c r="AJ786" s="377">
        <v>215.85</v>
      </c>
      <c r="AK786" s="377">
        <v>19.100000000000001</v>
      </c>
      <c r="AL786" s="378">
        <v>2625.71</v>
      </c>
    </row>
    <row r="787" spans="36:38" ht="16.5" x14ac:dyDescent="0.3">
      <c r="AJ787" s="377">
        <v>220.85</v>
      </c>
      <c r="AK787" s="377">
        <v>19.8</v>
      </c>
      <c r="AL787" s="378">
        <v>2625.7114000000001</v>
      </c>
    </row>
    <row r="788" spans="36:38" ht="16.5" x14ac:dyDescent="0.3">
      <c r="AJ788" s="377">
        <v>225.85</v>
      </c>
      <c r="AK788" s="377">
        <v>20.5</v>
      </c>
      <c r="AL788" s="378">
        <v>2625.71</v>
      </c>
    </row>
    <row r="789" spans="36:38" ht="16.5" x14ac:dyDescent="0.3">
      <c r="AJ789" s="377">
        <v>232.1</v>
      </c>
      <c r="AK789" s="377">
        <v>21.84</v>
      </c>
      <c r="AL789" s="378">
        <v>2625.71</v>
      </c>
    </row>
    <row r="790" spans="36:38" ht="16.5" x14ac:dyDescent="0.3">
      <c r="AJ790" s="377">
        <v>242.79</v>
      </c>
      <c r="AK790" s="377">
        <v>21.97</v>
      </c>
      <c r="AL790" s="378">
        <v>2625.71</v>
      </c>
    </row>
    <row r="791" spans="36:38" ht="16.5" x14ac:dyDescent="0.3">
      <c r="AJ791" s="377">
        <v>249.28</v>
      </c>
      <c r="AK791" s="377">
        <v>21.91</v>
      </c>
      <c r="AL791" s="378">
        <v>2625.71</v>
      </c>
    </row>
    <row r="792" spans="36:38" ht="16.5" x14ac:dyDescent="0.3">
      <c r="AJ792" s="377">
        <v>259.51</v>
      </c>
      <c r="AK792" s="377">
        <v>22.42</v>
      </c>
      <c r="AL792" s="378">
        <v>2625.7111</v>
      </c>
    </row>
    <row r="793" spans="36:38" ht="16.5" x14ac:dyDescent="0.3">
      <c r="AJ793" s="377">
        <v>269.01</v>
      </c>
      <c r="AK793" s="377">
        <v>21.61</v>
      </c>
      <c r="AL793" s="378">
        <v>2625.71</v>
      </c>
    </row>
    <row r="794" spans="36:38" ht="16.5" x14ac:dyDescent="0.3">
      <c r="AJ794" s="377">
        <v>275.7</v>
      </c>
      <c r="AK794" s="377">
        <v>21.99</v>
      </c>
      <c r="AL794" s="378">
        <v>2625.71</v>
      </c>
    </row>
    <row r="795" spans="36:38" ht="16.5" x14ac:dyDescent="0.3">
      <c r="AJ795" s="377">
        <v>287.13</v>
      </c>
      <c r="AK795" s="377">
        <v>22.37</v>
      </c>
      <c r="AL795" s="378">
        <v>2625.71</v>
      </c>
    </row>
    <row r="796" spans="36:38" ht="16.5" x14ac:dyDescent="0.3">
      <c r="AJ796" s="377">
        <v>296.07</v>
      </c>
      <c r="AK796" s="377">
        <v>23.66</v>
      </c>
      <c r="AL796" s="378">
        <v>2625.71</v>
      </c>
    </row>
    <row r="797" spans="36:38" ht="16.5" x14ac:dyDescent="0.3">
      <c r="AJ797" s="377">
        <v>297.48</v>
      </c>
      <c r="AK797" s="377">
        <v>23.6</v>
      </c>
      <c r="AL797" s="378">
        <v>2625.71</v>
      </c>
    </row>
    <row r="798" spans="36:38" ht="16.5" x14ac:dyDescent="0.3">
      <c r="AJ798" s="377">
        <v>306.55</v>
      </c>
      <c r="AK798" s="377">
        <v>23.81</v>
      </c>
      <c r="AL798" s="378">
        <v>2625.71</v>
      </c>
    </row>
    <row r="799" spans="36:38" ht="16.5" x14ac:dyDescent="0.3">
      <c r="AJ799" s="377">
        <v>315.5</v>
      </c>
      <c r="AK799" s="377">
        <v>22.75</v>
      </c>
      <c r="AL799" s="378">
        <v>2625.71</v>
      </c>
    </row>
    <row r="800" spans="36:38" ht="16.5" x14ac:dyDescent="0.3">
      <c r="AJ800" s="377">
        <v>324.32</v>
      </c>
      <c r="AK800" s="377">
        <v>22.91</v>
      </c>
      <c r="AL800" s="378">
        <v>2625.71</v>
      </c>
    </row>
    <row r="801" spans="36:38" ht="16.5" x14ac:dyDescent="0.3">
      <c r="AJ801" s="377">
        <v>333.15</v>
      </c>
      <c r="AK801" s="377">
        <v>22.63</v>
      </c>
      <c r="AL801" s="378">
        <v>2625.71</v>
      </c>
    </row>
    <row r="802" spans="36:38" ht="16.5" x14ac:dyDescent="0.3">
      <c r="AJ802" s="377">
        <v>342.42</v>
      </c>
      <c r="AK802" s="377">
        <v>22.82</v>
      </c>
      <c r="AL802" s="378">
        <v>2625.71</v>
      </c>
    </row>
    <row r="803" spans="36:38" ht="16.5" x14ac:dyDescent="0.3">
      <c r="AJ803" s="377">
        <v>351.7</v>
      </c>
      <c r="AK803" s="377">
        <v>22.95</v>
      </c>
      <c r="AL803" s="378">
        <v>2625.71</v>
      </c>
    </row>
    <row r="804" spans="36:38" ht="16.5" x14ac:dyDescent="0.3">
      <c r="AJ804" s="377">
        <v>356.81</v>
      </c>
      <c r="AK804" s="377">
        <v>23.31</v>
      </c>
      <c r="AL804" s="378">
        <v>2625.71</v>
      </c>
    </row>
    <row r="805" spans="36:38" ht="16.5" x14ac:dyDescent="0.3">
      <c r="AJ805" s="377">
        <v>361.92</v>
      </c>
      <c r="AK805" s="377">
        <v>23.67</v>
      </c>
      <c r="AL805" s="378">
        <v>2625.71</v>
      </c>
    </row>
    <row r="806" spans="36:38" ht="16.5" x14ac:dyDescent="0.3">
      <c r="AJ806" s="377">
        <v>367.27</v>
      </c>
      <c r="AK806" s="377">
        <v>23.89</v>
      </c>
      <c r="AL806" s="378">
        <v>2625.71</v>
      </c>
    </row>
    <row r="807" spans="36:38" ht="16.5" x14ac:dyDescent="0.3">
      <c r="AJ807" s="377">
        <v>372.62</v>
      </c>
      <c r="AK807" s="377">
        <v>24.11</v>
      </c>
      <c r="AL807" s="378">
        <v>2625.71</v>
      </c>
    </row>
    <row r="808" spans="36:38" ht="16.5" x14ac:dyDescent="0.3">
      <c r="AJ808" s="377">
        <v>378.67</v>
      </c>
      <c r="AK808" s="377">
        <v>24.36</v>
      </c>
      <c r="AL808" s="378">
        <v>2625.7114000000001</v>
      </c>
    </row>
    <row r="809" spans="36:38" ht="16.5" x14ac:dyDescent="0.3">
      <c r="AJ809" s="377">
        <v>384.73</v>
      </c>
      <c r="AK809" s="377">
        <v>24.6</v>
      </c>
      <c r="AL809" s="378">
        <v>2625.71</v>
      </c>
    </row>
    <row r="810" spans="36:38" ht="16.5" x14ac:dyDescent="0.3">
      <c r="AJ810" s="377">
        <v>396.35</v>
      </c>
      <c r="AK810" s="377">
        <v>24.68</v>
      </c>
      <c r="AL810" s="378">
        <v>2625.71</v>
      </c>
    </row>
    <row r="811" spans="36:38" ht="16.5" x14ac:dyDescent="0.3">
      <c r="AJ811" s="377">
        <v>405.46</v>
      </c>
      <c r="AK811" s="377">
        <v>24.51</v>
      </c>
      <c r="AL811" s="378">
        <v>2625.71</v>
      </c>
    </row>
    <row r="812" spans="36:38" ht="16.5" x14ac:dyDescent="0.3">
      <c r="AJ812" s="377">
        <v>413.76</v>
      </c>
      <c r="AK812" s="377">
        <v>24.94</v>
      </c>
      <c r="AL812" s="378">
        <v>2625.71</v>
      </c>
    </row>
    <row r="813" spans="36:38" ht="16.5" x14ac:dyDescent="0.3">
      <c r="AJ813" s="377">
        <v>424.63</v>
      </c>
      <c r="AK813" s="377">
        <v>24.56</v>
      </c>
      <c r="AL813" s="378">
        <v>2625.7114000000001</v>
      </c>
    </row>
    <row r="814" spans="36:38" ht="16.5" x14ac:dyDescent="0.3">
      <c r="AJ814" s="377">
        <v>435.42</v>
      </c>
      <c r="AK814" s="377">
        <v>25.45</v>
      </c>
      <c r="AL814" s="378">
        <v>2625.7114000000001</v>
      </c>
    </row>
    <row r="815" spans="36:38" ht="16.5" x14ac:dyDescent="0.3">
      <c r="AJ815" s="377">
        <v>440.78</v>
      </c>
      <c r="AK815" s="377">
        <v>26.12</v>
      </c>
      <c r="AL815" s="378">
        <v>2625.71</v>
      </c>
    </row>
    <row r="816" spans="36:38" ht="16.5" x14ac:dyDescent="0.3">
      <c r="AJ816" s="377">
        <v>449.11</v>
      </c>
      <c r="AK816" s="377">
        <v>26.17</v>
      </c>
      <c r="AL816" s="378">
        <v>2625.71</v>
      </c>
    </row>
    <row r="817" spans="36:38" ht="16.5" x14ac:dyDescent="0.3">
      <c r="AJ817" s="377">
        <v>456.92</v>
      </c>
      <c r="AK817" s="377">
        <v>26.27</v>
      </c>
      <c r="AL817" s="378">
        <v>2625.71</v>
      </c>
    </row>
    <row r="818" spans="36:38" ht="16.5" x14ac:dyDescent="0.3">
      <c r="AJ818" s="377">
        <v>463.98</v>
      </c>
      <c r="AK818" s="377">
        <v>25.78</v>
      </c>
      <c r="AL818" s="378">
        <v>2625.71</v>
      </c>
    </row>
    <row r="819" spans="36:38" ht="16.5" x14ac:dyDescent="0.3">
      <c r="AJ819" s="377">
        <v>475.47</v>
      </c>
      <c r="AK819" s="377">
        <v>25.64</v>
      </c>
      <c r="AL819" s="378">
        <v>2625.7116000000001</v>
      </c>
    </row>
    <row r="820" spans="36:38" ht="16.5" x14ac:dyDescent="0.3">
      <c r="AJ820" s="377">
        <v>485.27</v>
      </c>
      <c r="AK820" s="377">
        <v>25.41</v>
      </c>
      <c r="AL820" s="378">
        <v>2625.71</v>
      </c>
    </row>
    <row r="821" spans="36:38" ht="16.5" x14ac:dyDescent="0.3">
      <c r="AJ821" s="377">
        <v>493.81</v>
      </c>
      <c r="AK821" s="377">
        <v>25.15</v>
      </c>
      <c r="AL821" s="378">
        <v>2625.71</v>
      </c>
    </row>
    <row r="822" spans="36:38" ht="16.5" x14ac:dyDescent="0.3">
      <c r="AJ822" s="377">
        <v>502.1</v>
      </c>
      <c r="AK822" s="377">
        <v>25.85</v>
      </c>
      <c r="AL822" s="378">
        <v>2625.71</v>
      </c>
    </row>
    <row r="823" spans="36:38" ht="16.5" x14ac:dyDescent="0.3">
      <c r="AJ823" s="377">
        <v>508.11</v>
      </c>
      <c r="AK823" s="377">
        <v>26.19</v>
      </c>
      <c r="AL823" s="378">
        <v>2625.71</v>
      </c>
    </row>
    <row r="824" spans="36:38" ht="16.5" x14ac:dyDescent="0.3">
      <c r="AJ824" s="377">
        <v>516.35</v>
      </c>
      <c r="AK824" s="377">
        <v>26.53</v>
      </c>
      <c r="AL824" s="378">
        <v>2625.71</v>
      </c>
    </row>
    <row r="825" spans="36:38" ht="16.5" x14ac:dyDescent="0.3">
      <c r="AJ825" s="377">
        <v>520.83000000000004</v>
      </c>
      <c r="AK825" s="377">
        <v>26.84</v>
      </c>
      <c r="AL825" s="378">
        <v>2625.71</v>
      </c>
    </row>
    <row r="826" spans="36:38" ht="16.5" x14ac:dyDescent="0.3">
      <c r="AJ826" s="377">
        <v>530.67999999999995</v>
      </c>
      <c r="AK826" s="377">
        <v>26.64</v>
      </c>
      <c r="AL826" s="378">
        <v>2625.71</v>
      </c>
    </row>
    <row r="827" spans="36:38" ht="16.5" x14ac:dyDescent="0.3">
      <c r="AJ827" s="377">
        <v>536.69000000000005</v>
      </c>
      <c r="AK827" s="377">
        <v>26.51</v>
      </c>
      <c r="AL827" s="378">
        <v>2625.71</v>
      </c>
    </row>
    <row r="828" spans="36:38" ht="16.5" x14ac:dyDescent="0.3">
      <c r="AJ828" s="377">
        <v>542.9</v>
      </c>
      <c r="AK828" s="377">
        <v>26.74</v>
      </c>
      <c r="AL828" s="378">
        <v>2625.71</v>
      </c>
    </row>
    <row r="829" spans="36:38" ht="16.5" x14ac:dyDescent="0.3">
      <c r="AJ829" s="377">
        <v>549.4</v>
      </c>
      <c r="AK829" s="377">
        <v>26.64</v>
      </c>
      <c r="AL829" s="378">
        <v>2625.71</v>
      </c>
    </row>
    <row r="830" spans="36:38" ht="16.5" x14ac:dyDescent="0.3">
      <c r="AJ830" s="377">
        <v>561.42999999999995</v>
      </c>
      <c r="AK830" s="377">
        <v>26.53</v>
      </c>
      <c r="AL830" s="378">
        <v>2625.71</v>
      </c>
    </row>
    <row r="831" spans="36:38" ht="16.5" x14ac:dyDescent="0.3">
      <c r="AJ831" s="377">
        <v>571.57000000000005</v>
      </c>
      <c r="AK831" s="377">
        <v>25.95</v>
      </c>
      <c r="AL831" s="378">
        <v>2625.71</v>
      </c>
    </row>
    <row r="832" spans="36:38" ht="16.5" x14ac:dyDescent="0.3">
      <c r="AJ832" s="377">
        <v>575.41</v>
      </c>
      <c r="AK832" s="377">
        <v>26.27</v>
      </c>
      <c r="AL832" s="378">
        <v>2625.71</v>
      </c>
    </row>
    <row r="833" spans="36:38" ht="16.5" x14ac:dyDescent="0.3">
      <c r="AJ833" s="377">
        <v>587.39</v>
      </c>
      <c r="AK833" s="377">
        <v>26.72</v>
      </c>
      <c r="AL833" s="378">
        <v>2625.71</v>
      </c>
    </row>
    <row r="834" spans="36:38" ht="16.5" x14ac:dyDescent="0.3">
      <c r="AJ834" s="377">
        <v>591.35</v>
      </c>
      <c r="AK834" s="377">
        <v>26.77</v>
      </c>
      <c r="AL834" s="378">
        <v>2625.71</v>
      </c>
    </row>
    <row r="835" spans="36:38" ht="16.5" x14ac:dyDescent="0.3">
      <c r="AJ835" s="377">
        <v>600.65</v>
      </c>
      <c r="AK835" s="377">
        <v>25.4</v>
      </c>
      <c r="AL835" s="378">
        <v>2625.71</v>
      </c>
    </row>
    <row r="836" spans="36:38" ht="16.5" x14ac:dyDescent="0.3">
      <c r="AJ836" s="377">
        <v>610.53</v>
      </c>
      <c r="AK836" s="377">
        <v>26.05</v>
      </c>
      <c r="AL836" s="378">
        <v>2625.71</v>
      </c>
    </row>
    <row r="837" spans="36:38" ht="16.5" x14ac:dyDescent="0.3">
      <c r="AJ837" s="377">
        <v>619.64</v>
      </c>
      <c r="AK837" s="377">
        <v>23.69</v>
      </c>
      <c r="AL837" s="378">
        <v>2625.71</v>
      </c>
    </row>
    <row r="838" spans="36:38" ht="16.5" x14ac:dyDescent="0.3">
      <c r="AJ838" s="377">
        <v>622.66999999999996</v>
      </c>
      <c r="AK838" s="377">
        <v>22.55</v>
      </c>
      <c r="AL838" s="378">
        <v>2625.7103999999999</v>
      </c>
    </row>
    <row r="839" spans="36:38" ht="16.5" x14ac:dyDescent="0.3">
      <c r="AJ839" s="377">
        <v>628.36</v>
      </c>
      <c r="AK839" s="377">
        <v>20.56</v>
      </c>
      <c r="AL839" s="378">
        <v>2625.71</v>
      </c>
    </row>
    <row r="840" spans="36:38" ht="16.5" x14ac:dyDescent="0.3">
      <c r="AJ840" s="377">
        <v>633.53</v>
      </c>
      <c r="AK840" s="377">
        <v>18.59</v>
      </c>
      <c r="AL840" s="378">
        <v>2625.71</v>
      </c>
    </row>
    <row r="841" spans="36:38" ht="16.5" x14ac:dyDescent="0.3">
      <c r="AJ841" s="377">
        <v>640.35</v>
      </c>
      <c r="AK841" s="377">
        <v>14.46</v>
      </c>
      <c r="AL841" s="378">
        <v>2625.71</v>
      </c>
    </row>
    <row r="842" spans="36:38" ht="16.5" x14ac:dyDescent="0.3">
      <c r="AJ842" s="377">
        <v>646.25</v>
      </c>
      <c r="AK842" s="377">
        <v>10.69</v>
      </c>
      <c r="AL842" s="378">
        <v>2625.71</v>
      </c>
    </row>
    <row r="843" spans="36:38" ht="16.5" x14ac:dyDescent="0.3">
      <c r="AJ843" s="377">
        <v>651.27</v>
      </c>
      <c r="AK843" s="377">
        <v>6.33</v>
      </c>
      <c r="AL843" s="378">
        <v>2625.71</v>
      </c>
    </row>
    <row r="844" spans="36:38" ht="16.5" x14ac:dyDescent="0.3">
      <c r="AJ844" s="377">
        <v>655.46</v>
      </c>
      <c r="AK844" s="377">
        <v>2.23</v>
      </c>
      <c r="AL844" s="378">
        <v>2625.71</v>
      </c>
    </row>
    <row r="845" spans="36:38" ht="16.5" x14ac:dyDescent="0.3">
      <c r="AJ845" s="377">
        <v>662.13</v>
      </c>
      <c r="AK845" s="377">
        <v>-1.91</v>
      </c>
      <c r="AL845" s="378">
        <v>2625.71</v>
      </c>
    </row>
    <row r="846" spans="36:38" ht="16.5" x14ac:dyDescent="0.3">
      <c r="AJ846" s="377">
        <v>670.47</v>
      </c>
      <c r="AK846" s="377">
        <v>-7.95</v>
      </c>
      <c r="AL846" s="378">
        <v>2625.71</v>
      </c>
    </row>
    <row r="847" spans="36:38" ht="16.5" x14ac:dyDescent="0.3">
      <c r="AJ847" s="377">
        <v>675.25</v>
      </c>
      <c r="AK847" s="377">
        <v>-11.25</v>
      </c>
      <c r="AL847" s="378">
        <v>2625.7105000000001</v>
      </c>
    </row>
    <row r="848" spans="36:38" ht="16.5" x14ac:dyDescent="0.3">
      <c r="AJ848" s="377">
        <v>681.56</v>
      </c>
      <c r="AK848" s="377">
        <v>-15.92</v>
      </c>
      <c r="AL848" s="378">
        <v>2625.71</v>
      </c>
    </row>
    <row r="849" spans="36:38" ht="16.5" x14ac:dyDescent="0.3">
      <c r="AJ849" s="377">
        <v>686.76</v>
      </c>
      <c r="AK849" s="377">
        <v>-20.32</v>
      </c>
      <c r="AL849" s="378">
        <v>2625.71</v>
      </c>
    </row>
    <row r="850" spans="36:38" ht="16.5" x14ac:dyDescent="0.3">
      <c r="AJ850" s="377">
        <v>697.25</v>
      </c>
      <c r="AK850" s="377">
        <v>-27.69</v>
      </c>
      <c r="AL850" s="378">
        <v>2625.71</v>
      </c>
    </row>
    <row r="851" spans="36:38" ht="16.5" x14ac:dyDescent="0.3">
      <c r="AJ851" s="377">
        <v>702.99</v>
      </c>
      <c r="AK851" s="377">
        <v>-32.35</v>
      </c>
      <c r="AL851" s="378">
        <v>2625.71</v>
      </c>
    </row>
    <row r="852" spans="36:38" ht="16.5" x14ac:dyDescent="0.3">
      <c r="AJ852" s="377">
        <v>710.72</v>
      </c>
      <c r="AK852" s="377">
        <v>-36.65</v>
      </c>
      <c r="AL852" s="378">
        <v>2625.71</v>
      </c>
    </row>
    <row r="853" spans="36:38" ht="16.5" x14ac:dyDescent="0.3">
      <c r="AJ853" s="377">
        <v>715.4</v>
      </c>
      <c r="AK853" s="377">
        <v>-38.659999999999997</v>
      </c>
      <c r="AL853" s="378">
        <v>2625.71</v>
      </c>
    </row>
    <row r="854" spans="36:38" ht="16.5" x14ac:dyDescent="0.3">
      <c r="AJ854" s="377">
        <v>720.07</v>
      </c>
      <c r="AK854" s="377">
        <v>-40.659999999999997</v>
      </c>
      <c r="AL854" s="378">
        <v>2625.71</v>
      </c>
    </row>
    <row r="855" spans="36:38" ht="16.5" x14ac:dyDescent="0.3">
      <c r="AJ855" s="377">
        <v>731.82</v>
      </c>
      <c r="AK855" s="377">
        <v>-43.51</v>
      </c>
      <c r="AL855" s="378">
        <v>2625.71</v>
      </c>
    </row>
    <row r="856" spans="36:38" ht="16.5" x14ac:dyDescent="0.3">
      <c r="AJ856" s="377">
        <v>739.22</v>
      </c>
      <c r="AK856" s="377">
        <v>-45.18</v>
      </c>
      <c r="AL856" s="378">
        <v>2625.71</v>
      </c>
    </row>
    <row r="857" spans="36:38" ht="16.5" x14ac:dyDescent="0.3">
      <c r="AJ857" s="377">
        <v>751.73</v>
      </c>
      <c r="AK857" s="377">
        <v>-45.69</v>
      </c>
      <c r="AL857" s="378">
        <v>2625.71</v>
      </c>
    </row>
    <row r="858" spans="36:38" ht="16.5" x14ac:dyDescent="0.3">
      <c r="AJ858" s="377">
        <v>763.39</v>
      </c>
      <c r="AK858" s="377">
        <v>-46.9</v>
      </c>
      <c r="AL858" s="378">
        <v>2625.71</v>
      </c>
    </row>
    <row r="859" spans="36:38" ht="16.5" x14ac:dyDescent="0.3">
      <c r="AJ859" s="377">
        <v>774.65</v>
      </c>
      <c r="AK859" s="377">
        <v>-46.66</v>
      </c>
      <c r="AL859" s="378">
        <v>2625.71</v>
      </c>
    </row>
    <row r="860" spans="36:38" ht="16.5" x14ac:dyDescent="0.3">
      <c r="AJ860" s="377">
        <v>780.39</v>
      </c>
      <c r="AK860" s="377">
        <v>-46.62</v>
      </c>
      <c r="AL860" s="378">
        <v>2625.7116000000001</v>
      </c>
    </row>
    <row r="861" spans="36:38" ht="16.5" x14ac:dyDescent="0.3">
      <c r="AJ861" s="377">
        <v>789.18</v>
      </c>
      <c r="AK861" s="377">
        <v>-46.71</v>
      </c>
      <c r="AL861" s="378">
        <v>2625.71</v>
      </c>
    </row>
    <row r="862" spans="36:38" ht="16.5" x14ac:dyDescent="0.3">
      <c r="AJ862" s="377">
        <v>792.24</v>
      </c>
      <c r="AK862" s="377">
        <v>-46.34</v>
      </c>
      <c r="AL862" s="378">
        <v>2625.71</v>
      </c>
    </row>
    <row r="863" spans="36:38" ht="16.5" x14ac:dyDescent="0.3">
      <c r="AJ863" s="377">
        <v>800.04</v>
      </c>
      <c r="AK863" s="377">
        <v>-46.33</v>
      </c>
      <c r="AL863" s="378">
        <v>2625.71</v>
      </c>
    </row>
    <row r="864" spans="36:38" ht="16.5" x14ac:dyDescent="0.3">
      <c r="AJ864" s="377">
        <v>806.08</v>
      </c>
      <c r="AK864" s="377">
        <v>-46.6</v>
      </c>
      <c r="AL864" s="378">
        <v>2625.71</v>
      </c>
    </row>
    <row r="865" spans="36:38" ht="16.5" x14ac:dyDescent="0.3">
      <c r="AJ865" s="377">
        <v>818.25</v>
      </c>
      <c r="AK865" s="377">
        <v>-45.55</v>
      </c>
      <c r="AL865" s="378">
        <v>2625.71</v>
      </c>
    </row>
    <row r="866" spans="36:38" ht="16.5" x14ac:dyDescent="0.3">
      <c r="AJ866" s="377">
        <v>823.21</v>
      </c>
      <c r="AK866" s="377">
        <v>-45.57</v>
      </c>
      <c r="AL866" s="378">
        <v>2625.71</v>
      </c>
    </row>
    <row r="867" spans="36:38" ht="16.5" x14ac:dyDescent="0.3">
      <c r="AJ867" s="377">
        <v>830.1</v>
      </c>
      <c r="AK867" s="377">
        <v>-45.88</v>
      </c>
      <c r="AL867" s="378">
        <v>2625.71</v>
      </c>
    </row>
    <row r="868" spans="36:38" ht="16.5" x14ac:dyDescent="0.3">
      <c r="AJ868" s="377">
        <v>840.49</v>
      </c>
      <c r="AK868" s="377">
        <v>-46.36</v>
      </c>
      <c r="AL868" s="378">
        <v>2625.7112000000002</v>
      </c>
    </row>
    <row r="869" spans="36:38" ht="16.5" x14ac:dyDescent="0.3">
      <c r="AJ869" s="377">
        <v>850.48</v>
      </c>
      <c r="AK869" s="377">
        <v>-46.35</v>
      </c>
      <c r="AL869" s="378">
        <v>2625.71</v>
      </c>
    </row>
    <row r="870" spans="36:38" ht="16.5" x14ac:dyDescent="0.3">
      <c r="AJ870" s="377">
        <v>853.74</v>
      </c>
      <c r="AK870" s="377">
        <v>-46.24</v>
      </c>
      <c r="AL870" s="378">
        <v>2625.71</v>
      </c>
    </row>
    <row r="871" spans="36:38" ht="16.5" x14ac:dyDescent="0.3">
      <c r="AJ871" s="377">
        <v>862.42</v>
      </c>
      <c r="AK871" s="377">
        <v>-46.47</v>
      </c>
      <c r="AL871" s="378">
        <v>2625.71</v>
      </c>
    </row>
    <row r="872" spans="36:38" ht="16.5" x14ac:dyDescent="0.3">
      <c r="AJ872" s="377">
        <v>872.69</v>
      </c>
      <c r="AK872" s="377">
        <v>-46.47</v>
      </c>
      <c r="AL872" s="378">
        <v>2625.71</v>
      </c>
    </row>
    <row r="873" spans="36:38" ht="16.5" x14ac:dyDescent="0.3">
      <c r="AJ873" s="377">
        <v>880.7</v>
      </c>
      <c r="AK873" s="377">
        <v>-48.77</v>
      </c>
      <c r="AL873" s="378">
        <v>2625.71</v>
      </c>
    </row>
    <row r="874" spans="36:38" ht="16.5" x14ac:dyDescent="0.3">
      <c r="AJ874" s="377">
        <v>890.1</v>
      </c>
      <c r="AK874" s="377">
        <v>-46.72</v>
      </c>
      <c r="AL874" s="378">
        <v>2625.71</v>
      </c>
    </row>
    <row r="875" spans="36:38" ht="16.5" x14ac:dyDescent="0.3">
      <c r="AJ875" s="377">
        <v>899.12</v>
      </c>
      <c r="AK875" s="377">
        <v>-46.41</v>
      </c>
      <c r="AL875" s="378">
        <v>2625.71</v>
      </c>
    </row>
    <row r="876" spans="36:38" ht="16.5" x14ac:dyDescent="0.3">
      <c r="AJ876" s="377">
        <v>904.12</v>
      </c>
      <c r="AK876" s="377">
        <v>-46.24</v>
      </c>
      <c r="AL876" s="378">
        <v>2625.71</v>
      </c>
    </row>
    <row r="877" spans="36:38" ht="16.5" x14ac:dyDescent="0.3">
      <c r="AJ877" s="377">
        <v>909.12</v>
      </c>
      <c r="AK877" s="377">
        <v>-46.07</v>
      </c>
      <c r="AL877" s="378">
        <v>2625.71</v>
      </c>
    </row>
    <row r="878" spans="36:38" ht="16.5" x14ac:dyDescent="0.3">
      <c r="AJ878" s="377">
        <v>915.58</v>
      </c>
      <c r="AK878" s="377">
        <v>-46.08</v>
      </c>
      <c r="AL878" s="378">
        <v>2625.7112000000002</v>
      </c>
    </row>
    <row r="879" spans="36:38" ht="16.5" x14ac:dyDescent="0.3">
      <c r="AJ879" s="377">
        <v>922.04</v>
      </c>
      <c r="AK879" s="377">
        <v>-46.08</v>
      </c>
      <c r="AL879" s="378">
        <v>2625.71</v>
      </c>
    </row>
    <row r="880" spans="36:38" ht="16.5" x14ac:dyDescent="0.3">
      <c r="AJ880" s="377">
        <v>929.02</v>
      </c>
      <c r="AK880" s="377">
        <v>-46.14</v>
      </c>
      <c r="AL880" s="378">
        <v>2625.71</v>
      </c>
    </row>
    <row r="881" spans="36:38" ht="16.5" x14ac:dyDescent="0.3">
      <c r="AJ881" s="377">
        <v>936</v>
      </c>
      <c r="AK881" s="377">
        <v>-46.21</v>
      </c>
      <c r="AL881" s="378">
        <v>2625.71</v>
      </c>
    </row>
    <row r="882" spans="36:38" ht="16.5" x14ac:dyDescent="0.3">
      <c r="AJ882" s="377">
        <v>945.79</v>
      </c>
      <c r="AK882" s="377">
        <v>-46.85</v>
      </c>
      <c r="AL882" s="378">
        <v>2625.71</v>
      </c>
    </row>
    <row r="883" spans="36:38" ht="16.5" x14ac:dyDescent="0.3">
      <c r="AJ883" s="377">
        <v>962.33</v>
      </c>
      <c r="AK883" s="377">
        <v>-46.42</v>
      </c>
      <c r="AL883" s="378">
        <v>2625.71</v>
      </c>
    </row>
    <row r="884" spans="36:38" ht="16.5" x14ac:dyDescent="0.3">
      <c r="AJ884" s="377">
        <v>967.57</v>
      </c>
      <c r="AK884" s="377">
        <v>-46.18</v>
      </c>
      <c r="AL884" s="378">
        <v>2625.71</v>
      </c>
    </row>
    <row r="885" spans="36:38" ht="16.5" x14ac:dyDescent="0.3">
      <c r="AJ885" s="377">
        <v>972.8</v>
      </c>
      <c r="AK885" s="377">
        <v>-45.95</v>
      </c>
      <c r="AL885" s="378">
        <v>2625.71</v>
      </c>
    </row>
    <row r="886" spans="36:38" ht="16.5" x14ac:dyDescent="0.3">
      <c r="AJ886" s="377">
        <v>986.13</v>
      </c>
      <c r="AK886" s="377">
        <v>-45.45</v>
      </c>
      <c r="AL886" s="378">
        <v>2625.71</v>
      </c>
    </row>
    <row r="887" spans="36:38" ht="16.5" x14ac:dyDescent="0.3">
      <c r="AJ887" s="377">
        <v>1001.14</v>
      </c>
      <c r="AK887" s="377">
        <v>-45.04</v>
      </c>
      <c r="AL887" s="378">
        <v>2625.71</v>
      </c>
    </row>
    <row r="888" spans="36:38" ht="16.5" x14ac:dyDescent="0.3">
      <c r="AJ888" s="377">
        <v>1017.41</v>
      </c>
      <c r="AK888" s="377">
        <v>-45.51</v>
      </c>
      <c r="AL888" s="378">
        <v>2625.71</v>
      </c>
    </row>
    <row r="889" spans="36:38" ht="16.5" x14ac:dyDescent="0.3">
      <c r="AJ889" s="377">
        <v>1022.43</v>
      </c>
      <c r="AK889" s="377">
        <v>-45.32</v>
      </c>
      <c r="AL889" s="378">
        <v>2625.7100999999998</v>
      </c>
    </row>
    <row r="890" spans="36:38" ht="16.5" x14ac:dyDescent="0.3">
      <c r="AJ890" s="377">
        <v>1027.45</v>
      </c>
      <c r="AK890" s="377">
        <v>-45.13</v>
      </c>
      <c r="AL890" s="378">
        <v>2625.71</v>
      </c>
    </row>
    <row r="891" spans="36:38" ht="16.5" x14ac:dyDescent="0.3">
      <c r="AJ891" s="377">
        <v>1036.78</v>
      </c>
      <c r="AK891" s="377">
        <v>-45.79</v>
      </c>
      <c r="AL891" s="378">
        <v>2625.71</v>
      </c>
    </row>
    <row r="892" spans="36:38" ht="16.5" x14ac:dyDescent="0.3">
      <c r="AJ892" s="377">
        <v>1044.31</v>
      </c>
      <c r="AK892" s="377">
        <v>-45.88</v>
      </c>
      <c r="AL892" s="378">
        <v>2625.71</v>
      </c>
    </row>
    <row r="893" spans="36:38" ht="16.5" x14ac:dyDescent="0.3">
      <c r="AJ893" s="377">
        <v>1051.83</v>
      </c>
      <c r="AK893" s="377">
        <v>-45.96</v>
      </c>
      <c r="AL893" s="378">
        <v>2625.71</v>
      </c>
    </row>
    <row r="894" spans="36:38" ht="16.5" x14ac:dyDescent="0.3">
      <c r="AJ894" s="377">
        <v>1065.74</v>
      </c>
      <c r="AK894" s="377">
        <v>-45.91</v>
      </c>
      <c r="AL894" s="378">
        <v>2625.71</v>
      </c>
    </row>
    <row r="895" spans="36:38" ht="16.5" x14ac:dyDescent="0.3">
      <c r="AJ895" s="377">
        <v>1072.6600000000001</v>
      </c>
      <c r="AK895" s="377">
        <v>-45.96</v>
      </c>
      <c r="AL895" s="378">
        <v>2625.7112000000002</v>
      </c>
    </row>
    <row r="896" spans="36:38" ht="16.5" x14ac:dyDescent="0.3">
      <c r="AJ896" s="377">
        <v>1079.58</v>
      </c>
      <c r="AK896" s="377">
        <v>-46.02</v>
      </c>
      <c r="AL896" s="378">
        <v>2625.71</v>
      </c>
    </row>
    <row r="897" spans="36:38" ht="16.5" x14ac:dyDescent="0.3">
      <c r="AJ897" s="377">
        <v>1097.19</v>
      </c>
      <c r="AK897" s="377">
        <v>-46.57</v>
      </c>
      <c r="AL897" s="378">
        <v>2625.71</v>
      </c>
    </row>
    <row r="898" spans="36:38" ht="16.5" x14ac:dyDescent="0.3">
      <c r="AJ898" s="377">
        <v>1103.6199999999999</v>
      </c>
      <c r="AK898" s="377">
        <v>-46.86</v>
      </c>
      <c r="AL898" s="378">
        <v>2625.7102</v>
      </c>
    </row>
    <row r="899" spans="36:38" ht="16.5" x14ac:dyDescent="0.3">
      <c r="AJ899" s="377">
        <v>1110.04</v>
      </c>
      <c r="AK899" s="377">
        <v>-47.14</v>
      </c>
      <c r="AL899" s="378">
        <v>2625.71</v>
      </c>
    </row>
    <row r="900" spans="36:38" ht="16.5" x14ac:dyDescent="0.3">
      <c r="AJ900" s="377">
        <v>1118.17</v>
      </c>
      <c r="AK900" s="377">
        <v>-46.6</v>
      </c>
      <c r="AL900" s="378">
        <v>2625.71</v>
      </c>
    </row>
    <row r="901" spans="36:38" ht="16.5" x14ac:dyDescent="0.3">
      <c r="AJ901" s="377">
        <v>1128.5999999999999</v>
      </c>
      <c r="AK901" s="377">
        <v>-46.16</v>
      </c>
      <c r="AL901" s="378">
        <v>2625.7102</v>
      </c>
    </row>
    <row r="902" spans="36:38" ht="16.5" x14ac:dyDescent="0.3">
      <c r="AJ902" s="377">
        <v>1129.5899999999999</v>
      </c>
      <c r="AK902" s="377">
        <v>-46.2</v>
      </c>
      <c r="AL902" s="378">
        <v>2625.71</v>
      </c>
    </row>
    <row r="903" spans="36:38" ht="16.5" x14ac:dyDescent="0.3">
      <c r="AJ903" s="377">
        <v>1133.68</v>
      </c>
      <c r="AK903" s="377">
        <v>-46.77</v>
      </c>
      <c r="AL903" s="378">
        <v>2625.71</v>
      </c>
    </row>
    <row r="904" spans="36:38" ht="16.5" x14ac:dyDescent="0.3">
      <c r="AJ904" s="377">
        <v>1145.22</v>
      </c>
      <c r="AK904" s="377">
        <v>-46.72</v>
      </c>
      <c r="AL904" s="378">
        <v>2625.71</v>
      </c>
    </row>
    <row r="905" spans="36:38" ht="16.5" x14ac:dyDescent="0.3">
      <c r="AJ905" s="377">
        <v>1161.47</v>
      </c>
      <c r="AK905" s="377">
        <v>-45.67</v>
      </c>
      <c r="AL905" s="378">
        <v>2625.71</v>
      </c>
    </row>
    <row r="906" spans="36:38" ht="16.5" x14ac:dyDescent="0.3">
      <c r="AJ906" s="377">
        <v>1166.47</v>
      </c>
      <c r="AK906" s="377">
        <v>-45.49</v>
      </c>
      <c r="AL906" s="378">
        <v>2625.71</v>
      </c>
    </row>
    <row r="907" spans="36:38" ht="16.5" x14ac:dyDescent="0.3">
      <c r="AJ907" s="377">
        <v>1174.6300000000001</v>
      </c>
      <c r="AK907" s="377">
        <v>-45.38</v>
      </c>
      <c r="AL907" s="378">
        <v>2625.71</v>
      </c>
    </row>
    <row r="908" spans="36:38" ht="16.5" x14ac:dyDescent="0.3">
      <c r="AJ908" s="377">
        <v>1186.23</v>
      </c>
      <c r="AK908" s="377">
        <v>-45.03</v>
      </c>
      <c r="AL908" s="378">
        <v>2625.71</v>
      </c>
    </row>
    <row r="909" spans="36:38" ht="16.5" x14ac:dyDescent="0.3">
      <c r="AJ909" s="377">
        <v>1187.03</v>
      </c>
      <c r="AK909" s="377">
        <v>-44.93</v>
      </c>
      <c r="AL909" s="378">
        <v>2625.71</v>
      </c>
    </row>
    <row r="910" spans="36:38" ht="16.5" x14ac:dyDescent="0.3">
      <c r="AJ910" s="377">
        <v>1194.26</v>
      </c>
      <c r="AK910" s="377">
        <v>-46.55</v>
      </c>
      <c r="AL910" s="378">
        <v>2625.71</v>
      </c>
    </row>
    <row r="911" spans="36:38" ht="16.5" x14ac:dyDescent="0.3">
      <c r="AJ911" s="377">
        <v>1201.1199999999999</v>
      </c>
      <c r="AK911" s="377">
        <v>-46.05</v>
      </c>
      <c r="AL911" s="378">
        <v>2625.71</v>
      </c>
    </row>
    <row r="912" spans="36:38" ht="16.5" x14ac:dyDescent="0.3">
      <c r="AJ912" s="377">
        <v>1208</v>
      </c>
      <c r="AK912" s="377">
        <v>-45.76</v>
      </c>
      <c r="AL912" s="378">
        <v>2625.71</v>
      </c>
    </row>
    <row r="913" spans="36:38" ht="16.5" x14ac:dyDescent="0.3">
      <c r="AJ913" s="377">
        <v>1214.21</v>
      </c>
      <c r="AK913" s="377">
        <v>-45.73</v>
      </c>
      <c r="AL913" s="378">
        <v>2625.71</v>
      </c>
    </row>
    <row r="914" spans="36:38" ht="16.5" x14ac:dyDescent="0.3">
      <c r="AJ914" s="377">
        <v>1221.49</v>
      </c>
      <c r="AK914" s="377">
        <v>-45.26</v>
      </c>
      <c r="AL914" s="378">
        <v>2625.71</v>
      </c>
    </row>
    <row r="915" spans="36:38" ht="16.5" x14ac:dyDescent="0.3">
      <c r="AJ915" s="377">
        <v>1239.56</v>
      </c>
      <c r="AK915" s="377">
        <v>-44.93</v>
      </c>
      <c r="AL915" s="378">
        <v>2625.71</v>
      </c>
    </row>
    <row r="916" spans="36:38" ht="16.5" x14ac:dyDescent="0.3">
      <c r="AJ916" s="377">
        <v>1249.02</v>
      </c>
      <c r="AK916" s="377">
        <v>-44.76</v>
      </c>
      <c r="AL916" s="378">
        <v>2625.71</v>
      </c>
    </row>
    <row r="917" spans="36:38" ht="16.5" x14ac:dyDescent="0.3">
      <c r="AJ917" s="377">
        <v>1256.1199999999999</v>
      </c>
      <c r="AK917" s="377">
        <v>-44.68</v>
      </c>
      <c r="AL917" s="378">
        <v>2625.71</v>
      </c>
    </row>
    <row r="918" spans="36:38" ht="16.5" x14ac:dyDescent="0.3">
      <c r="AJ918" s="377">
        <v>1272.1600000000001</v>
      </c>
      <c r="AK918" s="377">
        <v>-45.41</v>
      </c>
      <c r="AL918" s="378">
        <v>2625.71</v>
      </c>
    </row>
    <row r="919" spans="36:38" ht="16.5" x14ac:dyDescent="0.3">
      <c r="AJ919" s="377">
        <v>1278.71</v>
      </c>
      <c r="AK919" s="377">
        <v>-45.82</v>
      </c>
      <c r="AL919" s="378">
        <v>2625.71</v>
      </c>
    </row>
    <row r="920" spans="36:38" ht="16.5" x14ac:dyDescent="0.3">
      <c r="AJ920" s="377">
        <v>1283.81</v>
      </c>
      <c r="AK920" s="377">
        <v>-45.55</v>
      </c>
      <c r="AL920" s="378">
        <v>2625.71</v>
      </c>
    </row>
    <row r="921" spans="36:38" ht="16.5" x14ac:dyDescent="0.3">
      <c r="AJ921" s="377">
        <v>1288.9100000000001</v>
      </c>
      <c r="AK921" s="377">
        <v>-45.29</v>
      </c>
      <c r="AL921" s="378">
        <v>2625.71</v>
      </c>
    </row>
    <row r="922" spans="36:38" ht="16.5" x14ac:dyDescent="0.3">
      <c r="AJ922" s="377">
        <v>1296.05</v>
      </c>
      <c r="AK922" s="377">
        <v>-45.4</v>
      </c>
      <c r="AL922" s="378">
        <v>2625.71</v>
      </c>
    </row>
    <row r="923" spans="36:38" ht="16.5" x14ac:dyDescent="0.3">
      <c r="AJ923" s="377">
        <v>1304.8</v>
      </c>
      <c r="AK923" s="377">
        <v>-45.34</v>
      </c>
      <c r="AL923" s="378">
        <v>2625.71</v>
      </c>
    </row>
    <row r="924" spans="36:38" ht="16.5" x14ac:dyDescent="0.3">
      <c r="AJ924" s="377">
        <v>1311.49</v>
      </c>
      <c r="AK924" s="377">
        <v>-45.26</v>
      </c>
      <c r="AL924" s="378">
        <v>2625.71</v>
      </c>
    </row>
    <row r="925" spans="36:38" ht="16.5" x14ac:dyDescent="0.3">
      <c r="AJ925" s="377">
        <v>1318.26</v>
      </c>
      <c r="AK925" s="377">
        <v>-45.75</v>
      </c>
      <c r="AL925" s="378">
        <v>2625.71</v>
      </c>
    </row>
    <row r="926" spans="36:38" ht="16.5" x14ac:dyDescent="0.3">
      <c r="AJ926" s="377">
        <v>1327.87</v>
      </c>
      <c r="AK926" s="377">
        <v>-45.64</v>
      </c>
      <c r="AL926" s="378">
        <v>2625.71</v>
      </c>
    </row>
    <row r="927" spans="36:38" ht="16.5" x14ac:dyDescent="0.3">
      <c r="AJ927" s="377">
        <v>1333.43</v>
      </c>
      <c r="AK927" s="377">
        <v>-45.53</v>
      </c>
      <c r="AL927" s="378">
        <v>2625.71</v>
      </c>
    </row>
    <row r="928" spans="36:38" ht="16.5" x14ac:dyDescent="0.3">
      <c r="AJ928" s="377">
        <v>1339</v>
      </c>
      <c r="AK928" s="377">
        <v>-45.42</v>
      </c>
      <c r="AL928" s="378">
        <v>2625.71</v>
      </c>
    </row>
    <row r="929" spans="36:38" ht="16.5" x14ac:dyDescent="0.3">
      <c r="AJ929" s="377">
        <v>1346.36</v>
      </c>
      <c r="AK929" s="377">
        <v>-45.65</v>
      </c>
      <c r="AL929" s="378">
        <v>2625.7112000000002</v>
      </c>
    </row>
    <row r="930" spans="36:38" ht="16.5" x14ac:dyDescent="0.3">
      <c r="AJ930" s="377">
        <v>1353.72</v>
      </c>
      <c r="AK930" s="377">
        <v>-45.88</v>
      </c>
      <c r="AL930" s="378">
        <v>2625.71</v>
      </c>
    </row>
    <row r="931" spans="36:38" ht="16.5" x14ac:dyDescent="0.3">
      <c r="AJ931" s="377">
        <v>1361.87</v>
      </c>
      <c r="AK931" s="377">
        <v>-45.13</v>
      </c>
      <c r="AL931" s="378">
        <v>2625.71</v>
      </c>
    </row>
    <row r="932" spans="36:38" ht="16.5" x14ac:dyDescent="0.3">
      <c r="AJ932" s="377">
        <v>1368.39</v>
      </c>
      <c r="AK932" s="377">
        <v>-45.38</v>
      </c>
      <c r="AL932" s="378">
        <v>2625.71</v>
      </c>
    </row>
    <row r="933" spans="36:38" ht="16.5" x14ac:dyDescent="0.3">
      <c r="AJ933" s="377">
        <v>1376.67</v>
      </c>
      <c r="AK933" s="377">
        <v>-45.5</v>
      </c>
      <c r="AL933" s="378">
        <v>2625.71</v>
      </c>
    </row>
    <row r="934" spans="36:38" ht="16.5" x14ac:dyDescent="0.3">
      <c r="AJ934" s="377">
        <v>1384.62</v>
      </c>
      <c r="AK934" s="377">
        <v>-46.5</v>
      </c>
      <c r="AL934" s="378">
        <v>2625.71</v>
      </c>
    </row>
    <row r="935" spans="36:38" ht="16.5" x14ac:dyDescent="0.3">
      <c r="AJ935" s="377">
        <v>1394.4</v>
      </c>
      <c r="AK935" s="377">
        <v>-47.18</v>
      </c>
      <c r="AL935" s="378">
        <v>2625.71</v>
      </c>
    </row>
    <row r="936" spans="36:38" ht="16.5" x14ac:dyDescent="0.3">
      <c r="AJ936" s="377">
        <v>1401.53</v>
      </c>
      <c r="AK936" s="377">
        <v>-48.23</v>
      </c>
      <c r="AL936" s="378">
        <v>2625.71</v>
      </c>
    </row>
    <row r="937" spans="36:38" ht="16.5" x14ac:dyDescent="0.3">
      <c r="AJ937" s="377">
        <v>1411.44</v>
      </c>
      <c r="AK937" s="377">
        <v>-47.31</v>
      </c>
      <c r="AL937" s="378">
        <v>2625.7114000000001</v>
      </c>
    </row>
    <row r="938" spans="36:38" ht="16.5" x14ac:dyDescent="0.3">
      <c r="AJ938" s="377">
        <v>1416.94</v>
      </c>
      <c r="AK938" s="377">
        <v>-46.76</v>
      </c>
      <c r="AL938" s="378">
        <v>2625.71</v>
      </c>
    </row>
    <row r="939" spans="36:38" ht="16.5" x14ac:dyDescent="0.3">
      <c r="AJ939" s="377">
        <v>1425.22</v>
      </c>
      <c r="AK939" s="377">
        <v>-46.44</v>
      </c>
      <c r="AL939" s="378">
        <v>2625.71</v>
      </c>
    </row>
    <row r="940" spans="36:38" ht="16.5" x14ac:dyDescent="0.3">
      <c r="AJ940" s="377">
        <v>1428.45</v>
      </c>
      <c r="AK940" s="377">
        <v>-46.11</v>
      </c>
      <c r="AL940" s="378">
        <v>2625.71</v>
      </c>
    </row>
    <row r="941" spans="36:38" ht="16.5" x14ac:dyDescent="0.3">
      <c r="AJ941" s="377">
        <v>1437.43</v>
      </c>
      <c r="AK941" s="377">
        <v>-45.76</v>
      </c>
      <c r="AL941" s="378">
        <v>2625.71</v>
      </c>
    </row>
    <row r="942" spans="36:38" ht="16.5" x14ac:dyDescent="0.3">
      <c r="AJ942" s="377">
        <v>1444.67</v>
      </c>
      <c r="AK942" s="377">
        <v>-46</v>
      </c>
      <c r="AL942" s="378">
        <v>2625.71</v>
      </c>
    </row>
    <row r="943" spans="36:38" ht="16.5" x14ac:dyDescent="0.3">
      <c r="AJ943" s="377">
        <v>1453.66</v>
      </c>
      <c r="AK943" s="377">
        <v>-46.62</v>
      </c>
      <c r="AL943" s="378">
        <v>2625.71</v>
      </c>
    </row>
    <row r="944" spans="36:38" ht="16.5" x14ac:dyDescent="0.3">
      <c r="AJ944" s="377">
        <v>1454.75</v>
      </c>
      <c r="AK944" s="377">
        <v>-47.03</v>
      </c>
      <c r="AL944" s="378">
        <v>2625.71</v>
      </c>
    </row>
    <row r="945" spans="36:38" ht="16.5" x14ac:dyDescent="0.3">
      <c r="AJ945" s="377">
        <v>1461.65</v>
      </c>
      <c r="AK945" s="377">
        <v>-46.83</v>
      </c>
      <c r="AL945" s="378">
        <v>2625.71</v>
      </c>
    </row>
    <row r="946" spans="36:38" ht="16.5" x14ac:dyDescent="0.3">
      <c r="AJ946" s="377">
        <v>1471.59</v>
      </c>
      <c r="AK946" s="377">
        <v>-46.65</v>
      </c>
      <c r="AL946" s="378">
        <v>2625.7102</v>
      </c>
    </row>
    <row r="947" spans="36:38" ht="16.5" x14ac:dyDescent="0.3">
      <c r="AJ947" s="377">
        <v>1476.2</v>
      </c>
      <c r="AK947" s="377">
        <v>-46.67</v>
      </c>
      <c r="AL947" s="378">
        <v>2625.71</v>
      </c>
    </row>
    <row r="948" spans="36:38" ht="16.5" x14ac:dyDescent="0.3">
      <c r="AJ948" s="377">
        <v>1481.52</v>
      </c>
      <c r="AK948" s="377">
        <v>-46.08</v>
      </c>
      <c r="AL948" s="378">
        <v>2625.71</v>
      </c>
    </row>
    <row r="949" spans="36:38" ht="16.5" x14ac:dyDescent="0.3">
      <c r="AJ949" s="377">
        <v>1494.33</v>
      </c>
      <c r="AK949" s="377">
        <v>-45.22</v>
      </c>
      <c r="AL949" s="378">
        <v>2625.71</v>
      </c>
    </row>
    <row r="950" spans="36:38" ht="16.5" x14ac:dyDescent="0.3">
      <c r="AJ950" s="377">
        <v>1504.4</v>
      </c>
      <c r="AK950" s="377">
        <v>-44.88</v>
      </c>
      <c r="AL950" s="378">
        <v>2625.71</v>
      </c>
    </row>
    <row r="951" spans="36:38" ht="16.5" x14ac:dyDescent="0.3">
      <c r="AJ951" s="377">
        <v>1507.91</v>
      </c>
      <c r="AK951" s="377">
        <v>-44.76</v>
      </c>
      <c r="AL951" s="378">
        <v>2625.71</v>
      </c>
    </row>
    <row r="952" spans="36:38" ht="16.5" x14ac:dyDescent="0.3">
      <c r="AJ952" s="377">
        <v>1517.03</v>
      </c>
      <c r="AK952" s="377">
        <v>-44.66</v>
      </c>
      <c r="AL952" s="378">
        <v>2625.71</v>
      </c>
    </row>
    <row r="953" spans="36:38" ht="16.5" x14ac:dyDescent="0.3">
      <c r="AJ953" s="377">
        <v>1526.18</v>
      </c>
      <c r="AK953" s="377">
        <v>-44.69</v>
      </c>
      <c r="AL953" s="378">
        <v>2625.71</v>
      </c>
    </row>
    <row r="954" spans="36:38" ht="16.5" x14ac:dyDescent="0.3">
      <c r="AJ954" s="377">
        <v>1532.75</v>
      </c>
      <c r="AK954" s="377">
        <v>-44.32</v>
      </c>
      <c r="AL954" s="378">
        <v>2625.71</v>
      </c>
    </row>
    <row r="955" spans="36:38" ht="16.5" x14ac:dyDescent="0.3">
      <c r="AJ955" s="377">
        <v>1533.35</v>
      </c>
      <c r="AK955" s="377">
        <v>-44.28</v>
      </c>
      <c r="AL955" s="378">
        <v>2625.71</v>
      </c>
    </row>
    <row r="956" spans="36:38" ht="16.5" x14ac:dyDescent="0.3">
      <c r="AJ956" s="377">
        <v>1533.95</v>
      </c>
      <c r="AK956" s="377">
        <v>-44.24</v>
      </c>
      <c r="AL956" s="378">
        <v>2625.71</v>
      </c>
    </row>
    <row r="957" spans="36:38" ht="16.5" x14ac:dyDescent="0.3">
      <c r="AJ957" s="377">
        <v>1543.81</v>
      </c>
      <c r="AK957" s="377">
        <v>-44.13</v>
      </c>
      <c r="AL957" s="378">
        <v>2625.71</v>
      </c>
    </row>
    <row r="958" spans="36:38" ht="16.5" x14ac:dyDescent="0.3">
      <c r="AJ958" s="377">
        <v>1550.83</v>
      </c>
      <c r="AK958" s="377">
        <v>-43.88</v>
      </c>
      <c r="AL958" s="378">
        <v>2625.71</v>
      </c>
    </row>
    <row r="959" spans="36:38" ht="16.5" x14ac:dyDescent="0.3">
      <c r="AJ959" s="377">
        <v>1558.77</v>
      </c>
      <c r="AK959" s="377">
        <v>-44.39</v>
      </c>
      <c r="AL959" s="378">
        <v>2625.71</v>
      </c>
    </row>
    <row r="960" spans="36:38" ht="16.5" x14ac:dyDescent="0.3">
      <c r="AJ960" s="377">
        <v>1563.8</v>
      </c>
      <c r="AK960" s="377">
        <v>-44.62</v>
      </c>
      <c r="AL960" s="378">
        <v>2625.71</v>
      </c>
    </row>
    <row r="961" spans="36:38" ht="16.5" x14ac:dyDescent="0.3">
      <c r="AJ961" s="377">
        <v>1571.29</v>
      </c>
      <c r="AK961" s="377">
        <v>-44.58</v>
      </c>
      <c r="AL961" s="378">
        <v>2625.71</v>
      </c>
    </row>
    <row r="962" spans="36:38" ht="16.5" x14ac:dyDescent="0.3">
      <c r="AJ962" s="377">
        <v>1581.02</v>
      </c>
      <c r="AK962" s="377">
        <v>-44.57</v>
      </c>
      <c r="AL962" s="378">
        <v>2625.71</v>
      </c>
    </row>
    <row r="963" spans="36:38" ht="16.5" x14ac:dyDescent="0.3">
      <c r="AJ963" s="377">
        <v>1581.02</v>
      </c>
      <c r="AK963" s="377">
        <v>-44.57</v>
      </c>
      <c r="AL963" s="378">
        <v>2625.71</v>
      </c>
    </row>
    <row r="964" spans="36:38" ht="16.5" x14ac:dyDescent="0.3">
      <c r="AJ964" s="377">
        <v>1582.17</v>
      </c>
      <c r="AK964" s="377">
        <v>-44.3</v>
      </c>
      <c r="AL964" s="378">
        <v>2625.71</v>
      </c>
    </row>
    <row r="965" spans="36:38" ht="16.5" x14ac:dyDescent="0.3">
      <c r="AJ965" s="377">
        <v>1588.2</v>
      </c>
      <c r="AK965" s="377">
        <v>-43.98</v>
      </c>
      <c r="AL965" s="378">
        <v>2625.71</v>
      </c>
    </row>
    <row r="966" spans="36:38" ht="16.5" x14ac:dyDescent="0.3">
      <c r="AJ966" s="377">
        <v>1588.91</v>
      </c>
      <c r="AK966" s="377">
        <v>-43.78</v>
      </c>
      <c r="AL966" s="378">
        <v>2625.7114000000001</v>
      </c>
    </row>
    <row r="967" spans="36:38" ht="16.5" x14ac:dyDescent="0.3">
      <c r="AJ967" s="377">
        <v>1598.36</v>
      </c>
      <c r="AK967" s="377">
        <v>-44.38</v>
      </c>
      <c r="AL967" s="378">
        <v>2625.71</v>
      </c>
    </row>
    <row r="968" spans="36:38" ht="16.5" x14ac:dyDescent="0.3">
      <c r="AJ968" s="377">
        <v>1598.36</v>
      </c>
      <c r="AK968" s="377">
        <v>-44.38</v>
      </c>
      <c r="AL968" s="378">
        <v>2625.71</v>
      </c>
    </row>
    <row r="969" spans="36:38" ht="16.5" x14ac:dyDescent="0.3">
      <c r="AJ969" s="377">
        <v>1598.7</v>
      </c>
      <c r="AK969" s="377">
        <v>-44.33</v>
      </c>
      <c r="AL969" s="378">
        <v>2625.71</v>
      </c>
    </row>
    <row r="970" spans="36:38" ht="16.5" x14ac:dyDescent="0.3">
      <c r="AJ970" s="377">
        <v>1599.13</v>
      </c>
      <c r="AK970" s="377">
        <v>-44.26</v>
      </c>
      <c r="AL970" s="378">
        <v>2625.71</v>
      </c>
    </row>
    <row r="971" spans="36:38" ht="16.5" x14ac:dyDescent="0.3">
      <c r="AJ971" s="377">
        <v>1599.95</v>
      </c>
      <c r="AK971" s="377">
        <v>-44.13</v>
      </c>
      <c r="AL971" s="378">
        <v>2625.71</v>
      </c>
    </row>
    <row r="972" spans="36:38" ht="16.5" x14ac:dyDescent="0.3">
      <c r="AJ972" s="377">
        <v>1602.2</v>
      </c>
      <c r="AK972" s="377">
        <v>-45.4</v>
      </c>
      <c r="AL972" s="378">
        <v>2625.71</v>
      </c>
    </row>
    <row r="973" spans="36:38" ht="16.5" x14ac:dyDescent="0.3">
      <c r="AJ973" s="377">
        <v>1610.73</v>
      </c>
      <c r="AK973" s="377">
        <v>-45.62</v>
      </c>
      <c r="AL973" s="378">
        <v>2625.71</v>
      </c>
    </row>
    <row r="974" spans="36:38" ht="16.5" x14ac:dyDescent="0.3">
      <c r="AJ974" s="377">
        <v>1617.51</v>
      </c>
      <c r="AK974" s="377">
        <v>-44.52</v>
      </c>
      <c r="AL974" s="378">
        <v>2625.71</v>
      </c>
    </row>
    <row r="975" spans="36:38" ht="16.5" x14ac:dyDescent="0.3">
      <c r="AJ975" s="377">
        <v>1623.21</v>
      </c>
      <c r="AK975" s="377">
        <v>-45.03</v>
      </c>
      <c r="AL975" s="378">
        <v>2625.71</v>
      </c>
    </row>
    <row r="976" spans="36:38" ht="16.5" x14ac:dyDescent="0.3">
      <c r="AJ976" s="377">
        <v>1630.69</v>
      </c>
      <c r="AK976" s="377">
        <v>-44.55</v>
      </c>
      <c r="AL976" s="378">
        <v>2625.71</v>
      </c>
    </row>
    <row r="977" spans="36:38" ht="16.5" x14ac:dyDescent="0.3">
      <c r="AJ977" s="377">
        <v>1643.06</v>
      </c>
      <c r="AK977" s="377">
        <v>-43.63</v>
      </c>
      <c r="AL977" s="378">
        <v>2625.71</v>
      </c>
    </row>
    <row r="978" spans="36:38" ht="16.5" x14ac:dyDescent="0.3">
      <c r="AJ978" s="377">
        <v>1653.31</v>
      </c>
      <c r="AK978" s="377">
        <v>-43.14</v>
      </c>
      <c r="AL978" s="378">
        <v>2625.71</v>
      </c>
    </row>
    <row r="979" spans="36:38" ht="16.5" x14ac:dyDescent="0.3">
      <c r="AJ979" s="377">
        <v>1664.28</v>
      </c>
      <c r="AK979" s="377">
        <v>-44.62</v>
      </c>
      <c r="AL979" s="378">
        <v>2625.7103999999999</v>
      </c>
    </row>
    <row r="980" spans="36:38" ht="16.5" x14ac:dyDescent="0.3">
      <c r="AJ980" s="377">
        <v>1664.64</v>
      </c>
      <c r="AK980" s="377">
        <v>-44.73</v>
      </c>
      <c r="AL980" s="378">
        <v>2625.71</v>
      </c>
    </row>
    <row r="981" spans="36:38" ht="16.5" x14ac:dyDescent="0.3">
      <c r="AJ981" s="377">
        <v>1667.79</v>
      </c>
      <c r="AK981" s="377">
        <v>-49.97</v>
      </c>
      <c r="AL981" s="378">
        <v>2625.71</v>
      </c>
    </row>
    <row r="982" spans="36:38" ht="16.5" x14ac:dyDescent="0.3">
      <c r="AJ982" s="377">
        <v>1671.39</v>
      </c>
      <c r="AK982" s="377">
        <v>-56.09</v>
      </c>
      <c r="AL982" s="378">
        <v>2625.71</v>
      </c>
    </row>
    <row r="983" spans="36:38" ht="16.5" x14ac:dyDescent="0.3">
      <c r="AJ983" s="377">
        <v>1678.5</v>
      </c>
      <c r="AK983" s="377">
        <v>-61.04</v>
      </c>
      <c r="AL983" s="378">
        <v>2625.71</v>
      </c>
    </row>
    <row r="984" spans="36:38" ht="16.5" x14ac:dyDescent="0.3">
      <c r="AJ984" s="377">
        <v>1684.67</v>
      </c>
      <c r="AK984" s="377">
        <v>-63.87</v>
      </c>
      <c r="AL984" s="378">
        <v>2625.7103999999999</v>
      </c>
    </row>
    <row r="985" spans="36:38" ht="16.5" x14ac:dyDescent="0.3">
      <c r="AJ985" s="377">
        <v>1690.84</v>
      </c>
      <c r="AK985" s="377">
        <v>-66.7</v>
      </c>
      <c r="AL985" s="378">
        <v>2625.71</v>
      </c>
    </row>
    <row r="986" spans="36:38" ht="16.5" x14ac:dyDescent="0.3">
      <c r="AJ986" s="377">
        <v>1695.7</v>
      </c>
      <c r="AK986" s="377">
        <v>-70.38</v>
      </c>
      <c r="AL986" s="378">
        <v>2625.71</v>
      </c>
    </row>
    <row r="987" spans="36:38" ht="16.5" x14ac:dyDescent="0.3">
      <c r="AJ987" s="377">
        <v>1701.2</v>
      </c>
      <c r="AK987" s="377">
        <v>-74.66</v>
      </c>
      <c r="AL987" s="378">
        <v>2625.71</v>
      </c>
    </row>
    <row r="988" spans="36:38" ht="16.5" x14ac:dyDescent="0.3">
      <c r="AJ988" s="377">
        <v>1707.08</v>
      </c>
      <c r="AK988" s="377">
        <v>-80.09</v>
      </c>
      <c r="AL988" s="378">
        <v>2625.71</v>
      </c>
    </row>
    <row r="989" spans="36:38" ht="16.5" x14ac:dyDescent="0.3">
      <c r="AJ989" s="377">
        <v>1711.82</v>
      </c>
      <c r="AK989" s="377">
        <v>-83.91</v>
      </c>
      <c r="AL989" s="378">
        <v>2625.71</v>
      </c>
    </row>
    <row r="990" spans="36:38" ht="16.5" x14ac:dyDescent="0.3">
      <c r="AJ990" s="377">
        <v>1716.93</v>
      </c>
      <c r="AK990" s="377">
        <v>-89.12</v>
      </c>
      <c r="AL990" s="378">
        <v>2625.71</v>
      </c>
    </row>
    <row r="991" spans="36:38" ht="16.5" x14ac:dyDescent="0.3">
      <c r="AJ991" s="377">
        <v>1721.72</v>
      </c>
      <c r="AK991" s="377">
        <v>-92.64</v>
      </c>
      <c r="AL991" s="378">
        <v>2625.7105000000001</v>
      </c>
    </row>
    <row r="992" spans="36:38" ht="16.5" x14ac:dyDescent="0.3">
      <c r="AJ992" s="377">
        <v>1730.86</v>
      </c>
      <c r="AK992" s="377">
        <v>-100.01</v>
      </c>
      <c r="AL992" s="378">
        <v>2625.71</v>
      </c>
    </row>
    <row r="993" spans="36:38" ht="16.5" x14ac:dyDescent="0.3">
      <c r="AJ993" s="377">
        <v>1733.17</v>
      </c>
      <c r="AK993" s="377">
        <v>-102.15</v>
      </c>
      <c r="AL993" s="378">
        <v>2625.7105999999999</v>
      </c>
    </row>
    <row r="994" spans="36:38" ht="16.5" x14ac:dyDescent="0.3">
      <c r="AJ994" s="377">
        <v>1739.99</v>
      </c>
      <c r="AK994" s="377">
        <v>-107.08</v>
      </c>
      <c r="AL994" s="378">
        <v>2625.71</v>
      </c>
    </row>
    <row r="995" spans="36:38" ht="16.5" x14ac:dyDescent="0.3">
      <c r="AJ995" s="377">
        <v>1749.97</v>
      </c>
      <c r="AK995" s="377">
        <v>-113.79</v>
      </c>
      <c r="AL995" s="378">
        <v>2625.71</v>
      </c>
    </row>
    <row r="996" spans="36:38" ht="16.5" x14ac:dyDescent="0.3">
      <c r="AJ996" s="377">
        <v>1756.56</v>
      </c>
      <c r="AK996" s="377">
        <v>-118.93</v>
      </c>
      <c r="AL996" s="378">
        <v>2625.71</v>
      </c>
    </row>
    <row r="997" spans="36:38" ht="16.5" x14ac:dyDescent="0.3">
      <c r="AJ997" s="377">
        <v>1760.61</v>
      </c>
      <c r="AK997" s="377">
        <v>-122.16</v>
      </c>
      <c r="AL997" s="378">
        <v>2625.7107999999998</v>
      </c>
    </row>
    <row r="998" spans="36:38" ht="16.5" x14ac:dyDescent="0.3">
      <c r="AJ998" s="377">
        <v>1764.64</v>
      </c>
      <c r="AK998" s="377">
        <v>-125.39</v>
      </c>
      <c r="AL998" s="378">
        <v>2625.71</v>
      </c>
    </row>
    <row r="999" spans="36:38" ht="16.5" x14ac:dyDescent="0.3">
      <c r="AJ999" s="377">
        <v>1770.78</v>
      </c>
      <c r="AK999" s="377">
        <v>-129.74</v>
      </c>
      <c r="AL999" s="378">
        <v>2625.71</v>
      </c>
    </row>
    <row r="1000" spans="36:38" ht="16.5" x14ac:dyDescent="0.3">
      <c r="AJ1000" s="377">
        <v>1776.6</v>
      </c>
      <c r="AK1000" s="377">
        <v>-135.12</v>
      </c>
      <c r="AL1000" s="378">
        <v>2625.71</v>
      </c>
    </row>
    <row r="1001" spans="36:38" ht="16.5" x14ac:dyDescent="0.3">
      <c r="AJ1001" s="377">
        <v>1786.63</v>
      </c>
      <c r="AK1001" s="377">
        <v>-143.71</v>
      </c>
      <c r="AL1001" s="378">
        <v>2625.7105999999999</v>
      </c>
    </row>
    <row r="1002" spans="36:38" ht="16.5" x14ac:dyDescent="0.3">
      <c r="AJ1002" s="377">
        <v>1792.83</v>
      </c>
      <c r="AK1002" s="377">
        <v>-148.88</v>
      </c>
      <c r="AL1002" s="378">
        <v>2625.71</v>
      </c>
    </row>
    <row r="1003" spans="36:38" ht="16.5" x14ac:dyDescent="0.3">
      <c r="AJ1003" s="377">
        <v>1796.23</v>
      </c>
      <c r="AK1003" s="377">
        <v>-151.79</v>
      </c>
      <c r="AL1003" s="378">
        <v>2625.7102</v>
      </c>
    </row>
    <row r="1004" spans="36:38" ht="16.5" x14ac:dyDescent="0.3">
      <c r="AJ1004" s="377">
        <v>1804.14</v>
      </c>
      <c r="AK1004" s="377">
        <v>-158.37</v>
      </c>
      <c r="AL1004" s="378">
        <v>2625.71</v>
      </c>
    </row>
    <row r="1005" spans="36:38" ht="16.5" x14ac:dyDescent="0.3">
      <c r="AJ1005" s="377">
        <v>1808.15</v>
      </c>
      <c r="AK1005" s="377">
        <v>-162.16</v>
      </c>
      <c r="AL1005" s="378">
        <v>2625.71</v>
      </c>
    </row>
    <row r="1006" spans="36:38" ht="16.5" x14ac:dyDescent="0.3">
      <c r="AJ1006" s="377">
        <v>1812.16</v>
      </c>
      <c r="AK1006" s="377">
        <v>-165.95</v>
      </c>
      <c r="AL1006" s="378">
        <v>2625.71</v>
      </c>
    </row>
    <row r="1007" spans="36:38" ht="16.5" x14ac:dyDescent="0.3">
      <c r="AJ1007" s="377">
        <v>1821.17</v>
      </c>
      <c r="AK1007" s="377">
        <v>-172.73</v>
      </c>
      <c r="AL1007" s="378">
        <v>2625.71</v>
      </c>
    </row>
    <row r="1008" spans="36:38" ht="16.5" x14ac:dyDescent="0.3">
      <c r="AJ1008" s="377">
        <v>1831.95</v>
      </c>
      <c r="AK1008" s="377">
        <v>-182.3</v>
      </c>
      <c r="AL1008" s="378">
        <v>2625.7107999999998</v>
      </c>
    </row>
    <row r="1009" spans="36:38" ht="16.5" x14ac:dyDescent="0.3">
      <c r="AJ1009" s="377">
        <v>1832.95</v>
      </c>
      <c r="AK1009" s="377">
        <v>-183.1</v>
      </c>
      <c r="AL1009" s="378">
        <v>2625.71</v>
      </c>
    </row>
    <row r="1010" spans="36:38" ht="16.5" x14ac:dyDescent="0.3">
      <c r="AJ1010" s="377">
        <v>1834.63</v>
      </c>
      <c r="AK1010" s="377">
        <v>-185.64</v>
      </c>
      <c r="AL1010" s="378">
        <v>2625.71</v>
      </c>
    </row>
    <row r="1011" spans="36:38" ht="16.5" x14ac:dyDescent="0.3">
      <c r="AJ1011" s="377">
        <v>1841.39</v>
      </c>
      <c r="AK1011" s="377">
        <v>-191.75</v>
      </c>
      <c r="AL1011" s="378">
        <v>2625.71</v>
      </c>
    </row>
    <row r="1012" spans="36:38" ht="16.5" x14ac:dyDescent="0.3">
      <c r="AJ1012" s="377">
        <v>1846.27</v>
      </c>
      <c r="AK1012" s="377">
        <v>-195.32</v>
      </c>
      <c r="AL1012" s="378">
        <v>2625.71</v>
      </c>
    </row>
    <row r="1013" spans="36:38" ht="16.5" x14ac:dyDescent="0.3">
      <c r="AJ1013" s="377">
        <v>1852.56</v>
      </c>
      <c r="AK1013" s="377">
        <v>-199.14</v>
      </c>
      <c r="AL1013" s="378">
        <v>2625.71</v>
      </c>
    </row>
    <row r="1014" spans="36:38" ht="16.5" x14ac:dyDescent="0.3">
      <c r="AJ1014" s="377">
        <v>1859.45</v>
      </c>
      <c r="AK1014" s="377">
        <v>-202.93</v>
      </c>
      <c r="AL1014" s="378">
        <v>2625.7114999999999</v>
      </c>
    </row>
    <row r="1015" spans="36:38" ht="16.5" x14ac:dyDescent="0.3">
      <c r="AJ1015" s="377">
        <v>1868.7</v>
      </c>
      <c r="AK1015" s="377">
        <v>-206.94</v>
      </c>
      <c r="AL1015" s="378">
        <v>2625.7112000000002</v>
      </c>
    </row>
    <row r="1016" spans="36:38" ht="16.5" x14ac:dyDescent="0.3">
      <c r="AJ1016" s="377">
        <v>1869.82</v>
      </c>
      <c r="AK1016" s="377">
        <v>-207.33</v>
      </c>
      <c r="AL1016" s="378">
        <v>2625.71</v>
      </c>
    </row>
    <row r="1017" spans="36:38" ht="16.5" x14ac:dyDescent="0.3">
      <c r="AJ1017" s="377">
        <v>1876.04</v>
      </c>
      <c r="AK1017" s="377">
        <v>-209.48</v>
      </c>
      <c r="AL1017" s="378">
        <v>2625.71</v>
      </c>
    </row>
    <row r="1018" spans="36:38" ht="16.5" x14ac:dyDescent="0.3">
      <c r="AJ1018" s="377">
        <v>1876.54</v>
      </c>
      <c r="AK1018" s="377">
        <v>-209.73</v>
      </c>
      <c r="AL1018" s="378">
        <v>2625.7105000000001</v>
      </c>
    </row>
    <row r="1019" spans="36:38" ht="16.5" x14ac:dyDescent="0.3">
      <c r="AJ1019" s="377">
        <v>1879.72</v>
      </c>
      <c r="AK1019" s="377">
        <v>-210.86</v>
      </c>
      <c r="AL1019" s="378">
        <v>2625.71</v>
      </c>
    </row>
    <row r="1020" spans="36:38" ht="16.5" x14ac:dyDescent="0.3">
      <c r="AJ1020" s="377">
        <v>1888.79</v>
      </c>
      <c r="AK1020" s="377">
        <v>-212.4</v>
      </c>
      <c r="AL1020" s="378">
        <v>2625.71</v>
      </c>
    </row>
    <row r="1021" spans="36:38" ht="16.5" x14ac:dyDescent="0.3">
      <c r="AJ1021" s="377">
        <v>1891.73</v>
      </c>
      <c r="AK1021" s="377">
        <v>-213.14</v>
      </c>
      <c r="AL1021" s="378">
        <v>2625.71</v>
      </c>
    </row>
    <row r="1022" spans="36:38" ht="16.5" x14ac:dyDescent="0.3">
      <c r="AJ1022" s="377">
        <v>1902.64</v>
      </c>
      <c r="AK1022" s="377">
        <v>-214.83</v>
      </c>
      <c r="AL1022" s="378">
        <v>2625.71</v>
      </c>
    </row>
    <row r="1023" spans="36:38" ht="16.5" x14ac:dyDescent="0.3">
      <c r="AJ1023" s="377">
        <v>1910.5</v>
      </c>
      <c r="AK1023" s="377">
        <v>-216.13</v>
      </c>
      <c r="AL1023" s="378">
        <v>2625.71</v>
      </c>
    </row>
    <row r="1024" spans="36:38" ht="16.5" x14ac:dyDescent="0.3">
      <c r="AJ1024" s="377">
        <v>1920.97</v>
      </c>
      <c r="AK1024" s="377">
        <v>-217.48</v>
      </c>
      <c r="AL1024" s="378">
        <v>2625.71</v>
      </c>
    </row>
    <row r="1025" spans="36:38" ht="16.5" x14ac:dyDescent="0.3">
      <c r="AJ1025" s="377">
        <v>1937.08</v>
      </c>
      <c r="AK1025" s="377">
        <v>-219.23</v>
      </c>
      <c r="AL1025" s="378">
        <v>2625.71</v>
      </c>
    </row>
    <row r="1026" spans="36:38" ht="16.5" x14ac:dyDescent="0.3">
      <c r="AJ1026" s="377">
        <v>1938.49</v>
      </c>
      <c r="AK1026" s="377">
        <v>-219.26</v>
      </c>
      <c r="AL1026" s="378">
        <v>2625.71</v>
      </c>
    </row>
    <row r="1027" spans="36:38" ht="16.5" x14ac:dyDescent="0.3">
      <c r="AJ1027" s="377">
        <v>1940.85</v>
      </c>
      <c r="AK1027" s="377">
        <v>-219.51</v>
      </c>
      <c r="AL1027" s="378">
        <v>2625.71</v>
      </c>
    </row>
    <row r="1028" spans="36:38" ht="16.5" x14ac:dyDescent="0.3">
      <c r="AJ1028" s="377">
        <v>1945.51</v>
      </c>
      <c r="AK1028" s="377">
        <v>-220.03</v>
      </c>
      <c r="AL1028" s="378">
        <v>2625.71</v>
      </c>
    </row>
    <row r="1029" spans="36:38" ht="16.5" x14ac:dyDescent="0.3">
      <c r="AJ1029" s="377">
        <v>1950.6</v>
      </c>
      <c r="AK1029" s="377">
        <v>-220.83</v>
      </c>
      <c r="AL1029" s="378">
        <v>2625.71</v>
      </c>
    </row>
    <row r="1030" spans="36:38" ht="16.5" x14ac:dyDescent="0.3">
      <c r="AJ1030" s="377">
        <v>1959.1</v>
      </c>
      <c r="AK1030" s="377">
        <v>-222.57</v>
      </c>
      <c r="AL1030" s="378">
        <v>2625.7103000000002</v>
      </c>
    </row>
    <row r="1031" spans="36:38" ht="16.5" x14ac:dyDescent="0.3">
      <c r="AJ1031" s="377">
        <v>1968.15</v>
      </c>
      <c r="AK1031" s="377">
        <v>-224.05</v>
      </c>
      <c r="AL1031" s="378">
        <v>2625.71</v>
      </c>
    </row>
    <row r="1032" spans="36:38" ht="16.5" x14ac:dyDescent="0.3">
      <c r="AJ1032" s="377">
        <v>1970.56</v>
      </c>
      <c r="AK1032" s="377">
        <v>-224.37</v>
      </c>
      <c r="AL1032" s="378">
        <v>2625.71</v>
      </c>
    </row>
    <row r="1033" spans="36:38" ht="16.5" x14ac:dyDescent="0.3">
      <c r="AJ1033" s="377">
        <v>1981.68</v>
      </c>
      <c r="AK1033" s="377">
        <v>-226.39</v>
      </c>
      <c r="AL1033" s="378">
        <v>2625.7112000000002</v>
      </c>
    </row>
    <row r="1034" spans="36:38" ht="16.5" x14ac:dyDescent="0.3">
      <c r="AJ1034" s="377">
        <v>1986.8</v>
      </c>
      <c r="AK1034" s="377">
        <v>-227.17</v>
      </c>
      <c r="AL1034" s="378">
        <v>2625.71</v>
      </c>
    </row>
    <row r="1035" spans="36:38" ht="16.5" x14ac:dyDescent="0.3">
      <c r="AJ1035" s="377">
        <v>1999.55</v>
      </c>
      <c r="AK1035" s="377">
        <v>-228.92</v>
      </c>
      <c r="AL1035" s="378">
        <v>2625.71</v>
      </c>
    </row>
    <row r="1036" spans="36:38" ht="16.5" x14ac:dyDescent="0.3">
      <c r="AJ1036" s="377">
        <v>2005.34</v>
      </c>
      <c r="AK1036" s="377">
        <v>-231.05</v>
      </c>
      <c r="AL1036" s="378">
        <v>2625.71</v>
      </c>
    </row>
    <row r="1037" spans="36:38" ht="16.5" x14ac:dyDescent="0.3">
      <c r="AJ1037" s="377">
        <v>2009.87</v>
      </c>
      <c r="AK1037" s="377">
        <v>-231.99</v>
      </c>
      <c r="AL1037" s="378">
        <v>2625.71</v>
      </c>
    </row>
    <row r="1038" spans="36:38" ht="16.5" x14ac:dyDescent="0.3">
      <c r="AJ1038" s="377">
        <v>2014.8</v>
      </c>
      <c r="AK1038" s="377">
        <v>-232.87</v>
      </c>
      <c r="AL1038" s="378">
        <v>2625.71</v>
      </c>
    </row>
    <row r="1039" spans="36:38" ht="16.5" x14ac:dyDescent="0.3">
      <c r="AJ1039" s="377">
        <v>2023.14</v>
      </c>
      <c r="AK1039" s="377">
        <v>-234.92</v>
      </c>
      <c r="AL1039" s="378">
        <v>2625.71</v>
      </c>
    </row>
    <row r="1040" spans="36:38" ht="16.5" x14ac:dyDescent="0.3">
      <c r="AJ1040" s="377">
        <v>2042.91</v>
      </c>
      <c r="AK1040" s="377">
        <v>-235.64</v>
      </c>
      <c r="AL1040" s="378">
        <v>2625.7112999999999</v>
      </c>
    </row>
    <row r="1041" spans="36:38" ht="16.5" x14ac:dyDescent="0.3">
      <c r="AJ1041" s="377">
        <v>2048.92</v>
      </c>
      <c r="AK1041" s="377">
        <v>-237.55</v>
      </c>
      <c r="AL1041" s="378">
        <v>2625.71</v>
      </c>
    </row>
    <row r="1042" spans="36:38" ht="16.5" x14ac:dyDescent="0.3">
      <c r="AJ1042" s="377">
        <v>2053.1</v>
      </c>
      <c r="AK1042" s="377">
        <v>-238.78</v>
      </c>
      <c r="AL1042" s="378">
        <v>2625.71</v>
      </c>
    </row>
    <row r="1043" spans="36:38" ht="16.5" x14ac:dyDescent="0.3">
      <c r="AJ1043" s="377">
        <v>2062.1</v>
      </c>
      <c r="AK1043" s="377">
        <v>-239.76</v>
      </c>
      <c r="AL1043" s="378">
        <v>2625.71</v>
      </c>
    </row>
    <row r="1044" spans="36:38" ht="16.5" x14ac:dyDescent="0.3">
      <c r="AJ1044" s="377">
        <v>2069.85</v>
      </c>
      <c r="AK1044" s="377">
        <v>-239.85</v>
      </c>
      <c r="AL1044" s="378">
        <v>2625.71</v>
      </c>
    </row>
    <row r="1045" spans="36:38" ht="16.5" x14ac:dyDescent="0.3">
      <c r="AJ1045" s="377">
        <v>2071.9899999999998</v>
      </c>
      <c r="AK1045" s="377">
        <v>-240.47</v>
      </c>
      <c r="AL1045" s="378">
        <v>2625.7116000000001</v>
      </c>
    </row>
    <row r="1046" spans="36:38" ht="16.5" x14ac:dyDescent="0.3">
      <c r="AJ1046" s="377">
        <v>2072.83</v>
      </c>
      <c r="AK1046" s="377">
        <v>-240.73</v>
      </c>
      <c r="AL1046" s="378">
        <v>2625.71</v>
      </c>
    </row>
    <row r="1047" spans="36:38" ht="16.5" x14ac:dyDescent="0.3">
      <c r="AJ1047" s="377">
        <v>2075.71</v>
      </c>
      <c r="AK1047" s="377">
        <v>-244.49</v>
      </c>
      <c r="AL1047" s="378">
        <v>2625.71</v>
      </c>
    </row>
    <row r="1048" spans="36:38" ht="16.5" x14ac:dyDescent="0.3">
      <c r="AJ1048" s="377">
        <v>2080.89</v>
      </c>
      <c r="AK1048" s="377">
        <v>-247.5</v>
      </c>
      <c r="AL1048" s="378">
        <v>2625.71</v>
      </c>
    </row>
    <row r="1049" spans="36:38" ht="16.5" x14ac:dyDescent="0.3">
      <c r="AJ1049" s="377">
        <v>2086.13</v>
      </c>
      <c r="AK1049" s="377">
        <v>-249.22</v>
      </c>
      <c r="AL1049" s="378">
        <v>2625.7103999999999</v>
      </c>
    </row>
    <row r="1050" spans="36:38" ht="16.5" x14ac:dyDescent="0.3">
      <c r="AJ1050" s="377">
        <v>2086.92</v>
      </c>
      <c r="AK1050" s="377">
        <v>-249.54</v>
      </c>
      <c r="AL1050" s="378">
        <v>2625.71</v>
      </c>
    </row>
    <row r="1051" spans="36:38" ht="16.5" x14ac:dyDescent="0.3">
      <c r="AJ1051" s="377">
        <v>2091.37</v>
      </c>
      <c r="AK1051" s="377">
        <v>-250.47</v>
      </c>
      <c r="AL1051" s="378">
        <v>2625.71</v>
      </c>
    </row>
    <row r="1052" spans="36:38" ht="16.5" x14ac:dyDescent="0.3">
      <c r="AJ1052" s="377">
        <v>2092.1</v>
      </c>
      <c r="AK1052" s="377">
        <v>-250.67</v>
      </c>
      <c r="AL1052" s="378">
        <v>2625.71</v>
      </c>
    </row>
    <row r="1053" spans="36:38" ht="16.5" x14ac:dyDescent="0.3">
      <c r="AJ1053" s="377">
        <v>2094.4299999999998</v>
      </c>
      <c r="AK1053" s="377">
        <v>-251.87</v>
      </c>
      <c r="AL1053" s="378">
        <v>2625.71</v>
      </c>
    </row>
    <row r="1054" spans="36:38" ht="16.5" x14ac:dyDescent="0.3">
      <c r="AJ1054" s="377">
        <v>2097.09</v>
      </c>
      <c r="AK1054" s="377">
        <v>-252.97</v>
      </c>
      <c r="AL1054" s="378">
        <v>2625.71</v>
      </c>
    </row>
    <row r="1055" spans="36:38" ht="16.5" x14ac:dyDescent="0.3">
      <c r="AJ1055" s="377">
        <v>2098.54</v>
      </c>
      <c r="AK1055" s="377">
        <v>-253.48</v>
      </c>
      <c r="AL1055" s="378">
        <v>2625.71</v>
      </c>
    </row>
    <row r="1056" spans="36:38" ht="16.5" x14ac:dyDescent="0.3">
      <c r="AJ1056" s="377">
        <v>2101.7199999999998</v>
      </c>
      <c r="AK1056" s="377">
        <v>-254.53</v>
      </c>
      <c r="AL1056" s="378">
        <v>2625.71</v>
      </c>
    </row>
    <row r="1057" spans="36:38" ht="16.5" x14ac:dyDescent="0.3">
      <c r="AJ1057" s="377">
        <v>2116.19</v>
      </c>
      <c r="AK1057" s="377">
        <v>-245.77</v>
      </c>
      <c r="AL1057" s="378">
        <v>2631.9549999999999</v>
      </c>
    </row>
    <row r="1058" spans="36:38" ht="16.5" x14ac:dyDescent="0.3">
      <c r="AJ1058" s="377">
        <v>2124.7399999999998</v>
      </c>
      <c r="AK1058" s="377">
        <v>-247.41</v>
      </c>
      <c r="AL1058" s="378">
        <v>2632.2689999999998</v>
      </c>
    </row>
    <row r="1059" spans="36:38" ht="16.5" x14ac:dyDescent="0.3">
      <c r="AJ1059" s="377">
        <v>2125.85</v>
      </c>
      <c r="AK1059" s="377">
        <v>-247.33</v>
      </c>
      <c r="AL1059" s="378">
        <v>2632.2791000000002</v>
      </c>
    </row>
    <row r="1060" spans="36:38" ht="16.5" x14ac:dyDescent="0.3">
      <c r="AJ1060" s="377">
        <v>2136.1999999999998</v>
      </c>
      <c r="AK1060" s="377">
        <v>-249.01</v>
      </c>
      <c r="AL1060" s="378">
        <v>2633.5309999999999</v>
      </c>
    </row>
    <row r="1061" spans="36:38" ht="16.5" x14ac:dyDescent="0.3">
      <c r="AJ1061" s="377">
        <v>2133.5500000000002</v>
      </c>
      <c r="AK1061" s="377">
        <v>-244.33</v>
      </c>
      <c r="AL1061" s="378">
        <v>2633.2804999999998</v>
      </c>
    </row>
    <row r="1062" spans="36:38" ht="16.5" x14ac:dyDescent="0.3">
      <c r="AJ1062" s="377">
        <v>2130.9499999999998</v>
      </c>
      <c r="AK1062" s="377">
        <v>-241.15</v>
      </c>
      <c r="AL1062" s="378">
        <v>2632.3389000000002</v>
      </c>
    </row>
    <row r="1063" spans="36:38" ht="16.5" x14ac:dyDescent="0.3">
      <c r="AJ1063" s="377">
        <v>2133.5100000000002</v>
      </c>
      <c r="AK1063" s="377">
        <v>-239.74</v>
      </c>
      <c r="AL1063" s="378">
        <v>2632.259</v>
      </c>
    </row>
    <row r="1064" spans="36:38" ht="16.5" x14ac:dyDescent="0.3">
      <c r="AJ1064" s="377">
        <v>2137.02</v>
      </c>
      <c r="AK1064" s="377">
        <v>-236.48</v>
      </c>
      <c r="AL1064" s="378">
        <v>2632.2040000000002</v>
      </c>
    </row>
    <row r="1065" spans="36:38" ht="16.5" x14ac:dyDescent="0.3">
      <c r="AJ1065" s="377">
        <v>2137.36</v>
      </c>
      <c r="AK1065" s="377">
        <v>-229.87</v>
      </c>
      <c r="AL1065" s="378">
        <v>2632.0810999999999</v>
      </c>
    </row>
    <row r="1066" spans="36:38" ht="16.5" x14ac:dyDescent="0.3">
      <c r="AJ1066" s="377">
        <v>2139.36</v>
      </c>
      <c r="AK1066" s="377">
        <v>-223.71</v>
      </c>
      <c r="AL1066" s="378">
        <v>2631.47</v>
      </c>
    </row>
    <row r="1067" spans="36:38" ht="16.5" x14ac:dyDescent="0.3">
      <c r="AJ1067" s="377">
        <v>2140.7199999999998</v>
      </c>
      <c r="AK1067" s="377">
        <v>-219.72</v>
      </c>
      <c r="AL1067" s="378">
        <v>2631.4340000000002</v>
      </c>
    </row>
    <row r="1068" spans="36:38" ht="16.5" x14ac:dyDescent="0.3">
      <c r="AJ1068" s="377">
        <v>2143.83</v>
      </c>
      <c r="AK1068" s="377">
        <v>-215.15</v>
      </c>
      <c r="AL1068" s="378">
        <v>2631.4340000000002</v>
      </c>
    </row>
    <row r="1069" spans="36:38" ht="16.5" x14ac:dyDescent="0.3">
      <c r="AJ1069" s="377">
        <v>2150.67</v>
      </c>
      <c r="AK1069" s="377">
        <v>-205.37</v>
      </c>
      <c r="AL1069" s="378">
        <v>2631.0770000000002</v>
      </c>
    </row>
    <row r="1070" spans="36:38" ht="16.5" x14ac:dyDescent="0.3">
      <c r="AJ1070" s="377">
        <v>2155.9</v>
      </c>
      <c r="AK1070" s="377">
        <v>-196.36</v>
      </c>
      <c r="AL1070" s="378">
        <v>2631.2224000000001</v>
      </c>
    </row>
    <row r="1071" spans="36:38" ht="16.5" x14ac:dyDescent="0.3">
      <c r="AJ1071" s="377">
        <v>2160.21</v>
      </c>
      <c r="AK1071" s="377">
        <v>-190.27</v>
      </c>
      <c r="AL1071" s="378">
        <v>2631.7039</v>
      </c>
    </row>
    <row r="1072" spans="36:38" ht="16.5" x14ac:dyDescent="0.3">
      <c r="AJ1072" s="377">
        <v>2160.87</v>
      </c>
      <c r="AK1072" s="377">
        <v>-184.32</v>
      </c>
      <c r="AL1072" s="378">
        <v>2630.8168999999998</v>
      </c>
    </row>
    <row r="1073" spans="36:38" ht="16.5" x14ac:dyDescent="0.3">
      <c r="AJ1073" s="377">
        <v>2161.21</v>
      </c>
      <c r="AK1073" s="377">
        <v>-182.17</v>
      </c>
      <c r="AL1073" s="378">
        <v>2630.5524</v>
      </c>
    </row>
    <row r="1074" spans="36:38" ht="16.5" x14ac:dyDescent="0.3">
      <c r="AJ1074" s="377">
        <v>2161.21</v>
      </c>
      <c r="AK1074" s="377">
        <v>-182.12</v>
      </c>
      <c r="AL1074" s="378">
        <v>2630.5437999999999</v>
      </c>
    </row>
    <row r="1075" spans="36:38" ht="16.5" x14ac:dyDescent="0.3">
      <c r="AJ1075" s="377">
        <v>2161.31</v>
      </c>
      <c r="AK1075" s="377">
        <v>-178.72</v>
      </c>
      <c r="AL1075" s="378">
        <v>2629.8897999999999</v>
      </c>
    </row>
    <row r="1076" spans="36:38" ht="16.5" x14ac:dyDescent="0.3">
      <c r="AJ1076" s="377">
        <v>2161.31</v>
      </c>
      <c r="AK1076" s="377">
        <v>-178.19</v>
      </c>
      <c r="AL1076" s="378">
        <v>2629.7871</v>
      </c>
    </row>
    <row r="1077" spans="36:38" ht="16.5" x14ac:dyDescent="0.3">
      <c r="AJ1077" s="377">
        <v>2161.3200000000002</v>
      </c>
      <c r="AK1077" s="377">
        <v>-177.65</v>
      </c>
      <c r="AL1077" s="378">
        <v>2629.6844000000001</v>
      </c>
    </row>
    <row r="1078" spans="36:38" ht="16.5" x14ac:dyDescent="0.3">
      <c r="AJ1078" s="377">
        <v>2161.3200000000002</v>
      </c>
      <c r="AK1078" s="377">
        <v>-177.11</v>
      </c>
      <c r="AL1078" s="378">
        <v>2629.5814999999998</v>
      </c>
    </row>
    <row r="1079" spans="36:38" ht="16.5" x14ac:dyDescent="0.3">
      <c r="AJ1079" s="377">
        <v>2161.5700000000002</v>
      </c>
      <c r="AK1079" s="377">
        <v>-172.57</v>
      </c>
      <c r="AL1079" s="378">
        <v>2628.7116000000001</v>
      </c>
    </row>
    <row r="1080" spans="36:38" ht="16.5" x14ac:dyDescent="0.3">
      <c r="AJ1080" s="377">
        <v>2161.5700000000002</v>
      </c>
      <c r="AK1080" s="377">
        <v>-172.52</v>
      </c>
      <c r="AL1080" s="378">
        <v>2628.6990999999998</v>
      </c>
    </row>
    <row r="1081" spans="36:38" ht="16.5" x14ac:dyDescent="0.3">
      <c r="AJ1081" s="377">
        <v>2161.4</v>
      </c>
      <c r="AK1081" s="377">
        <v>-168.26</v>
      </c>
      <c r="AL1081" s="378">
        <v>2627.5758999999998</v>
      </c>
    </row>
    <row r="1082" spans="36:38" ht="16.5" x14ac:dyDescent="0.3">
      <c r="AJ1082" s="377">
        <v>2161.4</v>
      </c>
      <c r="AK1082" s="377">
        <v>-168.18</v>
      </c>
      <c r="AL1082" s="378">
        <v>2627.5551</v>
      </c>
    </row>
    <row r="1083" spans="36:38" ht="16.5" x14ac:dyDescent="0.3">
      <c r="AJ1083" s="377">
        <v>2161.41</v>
      </c>
      <c r="AK1083" s="377">
        <v>-168.1</v>
      </c>
      <c r="AL1083" s="378">
        <v>2627.5344</v>
      </c>
    </row>
    <row r="1084" spans="36:38" ht="16.5" x14ac:dyDescent="0.3">
      <c r="AJ1084" s="377">
        <v>2161.48</v>
      </c>
      <c r="AK1084" s="377">
        <v>-167.27</v>
      </c>
      <c r="AL1084" s="378">
        <v>2627.3413</v>
      </c>
    </row>
    <row r="1085" spans="36:38" ht="16.5" x14ac:dyDescent="0.3">
      <c r="AJ1085" s="377">
        <v>2161.56</v>
      </c>
      <c r="AK1085" s="377">
        <v>-163.54</v>
      </c>
      <c r="AL1085" s="378">
        <v>2626.4702000000002</v>
      </c>
    </row>
    <row r="1086" spans="36:38" ht="16.5" x14ac:dyDescent="0.3">
      <c r="AJ1086" s="377">
        <v>2161.5500000000002</v>
      </c>
      <c r="AK1086" s="377">
        <v>-163.29</v>
      </c>
      <c r="AL1086" s="378">
        <v>2626.4133000000002</v>
      </c>
    </row>
    <row r="1087" spans="36:38" ht="16.5" x14ac:dyDescent="0.3">
      <c r="AJ1087" s="377">
        <v>2161.5500000000002</v>
      </c>
      <c r="AK1087" s="377">
        <v>-163.29</v>
      </c>
      <c r="AL1087" s="378">
        <v>2626.4115999999999</v>
      </c>
    </row>
    <row r="1088" spans="36:38" ht="16.5" x14ac:dyDescent="0.3">
      <c r="AJ1088" s="377">
        <v>2161.54</v>
      </c>
      <c r="AK1088" s="377">
        <v>-163.09</v>
      </c>
      <c r="AL1088" s="378">
        <v>2626.3661999999999</v>
      </c>
    </row>
    <row r="1089" spans="36:38" ht="16.5" x14ac:dyDescent="0.3">
      <c r="AJ1089" s="377">
        <v>2161.52</v>
      </c>
      <c r="AK1089" s="377">
        <v>-162.93</v>
      </c>
      <c r="AL1089" s="378">
        <v>2626.3195000000001</v>
      </c>
    </row>
    <row r="1090" spans="36:38" ht="16.5" x14ac:dyDescent="0.3">
      <c r="AJ1090" s="377">
        <v>2161.21</v>
      </c>
      <c r="AK1090" s="377">
        <v>-159.99</v>
      </c>
      <c r="AL1090" s="378">
        <v>2625.5466000000001</v>
      </c>
    </row>
    <row r="1091" spans="36:38" ht="16.5" x14ac:dyDescent="0.3">
      <c r="AJ1091" s="377">
        <v>2161.16</v>
      </c>
      <c r="AK1091" s="377">
        <v>-159.16999999999999</v>
      </c>
      <c r="AL1091" s="378">
        <v>2625.3319000000001</v>
      </c>
    </row>
    <row r="1092" spans="36:38" ht="16.5" x14ac:dyDescent="0.3">
      <c r="AJ1092" s="377">
        <v>2161.09</v>
      </c>
      <c r="AK1092" s="377">
        <v>-158.22999999999999</v>
      </c>
      <c r="AL1092" s="378">
        <v>2625.0841999999998</v>
      </c>
    </row>
    <row r="1093" spans="36:38" ht="16.5" x14ac:dyDescent="0.3">
      <c r="AJ1093" s="377">
        <v>2161.08</v>
      </c>
      <c r="AK1093" s="377">
        <v>-158.11000000000001</v>
      </c>
      <c r="AL1093" s="378">
        <v>2625.0513000000001</v>
      </c>
    </row>
    <row r="1094" spans="36:38" ht="16.5" x14ac:dyDescent="0.3">
      <c r="AJ1094" s="377">
        <v>2160.65</v>
      </c>
      <c r="AK1094" s="377">
        <v>-155.01</v>
      </c>
      <c r="AL1094" s="378">
        <v>2624.1790000000001</v>
      </c>
    </row>
    <row r="1095" spans="36:38" ht="16.5" x14ac:dyDescent="0.3">
      <c r="AJ1095" s="377"/>
      <c r="AK1095" s="377"/>
      <c r="AL1095" s="378"/>
    </row>
    <row r="1096" spans="36:38" ht="16.5" x14ac:dyDescent="0.3">
      <c r="AJ1096" s="377"/>
      <c r="AK1096" s="377"/>
      <c r="AL1096" s="378"/>
    </row>
    <row r="1097" spans="36:38" ht="16.5" x14ac:dyDescent="0.3">
      <c r="AJ1097" s="377"/>
      <c r="AK1097" s="377"/>
      <c r="AL1097" s="378"/>
    </row>
    <row r="1098" spans="36:38" ht="16.5" x14ac:dyDescent="0.3">
      <c r="AJ1098" s="377"/>
      <c r="AK1098" s="377"/>
      <c r="AL1098" s="378"/>
    </row>
    <row r="1099" spans="36:38" ht="16.5" x14ac:dyDescent="0.3">
      <c r="AJ1099" s="377"/>
      <c r="AK1099" s="377"/>
      <c r="AL1099" s="378"/>
    </row>
    <row r="1100" spans="36:38" ht="16.5" x14ac:dyDescent="0.3">
      <c r="AJ1100" s="377"/>
      <c r="AK1100" s="377"/>
      <c r="AL1100" s="378"/>
    </row>
    <row r="1101" spans="36:38" ht="16.5" x14ac:dyDescent="0.3">
      <c r="AJ1101" s="377"/>
      <c r="AK1101" s="377"/>
      <c r="AL1101" s="378"/>
    </row>
    <row r="1102" spans="36:38" ht="16.5" x14ac:dyDescent="0.3">
      <c r="AJ1102" s="377"/>
      <c r="AK1102" s="377"/>
      <c r="AL1102" s="378"/>
    </row>
    <row r="1103" spans="36:38" ht="16.5" x14ac:dyDescent="0.3">
      <c r="AJ1103" s="377"/>
      <c r="AK1103" s="377"/>
      <c r="AL1103" s="378"/>
    </row>
    <row r="1104" spans="36:38" ht="16.5" x14ac:dyDescent="0.3">
      <c r="AJ1104" s="377"/>
      <c r="AK1104" s="377"/>
      <c r="AL1104" s="378"/>
    </row>
    <row r="1105" spans="36:38" ht="16.5" x14ac:dyDescent="0.3">
      <c r="AJ1105" s="377"/>
      <c r="AK1105" s="377"/>
      <c r="AL1105" s="378"/>
    </row>
    <row r="1106" spans="36:38" ht="16.5" x14ac:dyDescent="0.3">
      <c r="AJ1106" s="377"/>
      <c r="AK1106" s="377"/>
      <c r="AL1106" s="378"/>
    </row>
    <row r="1107" spans="36:38" ht="16.5" x14ac:dyDescent="0.3">
      <c r="AJ1107" s="377"/>
      <c r="AK1107" s="377"/>
      <c r="AL1107" s="378"/>
    </row>
    <row r="1108" spans="36:38" ht="16.5" x14ac:dyDescent="0.3">
      <c r="AJ1108" s="377"/>
      <c r="AK1108" s="377"/>
      <c r="AL1108" s="378"/>
    </row>
    <row r="1109" spans="36:38" ht="16.5" x14ac:dyDescent="0.3">
      <c r="AJ1109" s="377"/>
      <c r="AK1109" s="377"/>
      <c r="AL1109" s="378"/>
    </row>
    <row r="1110" spans="36:38" ht="16.5" x14ac:dyDescent="0.3">
      <c r="AJ1110" s="377"/>
      <c r="AK1110" s="377"/>
      <c r="AL1110" s="378"/>
    </row>
    <row r="1111" spans="36:38" ht="16.5" x14ac:dyDescent="0.3">
      <c r="AJ1111" s="377"/>
      <c r="AK1111" s="377"/>
      <c r="AL1111" s="378"/>
    </row>
    <row r="1112" spans="36:38" ht="16.5" x14ac:dyDescent="0.3">
      <c r="AJ1112" s="377"/>
      <c r="AK1112" s="377"/>
      <c r="AL1112" s="378"/>
    </row>
    <row r="1113" spans="36:38" ht="16.5" x14ac:dyDescent="0.3">
      <c r="AJ1113" s="377"/>
      <c r="AK1113" s="377"/>
      <c r="AL1113" s="378"/>
    </row>
    <row r="1114" spans="36:38" ht="16.5" x14ac:dyDescent="0.3">
      <c r="AJ1114" s="377"/>
      <c r="AK1114" s="377"/>
      <c r="AL1114" s="378"/>
    </row>
    <row r="1115" spans="36:38" ht="16.5" x14ac:dyDescent="0.3">
      <c r="AJ1115" s="377"/>
      <c r="AK1115" s="377"/>
      <c r="AL1115" s="378"/>
    </row>
    <row r="1116" spans="36:38" ht="16.5" x14ac:dyDescent="0.3">
      <c r="AJ1116" s="377"/>
      <c r="AK1116" s="377"/>
      <c r="AL1116" s="378"/>
    </row>
    <row r="1117" spans="36:38" ht="16.5" x14ac:dyDescent="0.3">
      <c r="AJ1117" s="377"/>
      <c r="AK1117" s="377"/>
      <c r="AL1117" s="378"/>
    </row>
    <row r="1118" spans="36:38" ht="16.5" x14ac:dyDescent="0.3">
      <c r="AJ1118" s="377"/>
      <c r="AK1118" s="377"/>
      <c r="AL1118" s="378"/>
    </row>
    <row r="1119" spans="36:38" ht="16.5" x14ac:dyDescent="0.3">
      <c r="AJ1119" s="377"/>
      <c r="AK1119" s="377"/>
      <c r="AL1119" s="378"/>
    </row>
    <row r="1120" spans="36:38" ht="16.5" x14ac:dyDescent="0.3">
      <c r="AJ1120" s="377"/>
      <c r="AK1120" s="377"/>
      <c r="AL1120" s="378"/>
    </row>
    <row r="1121" spans="36:38" ht="16.5" x14ac:dyDescent="0.3">
      <c r="AJ1121" s="377"/>
      <c r="AK1121" s="377"/>
      <c r="AL1121" s="378"/>
    </row>
    <row r="1122" spans="36:38" ht="16.5" x14ac:dyDescent="0.3">
      <c r="AJ1122" s="377"/>
      <c r="AK1122" s="377"/>
      <c r="AL1122" s="378"/>
    </row>
    <row r="1123" spans="36:38" ht="16.5" x14ac:dyDescent="0.3">
      <c r="AJ1123" s="377"/>
      <c r="AK1123" s="377"/>
      <c r="AL1123" s="378"/>
    </row>
    <row r="1124" spans="36:38" ht="16.5" x14ac:dyDescent="0.3">
      <c r="AJ1124" s="377"/>
      <c r="AK1124" s="377"/>
      <c r="AL1124" s="378"/>
    </row>
    <row r="1125" spans="36:38" ht="16.5" x14ac:dyDescent="0.3">
      <c r="AJ1125" s="377"/>
      <c r="AK1125" s="377"/>
      <c r="AL1125" s="378"/>
    </row>
    <row r="1126" spans="36:38" ht="16.5" x14ac:dyDescent="0.3">
      <c r="AJ1126" s="377"/>
      <c r="AK1126" s="377"/>
      <c r="AL1126" s="378"/>
    </row>
    <row r="1127" spans="36:38" ht="16.5" x14ac:dyDescent="0.3">
      <c r="AJ1127" s="377"/>
      <c r="AK1127" s="377"/>
      <c r="AL1127" s="378"/>
    </row>
    <row r="1128" spans="36:38" ht="16.5" x14ac:dyDescent="0.3">
      <c r="AJ1128" s="377"/>
      <c r="AK1128" s="377"/>
      <c r="AL1128" s="378"/>
    </row>
    <row r="1129" spans="36:38" ht="16.5" x14ac:dyDescent="0.3">
      <c r="AJ1129" s="377"/>
      <c r="AK1129" s="377"/>
      <c r="AL1129" s="378"/>
    </row>
    <row r="1130" spans="36:38" ht="16.5" x14ac:dyDescent="0.3">
      <c r="AJ1130" s="377"/>
      <c r="AK1130" s="377"/>
      <c r="AL1130" s="378"/>
    </row>
    <row r="1131" spans="36:38" ht="16.5" x14ac:dyDescent="0.3">
      <c r="AJ1131" s="374"/>
      <c r="AK1131" s="374"/>
      <c r="AL1131" s="374"/>
    </row>
    <row r="1132" spans="36:38" ht="16.5" x14ac:dyDescent="0.3">
      <c r="AJ1132" s="374"/>
      <c r="AK1132" s="374"/>
      <c r="AL1132" s="374"/>
    </row>
    <row r="1133" spans="36:38" ht="16.5" x14ac:dyDescent="0.3">
      <c r="AJ1133" s="374"/>
      <c r="AK1133" s="374"/>
      <c r="AL1133" s="374"/>
    </row>
    <row r="1134" spans="36:38" ht="16.5" x14ac:dyDescent="0.3">
      <c r="AJ1134" s="374"/>
      <c r="AK1134" s="374"/>
      <c r="AL1134" s="374"/>
    </row>
    <row r="1135" spans="36:38" ht="16.5" x14ac:dyDescent="0.3">
      <c r="AJ1135" s="374"/>
      <c r="AK1135" s="374"/>
      <c r="AL1135" s="374"/>
    </row>
    <row r="1136" spans="36:38" ht="16.5" x14ac:dyDescent="0.3">
      <c r="AJ1136" s="374"/>
      <c r="AK1136" s="374"/>
      <c r="AL1136" s="374"/>
    </row>
    <row r="1137" spans="36:38" ht="16.5" x14ac:dyDescent="0.3">
      <c r="AJ1137" s="374"/>
      <c r="AK1137" s="374"/>
      <c r="AL1137" s="374"/>
    </row>
    <row r="1138" spans="36:38" ht="16.5" x14ac:dyDescent="0.3">
      <c r="AJ1138" s="374"/>
      <c r="AK1138" s="374"/>
      <c r="AL1138" s="374"/>
    </row>
    <row r="1139" spans="36:38" ht="16.5" x14ac:dyDescent="0.3">
      <c r="AJ1139" s="374"/>
      <c r="AK1139" s="374"/>
      <c r="AL1139" s="374"/>
    </row>
    <row r="1140" spans="36:38" ht="16.5" x14ac:dyDescent="0.3">
      <c r="AJ1140" s="374"/>
      <c r="AK1140" s="374"/>
      <c r="AL1140" s="374"/>
    </row>
    <row r="1141" spans="36:38" ht="16.5" x14ac:dyDescent="0.3">
      <c r="AJ1141" s="374"/>
      <c r="AK1141" s="374"/>
      <c r="AL1141" s="374"/>
    </row>
    <row r="1142" spans="36:38" ht="16.5" x14ac:dyDescent="0.3">
      <c r="AJ1142" s="374"/>
      <c r="AK1142" s="374"/>
      <c r="AL1142" s="374"/>
    </row>
    <row r="1143" spans="36:38" ht="16.5" x14ac:dyDescent="0.3">
      <c r="AJ1143" s="374"/>
      <c r="AK1143" s="374"/>
      <c r="AL1143" s="374"/>
    </row>
    <row r="1144" spans="36:38" ht="16.5" x14ac:dyDescent="0.3">
      <c r="AJ1144" s="374"/>
      <c r="AK1144" s="374"/>
      <c r="AL1144" s="374"/>
    </row>
    <row r="1145" spans="36:38" ht="16.5" x14ac:dyDescent="0.3">
      <c r="AJ1145" s="374"/>
      <c r="AK1145" s="374"/>
      <c r="AL1145" s="374"/>
    </row>
    <row r="1146" spans="36:38" ht="16.5" x14ac:dyDescent="0.3">
      <c r="AJ1146" s="374"/>
      <c r="AK1146" s="374"/>
      <c r="AL1146" s="374"/>
    </row>
    <row r="1147" spans="36:38" ht="16.5" x14ac:dyDescent="0.3">
      <c r="AJ1147" s="374"/>
      <c r="AK1147" s="374"/>
      <c r="AL1147" s="374"/>
    </row>
    <row r="1148" spans="36:38" ht="16.5" x14ac:dyDescent="0.3">
      <c r="AJ1148" s="374"/>
      <c r="AK1148" s="374"/>
      <c r="AL1148" s="374"/>
    </row>
    <row r="1149" spans="36:38" ht="16.5" x14ac:dyDescent="0.3">
      <c r="AJ1149" s="374"/>
      <c r="AK1149" s="374"/>
      <c r="AL1149" s="374"/>
    </row>
    <row r="1150" spans="36:38" ht="16.5" x14ac:dyDescent="0.3">
      <c r="AJ1150" s="374"/>
      <c r="AK1150" s="374"/>
      <c r="AL1150" s="374"/>
    </row>
    <row r="1151" spans="36:38" ht="16.5" x14ac:dyDescent="0.3">
      <c r="AJ1151" s="374"/>
      <c r="AK1151" s="374"/>
      <c r="AL1151" s="374"/>
    </row>
    <row r="1152" spans="36:38" ht="16.5" x14ac:dyDescent="0.3">
      <c r="AJ1152" s="374"/>
      <c r="AK1152" s="374"/>
      <c r="AL1152" s="374"/>
    </row>
    <row r="1153" spans="36:38" ht="16.5" x14ac:dyDescent="0.3">
      <c r="AJ1153" s="374"/>
      <c r="AK1153" s="374"/>
      <c r="AL1153" s="374"/>
    </row>
    <row r="1154" spans="36:38" ht="16.5" x14ac:dyDescent="0.3">
      <c r="AJ1154" s="374"/>
      <c r="AK1154" s="374"/>
      <c r="AL1154" s="374"/>
    </row>
    <row r="1155" spans="36:38" ht="16.5" x14ac:dyDescent="0.3">
      <c r="AJ1155" s="374"/>
      <c r="AK1155" s="374"/>
      <c r="AL1155" s="374"/>
    </row>
    <row r="1156" spans="36:38" ht="16.5" x14ac:dyDescent="0.3">
      <c r="AJ1156" s="374"/>
      <c r="AK1156" s="374"/>
      <c r="AL1156" s="374"/>
    </row>
    <row r="1157" spans="36:38" ht="16.5" x14ac:dyDescent="0.3">
      <c r="AJ1157" s="374"/>
      <c r="AK1157" s="374"/>
      <c r="AL1157" s="374"/>
    </row>
    <row r="1158" spans="36:38" ht="16.5" x14ac:dyDescent="0.3">
      <c r="AJ1158" s="374"/>
      <c r="AK1158" s="374"/>
      <c r="AL1158" s="374"/>
    </row>
    <row r="1159" spans="36:38" ht="16.5" x14ac:dyDescent="0.3">
      <c r="AJ1159" s="374"/>
      <c r="AK1159" s="374"/>
      <c r="AL1159" s="374"/>
    </row>
    <row r="1160" spans="36:38" ht="16.5" x14ac:dyDescent="0.3">
      <c r="AJ1160" s="374"/>
      <c r="AK1160" s="374"/>
      <c r="AL1160" s="374"/>
    </row>
    <row r="1161" spans="36:38" ht="16.5" x14ac:dyDescent="0.3">
      <c r="AJ1161" s="374"/>
      <c r="AK1161" s="374"/>
      <c r="AL1161" s="374"/>
    </row>
    <row r="1162" spans="36:38" ht="16.5" x14ac:dyDescent="0.3">
      <c r="AJ1162" s="374"/>
      <c r="AK1162" s="374"/>
      <c r="AL1162" s="374"/>
    </row>
    <row r="1163" spans="36:38" ht="16.5" x14ac:dyDescent="0.3">
      <c r="AJ1163" s="374"/>
      <c r="AK1163" s="374"/>
      <c r="AL1163" s="374"/>
    </row>
    <row r="1164" spans="36:38" ht="16.5" x14ac:dyDescent="0.3">
      <c r="AJ1164" s="374"/>
      <c r="AK1164" s="374"/>
      <c r="AL1164" s="374"/>
    </row>
    <row r="1165" spans="36:38" ht="16.5" x14ac:dyDescent="0.3">
      <c r="AJ1165" s="374"/>
      <c r="AK1165" s="374"/>
      <c r="AL1165" s="374"/>
    </row>
    <row r="1166" spans="36:38" ht="16.5" x14ac:dyDescent="0.3">
      <c r="AJ1166" s="374"/>
      <c r="AK1166" s="374"/>
      <c r="AL1166" s="374"/>
    </row>
    <row r="1167" spans="36:38" ht="16.5" x14ac:dyDescent="0.3">
      <c r="AJ1167" s="374"/>
      <c r="AK1167" s="374"/>
      <c r="AL1167" s="374"/>
    </row>
    <row r="1168" spans="36:38" ht="16.5" x14ac:dyDescent="0.3">
      <c r="AJ1168" s="374"/>
      <c r="AK1168" s="374"/>
      <c r="AL1168" s="374"/>
    </row>
    <row r="1169" spans="36:38" ht="16.5" x14ac:dyDescent="0.3">
      <c r="AJ1169" s="374"/>
      <c r="AK1169" s="374"/>
      <c r="AL1169" s="374"/>
    </row>
    <row r="1170" spans="36:38" ht="16.5" x14ac:dyDescent="0.3">
      <c r="AJ1170" s="374"/>
      <c r="AK1170" s="374"/>
      <c r="AL1170" s="374"/>
    </row>
    <row r="1171" spans="36:38" ht="16.5" x14ac:dyDescent="0.3">
      <c r="AJ1171" s="374"/>
      <c r="AK1171" s="374"/>
      <c r="AL1171" s="374"/>
    </row>
    <row r="1172" spans="36:38" ht="16.5" x14ac:dyDescent="0.3">
      <c r="AJ1172" s="374"/>
      <c r="AK1172" s="374"/>
      <c r="AL1172" s="374"/>
    </row>
    <row r="1173" spans="36:38" ht="16.5" x14ac:dyDescent="0.3">
      <c r="AJ1173" s="374"/>
      <c r="AK1173" s="374"/>
      <c r="AL1173" s="374"/>
    </row>
    <row r="1174" spans="36:38" ht="16.5" x14ac:dyDescent="0.3">
      <c r="AJ1174" s="374"/>
      <c r="AK1174" s="374"/>
      <c r="AL1174" s="374"/>
    </row>
    <row r="1175" spans="36:38" ht="16.5" x14ac:dyDescent="0.3">
      <c r="AJ1175" s="374"/>
      <c r="AK1175" s="374"/>
      <c r="AL1175" s="374"/>
    </row>
    <row r="1176" spans="36:38" ht="16.5" x14ac:dyDescent="0.3">
      <c r="AJ1176" s="374"/>
      <c r="AK1176" s="374"/>
      <c r="AL1176" s="374"/>
    </row>
    <row r="1177" spans="36:38" ht="16.5" x14ac:dyDescent="0.3">
      <c r="AJ1177" s="374"/>
      <c r="AK1177" s="374"/>
      <c r="AL1177" s="374"/>
    </row>
    <row r="1178" spans="36:38" ht="16.5" x14ac:dyDescent="0.3">
      <c r="AJ1178" s="374"/>
      <c r="AK1178" s="374"/>
      <c r="AL1178" s="374"/>
    </row>
    <row r="1179" spans="36:38" ht="16.5" x14ac:dyDescent="0.3">
      <c r="AJ1179" s="374"/>
      <c r="AK1179" s="374"/>
      <c r="AL1179" s="374"/>
    </row>
    <row r="1180" spans="36:38" ht="16.5" x14ac:dyDescent="0.3">
      <c r="AJ1180" s="374"/>
      <c r="AK1180" s="374"/>
      <c r="AL1180" s="374"/>
    </row>
    <row r="1181" spans="36:38" ht="16.5" x14ac:dyDescent="0.3">
      <c r="AJ1181" s="374"/>
      <c r="AK1181" s="374"/>
      <c r="AL1181" s="374"/>
    </row>
    <row r="1182" spans="36:38" ht="16.5" x14ac:dyDescent="0.3">
      <c r="AJ1182" s="374"/>
      <c r="AK1182" s="374"/>
      <c r="AL1182" s="374"/>
    </row>
    <row r="1183" spans="36:38" ht="16.5" x14ac:dyDescent="0.3">
      <c r="AJ1183" s="374"/>
      <c r="AK1183" s="374"/>
      <c r="AL1183" s="374"/>
    </row>
    <row r="1184" spans="36:38" ht="16.5" x14ac:dyDescent="0.3">
      <c r="AJ1184" s="374"/>
      <c r="AK1184" s="374"/>
      <c r="AL1184" s="374"/>
    </row>
    <row r="1185" spans="36:38" ht="16.5" x14ac:dyDescent="0.3">
      <c r="AJ1185" s="374"/>
      <c r="AK1185" s="374"/>
      <c r="AL1185" s="374"/>
    </row>
    <row r="1186" spans="36:38" ht="16.5" x14ac:dyDescent="0.3">
      <c r="AJ1186" s="374"/>
      <c r="AK1186" s="374"/>
      <c r="AL1186" s="374"/>
    </row>
    <row r="1187" spans="36:38" ht="16.5" x14ac:dyDescent="0.3">
      <c r="AJ1187" s="374"/>
      <c r="AK1187" s="374"/>
      <c r="AL1187" s="374"/>
    </row>
    <row r="1188" spans="36:38" ht="16.5" x14ac:dyDescent="0.3">
      <c r="AJ1188" s="374"/>
      <c r="AK1188" s="374"/>
      <c r="AL1188" s="374"/>
    </row>
    <row r="1189" spans="36:38" ht="16.5" x14ac:dyDescent="0.3">
      <c r="AJ1189" s="374"/>
      <c r="AK1189" s="374"/>
      <c r="AL1189" s="374"/>
    </row>
    <row r="1190" spans="36:38" ht="16.5" x14ac:dyDescent="0.3">
      <c r="AJ1190" s="374"/>
      <c r="AK1190" s="374"/>
      <c r="AL1190" s="374"/>
    </row>
    <row r="1191" spans="36:38" ht="16.5" x14ac:dyDescent="0.3">
      <c r="AJ1191" s="374"/>
      <c r="AK1191" s="374"/>
      <c r="AL1191" s="374"/>
    </row>
    <row r="1192" spans="36:38" ht="16.5" x14ac:dyDescent="0.3">
      <c r="AJ1192" s="374"/>
      <c r="AK1192" s="374"/>
      <c r="AL1192" s="374"/>
    </row>
    <row r="1193" spans="36:38" ht="16.5" x14ac:dyDescent="0.3">
      <c r="AJ1193" s="374"/>
      <c r="AK1193" s="374"/>
      <c r="AL1193" s="374"/>
    </row>
    <row r="1194" spans="36:38" ht="16.5" x14ac:dyDescent="0.3">
      <c r="AJ1194" s="374"/>
      <c r="AK1194" s="374"/>
      <c r="AL1194" s="374"/>
    </row>
    <row r="1195" spans="36:38" ht="16.5" x14ac:dyDescent="0.3">
      <c r="AJ1195" s="374"/>
      <c r="AK1195" s="374"/>
      <c r="AL1195" s="374"/>
    </row>
    <row r="1196" spans="36:38" ht="16.5" x14ac:dyDescent="0.3">
      <c r="AJ1196" s="374"/>
      <c r="AK1196" s="374"/>
      <c r="AL1196" s="374"/>
    </row>
    <row r="1197" spans="36:38" ht="16.5" x14ac:dyDescent="0.3">
      <c r="AJ1197" s="374"/>
      <c r="AK1197" s="374"/>
      <c r="AL1197" s="374"/>
    </row>
    <row r="1198" spans="36:38" ht="16.5" x14ac:dyDescent="0.3">
      <c r="AJ1198" s="374"/>
      <c r="AK1198" s="374"/>
      <c r="AL1198" s="374"/>
    </row>
    <row r="1199" spans="36:38" ht="16.5" x14ac:dyDescent="0.3">
      <c r="AJ1199" s="374"/>
      <c r="AK1199" s="374"/>
      <c r="AL1199" s="374"/>
    </row>
    <row r="1200" spans="36:38" ht="16.5" x14ac:dyDescent="0.3">
      <c r="AJ1200" s="374"/>
      <c r="AK1200" s="374"/>
      <c r="AL1200" s="374"/>
    </row>
    <row r="1201" spans="36:38" ht="16.5" x14ac:dyDescent="0.3">
      <c r="AJ1201" s="374"/>
      <c r="AK1201" s="374"/>
      <c r="AL1201" s="374"/>
    </row>
    <row r="1202" spans="36:38" ht="16.5" x14ac:dyDescent="0.3">
      <c r="AJ1202" s="374"/>
      <c r="AK1202" s="374"/>
      <c r="AL1202" s="374"/>
    </row>
    <row r="1203" spans="36:38" ht="16.5" x14ac:dyDescent="0.3">
      <c r="AJ1203" s="374"/>
      <c r="AK1203" s="374"/>
      <c r="AL1203" s="374"/>
    </row>
    <row r="1204" spans="36:38" ht="16.5" x14ac:dyDescent="0.3">
      <c r="AJ1204" s="374"/>
      <c r="AK1204" s="374"/>
      <c r="AL1204" s="374"/>
    </row>
    <row r="1205" spans="36:38" ht="16.5" x14ac:dyDescent="0.3">
      <c r="AJ1205" s="374"/>
      <c r="AK1205" s="374"/>
      <c r="AL1205" s="374"/>
    </row>
    <row r="1206" spans="36:38" ht="16.5" x14ac:dyDescent="0.3">
      <c r="AJ1206" s="374"/>
      <c r="AK1206" s="374"/>
      <c r="AL1206" s="374"/>
    </row>
    <row r="1207" spans="36:38" ht="16.5" x14ac:dyDescent="0.3">
      <c r="AJ1207" s="374"/>
      <c r="AK1207" s="374"/>
      <c r="AL1207" s="374"/>
    </row>
    <row r="1208" spans="36:38" ht="16.5" x14ac:dyDescent="0.3">
      <c r="AJ1208" s="374"/>
      <c r="AK1208" s="374"/>
      <c r="AL1208" s="374"/>
    </row>
    <row r="1209" spans="36:38" ht="16.5" x14ac:dyDescent="0.3">
      <c r="AJ1209" s="374"/>
      <c r="AK1209" s="374"/>
      <c r="AL1209" s="374"/>
    </row>
    <row r="1210" spans="36:38" ht="16.5" x14ac:dyDescent="0.3">
      <c r="AJ1210" s="374"/>
      <c r="AK1210" s="374"/>
      <c r="AL1210" s="374"/>
    </row>
    <row r="1211" spans="36:38" ht="16.5" x14ac:dyDescent="0.3">
      <c r="AJ1211" s="374"/>
      <c r="AK1211" s="374"/>
      <c r="AL1211" s="374"/>
    </row>
    <row r="1212" spans="36:38" ht="16.5" x14ac:dyDescent="0.3">
      <c r="AJ1212" s="374"/>
      <c r="AK1212" s="374"/>
      <c r="AL1212" s="374"/>
    </row>
    <row r="1213" spans="36:38" ht="16.5" x14ac:dyDescent="0.3">
      <c r="AJ1213" s="374"/>
      <c r="AK1213" s="374"/>
      <c r="AL1213" s="374"/>
    </row>
    <row r="1214" spans="36:38" ht="16.5" x14ac:dyDescent="0.3">
      <c r="AJ1214" s="374"/>
      <c r="AK1214" s="374"/>
      <c r="AL1214" s="374"/>
    </row>
    <row r="1215" spans="36:38" ht="16.5" x14ac:dyDescent="0.3">
      <c r="AJ1215" s="374"/>
      <c r="AK1215" s="374"/>
      <c r="AL1215" s="374"/>
    </row>
    <row r="1216" spans="36:38" ht="16.5" x14ac:dyDescent="0.3">
      <c r="AJ1216" s="374"/>
      <c r="AK1216" s="374"/>
      <c r="AL1216" s="374"/>
    </row>
    <row r="1217" spans="36:38" ht="16.5" x14ac:dyDescent="0.3">
      <c r="AJ1217" s="374"/>
      <c r="AK1217" s="374"/>
      <c r="AL1217" s="374"/>
    </row>
    <row r="1218" spans="36:38" ht="16.5" x14ac:dyDescent="0.3">
      <c r="AJ1218" s="374"/>
      <c r="AK1218" s="374"/>
      <c r="AL1218" s="374"/>
    </row>
    <row r="1219" spans="36:38" ht="16.5" x14ac:dyDescent="0.3">
      <c r="AJ1219" s="374"/>
      <c r="AK1219" s="374"/>
      <c r="AL1219" s="374"/>
    </row>
    <row r="1220" spans="36:38" ht="16.5" x14ac:dyDescent="0.3">
      <c r="AJ1220" s="374"/>
      <c r="AK1220" s="374"/>
      <c r="AL1220" s="374"/>
    </row>
    <row r="1221" spans="36:38" ht="16.5" x14ac:dyDescent="0.3">
      <c r="AJ1221" s="374"/>
      <c r="AK1221" s="374"/>
      <c r="AL1221" s="374"/>
    </row>
    <row r="1222" spans="36:38" ht="16.5" x14ac:dyDescent="0.3">
      <c r="AJ1222" s="374"/>
      <c r="AK1222" s="374"/>
      <c r="AL1222" s="374"/>
    </row>
    <row r="1223" spans="36:38" ht="16.5" x14ac:dyDescent="0.3">
      <c r="AJ1223" s="374"/>
      <c r="AK1223" s="374"/>
      <c r="AL1223" s="374"/>
    </row>
    <row r="1224" spans="36:38" ht="16.5" x14ac:dyDescent="0.3">
      <c r="AJ1224" s="374"/>
      <c r="AK1224" s="374"/>
      <c r="AL1224" s="374"/>
    </row>
    <row r="1225" spans="36:38" ht="16.5" x14ac:dyDescent="0.3">
      <c r="AJ1225" s="374"/>
      <c r="AK1225" s="374"/>
      <c r="AL1225" s="374"/>
    </row>
    <row r="1226" spans="36:38" ht="16.5" x14ac:dyDescent="0.3">
      <c r="AJ1226" s="374"/>
      <c r="AK1226" s="374"/>
      <c r="AL1226" s="374"/>
    </row>
    <row r="1227" spans="36:38" ht="16.5" x14ac:dyDescent="0.3">
      <c r="AJ1227" s="374"/>
      <c r="AK1227" s="374"/>
      <c r="AL1227" s="374"/>
    </row>
    <row r="1228" spans="36:38" ht="16.5" x14ac:dyDescent="0.3">
      <c r="AJ1228" s="374"/>
      <c r="AK1228" s="374"/>
      <c r="AL1228" s="374"/>
    </row>
    <row r="1229" spans="36:38" ht="16.5" x14ac:dyDescent="0.3">
      <c r="AJ1229" s="374"/>
      <c r="AK1229" s="374"/>
      <c r="AL1229" s="374"/>
    </row>
    <row r="1230" spans="36:38" ht="16.5" x14ac:dyDescent="0.3">
      <c r="AJ1230" s="374"/>
      <c r="AK1230" s="374"/>
      <c r="AL1230" s="374"/>
    </row>
    <row r="1231" spans="36:38" ht="16.5" x14ac:dyDescent="0.3">
      <c r="AJ1231" s="374"/>
      <c r="AK1231" s="374"/>
      <c r="AL1231" s="374"/>
    </row>
    <row r="1232" spans="36:38" ht="16.5" x14ac:dyDescent="0.3">
      <c r="AJ1232" s="374"/>
      <c r="AK1232" s="374"/>
      <c r="AL1232" s="374"/>
    </row>
    <row r="1233" spans="36:38" ht="16.5" x14ac:dyDescent="0.3">
      <c r="AJ1233" s="374"/>
      <c r="AK1233" s="374"/>
      <c r="AL1233" s="374"/>
    </row>
    <row r="1234" spans="36:38" ht="16.5" x14ac:dyDescent="0.3">
      <c r="AJ1234" s="374"/>
      <c r="AK1234" s="374"/>
      <c r="AL1234" s="374"/>
    </row>
    <row r="1235" spans="36:38" ht="16.5" x14ac:dyDescent="0.3">
      <c r="AJ1235" s="374"/>
      <c r="AK1235" s="374"/>
      <c r="AL1235" s="374"/>
    </row>
    <row r="1236" spans="36:38" ht="16.5" x14ac:dyDescent="0.3">
      <c r="AJ1236" s="374"/>
      <c r="AK1236" s="374"/>
      <c r="AL1236" s="374"/>
    </row>
    <row r="1237" spans="36:38" ht="16.5" x14ac:dyDescent="0.3">
      <c r="AJ1237" s="374"/>
      <c r="AK1237" s="374"/>
      <c r="AL1237" s="374"/>
    </row>
    <row r="1238" spans="36:38" ht="16.5" x14ac:dyDescent="0.3">
      <c r="AJ1238" s="374"/>
      <c r="AK1238" s="374"/>
      <c r="AL1238" s="374"/>
    </row>
    <row r="1239" spans="36:38" ht="16.5" x14ac:dyDescent="0.3">
      <c r="AJ1239" s="374"/>
      <c r="AK1239" s="374"/>
      <c r="AL1239" s="374"/>
    </row>
    <row r="1240" spans="36:38" ht="16.5" x14ac:dyDescent="0.3">
      <c r="AJ1240" s="374"/>
      <c r="AK1240" s="374"/>
      <c r="AL1240" s="374"/>
    </row>
    <row r="1241" spans="36:38" ht="16.5" x14ac:dyDescent="0.3">
      <c r="AJ1241" s="374"/>
      <c r="AK1241" s="374"/>
      <c r="AL1241" s="374"/>
    </row>
    <row r="1242" spans="36:38" ht="16.5" x14ac:dyDescent="0.3">
      <c r="AJ1242" s="374"/>
      <c r="AK1242" s="374"/>
      <c r="AL1242" s="374"/>
    </row>
    <row r="1243" spans="36:38" ht="16.5" x14ac:dyDescent="0.3">
      <c r="AJ1243" s="374"/>
      <c r="AK1243" s="374"/>
      <c r="AL1243" s="374"/>
    </row>
    <row r="1244" spans="36:38" ht="16.5" x14ac:dyDescent="0.3">
      <c r="AJ1244" s="374"/>
      <c r="AK1244" s="374"/>
      <c r="AL1244" s="374"/>
    </row>
    <row r="1245" spans="36:38" ht="16.5" x14ac:dyDescent="0.3">
      <c r="AJ1245" s="374"/>
      <c r="AK1245" s="374"/>
      <c r="AL1245" s="374"/>
    </row>
    <row r="1246" spans="36:38" ht="16.5" x14ac:dyDescent="0.3">
      <c r="AJ1246" s="374"/>
      <c r="AK1246" s="374"/>
      <c r="AL1246" s="374"/>
    </row>
    <row r="1247" spans="36:38" ht="16.5" x14ac:dyDescent="0.3">
      <c r="AJ1247" s="374"/>
      <c r="AK1247" s="374"/>
      <c r="AL1247" s="374"/>
    </row>
    <row r="1248" spans="36:38" ht="16.5" x14ac:dyDescent="0.3">
      <c r="AJ1248" s="374"/>
      <c r="AK1248" s="374"/>
      <c r="AL1248" s="374"/>
    </row>
    <row r="1249" spans="36:38" ht="16.5" x14ac:dyDescent="0.3">
      <c r="AJ1249" s="374"/>
      <c r="AK1249" s="374"/>
      <c r="AL1249" s="374"/>
    </row>
    <row r="1250" spans="36:38" ht="16.5" x14ac:dyDescent="0.3">
      <c r="AJ1250" s="374"/>
      <c r="AK1250" s="374"/>
      <c r="AL1250" s="374"/>
    </row>
    <row r="1251" spans="36:38" ht="16.5" x14ac:dyDescent="0.3">
      <c r="AJ1251" s="374"/>
      <c r="AK1251" s="374"/>
      <c r="AL1251" s="374"/>
    </row>
    <row r="1252" spans="36:38" ht="16.5" x14ac:dyDescent="0.3">
      <c r="AJ1252" s="374"/>
      <c r="AK1252" s="374"/>
      <c r="AL1252" s="374"/>
    </row>
    <row r="1253" spans="36:38" ht="16.5" x14ac:dyDescent="0.3">
      <c r="AJ1253" s="374"/>
      <c r="AK1253" s="374"/>
      <c r="AL1253" s="374"/>
    </row>
    <row r="1254" spans="36:38" ht="16.5" x14ac:dyDescent="0.3">
      <c r="AJ1254" s="374"/>
      <c r="AK1254" s="374"/>
      <c r="AL1254" s="374"/>
    </row>
    <row r="1255" spans="36:38" ht="16.5" x14ac:dyDescent="0.3">
      <c r="AJ1255" s="374"/>
      <c r="AK1255" s="374"/>
      <c r="AL1255" s="374"/>
    </row>
    <row r="1256" spans="36:38" ht="16.5" x14ac:dyDescent="0.3">
      <c r="AJ1256" s="374"/>
      <c r="AK1256" s="374"/>
      <c r="AL1256" s="374"/>
    </row>
    <row r="1257" spans="36:38" ht="16.5" x14ac:dyDescent="0.3">
      <c r="AJ1257" s="374"/>
      <c r="AK1257" s="374"/>
      <c r="AL1257" s="374"/>
    </row>
    <row r="1258" spans="36:38" ht="16.5" x14ac:dyDescent="0.3">
      <c r="AJ1258" s="374"/>
      <c r="AK1258" s="374"/>
      <c r="AL1258" s="374"/>
    </row>
    <row r="1259" spans="36:38" ht="16.5" x14ac:dyDescent="0.3">
      <c r="AJ1259" s="374"/>
      <c r="AK1259" s="374"/>
      <c r="AL1259" s="374"/>
    </row>
    <row r="1260" spans="36:38" ht="16.5" x14ac:dyDescent="0.3">
      <c r="AJ1260" s="374"/>
      <c r="AK1260" s="374"/>
      <c r="AL1260" s="374"/>
    </row>
    <row r="1261" spans="36:38" ht="16.5" x14ac:dyDescent="0.3">
      <c r="AJ1261" s="374"/>
      <c r="AK1261" s="374"/>
      <c r="AL1261" s="374"/>
    </row>
    <row r="1262" spans="36:38" ht="16.5" x14ac:dyDescent="0.3">
      <c r="AJ1262" s="374"/>
      <c r="AK1262" s="374"/>
      <c r="AL1262" s="374"/>
    </row>
    <row r="1263" spans="36:38" ht="16.5" x14ac:dyDescent="0.3">
      <c r="AJ1263" s="374"/>
      <c r="AK1263" s="374"/>
      <c r="AL1263" s="374"/>
    </row>
    <row r="1264" spans="36:38" ht="16.5" x14ac:dyDescent="0.3">
      <c r="AJ1264" s="374"/>
      <c r="AK1264" s="374"/>
      <c r="AL1264" s="374"/>
    </row>
    <row r="1265" spans="36:38" ht="16.5" x14ac:dyDescent="0.3">
      <c r="AJ1265" s="374"/>
      <c r="AK1265" s="374"/>
      <c r="AL1265" s="374"/>
    </row>
    <row r="1266" spans="36:38" ht="16.5" x14ac:dyDescent="0.3">
      <c r="AJ1266" s="374"/>
      <c r="AK1266" s="374"/>
      <c r="AL1266" s="374"/>
    </row>
    <row r="1267" spans="36:38" ht="16.5" x14ac:dyDescent="0.3">
      <c r="AJ1267" s="374"/>
      <c r="AK1267" s="374"/>
      <c r="AL1267" s="374"/>
    </row>
    <row r="1268" spans="36:38" ht="16.5" x14ac:dyDescent="0.3">
      <c r="AJ1268" s="374"/>
      <c r="AK1268" s="374"/>
      <c r="AL1268" s="374"/>
    </row>
    <row r="1269" spans="36:38" ht="16.5" x14ac:dyDescent="0.3">
      <c r="AJ1269" s="374"/>
      <c r="AK1269" s="374"/>
      <c r="AL1269" s="374"/>
    </row>
    <row r="1270" spans="36:38" ht="16.5" x14ac:dyDescent="0.3">
      <c r="AJ1270" s="374"/>
      <c r="AK1270" s="374"/>
      <c r="AL1270" s="374"/>
    </row>
    <row r="1271" spans="36:38" ht="16.5" x14ac:dyDescent="0.3">
      <c r="AJ1271" s="374"/>
      <c r="AK1271" s="374"/>
      <c r="AL1271" s="374"/>
    </row>
    <row r="1272" spans="36:38" ht="16.5" x14ac:dyDescent="0.3">
      <c r="AJ1272" s="374"/>
      <c r="AK1272" s="374"/>
      <c r="AL1272" s="374"/>
    </row>
    <row r="1273" spans="36:38" ht="16.5" x14ac:dyDescent="0.3">
      <c r="AJ1273" s="374"/>
      <c r="AK1273" s="374"/>
      <c r="AL1273" s="374"/>
    </row>
    <row r="1274" spans="36:38" ht="16.5" x14ac:dyDescent="0.3">
      <c r="AJ1274" s="374"/>
      <c r="AK1274" s="374"/>
      <c r="AL1274" s="374"/>
    </row>
    <row r="1275" spans="36:38" ht="16.5" x14ac:dyDescent="0.3">
      <c r="AJ1275" s="374"/>
      <c r="AK1275" s="374"/>
      <c r="AL1275" s="374"/>
    </row>
    <row r="1276" spans="36:38" ht="16.5" x14ac:dyDescent="0.3">
      <c r="AJ1276" s="374"/>
      <c r="AK1276" s="374"/>
      <c r="AL1276" s="374"/>
    </row>
    <row r="1277" spans="36:38" ht="16.5" x14ac:dyDescent="0.3">
      <c r="AJ1277" s="374"/>
      <c r="AK1277" s="374"/>
      <c r="AL1277" s="374"/>
    </row>
    <row r="1278" spans="36:38" ht="16.5" x14ac:dyDescent="0.3">
      <c r="AJ1278" s="374"/>
      <c r="AK1278" s="374"/>
      <c r="AL1278" s="374"/>
    </row>
    <row r="1279" spans="36:38" ht="16.5" x14ac:dyDescent="0.3">
      <c r="AJ1279" s="374"/>
      <c r="AK1279" s="374"/>
      <c r="AL1279" s="374"/>
    </row>
    <row r="1280" spans="36:38" ht="16.5" x14ac:dyDescent="0.3">
      <c r="AJ1280" s="374"/>
      <c r="AK1280" s="374"/>
      <c r="AL1280" s="374"/>
    </row>
    <row r="1281" spans="36:38" ht="16.5" x14ac:dyDescent="0.3">
      <c r="AJ1281" s="374"/>
      <c r="AK1281" s="374"/>
      <c r="AL1281" s="374"/>
    </row>
    <row r="1282" spans="36:38" ht="16.5" x14ac:dyDescent="0.3">
      <c r="AJ1282" s="374"/>
      <c r="AK1282" s="374"/>
      <c r="AL1282" s="374"/>
    </row>
    <row r="1283" spans="36:38" ht="16.5" x14ac:dyDescent="0.3">
      <c r="AJ1283" s="374"/>
      <c r="AK1283" s="374"/>
      <c r="AL1283" s="374"/>
    </row>
    <row r="1284" spans="36:38" ht="16.5" x14ac:dyDescent="0.3">
      <c r="AJ1284" s="374"/>
      <c r="AK1284" s="374"/>
      <c r="AL1284" s="374"/>
    </row>
    <row r="1285" spans="36:38" ht="16.5" x14ac:dyDescent="0.3">
      <c r="AJ1285" s="374"/>
      <c r="AK1285" s="374"/>
      <c r="AL1285" s="374"/>
    </row>
    <row r="1286" spans="36:38" ht="16.5" x14ac:dyDescent="0.3">
      <c r="AJ1286" s="374"/>
      <c r="AK1286" s="374"/>
      <c r="AL1286" s="374"/>
    </row>
    <row r="1287" spans="36:38" ht="16.5" x14ac:dyDescent="0.3">
      <c r="AJ1287" s="374"/>
      <c r="AK1287" s="374"/>
      <c r="AL1287" s="374"/>
    </row>
    <row r="1288" spans="36:38" ht="16.5" x14ac:dyDescent="0.3">
      <c r="AJ1288" s="374"/>
      <c r="AK1288" s="374"/>
      <c r="AL1288" s="374"/>
    </row>
    <row r="1289" spans="36:38" ht="16.5" x14ac:dyDescent="0.3">
      <c r="AJ1289" s="374"/>
      <c r="AK1289" s="374"/>
      <c r="AL1289" s="374"/>
    </row>
    <row r="1290" spans="36:38" ht="16.5" x14ac:dyDescent="0.3">
      <c r="AJ1290" s="374"/>
      <c r="AK1290" s="374"/>
      <c r="AL1290" s="374"/>
    </row>
    <row r="1291" spans="36:38" ht="16.5" x14ac:dyDescent="0.3">
      <c r="AJ1291" s="374"/>
      <c r="AK1291" s="374"/>
      <c r="AL1291" s="374"/>
    </row>
    <row r="1292" spans="36:38" ht="16.5" x14ac:dyDescent="0.3">
      <c r="AJ1292" s="374"/>
      <c r="AK1292" s="374"/>
      <c r="AL1292" s="374"/>
    </row>
    <row r="1293" spans="36:38" ht="16.5" x14ac:dyDescent="0.3">
      <c r="AJ1293" s="374"/>
      <c r="AK1293" s="374"/>
      <c r="AL1293" s="374"/>
    </row>
    <row r="1294" spans="36:38" ht="16.5" x14ac:dyDescent="0.3">
      <c r="AJ1294" s="374"/>
      <c r="AK1294" s="374"/>
      <c r="AL1294" s="374"/>
    </row>
    <row r="1295" spans="36:38" ht="16.5" x14ac:dyDescent="0.3">
      <c r="AJ1295" s="374"/>
      <c r="AK1295" s="374"/>
      <c r="AL1295" s="374"/>
    </row>
    <row r="1296" spans="36:38" ht="16.5" x14ac:dyDescent="0.3">
      <c r="AJ1296" s="374"/>
      <c r="AK1296" s="374"/>
      <c r="AL1296" s="374"/>
    </row>
    <row r="1297" spans="36:38" ht="16.5" x14ac:dyDescent="0.3">
      <c r="AJ1297" s="374"/>
      <c r="AK1297" s="374"/>
      <c r="AL1297" s="374"/>
    </row>
    <row r="1298" spans="36:38" ht="16.5" x14ac:dyDescent="0.3">
      <c r="AJ1298" s="374"/>
      <c r="AK1298" s="374"/>
      <c r="AL1298" s="374"/>
    </row>
    <row r="1299" spans="36:38" ht="16.5" x14ac:dyDescent="0.3">
      <c r="AJ1299" s="374"/>
      <c r="AK1299" s="374"/>
      <c r="AL1299" s="374"/>
    </row>
    <row r="1300" spans="36:38" ht="16.5" x14ac:dyDescent="0.3">
      <c r="AJ1300" s="374"/>
      <c r="AK1300" s="374"/>
      <c r="AL1300" s="374"/>
    </row>
    <row r="1301" spans="36:38" ht="16.5" x14ac:dyDescent="0.3">
      <c r="AJ1301" s="374"/>
      <c r="AK1301" s="374"/>
      <c r="AL1301" s="374"/>
    </row>
    <row r="1302" spans="36:38" ht="16.5" x14ac:dyDescent="0.3">
      <c r="AJ1302" s="374"/>
      <c r="AK1302" s="374"/>
      <c r="AL1302" s="374"/>
    </row>
    <row r="1303" spans="36:38" ht="16.5" x14ac:dyDescent="0.3">
      <c r="AJ1303" s="374"/>
      <c r="AK1303" s="374"/>
      <c r="AL1303" s="374"/>
    </row>
    <row r="1304" spans="36:38" ht="16.5" x14ac:dyDescent="0.3">
      <c r="AJ1304" s="374"/>
      <c r="AK1304" s="374"/>
      <c r="AL1304" s="374"/>
    </row>
    <row r="1305" spans="36:38" ht="16.5" x14ac:dyDescent="0.3">
      <c r="AJ1305" s="374"/>
      <c r="AK1305" s="374"/>
      <c r="AL1305" s="374"/>
    </row>
    <row r="1306" spans="36:38" ht="16.5" x14ac:dyDescent="0.3">
      <c r="AJ1306" s="374"/>
      <c r="AK1306" s="374"/>
      <c r="AL1306" s="374"/>
    </row>
    <row r="1307" spans="36:38" ht="16.5" x14ac:dyDescent="0.3">
      <c r="AJ1307" s="374"/>
      <c r="AK1307" s="374"/>
      <c r="AL1307" s="374"/>
    </row>
    <row r="1308" spans="36:38" ht="16.5" x14ac:dyDescent="0.3">
      <c r="AJ1308" s="374"/>
      <c r="AK1308" s="374"/>
      <c r="AL1308" s="374"/>
    </row>
    <row r="1309" spans="36:38" ht="16.5" x14ac:dyDescent="0.3">
      <c r="AJ1309" s="374"/>
      <c r="AK1309" s="374"/>
      <c r="AL1309" s="374"/>
    </row>
    <row r="1310" spans="36:38" ht="16.5" x14ac:dyDescent="0.3">
      <c r="AJ1310" s="374"/>
      <c r="AK1310" s="374"/>
      <c r="AL1310" s="374"/>
    </row>
    <row r="1311" spans="36:38" ht="16.5" x14ac:dyDescent="0.3">
      <c r="AJ1311" s="374"/>
      <c r="AK1311" s="374"/>
      <c r="AL1311" s="374"/>
    </row>
    <row r="1312" spans="36:38" ht="16.5" x14ac:dyDescent="0.3">
      <c r="AJ1312" s="374"/>
      <c r="AK1312" s="374"/>
      <c r="AL1312" s="374"/>
    </row>
    <row r="1313" spans="36:38" ht="16.5" x14ac:dyDescent="0.3">
      <c r="AJ1313" s="374"/>
      <c r="AK1313" s="374"/>
      <c r="AL1313" s="374"/>
    </row>
    <row r="1314" spans="36:38" ht="16.5" x14ac:dyDescent="0.3">
      <c r="AJ1314" s="374"/>
      <c r="AK1314" s="374"/>
      <c r="AL1314" s="374"/>
    </row>
    <row r="1315" spans="36:38" ht="16.5" x14ac:dyDescent="0.3">
      <c r="AJ1315" s="374"/>
      <c r="AK1315" s="374"/>
      <c r="AL1315" s="374"/>
    </row>
    <row r="1316" spans="36:38" ht="16.5" x14ac:dyDescent="0.3">
      <c r="AJ1316" s="374"/>
      <c r="AK1316" s="374"/>
      <c r="AL1316" s="374"/>
    </row>
    <row r="1317" spans="36:38" ht="16.5" x14ac:dyDescent="0.3">
      <c r="AJ1317" s="374"/>
      <c r="AK1317" s="374"/>
      <c r="AL1317" s="374"/>
    </row>
    <row r="1318" spans="36:38" ht="16.5" x14ac:dyDescent="0.3">
      <c r="AJ1318" s="374"/>
      <c r="AK1318" s="374"/>
      <c r="AL1318" s="374"/>
    </row>
    <row r="1319" spans="36:38" ht="16.5" x14ac:dyDescent="0.3">
      <c r="AJ1319" s="374"/>
      <c r="AK1319" s="374"/>
      <c r="AL1319" s="374"/>
    </row>
    <row r="1320" spans="36:38" ht="16.5" x14ac:dyDescent="0.3">
      <c r="AJ1320" s="374"/>
      <c r="AK1320" s="374"/>
      <c r="AL1320" s="374"/>
    </row>
    <row r="1321" spans="36:38" ht="16.5" x14ac:dyDescent="0.3">
      <c r="AJ1321" s="374"/>
      <c r="AK1321" s="374"/>
      <c r="AL1321" s="374"/>
    </row>
    <row r="1322" spans="36:38" ht="16.5" x14ac:dyDescent="0.3">
      <c r="AJ1322" s="374"/>
      <c r="AK1322" s="374"/>
      <c r="AL1322" s="374"/>
    </row>
    <row r="1323" spans="36:38" ht="16.5" x14ac:dyDescent="0.3">
      <c r="AJ1323" s="374"/>
      <c r="AK1323" s="374"/>
      <c r="AL1323" s="374"/>
    </row>
    <row r="1324" spans="36:38" ht="16.5" x14ac:dyDescent="0.3">
      <c r="AJ1324" s="374"/>
      <c r="AK1324" s="374"/>
      <c r="AL1324" s="374"/>
    </row>
    <row r="1325" spans="36:38" ht="16.5" x14ac:dyDescent="0.3">
      <c r="AJ1325" s="374"/>
      <c r="AK1325" s="374"/>
      <c r="AL1325" s="374"/>
    </row>
    <row r="1326" spans="36:38" ht="16.5" x14ac:dyDescent="0.3">
      <c r="AJ1326" s="374"/>
      <c r="AK1326" s="374"/>
      <c r="AL1326" s="374"/>
    </row>
    <row r="1327" spans="36:38" ht="16.5" x14ac:dyDescent="0.3">
      <c r="AJ1327" s="374"/>
      <c r="AK1327" s="374"/>
      <c r="AL1327" s="374"/>
    </row>
    <row r="1328" spans="36:38" ht="16.5" x14ac:dyDescent="0.3">
      <c r="AJ1328" s="374"/>
      <c r="AK1328" s="374"/>
      <c r="AL1328" s="374"/>
    </row>
    <row r="1329" spans="36:38" ht="16.5" x14ac:dyDescent="0.3">
      <c r="AJ1329" s="374"/>
      <c r="AK1329" s="374"/>
      <c r="AL1329" s="374"/>
    </row>
    <row r="1330" spans="36:38" ht="16.5" x14ac:dyDescent="0.3">
      <c r="AJ1330" s="374"/>
      <c r="AK1330" s="374"/>
      <c r="AL1330" s="374"/>
    </row>
    <row r="1331" spans="36:38" ht="16.5" x14ac:dyDescent="0.3">
      <c r="AJ1331" s="374"/>
      <c r="AK1331" s="374"/>
      <c r="AL1331" s="374"/>
    </row>
    <row r="1332" spans="36:38" ht="16.5" x14ac:dyDescent="0.3">
      <c r="AJ1332" s="374"/>
      <c r="AK1332" s="374"/>
      <c r="AL1332" s="374"/>
    </row>
    <row r="1333" spans="36:38" ht="16.5" x14ac:dyDescent="0.3">
      <c r="AJ1333" s="374"/>
      <c r="AK1333" s="374"/>
      <c r="AL1333" s="374"/>
    </row>
    <row r="1334" spans="36:38" ht="16.5" x14ac:dyDescent="0.3">
      <c r="AJ1334" s="374"/>
      <c r="AK1334" s="374"/>
      <c r="AL1334" s="374"/>
    </row>
    <row r="1335" spans="36:38" ht="16.5" x14ac:dyDescent="0.3">
      <c r="AJ1335" s="374"/>
      <c r="AK1335" s="374"/>
      <c r="AL1335" s="374"/>
    </row>
    <row r="1336" spans="36:38" ht="16.5" x14ac:dyDescent="0.3">
      <c r="AJ1336" s="374"/>
      <c r="AK1336" s="374"/>
      <c r="AL1336" s="374"/>
    </row>
    <row r="1337" spans="36:38" ht="16.5" x14ac:dyDescent="0.3">
      <c r="AJ1337" s="374"/>
      <c r="AK1337" s="374"/>
      <c r="AL1337" s="374"/>
    </row>
    <row r="1338" spans="36:38" ht="16.5" x14ac:dyDescent="0.3">
      <c r="AJ1338" s="374"/>
      <c r="AK1338" s="374"/>
      <c r="AL1338" s="374"/>
    </row>
    <row r="1339" spans="36:38" ht="16.5" x14ac:dyDescent="0.3">
      <c r="AJ1339" s="374"/>
      <c r="AK1339" s="374"/>
      <c r="AL1339" s="374"/>
    </row>
    <row r="1340" spans="36:38" ht="16.5" x14ac:dyDescent="0.3">
      <c r="AJ1340" s="374"/>
      <c r="AK1340" s="374"/>
      <c r="AL1340" s="374"/>
    </row>
    <row r="1341" spans="36:38" ht="16.5" x14ac:dyDescent="0.3">
      <c r="AJ1341" s="374"/>
      <c r="AK1341" s="374"/>
      <c r="AL1341" s="374"/>
    </row>
    <row r="1342" spans="36:38" ht="16.5" x14ac:dyDescent="0.3">
      <c r="AJ1342" s="374"/>
      <c r="AK1342" s="374"/>
      <c r="AL1342" s="374"/>
    </row>
    <row r="1343" spans="36:38" ht="16.5" x14ac:dyDescent="0.3">
      <c r="AJ1343" s="374"/>
      <c r="AK1343" s="374"/>
      <c r="AL1343" s="374"/>
    </row>
    <row r="1344" spans="36:38" ht="16.5" x14ac:dyDescent="0.3">
      <c r="AJ1344" s="374"/>
      <c r="AK1344" s="374"/>
      <c r="AL1344" s="374"/>
    </row>
    <row r="1345" spans="36:38" ht="16.5" x14ac:dyDescent="0.3">
      <c r="AJ1345" s="374"/>
      <c r="AK1345" s="374"/>
      <c r="AL1345" s="374"/>
    </row>
    <row r="1346" spans="36:38" ht="16.5" x14ac:dyDescent="0.3">
      <c r="AJ1346" s="374"/>
      <c r="AK1346" s="374"/>
      <c r="AL1346" s="374"/>
    </row>
    <row r="1347" spans="36:38" ht="16.5" x14ac:dyDescent="0.3">
      <c r="AJ1347" s="374"/>
      <c r="AK1347" s="374"/>
      <c r="AL1347" s="374"/>
    </row>
    <row r="1348" spans="36:38" ht="16.5" x14ac:dyDescent="0.3">
      <c r="AJ1348" s="374"/>
      <c r="AK1348" s="374"/>
      <c r="AL1348" s="374"/>
    </row>
    <row r="1349" spans="36:38" ht="16.5" x14ac:dyDescent="0.3">
      <c r="AJ1349" s="374"/>
      <c r="AK1349" s="374"/>
      <c r="AL1349" s="374"/>
    </row>
    <row r="1350" spans="36:38" ht="16.5" x14ac:dyDescent="0.3">
      <c r="AJ1350" s="374"/>
      <c r="AK1350" s="374"/>
      <c r="AL1350" s="374"/>
    </row>
    <row r="1351" spans="36:38" ht="16.5" x14ac:dyDescent="0.3">
      <c r="AJ1351" s="374"/>
      <c r="AK1351" s="374"/>
      <c r="AL1351" s="374"/>
    </row>
    <row r="1352" spans="36:38" ht="16.5" x14ac:dyDescent="0.3">
      <c r="AJ1352" s="374"/>
      <c r="AK1352" s="374"/>
      <c r="AL1352" s="374"/>
    </row>
    <row r="1353" spans="36:38" ht="16.5" x14ac:dyDescent="0.3">
      <c r="AJ1353" s="374"/>
      <c r="AK1353" s="374"/>
      <c r="AL1353" s="374"/>
    </row>
    <row r="1354" spans="36:38" ht="16.5" x14ac:dyDescent="0.3">
      <c r="AJ1354" s="374"/>
      <c r="AK1354" s="374"/>
      <c r="AL1354" s="374"/>
    </row>
    <row r="1355" spans="36:38" ht="16.5" x14ac:dyDescent="0.3">
      <c r="AJ1355" s="374"/>
      <c r="AK1355" s="374"/>
      <c r="AL1355" s="374"/>
    </row>
    <row r="1356" spans="36:38" ht="16.5" x14ac:dyDescent="0.3">
      <c r="AJ1356" s="374"/>
      <c r="AK1356" s="374"/>
      <c r="AL1356" s="374"/>
    </row>
    <row r="1357" spans="36:38" ht="16.5" x14ac:dyDescent="0.3">
      <c r="AJ1357" s="374"/>
      <c r="AK1357" s="374"/>
      <c r="AL1357" s="374"/>
    </row>
    <row r="1358" spans="36:38" ht="16.5" x14ac:dyDescent="0.3">
      <c r="AJ1358" s="374"/>
      <c r="AK1358" s="374"/>
      <c r="AL1358" s="374"/>
    </row>
    <row r="1359" spans="36:38" ht="16.5" x14ac:dyDescent="0.3">
      <c r="AJ1359" s="374"/>
      <c r="AK1359" s="374"/>
      <c r="AL1359" s="374"/>
    </row>
    <row r="1360" spans="36:38" ht="16.5" x14ac:dyDescent="0.3">
      <c r="AJ1360" s="374"/>
      <c r="AK1360" s="374"/>
      <c r="AL1360" s="374"/>
    </row>
    <row r="1361" spans="36:38" ht="16.5" x14ac:dyDescent="0.3">
      <c r="AJ1361" s="374"/>
      <c r="AK1361" s="374"/>
      <c r="AL1361" s="374"/>
    </row>
    <row r="1362" spans="36:38" ht="16.5" x14ac:dyDescent="0.3">
      <c r="AJ1362" s="374"/>
      <c r="AK1362" s="374"/>
      <c r="AL1362" s="374"/>
    </row>
    <row r="1363" spans="36:38" ht="16.5" x14ac:dyDescent="0.3">
      <c r="AJ1363" s="374"/>
      <c r="AK1363" s="374"/>
      <c r="AL1363" s="374"/>
    </row>
    <row r="1364" spans="36:38" ht="16.5" x14ac:dyDescent="0.3">
      <c r="AJ1364" s="374"/>
      <c r="AK1364" s="374"/>
      <c r="AL1364" s="374"/>
    </row>
    <row r="1365" spans="36:38" ht="16.5" x14ac:dyDescent="0.3">
      <c r="AJ1365" s="374"/>
      <c r="AK1365" s="374"/>
      <c r="AL1365" s="374"/>
    </row>
    <row r="1366" spans="36:38" ht="16.5" x14ac:dyDescent="0.3">
      <c r="AJ1366" s="374"/>
      <c r="AK1366" s="374"/>
      <c r="AL1366" s="374"/>
    </row>
    <row r="1367" spans="36:38" ht="16.5" x14ac:dyDescent="0.3">
      <c r="AJ1367" s="374"/>
      <c r="AK1367" s="374"/>
      <c r="AL1367" s="374"/>
    </row>
    <row r="1368" spans="36:38" ht="16.5" x14ac:dyDescent="0.3">
      <c r="AJ1368" s="374"/>
      <c r="AK1368" s="374"/>
      <c r="AL1368" s="374"/>
    </row>
    <row r="1369" spans="36:38" ht="16.5" x14ac:dyDescent="0.3">
      <c r="AJ1369" s="374"/>
      <c r="AK1369" s="374"/>
      <c r="AL1369" s="374"/>
    </row>
    <row r="1370" spans="36:38" ht="16.5" x14ac:dyDescent="0.3">
      <c r="AJ1370" s="374"/>
      <c r="AK1370" s="374"/>
      <c r="AL1370" s="374"/>
    </row>
    <row r="1371" spans="36:38" ht="16.5" x14ac:dyDescent="0.3">
      <c r="AJ1371" s="374"/>
      <c r="AK1371" s="374"/>
      <c r="AL1371" s="374"/>
    </row>
    <row r="1372" spans="36:38" ht="16.5" x14ac:dyDescent="0.3">
      <c r="AJ1372" s="374"/>
      <c r="AK1372" s="374"/>
      <c r="AL1372" s="374"/>
    </row>
    <row r="1373" spans="36:38" ht="16.5" x14ac:dyDescent="0.3">
      <c r="AJ1373" s="374"/>
      <c r="AK1373" s="374"/>
      <c r="AL1373" s="374"/>
    </row>
    <row r="1374" spans="36:38" ht="16.5" x14ac:dyDescent="0.3">
      <c r="AJ1374" s="374"/>
      <c r="AK1374" s="374"/>
      <c r="AL1374" s="374"/>
    </row>
    <row r="1375" spans="36:38" ht="16.5" x14ac:dyDescent="0.3">
      <c r="AJ1375" s="374"/>
      <c r="AK1375" s="374"/>
      <c r="AL1375" s="374"/>
    </row>
    <row r="1376" spans="36:38" ht="16.5" x14ac:dyDescent="0.3">
      <c r="AJ1376" s="374"/>
      <c r="AK1376" s="374"/>
      <c r="AL1376" s="374"/>
    </row>
    <row r="1377" spans="36:38" ht="16.5" x14ac:dyDescent="0.3">
      <c r="AJ1377" s="374"/>
      <c r="AK1377" s="374"/>
      <c r="AL1377" s="374"/>
    </row>
    <row r="1378" spans="36:38" ht="16.5" x14ac:dyDescent="0.3">
      <c r="AJ1378" s="374"/>
      <c r="AK1378" s="374"/>
      <c r="AL1378" s="374"/>
    </row>
    <row r="1379" spans="36:38" ht="16.5" x14ac:dyDescent="0.3">
      <c r="AJ1379" s="374"/>
      <c r="AK1379" s="374"/>
      <c r="AL1379" s="374"/>
    </row>
    <row r="1380" spans="36:38" ht="16.5" x14ac:dyDescent="0.3">
      <c r="AJ1380" s="374"/>
      <c r="AK1380" s="374"/>
      <c r="AL1380" s="374"/>
    </row>
    <row r="1381" spans="36:38" ht="16.5" x14ac:dyDescent="0.3">
      <c r="AJ1381" s="374"/>
      <c r="AK1381" s="374"/>
      <c r="AL1381" s="374"/>
    </row>
    <row r="1382" spans="36:38" ht="16.5" x14ac:dyDescent="0.3">
      <c r="AJ1382" s="374"/>
      <c r="AK1382" s="374"/>
      <c r="AL1382" s="374"/>
    </row>
    <row r="1383" spans="36:38" ht="16.5" x14ac:dyDescent="0.3">
      <c r="AJ1383" s="374"/>
      <c r="AK1383" s="374"/>
      <c r="AL1383" s="374"/>
    </row>
    <row r="1384" spans="36:38" ht="16.5" x14ac:dyDescent="0.3">
      <c r="AJ1384" s="374"/>
      <c r="AK1384" s="374"/>
      <c r="AL1384" s="374"/>
    </row>
    <row r="1385" spans="36:38" ht="16.5" x14ac:dyDescent="0.3">
      <c r="AJ1385" s="374"/>
      <c r="AK1385" s="374"/>
      <c r="AL1385" s="374"/>
    </row>
    <row r="1386" spans="36:38" ht="16.5" x14ac:dyDescent="0.3">
      <c r="AJ1386" s="374"/>
      <c r="AK1386" s="374"/>
      <c r="AL1386" s="374"/>
    </row>
    <row r="1387" spans="36:38" ht="16.5" x14ac:dyDescent="0.3">
      <c r="AJ1387" s="374"/>
      <c r="AK1387" s="374"/>
      <c r="AL1387" s="374"/>
    </row>
    <row r="1388" spans="36:38" ht="16.5" x14ac:dyDescent="0.3">
      <c r="AJ1388" s="374"/>
      <c r="AK1388" s="374"/>
      <c r="AL1388" s="374"/>
    </row>
    <row r="1389" spans="36:38" ht="16.5" x14ac:dyDescent="0.3">
      <c r="AJ1389" s="374"/>
      <c r="AK1389" s="374"/>
      <c r="AL1389" s="374"/>
    </row>
    <row r="1390" spans="36:38" ht="16.5" x14ac:dyDescent="0.3">
      <c r="AJ1390" s="374"/>
      <c r="AK1390" s="374"/>
      <c r="AL1390" s="374"/>
    </row>
    <row r="1391" spans="36:38" ht="16.5" x14ac:dyDescent="0.3">
      <c r="AJ1391" s="374"/>
      <c r="AK1391" s="374"/>
      <c r="AL1391" s="374"/>
    </row>
    <row r="1392" spans="36:38" ht="16.5" x14ac:dyDescent="0.3">
      <c r="AJ1392" s="374"/>
      <c r="AK1392" s="374"/>
      <c r="AL1392" s="374"/>
    </row>
    <row r="1393" spans="36:38" ht="16.5" x14ac:dyDescent="0.3">
      <c r="AJ1393" s="374"/>
      <c r="AK1393" s="374"/>
      <c r="AL1393" s="374"/>
    </row>
    <row r="1394" spans="36:38" ht="16.5" x14ac:dyDescent="0.3">
      <c r="AJ1394" s="374"/>
      <c r="AK1394" s="374"/>
      <c r="AL1394" s="374"/>
    </row>
    <row r="1395" spans="36:38" ht="16.5" x14ac:dyDescent="0.3">
      <c r="AJ1395" s="374"/>
      <c r="AK1395" s="374"/>
      <c r="AL1395" s="374"/>
    </row>
    <row r="1396" spans="36:38" ht="16.5" x14ac:dyDescent="0.3">
      <c r="AJ1396" s="374"/>
      <c r="AK1396" s="374"/>
      <c r="AL1396" s="374"/>
    </row>
    <row r="1397" spans="36:38" ht="16.5" x14ac:dyDescent="0.3">
      <c r="AJ1397" s="374"/>
      <c r="AK1397" s="374"/>
      <c r="AL1397" s="374"/>
    </row>
    <row r="1398" spans="36:38" ht="16.5" x14ac:dyDescent="0.3">
      <c r="AJ1398" s="374"/>
      <c r="AK1398" s="374"/>
      <c r="AL1398" s="374"/>
    </row>
    <row r="1399" spans="36:38" ht="16.5" x14ac:dyDescent="0.3">
      <c r="AJ1399" s="374"/>
      <c r="AK1399" s="374"/>
      <c r="AL1399" s="374"/>
    </row>
    <row r="1400" spans="36:38" ht="16.5" x14ac:dyDescent="0.3">
      <c r="AJ1400" s="374"/>
      <c r="AK1400" s="374"/>
      <c r="AL1400" s="374"/>
    </row>
    <row r="1401" spans="36:38" ht="16.5" x14ac:dyDescent="0.3">
      <c r="AJ1401" s="374"/>
      <c r="AK1401" s="374"/>
      <c r="AL1401" s="374"/>
    </row>
    <row r="1402" spans="36:38" ht="16.5" x14ac:dyDescent="0.3">
      <c r="AJ1402" s="374"/>
      <c r="AK1402" s="374"/>
      <c r="AL1402" s="374"/>
    </row>
    <row r="1403" spans="36:38" ht="16.5" x14ac:dyDescent="0.3">
      <c r="AJ1403" s="374"/>
      <c r="AK1403" s="374"/>
      <c r="AL1403" s="374"/>
    </row>
    <row r="1404" spans="36:38" ht="16.5" x14ac:dyDescent="0.3">
      <c r="AJ1404" s="374"/>
      <c r="AK1404" s="374"/>
      <c r="AL1404" s="374"/>
    </row>
    <row r="1405" spans="36:38" ht="16.5" x14ac:dyDescent="0.3">
      <c r="AJ1405" s="374"/>
      <c r="AK1405" s="374"/>
      <c r="AL1405" s="374"/>
    </row>
    <row r="1406" spans="36:38" ht="16.5" x14ac:dyDescent="0.3">
      <c r="AJ1406" s="374"/>
      <c r="AK1406" s="374"/>
      <c r="AL1406" s="374"/>
    </row>
    <row r="1407" spans="36:38" ht="16.5" x14ac:dyDescent="0.3">
      <c r="AJ1407" s="374"/>
      <c r="AK1407" s="374"/>
      <c r="AL1407" s="374"/>
    </row>
    <row r="1408" spans="36:38" ht="16.5" x14ac:dyDescent="0.3">
      <c r="AJ1408" s="374"/>
      <c r="AK1408" s="374"/>
      <c r="AL1408" s="374"/>
    </row>
    <row r="1409" spans="36:38" ht="16.5" x14ac:dyDescent="0.3">
      <c r="AJ1409" s="374"/>
      <c r="AK1409" s="374"/>
      <c r="AL1409" s="374"/>
    </row>
    <row r="1410" spans="36:38" ht="16.5" x14ac:dyDescent="0.3">
      <c r="AJ1410" s="374"/>
      <c r="AK1410" s="374"/>
      <c r="AL1410" s="374"/>
    </row>
    <row r="1411" spans="36:38" ht="16.5" x14ac:dyDescent="0.3">
      <c r="AJ1411" s="374"/>
      <c r="AK1411" s="374"/>
      <c r="AL1411" s="374"/>
    </row>
    <row r="1412" spans="36:38" ht="16.5" x14ac:dyDescent="0.3">
      <c r="AJ1412" s="374"/>
      <c r="AK1412" s="374"/>
      <c r="AL1412" s="374"/>
    </row>
    <row r="1413" spans="36:38" ht="16.5" x14ac:dyDescent="0.3">
      <c r="AJ1413" s="374"/>
      <c r="AK1413" s="374"/>
      <c r="AL1413" s="374"/>
    </row>
    <row r="1414" spans="36:38" ht="16.5" x14ac:dyDescent="0.3">
      <c r="AJ1414" s="374"/>
      <c r="AK1414" s="374"/>
      <c r="AL1414" s="374"/>
    </row>
    <row r="1415" spans="36:38" ht="16.5" x14ac:dyDescent="0.3">
      <c r="AJ1415" s="374"/>
      <c r="AK1415" s="374"/>
      <c r="AL1415" s="374"/>
    </row>
    <row r="1416" spans="36:38" ht="16.5" x14ac:dyDescent="0.3">
      <c r="AJ1416" s="374"/>
      <c r="AK1416" s="374"/>
      <c r="AL1416" s="374"/>
    </row>
    <row r="1417" spans="36:38" ht="16.5" x14ac:dyDescent="0.3">
      <c r="AJ1417" s="374"/>
      <c r="AK1417" s="374"/>
      <c r="AL1417" s="374"/>
    </row>
    <row r="1418" spans="36:38" ht="16.5" x14ac:dyDescent="0.3">
      <c r="AJ1418" s="374"/>
      <c r="AK1418" s="374"/>
      <c r="AL1418" s="374"/>
    </row>
    <row r="1419" spans="36:38" ht="16.5" x14ac:dyDescent="0.3">
      <c r="AJ1419" s="374"/>
      <c r="AK1419" s="374"/>
      <c r="AL1419" s="374"/>
    </row>
    <row r="1420" spans="36:38" ht="16.5" x14ac:dyDescent="0.3">
      <c r="AJ1420" s="374"/>
      <c r="AK1420" s="374"/>
      <c r="AL1420" s="374"/>
    </row>
    <row r="1421" spans="36:38" ht="16.5" x14ac:dyDescent="0.3">
      <c r="AJ1421" s="374"/>
      <c r="AK1421" s="374"/>
      <c r="AL1421" s="374"/>
    </row>
    <row r="1422" spans="36:38" ht="16.5" x14ac:dyDescent="0.3">
      <c r="AJ1422" s="374"/>
      <c r="AK1422" s="374"/>
      <c r="AL1422" s="374"/>
    </row>
    <row r="1423" spans="36:38" ht="16.5" x14ac:dyDescent="0.3">
      <c r="AJ1423" s="374"/>
      <c r="AK1423" s="374"/>
      <c r="AL1423" s="374"/>
    </row>
    <row r="1424" spans="36:38" ht="16.5" x14ac:dyDescent="0.3">
      <c r="AJ1424" s="374"/>
      <c r="AK1424" s="374"/>
      <c r="AL1424" s="374"/>
    </row>
    <row r="1425" spans="36:38" ht="16.5" x14ac:dyDescent="0.3">
      <c r="AJ1425" s="374"/>
      <c r="AK1425" s="374"/>
      <c r="AL1425" s="374"/>
    </row>
    <row r="1426" spans="36:38" ht="16.5" x14ac:dyDescent="0.3">
      <c r="AJ1426" s="374"/>
      <c r="AK1426" s="374"/>
      <c r="AL1426" s="374"/>
    </row>
    <row r="1427" spans="36:38" ht="16.5" x14ac:dyDescent="0.3">
      <c r="AJ1427" s="374"/>
      <c r="AK1427" s="374"/>
      <c r="AL1427" s="374"/>
    </row>
    <row r="1428" spans="36:38" ht="16.5" x14ac:dyDescent="0.3">
      <c r="AJ1428" s="374"/>
      <c r="AK1428" s="374"/>
      <c r="AL1428" s="374"/>
    </row>
    <row r="1429" spans="36:38" ht="16.5" x14ac:dyDescent="0.3">
      <c r="AJ1429" s="374"/>
      <c r="AK1429" s="374"/>
      <c r="AL1429" s="374"/>
    </row>
    <row r="1430" spans="36:38" ht="16.5" x14ac:dyDescent="0.3">
      <c r="AJ1430" s="374"/>
      <c r="AK1430" s="374"/>
      <c r="AL1430" s="374"/>
    </row>
    <row r="1431" spans="36:38" ht="16.5" x14ac:dyDescent="0.3">
      <c r="AJ1431" s="374"/>
      <c r="AK1431" s="374"/>
      <c r="AL1431" s="374"/>
    </row>
    <row r="1432" spans="36:38" ht="16.5" x14ac:dyDescent="0.3">
      <c r="AJ1432" s="374"/>
      <c r="AK1432" s="374"/>
      <c r="AL1432" s="374"/>
    </row>
    <row r="1433" spans="36:38" ht="16.5" x14ac:dyDescent="0.3">
      <c r="AJ1433" s="374"/>
      <c r="AK1433" s="374"/>
      <c r="AL1433" s="374"/>
    </row>
    <row r="1434" spans="36:38" ht="16.5" x14ac:dyDescent="0.3">
      <c r="AJ1434" s="374"/>
      <c r="AK1434" s="374"/>
      <c r="AL1434" s="374"/>
    </row>
    <row r="1435" spans="36:38" ht="16.5" x14ac:dyDescent="0.3">
      <c r="AJ1435" s="374"/>
      <c r="AK1435" s="374"/>
      <c r="AL1435" s="374"/>
    </row>
    <row r="1436" spans="36:38" ht="16.5" x14ac:dyDescent="0.3">
      <c r="AJ1436" s="374"/>
      <c r="AK1436" s="374"/>
      <c r="AL1436" s="374"/>
    </row>
    <row r="1437" spans="36:38" ht="16.5" x14ac:dyDescent="0.3">
      <c r="AJ1437" s="374"/>
      <c r="AK1437" s="374"/>
      <c r="AL1437" s="374"/>
    </row>
    <row r="1438" spans="36:38" ht="16.5" x14ac:dyDescent="0.3">
      <c r="AJ1438" s="374"/>
      <c r="AK1438" s="374"/>
      <c r="AL1438" s="374"/>
    </row>
    <row r="1439" spans="36:38" ht="16.5" x14ac:dyDescent="0.3">
      <c r="AJ1439" s="374"/>
      <c r="AK1439" s="374"/>
      <c r="AL1439" s="374"/>
    </row>
    <row r="1440" spans="36:38" ht="16.5" x14ac:dyDescent="0.3">
      <c r="AJ1440" s="374"/>
      <c r="AK1440" s="374"/>
      <c r="AL1440" s="374"/>
    </row>
    <row r="1441" spans="36:38" ht="16.5" x14ac:dyDescent="0.3">
      <c r="AJ1441" s="374"/>
      <c r="AK1441" s="374"/>
      <c r="AL1441" s="374"/>
    </row>
    <row r="1442" spans="36:38" ht="16.5" x14ac:dyDescent="0.3">
      <c r="AJ1442" s="374"/>
      <c r="AK1442" s="374"/>
      <c r="AL1442" s="374"/>
    </row>
    <row r="1443" spans="36:38" ht="16.5" x14ac:dyDescent="0.3">
      <c r="AJ1443" s="374"/>
      <c r="AK1443" s="374"/>
      <c r="AL1443" s="374"/>
    </row>
    <row r="1444" spans="36:38" ht="16.5" x14ac:dyDescent="0.3">
      <c r="AJ1444" s="374"/>
      <c r="AK1444" s="374"/>
      <c r="AL1444" s="374"/>
    </row>
    <row r="1445" spans="36:38" ht="16.5" x14ac:dyDescent="0.3">
      <c r="AJ1445" s="374"/>
      <c r="AK1445" s="374"/>
      <c r="AL1445" s="374"/>
    </row>
    <row r="1446" spans="36:38" ht="16.5" x14ac:dyDescent="0.3">
      <c r="AJ1446" s="374"/>
      <c r="AK1446" s="374"/>
      <c r="AL1446" s="374"/>
    </row>
    <row r="1447" spans="36:38" ht="16.5" x14ac:dyDescent="0.3">
      <c r="AJ1447" s="374"/>
      <c r="AK1447" s="374"/>
      <c r="AL1447" s="374"/>
    </row>
    <row r="1448" spans="36:38" ht="16.5" x14ac:dyDescent="0.3">
      <c r="AJ1448" s="374"/>
      <c r="AK1448" s="374"/>
      <c r="AL1448" s="374"/>
    </row>
    <row r="1449" spans="36:38" ht="16.5" x14ac:dyDescent="0.3">
      <c r="AJ1449" s="374"/>
      <c r="AK1449" s="374"/>
      <c r="AL1449" s="374"/>
    </row>
    <row r="1450" spans="36:38" ht="16.5" x14ac:dyDescent="0.3">
      <c r="AJ1450" s="374"/>
      <c r="AK1450" s="374"/>
      <c r="AL1450" s="374"/>
    </row>
    <row r="1451" spans="36:38" ht="16.5" x14ac:dyDescent="0.3">
      <c r="AJ1451" s="374"/>
      <c r="AK1451" s="374"/>
      <c r="AL1451" s="374"/>
    </row>
    <row r="1452" spans="36:38" ht="16.5" x14ac:dyDescent="0.3">
      <c r="AJ1452" s="374"/>
      <c r="AK1452" s="374"/>
      <c r="AL1452" s="374"/>
    </row>
    <row r="1453" spans="36:38" ht="16.5" x14ac:dyDescent="0.3">
      <c r="AJ1453" s="374"/>
      <c r="AK1453" s="374"/>
      <c r="AL1453" s="374"/>
    </row>
    <row r="1454" spans="36:38" ht="16.5" x14ac:dyDescent="0.3">
      <c r="AJ1454" s="374"/>
      <c r="AK1454" s="374"/>
      <c r="AL1454" s="374"/>
    </row>
    <row r="1455" spans="36:38" ht="16.5" x14ac:dyDescent="0.3">
      <c r="AJ1455" s="374"/>
      <c r="AK1455" s="374"/>
      <c r="AL1455" s="374"/>
    </row>
    <row r="1456" spans="36:38" ht="16.5" x14ac:dyDescent="0.3">
      <c r="AJ1456" s="374"/>
      <c r="AK1456" s="374"/>
      <c r="AL1456" s="374"/>
    </row>
    <row r="1457" spans="36:38" ht="16.5" x14ac:dyDescent="0.3">
      <c r="AJ1457" s="374"/>
      <c r="AK1457" s="374"/>
      <c r="AL1457" s="374"/>
    </row>
    <row r="1458" spans="36:38" ht="16.5" x14ac:dyDescent="0.3">
      <c r="AJ1458" s="374"/>
      <c r="AK1458" s="374"/>
      <c r="AL1458" s="374"/>
    </row>
    <row r="1459" spans="36:38" ht="16.5" x14ac:dyDescent="0.3">
      <c r="AJ1459" s="374"/>
      <c r="AK1459" s="374"/>
      <c r="AL1459" s="374"/>
    </row>
    <row r="1460" spans="36:38" ht="16.5" x14ac:dyDescent="0.3">
      <c r="AJ1460" s="374"/>
      <c r="AK1460" s="374"/>
      <c r="AL1460" s="374"/>
    </row>
    <row r="1461" spans="36:38" ht="16.5" x14ac:dyDescent="0.3">
      <c r="AJ1461" s="374"/>
      <c r="AK1461" s="374"/>
      <c r="AL1461" s="374"/>
    </row>
    <row r="1462" spans="36:38" ht="16.5" x14ac:dyDescent="0.3">
      <c r="AJ1462" s="374"/>
      <c r="AK1462" s="374"/>
      <c r="AL1462" s="374"/>
    </row>
    <row r="1463" spans="36:38" ht="16.5" x14ac:dyDescent="0.3">
      <c r="AJ1463" s="374"/>
      <c r="AK1463" s="374"/>
      <c r="AL1463" s="374"/>
    </row>
    <row r="1464" spans="36:38" ht="16.5" x14ac:dyDescent="0.3">
      <c r="AJ1464" s="374"/>
      <c r="AK1464" s="374"/>
      <c r="AL1464" s="374"/>
    </row>
    <row r="1465" spans="36:38" ht="16.5" x14ac:dyDescent="0.3">
      <c r="AJ1465" s="374"/>
      <c r="AK1465" s="374"/>
      <c r="AL1465" s="374"/>
    </row>
    <row r="1466" spans="36:38" ht="16.5" x14ac:dyDescent="0.3">
      <c r="AJ1466" s="374"/>
      <c r="AK1466" s="374"/>
      <c r="AL1466" s="374"/>
    </row>
    <row r="1467" spans="36:38" ht="16.5" x14ac:dyDescent="0.3">
      <c r="AJ1467" s="374"/>
      <c r="AK1467" s="374"/>
      <c r="AL1467" s="374"/>
    </row>
    <row r="1468" spans="36:38" ht="16.5" x14ac:dyDescent="0.3">
      <c r="AJ1468" s="374"/>
      <c r="AK1468" s="374"/>
      <c r="AL1468" s="374"/>
    </row>
    <row r="1469" spans="36:38" ht="16.5" x14ac:dyDescent="0.3">
      <c r="AJ1469" s="374"/>
      <c r="AK1469" s="374"/>
      <c r="AL1469" s="374"/>
    </row>
    <row r="1470" spans="36:38" ht="16.5" x14ac:dyDescent="0.3">
      <c r="AJ1470" s="374"/>
      <c r="AK1470" s="374"/>
      <c r="AL1470" s="374"/>
    </row>
    <row r="1471" spans="36:38" ht="16.5" x14ac:dyDescent="0.3">
      <c r="AJ1471" s="374"/>
      <c r="AK1471" s="374"/>
      <c r="AL1471" s="374"/>
    </row>
    <row r="1472" spans="36:38" ht="16.5" x14ac:dyDescent="0.3">
      <c r="AJ1472" s="374"/>
      <c r="AK1472" s="374"/>
      <c r="AL1472" s="374"/>
    </row>
    <row r="1473" spans="36:38" ht="16.5" x14ac:dyDescent="0.3">
      <c r="AJ1473" s="374"/>
      <c r="AK1473" s="374"/>
      <c r="AL1473" s="374"/>
    </row>
    <row r="1474" spans="36:38" ht="16.5" x14ac:dyDescent="0.3">
      <c r="AJ1474" s="374"/>
      <c r="AK1474" s="374"/>
      <c r="AL1474" s="374"/>
    </row>
    <row r="1475" spans="36:38" ht="16.5" x14ac:dyDescent="0.3">
      <c r="AJ1475" s="374"/>
      <c r="AK1475" s="374"/>
      <c r="AL1475" s="374"/>
    </row>
    <row r="1476" spans="36:38" ht="16.5" x14ac:dyDescent="0.3">
      <c r="AJ1476" s="374"/>
      <c r="AK1476" s="374"/>
      <c r="AL1476" s="374"/>
    </row>
    <row r="1477" spans="36:38" ht="16.5" x14ac:dyDescent="0.3">
      <c r="AJ1477" s="374"/>
      <c r="AK1477" s="374"/>
      <c r="AL1477" s="374"/>
    </row>
    <row r="1478" spans="36:38" ht="16.5" x14ac:dyDescent="0.3">
      <c r="AJ1478" s="374"/>
      <c r="AK1478" s="374"/>
      <c r="AL1478" s="374"/>
    </row>
    <row r="1479" spans="36:38" ht="16.5" x14ac:dyDescent="0.3">
      <c r="AJ1479" s="374"/>
      <c r="AK1479" s="374"/>
      <c r="AL1479" s="374"/>
    </row>
    <row r="1480" spans="36:38" ht="16.5" x14ac:dyDescent="0.3">
      <c r="AJ1480" s="374"/>
      <c r="AK1480" s="374"/>
      <c r="AL1480" s="374"/>
    </row>
    <row r="1481" spans="36:38" ht="16.5" x14ac:dyDescent="0.3">
      <c r="AJ1481" s="374"/>
      <c r="AK1481" s="374"/>
      <c r="AL1481" s="374"/>
    </row>
    <row r="1482" spans="36:38" ht="16.5" x14ac:dyDescent="0.3">
      <c r="AJ1482" s="374"/>
      <c r="AK1482" s="374"/>
      <c r="AL1482" s="374"/>
    </row>
    <row r="1483" spans="36:38" ht="16.5" x14ac:dyDescent="0.3">
      <c r="AJ1483" s="374"/>
      <c r="AK1483" s="374"/>
      <c r="AL1483" s="374"/>
    </row>
    <row r="1484" spans="36:38" ht="16.5" x14ac:dyDescent="0.3">
      <c r="AJ1484" s="374"/>
      <c r="AK1484" s="374"/>
      <c r="AL1484" s="374"/>
    </row>
    <row r="1485" spans="36:38" ht="16.5" x14ac:dyDescent="0.3">
      <c r="AJ1485" s="374"/>
      <c r="AK1485" s="374"/>
      <c r="AL1485" s="374"/>
    </row>
    <row r="1486" spans="36:38" ht="16.5" x14ac:dyDescent="0.3">
      <c r="AJ1486" s="374"/>
      <c r="AK1486" s="374"/>
      <c r="AL1486" s="374"/>
    </row>
    <row r="1487" spans="36:38" ht="16.5" x14ac:dyDescent="0.3">
      <c r="AJ1487" s="374"/>
      <c r="AK1487" s="374"/>
      <c r="AL1487" s="374"/>
    </row>
    <row r="1488" spans="36:38" ht="16.5" x14ac:dyDescent="0.3">
      <c r="AJ1488" s="374"/>
      <c r="AK1488" s="374"/>
      <c r="AL1488" s="374"/>
    </row>
    <row r="1489" spans="36:38" ht="16.5" x14ac:dyDescent="0.3">
      <c r="AJ1489" s="374"/>
      <c r="AK1489" s="374"/>
      <c r="AL1489" s="374"/>
    </row>
    <row r="1490" spans="36:38" ht="16.5" x14ac:dyDescent="0.3">
      <c r="AJ1490" s="374"/>
      <c r="AK1490" s="374"/>
      <c r="AL1490" s="374"/>
    </row>
    <row r="1491" spans="36:38" ht="16.5" x14ac:dyDescent="0.3">
      <c r="AJ1491" s="374"/>
      <c r="AK1491" s="374"/>
      <c r="AL1491" s="374"/>
    </row>
    <row r="1492" spans="36:38" ht="16.5" x14ac:dyDescent="0.3">
      <c r="AJ1492" s="374"/>
      <c r="AK1492" s="374"/>
      <c r="AL1492" s="374"/>
    </row>
    <row r="1493" spans="36:38" ht="16.5" x14ac:dyDescent="0.3">
      <c r="AJ1493" s="374"/>
      <c r="AK1493" s="374"/>
      <c r="AL1493" s="374"/>
    </row>
    <row r="1494" spans="36:38" ht="16.5" x14ac:dyDescent="0.3">
      <c r="AJ1494" s="374"/>
      <c r="AK1494" s="374"/>
      <c r="AL1494" s="374"/>
    </row>
    <row r="1495" spans="36:38" ht="16.5" x14ac:dyDescent="0.3">
      <c r="AJ1495" s="374"/>
      <c r="AK1495" s="374"/>
      <c r="AL1495" s="374"/>
    </row>
    <row r="1496" spans="36:38" ht="16.5" x14ac:dyDescent="0.3">
      <c r="AJ1496" s="374"/>
      <c r="AK1496" s="374"/>
      <c r="AL1496" s="374"/>
    </row>
    <row r="1497" spans="36:38" ht="16.5" x14ac:dyDescent="0.3">
      <c r="AJ1497" s="374"/>
      <c r="AK1497" s="374"/>
      <c r="AL1497" s="374"/>
    </row>
    <row r="1498" spans="36:38" ht="16.5" x14ac:dyDescent="0.3">
      <c r="AJ1498" s="374"/>
      <c r="AK1498" s="374"/>
      <c r="AL1498" s="374"/>
    </row>
    <row r="1499" spans="36:38" ht="16.5" x14ac:dyDescent="0.3">
      <c r="AJ1499" s="374"/>
      <c r="AK1499" s="374"/>
      <c r="AL1499" s="374"/>
    </row>
    <row r="1500" spans="36:38" ht="16.5" x14ac:dyDescent="0.3">
      <c r="AJ1500" s="374"/>
      <c r="AK1500" s="374"/>
      <c r="AL1500" s="374"/>
    </row>
    <row r="1501" spans="36:38" ht="16.5" x14ac:dyDescent="0.3">
      <c r="AJ1501" s="374"/>
      <c r="AK1501" s="374"/>
      <c r="AL1501" s="374"/>
    </row>
    <row r="1502" spans="36:38" ht="16.5" x14ac:dyDescent="0.3">
      <c r="AJ1502" s="374"/>
      <c r="AK1502" s="374"/>
      <c r="AL1502" s="374"/>
    </row>
    <row r="1503" spans="36:38" ht="16.5" x14ac:dyDescent="0.3">
      <c r="AJ1503" s="374"/>
      <c r="AK1503" s="374"/>
      <c r="AL1503" s="374"/>
    </row>
  </sheetData>
  <sheetProtection sort="0"/>
  <mergeCells count="65">
    <mergeCell ref="B1:B35"/>
    <mergeCell ref="C1:AA1"/>
    <mergeCell ref="G3:I4"/>
    <mergeCell ref="L3:N4"/>
    <mergeCell ref="Q3:S4"/>
    <mergeCell ref="V3:X4"/>
    <mergeCell ref="I26:I27"/>
    <mergeCell ref="C7:D10"/>
    <mergeCell ref="C11:D16"/>
    <mergeCell ref="C17:D22"/>
    <mergeCell ref="C23:D28"/>
    <mergeCell ref="C29:D34"/>
    <mergeCell ref="G22:J23"/>
    <mergeCell ref="G24:G25"/>
    <mergeCell ref="H24:H25"/>
    <mergeCell ref="I24:I25"/>
    <mergeCell ref="E40:F40"/>
    <mergeCell ref="K42:L42"/>
    <mergeCell ref="I42:J42"/>
    <mergeCell ref="G42:H42"/>
    <mergeCell ref="E42:F42"/>
    <mergeCell ref="K41:L41"/>
    <mergeCell ref="I41:J41"/>
    <mergeCell ref="G41:H41"/>
    <mergeCell ref="E41:F41"/>
    <mergeCell ref="K40:L40"/>
    <mergeCell ref="I40:J40"/>
    <mergeCell ref="Q40:V40"/>
    <mergeCell ref="AR10:AR13"/>
    <mergeCell ref="AR14:AR17"/>
    <mergeCell ref="AN6:AN7"/>
    <mergeCell ref="C2:AA2"/>
    <mergeCell ref="J24:J25"/>
    <mergeCell ref="G30:G31"/>
    <mergeCell ref="H30:H31"/>
    <mergeCell ref="I30:I31"/>
    <mergeCell ref="J30:J31"/>
    <mergeCell ref="J26:J27"/>
    <mergeCell ref="G28:G29"/>
    <mergeCell ref="AN2:AN3"/>
    <mergeCell ref="AR2:AR5"/>
    <mergeCell ref="AN4:AN5"/>
    <mergeCell ref="G40:H40"/>
    <mergeCell ref="E38:F39"/>
    <mergeCell ref="G38:H39"/>
    <mergeCell ref="I38:J39"/>
    <mergeCell ref="K38:L39"/>
    <mergeCell ref="Q38:V38"/>
    <mergeCell ref="Q39:V39"/>
    <mergeCell ref="AZ1:BB1"/>
    <mergeCell ref="H36:I36"/>
    <mergeCell ref="K36:L36"/>
    <mergeCell ref="E37:L37"/>
    <mergeCell ref="Q37:W37"/>
    <mergeCell ref="AJ1:AL1"/>
    <mergeCell ref="AS1:AU1"/>
    <mergeCell ref="AR6:AR9"/>
    <mergeCell ref="AN8:AN9"/>
    <mergeCell ref="AW1:AY1"/>
    <mergeCell ref="AO1:AQ1"/>
    <mergeCell ref="H28:H29"/>
    <mergeCell ref="I28:I29"/>
    <mergeCell ref="J28:J29"/>
    <mergeCell ref="G26:G27"/>
    <mergeCell ref="H26:H27"/>
  </mergeCells>
  <conditionalFormatting sqref="H28:J28">
    <cfRule type="cellIs" dxfId="52" priority="1" operator="greaterThan">
      <formula>0</formula>
    </cfRule>
  </conditionalFormatting>
  <printOptions horizontalCentered="1" verticalCentered="1"/>
  <pageMargins left="0.59055008748906401" right="0.19684930008748899" top="0.354329615048119" bottom="0.354329615048119" header="0.31496062992126" footer="0.31496062992126"/>
  <pageSetup scale="44"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7FA072-E5F2-4765-B8E3-5C2D7D9A916E}">
  <sheetPr codeName="Hoja1"/>
  <dimension ref="A2:L867"/>
  <sheetViews>
    <sheetView workbookViewId="0">
      <selection activeCell="J21" sqref="J21"/>
    </sheetView>
  </sheetViews>
  <sheetFormatPr baseColWidth="10" defaultColWidth="11.42578125" defaultRowHeight="13.5" x14ac:dyDescent="0.25"/>
  <cols>
    <col min="2" max="2" width="13.42578125" customWidth="1"/>
    <col min="4" max="4" width="23.140625" customWidth="1"/>
    <col min="11" max="11" width="14.85546875" customWidth="1"/>
    <col min="12" max="12" width="12" customWidth="1"/>
  </cols>
  <sheetData>
    <row r="2" spans="2:12" x14ac:dyDescent="0.25">
      <c r="K2" t="s">
        <v>948</v>
      </c>
    </row>
    <row r="3" spans="2:12" x14ac:dyDescent="0.25">
      <c r="D3" t="s">
        <v>949</v>
      </c>
      <c r="F3" t="s">
        <v>950</v>
      </c>
      <c r="I3" s="646" t="s">
        <v>951</v>
      </c>
      <c r="J3" s="646"/>
    </row>
    <row r="4" spans="2:12" x14ac:dyDescent="0.25">
      <c r="B4" t="s">
        <v>952</v>
      </c>
      <c r="C4" s="367">
        <f ca="1">D4-1</f>
        <v>46117</v>
      </c>
      <c r="D4" s="367">
        <f ca="1">TODAY()-C6</f>
        <v>46118</v>
      </c>
      <c r="F4" t="s">
        <v>953</v>
      </c>
      <c r="G4" s="367">
        <f ca="1">C5+1</f>
        <v>46111</v>
      </c>
      <c r="I4" t="s">
        <v>954</v>
      </c>
      <c r="J4" t="s">
        <v>955</v>
      </c>
      <c r="K4" t="s">
        <v>954</v>
      </c>
      <c r="L4" t="s">
        <v>955</v>
      </c>
    </row>
    <row r="5" spans="2:12" x14ac:dyDescent="0.25">
      <c r="B5" t="s">
        <v>956</v>
      </c>
      <c r="C5" s="367">
        <f ca="1">C4-7</f>
        <v>46110</v>
      </c>
      <c r="F5" t="s">
        <v>957</v>
      </c>
      <c r="G5" s="367">
        <f ca="1">C4</f>
        <v>46117</v>
      </c>
      <c r="I5">
        <f>ROUND(AVERAGEIF(D16:D815,"&gt;0"),3)</f>
        <v>1.7410000000000001</v>
      </c>
      <c r="J5">
        <f>ROUND(AVERAGEIF(E16:E815,"&gt;0"),2)</f>
        <v>101.59</v>
      </c>
      <c r="K5">
        <f ca="1">ROUND(AVERAGEIF(F16:F815,"&gt;0"),3)</f>
        <v>1.7490000000000001</v>
      </c>
      <c r="L5">
        <f ca="1">ROUND(AVERAGEIF(G16:G815,"&gt;0"),2)</f>
        <v>101.59</v>
      </c>
    </row>
    <row r="6" spans="2:12" x14ac:dyDescent="0.25">
      <c r="B6" t="s">
        <v>958</v>
      </c>
      <c r="C6" s="368">
        <f>[1]TOPOGRAFIA!$D$7</f>
        <v>0</v>
      </c>
      <c r="G6" s="367"/>
      <c r="K6" t="s">
        <v>959</v>
      </c>
      <c r="L6" t="s">
        <v>959</v>
      </c>
    </row>
    <row r="7" spans="2:12" x14ac:dyDescent="0.25">
      <c r="C7" s="367"/>
      <c r="G7" s="367"/>
      <c r="K7">
        <f ca="1">COUNTIF(F16:F815,"&gt;0")</f>
        <v>51</v>
      </c>
      <c r="L7">
        <f ca="1">COUNTIF(G16:G815,"&gt;0")</f>
        <v>51</v>
      </c>
    </row>
    <row r="8" spans="2:12" x14ac:dyDescent="0.25">
      <c r="C8" s="367"/>
      <c r="G8" s="367"/>
      <c r="K8" t="s">
        <v>960</v>
      </c>
      <c r="L8" t="s">
        <v>960</v>
      </c>
    </row>
    <row r="9" spans="2:12" x14ac:dyDescent="0.25">
      <c r="C9" s="367"/>
      <c r="G9" s="367"/>
      <c r="K9">
        <f ca="1">SUM(F15:F1463)</f>
        <v>89.206007537397952</v>
      </c>
      <c r="L9">
        <f ca="1">SUM(G15:G1463)</f>
        <v>5181.3052148523975</v>
      </c>
    </row>
    <row r="10" spans="2:12" x14ac:dyDescent="0.25">
      <c r="C10" s="367"/>
      <c r="G10" s="367"/>
    </row>
    <row r="11" spans="2:12" x14ac:dyDescent="0.25">
      <c r="C11" s="367"/>
      <c r="G11" s="367"/>
    </row>
    <row r="12" spans="2:12" x14ac:dyDescent="0.25">
      <c r="C12" s="367"/>
      <c r="G12" s="367"/>
    </row>
    <row r="13" spans="2:12" x14ac:dyDescent="0.25">
      <c r="C13" s="367"/>
      <c r="G13" s="367"/>
    </row>
    <row r="15" spans="2:12" x14ac:dyDescent="0.25">
      <c r="B15" t="s">
        <v>961</v>
      </c>
      <c r="C15" t="s">
        <v>962</v>
      </c>
      <c r="D15" t="s">
        <v>963</v>
      </c>
      <c r="E15" t="s">
        <v>955</v>
      </c>
      <c r="F15" t="s">
        <v>964</v>
      </c>
      <c r="G15" t="s">
        <v>965</v>
      </c>
      <c r="H15" t="s">
        <v>966</v>
      </c>
    </row>
    <row r="16" spans="2:12" x14ac:dyDescent="0.25">
      <c r="B16" s="367">
        <f>FCS!G11</f>
        <v>46082</v>
      </c>
      <c r="C16">
        <f ca="1">IF(AND(B16&gt;$C$5,B16&lt;$D$4,H16="OK"),1,0)</f>
        <v>0</v>
      </c>
      <c r="D16">
        <f>FCS!R11</f>
        <v>1.7351301115241635</v>
      </c>
      <c r="E16">
        <f>FCS!AM11</f>
        <v>101.23279530479368</v>
      </c>
      <c r="F16">
        <f ca="1">IFERROR(D16*C16,0)</f>
        <v>0</v>
      </c>
      <c r="G16">
        <f ca="1">IFERROR(E16*C16,0)</f>
        <v>0</v>
      </c>
      <c r="H16" t="str">
        <f>FCS!AO11</f>
        <v>Ok</v>
      </c>
    </row>
    <row r="17" spans="2:8" x14ac:dyDescent="0.25">
      <c r="B17" s="367">
        <f>FCS!G12</f>
        <v>46082</v>
      </c>
      <c r="C17">
        <f t="shared" ref="C17:C18" ca="1" si="0">IF(AND(B17&gt;$C$5,B17&lt;$D$4,H17="OK"),1,0)</f>
        <v>0</v>
      </c>
      <c r="D17">
        <f>FCS!R12</f>
        <v>1.7292598534353281</v>
      </c>
      <c r="E17">
        <f>FCS!AM12</f>
        <v>100.89030650147772</v>
      </c>
      <c r="F17">
        <f t="shared" ref="F17:F18" ca="1" si="1">IFERROR(D17*C17,0)</f>
        <v>0</v>
      </c>
      <c r="G17">
        <f t="shared" ref="G17:G18" ca="1" si="2">IFERROR(E17*C17,0)</f>
        <v>0</v>
      </c>
      <c r="H17" t="str">
        <f>FCS!AO12</f>
        <v>OK</v>
      </c>
    </row>
    <row r="18" spans="2:8" x14ac:dyDescent="0.25">
      <c r="B18" s="367">
        <f>FCS!G13</f>
        <v>46082</v>
      </c>
      <c r="C18">
        <f t="shared" ca="1" si="0"/>
        <v>0</v>
      </c>
      <c r="D18">
        <f>FCS!R13</f>
        <v>1.7251838235294117</v>
      </c>
      <c r="E18">
        <f>FCS!AM13</f>
        <v>100.47663503374558</v>
      </c>
      <c r="F18">
        <f t="shared" ca="1" si="1"/>
        <v>0</v>
      </c>
      <c r="G18">
        <f t="shared" ca="1" si="2"/>
        <v>0</v>
      </c>
      <c r="H18" t="str">
        <f>FCS!AO13</f>
        <v>Ok</v>
      </c>
    </row>
    <row r="19" spans="2:8" x14ac:dyDescent="0.25">
      <c r="B19" s="367">
        <f>FCS!G14</f>
        <v>46082</v>
      </c>
      <c r="C19">
        <f t="shared" ref="C19:C82" ca="1" si="3">IF(AND(B19&gt;$C$5,B19&lt;$D$4,H19="OK"),1,0)</f>
        <v>0</v>
      </c>
      <c r="D19">
        <f>FCS!R14</f>
        <v>1.7674208144796382</v>
      </c>
      <c r="E19">
        <f>FCS!AM14</f>
        <v>102.93656461733478</v>
      </c>
      <c r="F19">
        <f t="shared" ref="F19:F82" ca="1" si="4">IFERROR(D19*C19,0)</f>
        <v>0</v>
      </c>
      <c r="G19">
        <f t="shared" ref="G19:G82" ca="1" si="5">IFERROR(E19*C19,0)</f>
        <v>0</v>
      </c>
      <c r="H19" t="str">
        <f>FCS!AO14</f>
        <v>Ok</v>
      </c>
    </row>
    <row r="20" spans="2:8" x14ac:dyDescent="0.25">
      <c r="B20" s="367">
        <f>FCS!G15</f>
        <v>46082</v>
      </c>
      <c r="C20">
        <f t="shared" ca="1" si="3"/>
        <v>0</v>
      </c>
      <c r="D20">
        <f>FCS!R15</f>
        <v>1.6992753623188404</v>
      </c>
      <c r="E20">
        <f>FCS!AM15</f>
        <v>98.967697281237051</v>
      </c>
      <c r="F20">
        <f t="shared" ca="1" si="4"/>
        <v>0</v>
      </c>
      <c r="G20">
        <f t="shared" ca="1" si="5"/>
        <v>0</v>
      </c>
      <c r="H20" t="str">
        <f>FCS!AO15</f>
        <v>Ok</v>
      </c>
    </row>
    <row r="21" spans="2:8" x14ac:dyDescent="0.25">
      <c r="B21" s="367">
        <f>FCS!G16</f>
        <v>46082</v>
      </c>
      <c r="C21">
        <f t="shared" ca="1" si="3"/>
        <v>0</v>
      </c>
      <c r="D21">
        <f>FCS!R16</f>
        <v>1.7592752372735116</v>
      </c>
      <c r="E21">
        <f>FCS!AM16</f>
        <v>102.46215709222548</v>
      </c>
      <c r="F21">
        <f t="shared" ca="1" si="4"/>
        <v>0</v>
      </c>
      <c r="G21">
        <f t="shared" ca="1" si="5"/>
        <v>0</v>
      </c>
      <c r="H21" t="str">
        <f>FCS!AO16</f>
        <v>Ok</v>
      </c>
    </row>
    <row r="22" spans="2:8" x14ac:dyDescent="0.25">
      <c r="B22" s="367">
        <f>FCS!G17</f>
        <v>46082</v>
      </c>
      <c r="C22">
        <f t="shared" ca="1" si="3"/>
        <v>0</v>
      </c>
      <c r="D22">
        <f>FCS!R17</f>
        <v>1.7560747663551401</v>
      </c>
      <c r="E22">
        <f>FCS!AM17</f>
        <v>102.27575808707863</v>
      </c>
      <c r="F22">
        <f t="shared" ca="1" si="4"/>
        <v>0</v>
      </c>
      <c r="G22">
        <f t="shared" ca="1" si="5"/>
        <v>0</v>
      </c>
      <c r="H22" t="str">
        <f>FCS!AO17</f>
        <v>Ok</v>
      </c>
    </row>
    <row r="23" spans="2:8" x14ac:dyDescent="0.25">
      <c r="B23" s="367">
        <f>FCS!G18</f>
        <v>46082</v>
      </c>
      <c r="C23">
        <f t="shared" ca="1" si="3"/>
        <v>0</v>
      </c>
      <c r="D23">
        <f>FCS!R18</f>
        <v>1.7172538392050587</v>
      </c>
      <c r="E23">
        <f>FCS!AM18</f>
        <v>100.0147838791531</v>
      </c>
      <c r="F23">
        <f t="shared" ca="1" si="4"/>
        <v>0</v>
      </c>
      <c r="G23">
        <f t="shared" ca="1" si="5"/>
        <v>0</v>
      </c>
      <c r="H23" t="str">
        <f>FCS!AO18</f>
        <v>Ok</v>
      </c>
    </row>
    <row r="24" spans="2:8" x14ac:dyDescent="0.25">
      <c r="B24" s="367">
        <f>FCS!G19</f>
        <v>46082</v>
      </c>
      <c r="C24">
        <f t="shared" ca="1" si="3"/>
        <v>0</v>
      </c>
      <c r="D24">
        <f>FCS!R19</f>
        <v>1.7131072410632449</v>
      </c>
      <c r="E24">
        <f>FCS!AM19</f>
        <v>99.773281366525609</v>
      </c>
      <c r="F24">
        <f t="shared" ca="1" si="4"/>
        <v>0</v>
      </c>
      <c r="G24">
        <f t="shared" ca="1" si="5"/>
        <v>0</v>
      </c>
      <c r="H24" t="str">
        <f>FCS!AO19</f>
        <v>Ok</v>
      </c>
    </row>
    <row r="25" spans="2:8" x14ac:dyDescent="0.25">
      <c r="B25" s="367">
        <f>FCS!G20</f>
        <v>46082</v>
      </c>
      <c r="C25">
        <f t="shared" ca="1" si="3"/>
        <v>0</v>
      </c>
      <c r="D25">
        <f>FCS!R20</f>
        <v>1.7075812274368229</v>
      </c>
      <c r="E25">
        <f>FCS!AM20</f>
        <v>99.451440153571511</v>
      </c>
      <c r="F25">
        <f t="shared" ca="1" si="4"/>
        <v>0</v>
      </c>
      <c r="G25">
        <f t="shared" ca="1" si="5"/>
        <v>0</v>
      </c>
      <c r="H25" t="str">
        <f>FCS!AO20</f>
        <v>Ok</v>
      </c>
    </row>
    <row r="26" spans="2:8" x14ac:dyDescent="0.25">
      <c r="B26" s="367">
        <f>FCS!G21</f>
        <v>46082</v>
      </c>
      <c r="C26">
        <f t="shared" ca="1" si="3"/>
        <v>0</v>
      </c>
      <c r="D26">
        <f>FCS!R21</f>
        <v>1.7047531992687384</v>
      </c>
      <c r="E26">
        <f>FCS!AM21</f>
        <v>98.883596245286455</v>
      </c>
      <c r="F26">
        <f t="shared" ca="1" si="4"/>
        <v>0</v>
      </c>
      <c r="G26">
        <f t="shared" ca="1" si="5"/>
        <v>0</v>
      </c>
      <c r="H26" t="str">
        <f>FCS!AO21</f>
        <v>Ok</v>
      </c>
    </row>
    <row r="27" spans="2:8" x14ac:dyDescent="0.25">
      <c r="B27" s="367">
        <f>FCS!G22</f>
        <v>46082</v>
      </c>
      <c r="C27">
        <f t="shared" ca="1" si="3"/>
        <v>0</v>
      </c>
      <c r="D27">
        <f>FCS!R22</f>
        <v>1.8188539741219962</v>
      </c>
      <c r="E27">
        <f>FCS!AM22</f>
        <v>104.7123761728265</v>
      </c>
      <c r="F27">
        <f t="shared" ca="1" si="4"/>
        <v>0</v>
      </c>
      <c r="G27">
        <f t="shared" ca="1" si="5"/>
        <v>0</v>
      </c>
      <c r="H27" t="str">
        <f>FCS!AO22</f>
        <v>Ok</v>
      </c>
    </row>
    <row r="28" spans="2:8" x14ac:dyDescent="0.25">
      <c r="B28" s="367">
        <f>FCS!G23</f>
        <v>46082</v>
      </c>
      <c r="C28">
        <f t="shared" ca="1" si="3"/>
        <v>0</v>
      </c>
      <c r="D28">
        <f>FCS!R23</f>
        <v>1.7630155894440673</v>
      </c>
      <c r="E28">
        <f>FCS!AM23</f>
        <v>101.49773111364809</v>
      </c>
      <c r="F28">
        <f t="shared" ca="1" si="4"/>
        <v>0</v>
      </c>
      <c r="G28">
        <f t="shared" ca="1" si="5"/>
        <v>0</v>
      </c>
      <c r="H28" t="str">
        <f>FCS!AO23</f>
        <v>OK</v>
      </c>
    </row>
    <row r="29" spans="2:8" x14ac:dyDescent="0.25">
      <c r="B29" s="367">
        <f>FCS!G24</f>
        <v>46082</v>
      </c>
      <c r="C29">
        <f t="shared" ca="1" si="3"/>
        <v>0</v>
      </c>
      <c r="D29">
        <f>FCS!R24</f>
        <v>1.6933701657458562</v>
      </c>
      <c r="E29">
        <f>FCS!AM24</f>
        <v>98.62377202946162</v>
      </c>
      <c r="F29">
        <f t="shared" ca="1" si="4"/>
        <v>0</v>
      </c>
      <c r="G29">
        <f t="shared" ca="1" si="5"/>
        <v>0</v>
      </c>
      <c r="H29" t="str">
        <f>FCS!AO24</f>
        <v>Ok</v>
      </c>
    </row>
    <row r="30" spans="2:8" x14ac:dyDescent="0.25">
      <c r="B30" s="367">
        <f>FCS!G25</f>
        <v>46082</v>
      </c>
      <c r="C30">
        <f t="shared" ca="1" si="3"/>
        <v>0</v>
      </c>
      <c r="D30">
        <f>FCS!R25</f>
        <v>1.737511353315168</v>
      </c>
      <c r="E30">
        <f>FCS!AM25</f>
        <v>101.19460415347513</v>
      </c>
      <c r="F30">
        <f t="shared" ca="1" si="4"/>
        <v>0</v>
      </c>
      <c r="G30">
        <f t="shared" ca="1" si="5"/>
        <v>0</v>
      </c>
      <c r="H30" t="str">
        <f>FCS!AO25</f>
        <v>Ok</v>
      </c>
    </row>
    <row r="31" spans="2:8" x14ac:dyDescent="0.25">
      <c r="B31" s="367">
        <f>FCS!G26</f>
        <v>46082</v>
      </c>
      <c r="C31">
        <f t="shared" ca="1" si="3"/>
        <v>0</v>
      </c>
      <c r="D31">
        <f>FCS!R26</f>
        <v>1.7157407407407406</v>
      </c>
      <c r="E31">
        <f>FCS!AM26</f>
        <v>99.118471446605454</v>
      </c>
      <c r="F31">
        <f t="shared" ca="1" si="4"/>
        <v>0</v>
      </c>
      <c r="G31">
        <f t="shared" ca="1" si="5"/>
        <v>0</v>
      </c>
      <c r="H31" t="str">
        <f>FCS!AO26</f>
        <v>Ok</v>
      </c>
    </row>
    <row r="32" spans="2:8" x14ac:dyDescent="0.25">
      <c r="B32" s="367">
        <f>FCS!G27</f>
        <v>46082</v>
      </c>
      <c r="C32">
        <f t="shared" ca="1" si="3"/>
        <v>0</v>
      </c>
      <c r="D32">
        <f>FCS!R27</f>
        <v>1.7194112235510579</v>
      </c>
      <c r="E32">
        <f>FCS!AM27</f>
        <v>100.14043235591484</v>
      </c>
      <c r="F32">
        <f t="shared" ca="1" si="4"/>
        <v>0</v>
      </c>
      <c r="G32">
        <f t="shared" ca="1" si="5"/>
        <v>0</v>
      </c>
      <c r="H32" t="str">
        <f>FCS!AO27</f>
        <v>Ok</v>
      </c>
    </row>
    <row r="33" spans="2:8" x14ac:dyDescent="0.25">
      <c r="B33" s="367">
        <f>FCS!G28</f>
        <v>46082</v>
      </c>
      <c r="C33">
        <f t="shared" ca="1" si="3"/>
        <v>0</v>
      </c>
      <c r="D33">
        <f>FCS!R28</f>
        <v>1.7270194986072425</v>
      </c>
      <c r="E33">
        <f>FCS!AM28</f>
        <v>100.5835468029844</v>
      </c>
      <c r="F33">
        <f t="shared" ca="1" si="4"/>
        <v>0</v>
      </c>
      <c r="G33">
        <f t="shared" ca="1" si="5"/>
        <v>0</v>
      </c>
      <c r="H33" t="str">
        <f>FCS!AO28</f>
        <v>Ok</v>
      </c>
    </row>
    <row r="34" spans="2:8" x14ac:dyDescent="0.25">
      <c r="B34" s="367">
        <f>FCS!G29</f>
        <v>46082</v>
      </c>
      <c r="C34">
        <f t="shared" ca="1" si="3"/>
        <v>0</v>
      </c>
      <c r="D34">
        <f>FCS!R29</f>
        <v>1.7117039586919107</v>
      </c>
      <c r="E34">
        <f>FCS!AM29</f>
        <v>101.64512818835574</v>
      </c>
      <c r="F34">
        <f t="shared" ca="1" si="4"/>
        <v>0</v>
      </c>
      <c r="G34">
        <f t="shared" ca="1" si="5"/>
        <v>0</v>
      </c>
      <c r="H34" t="str">
        <f>FCS!AO29</f>
        <v>Ok</v>
      </c>
    </row>
    <row r="35" spans="2:8" x14ac:dyDescent="0.25">
      <c r="B35" s="367">
        <f>FCS!G30</f>
        <v>46083</v>
      </c>
      <c r="C35">
        <f t="shared" ca="1" si="3"/>
        <v>0</v>
      </c>
      <c r="D35">
        <f>FCS!R30</f>
        <v>1.7199265381083564</v>
      </c>
      <c r="E35">
        <f>FCS!AM30</f>
        <v>100.17044485197182</v>
      </c>
      <c r="F35">
        <f t="shared" ca="1" si="4"/>
        <v>0</v>
      </c>
      <c r="G35">
        <f t="shared" ca="1" si="5"/>
        <v>0</v>
      </c>
      <c r="H35" t="str">
        <f>FCS!AO30</f>
        <v>Ok</v>
      </c>
    </row>
    <row r="36" spans="2:8" x14ac:dyDescent="0.25">
      <c r="B36" s="367">
        <f>FCS!G31</f>
        <v>46083</v>
      </c>
      <c r="C36">
        <f t="shared" ca="1" si="3"/>
        <v>0</v>
      </c>
      <c r="D36">
        <f>FCS!R31</f>
        <v>1.7622119815668202</v>
      </c>
      <c r="E36">
        <f>FCS!AM31</f>
        <v>101.27655066475978</v>
      </c>
      <c r="F36">
        <f t="shared" ca="1" si="4"/>
        <v>0</v>
      </c>
      <c r="G36">
        <f t="shared" ca="1" si="5"/>
        <v>0</v>
      </c>
      <c r="H36" t="str">
        <f>FCS!AO31</f>
        <v>Ok</v>
      </c>
    </row>
    <row r="37" spans="2:8" x14ac:dyDescent="0.25">
      <c r="B37" s="367">
        <f>FCS!G32</f>
        <v>46083</v>
      </c>
      <c r="C37">
        <f t="shared" ca="1" si="3"/>
        <v>0</v>
      </c>
      <c r="D37">
        <f>FCS!R32</f>
        <v>1.7364055299539169</v>
      </c>
      <c r="E37">
        <f>FCS!AM32</f>
        <v>99.793421261719359</v>
      </c>
      <c r="F37">
        <f t="shared" ca="1" si="4"/>
        <v>0</v>
      </c>
      <c r="G37">
        <f t="shared" ca="1" si="5"/>
        <v>0</v>
      </c>
      <c r="H37" t="str">
        <f>FCS!AO32</f>
        <v>Ok</v>
      </c>
    </row>
    <row r="38" spans="2:8" x14ac:dyDescent="0.25">
      <c r="B38" s="367">
        <f>FCS!G33</f>
        <v>46083</v>
      </c>
      <c r="C38">
        <f t="shared" ca="1" si="3"/>
        <v>0</v>
      </c>
      <c r="D38">
        <f>FCS!R33</f>
        <v>1.7300724637681157</v>
      </c>
      <c r="E38">
        <f>FCS!AM33</f>
        <v>100.76135490786928</v>
      </c>
      <c r="F38">
        <f t="shared" ca="1" si="4"/>
        <v>0</v>
      </c>
      <c r="G38">
        <f t="shared" ca="1" si="5"/>
        <v>0</v>
      </c>
      <c r="H38" t="str">
        <f>FCS!AO33</f>
        <v>Ok</v>
      </c>
    </row>
    <row r="39" spans="2:8" x14ac:dyDescent="0.25">
      <c r="B39" s="367">
        <f>FCS!G34</f>
        <v>46083</v>
      </c>
      <c r="C39">
        <f t="shared" ca="1" si="3"/>
        <v>0</v>
      </c>
      <c r="D39">
        <f>FCS!R34</f>
        <v>1.7072372514050558</v>
      </c>
      <c r="E39">
        <f>FCS!AM34</f>
        <v>99.431406604837264</v>
      </c>
      <c r="F39">
        <f t="shared" ca="1" si="4"/>
        <v>0</v>
      </c>
      <c r="G39">
        <f t="shared" ca="1" si="5"/>
        <v>0</v>
      </c>
      <c r="H39" t="str">
        <f>FCS!AO34</f>
        <v>OK</v>
      </c>
    </row>
    <row r="40" spans="2:8" x14ac:dyDescent="0.25">
      <c r="B40" s="367">
        <f>FCS!G35</f>
        <v>46083</v>
      </c>
      <c r="C40">
        <f t="shared" ca="1" si="3"/>
        <v>0</v>
      </c>
      <c r="D40">
        <f>FCS!R35</f>
        <v>1.7781885397412198</v>
      </c>
      <c r="E40">
        <f>FCS!AM35</f>
        <v>102.19474366328849</v>
      </c>
      <c r="F40">
        <f t="shared" ca="1" si="4"/>
        <v>0</v>
      </c>
      <c r="G40">
        <f t="shared" ca="1" si="5"/>
        <v>0</v>
      </c>
      <c r="H40" t="str">
        <f>FCS!AO35</f>
        <v>Ok</v>
      </c>
    </row>
    <row r="41" spans="2:8" x14ac:dyDescent="0.25">
      <c r="B41" s="367">
        <f>FCS!G36</f>
        <v>46083</v>
      </c>
      <c r="C41">
        <f t="shared" ca="1" si="3"/>
        <v>0</v>
      </c>
      <c r="D41">
        <f>FCS!R36</f>
        <v>1.7758945386064029</v>
      </c>
      <c r="E41">
        <f>FCS!AM36</f>
        <v>102.06290451760935</v>
      </c>
      <c r="F41">
        <f t="shared" ca="1" si="4"/>
        <v>0</v>
      </c>
      <c r="G41">
        <f t="shared" ca="1" si="5"/>
        <v>0</v>
      </c>
      <c r="H41" t="str">
        <f>FCS!AO36</f>
        <v>Ok</v>
      </c>
    </row>
    <row r="42" spans="2:8" x14ac:dyDescent="0.25">
      <c r="B42" s="367">
        <f>FCS!G37</f>
        <v>46083</v>
      </c>
      <c r="C42">
        <f t="shared" ca="1" si="3"/>
        <v>0</v>
      </c>
      <c r="D42">
        <f>FCS!R37</f>
        <v>1.7724820143884892</v>
      </c>
      <c r="E42">
        <f>FCS!AM37</f>
        <v>102.9914011846885</v>
      </c>
      <c r="F42">
        <f t="shared" ca="1" si="4"/>
        <v>0</v>
      </c>
      <c r="G42">
        <f t="shared" ca="1" si="5"/>
        <v>0</v>
      </c>
      <c r="H42" t="str">
        <f>FCS!AO37</f>
        <v>Ok</v>
      </c>
    </row>
    <row r="43" spans="2:8" x14ac:dyDescent="0.25">
      <c r="B43" s="367">
        <f>FCS!G38</f>
        <v>46083</v>
      </c>
      <c r="C43">
        <f t="shared" ca="1" si="3"/>
        <v>0</v>
      </c>
      <c r="D43">
        <f>FCS!R38</f>
        <v>1.7473309608540923</v>
      </c>
      <c r="E43">
        <f>FCS!AM38</f>
        <v>101.52998029367184</v>
      </c>
      <c r="F43">
        <f t="shared" ca="1" si="4"/>
        <v>0</v>
      </c>
      <c r="G43">
        <f t="shared" ca="1" si="5"/>
        <v>0</v>
      </c>
      <c r="H43" t="str">
        <f>FCS!AO38</f>
        <v>Ok</v>
      </c>
    </row>
    <row r="44" spans="2:8" x14ac:dyDescent="0.25">
      <c r="B44" s="367">
        <f>FCS!G39</f>
        <v>46083</v>
      </c>
      <c r="C44">
        <f t="shared" ca="1" si="3"/>
        <v>0</v>
      </c>
      <c r="D44">
        <f>FCS!R39</f>
        <v>1.7640249332146039</v>
      </c>
      <c r="E44">
        <f>FCS!AM39</f>
        <v>102.49999611938429</v>
      </c>
      <c r="F44">
        <f t="shared" ca="1" si="4"/>
        <v>0</v>
      </c>
      <c r="G44">
        <f t="shared" ca="1" si="5"/>
        <v>0</v>
      </c>
      <c r="H44" t="str">
        <f>FCS!AO39</f>
        <v>Ok</v>
      </c>
    </row>
    <row r="45" spans="2:8" x14ac:dyDescent="0.25">
      <c r="B45" s="367">
        <f>FCS!G40</f>
        <v>46083</v>
      </c>
      <c r="C45">
        <f t="shared" ca="1" si="3"/>
        <v>0</v>
      </c>
      <c r="D45">
        <f>FCS!R40</f>
        <v>1.7275254865616314</v>
      </c>
      <c r="E45">
        <f>FCS!AM40</f>
        <v>100.37916830689315</v>
      </c>
      <c r="F45">
        <f t="shared" ca="1" si="4"/>
        <v>0</v>
      </c>
      <c r="G45">
        <f t="shared" ca="1" si="5"/>
        <v>0</v>
      </c>
      <c r="H45" t="str">
        <f>FCS!AO40</f>
        <v>Ok</v>
      </c>
    </row>
    <row r="46" spans="2:8" x14ac:dyDescent="0.25">
      <c r="B46" s="367">
        <f>FCS!G41</f>
        <v>46083</v>
      </c>
      <c r="C46">
        <f t="shared" ca="1" si="3"/>
        <v>0</v>
      </c>
      <c r="D46">
        <f>FCS!R41</f>
        <v>1.7011701170117011</v>
      </c>
      <c r="E46">
        <f>FCS!AM41</f>
        <v>98.288701047126054</v>
      </c>
      <c r="F46">
        <f t="shared" ca="1" si="4"/>
        <v>0</v>
      </c>
      <c r="G46">
        <f t="shared" ca="1" si="5"/>
        <v>0</v>
      </c>
      <c r="H46" t="str">
        <f>FCS!AO41</f>
        <v>Ok</v>
      </c>
    </row>
    <row r="47" spans="2:8" x14ac:dyDescent="0.25">
      <c r="B47" s="367">
        <f>FCS!G42</f>
        <v>46084</v>
      </c>
      <c r="C47">
        <f t="shared" ca="1" si="3"/>
        <v>0</v>
      </c>
      <c r="D47">
        <f>FCS!R42</f>
        <v>1.790950226244344</v>
      </c>
      <c r="E47">
        <f>FCS!AM42</f>
        <v>104.06451053133898</v>
      </c>
      <c r="F47">
        <f t="shared" ca="1" si="4"/>
        <v>0</v>
      </c>
      <c r="G47">
        <f t="shared" ca="1" si="5"/>
        <v>0</v>
      </c>
      <c r="H47" t="str">
        <f>FCS!AO42</f>
        <v>Ok</v>
      </c>
    </row>
    <row r="48" spans="2:8" x14ac:dyDescent="0.25">
      <c r="B48" s="367">
        <f>FCS!G43</f>
        <v>46084</v>
      </c>
      <c r="C48">
        <f t="shared" ca="1" si="3"/>
        <v>0</v>
      </c>
      <c r="D48">
        <f>FCS!R43</f>
        <v>1.7591575091575091</v>
      </c>
      <c r="E48">
        <f>FCS!AM43</f>
        <v>102.21717078195869</v>
      </c>
      <c r="F48">
        <f t="shared" ca="1" si="4"/>
        <v>0</v>
      </c>
      <c r="G48">
        <f t="shared" ca="1" si="5"/>
        <v>0</v>
      </c>
      <c r="H48" t="str">
        <f>FCS!AO43</f>
        <v>Ok</v>
      </c>
    </row>
    <row r="49" spans="2:8" x14ac:dyDescent="0.25">
      <c r="B49" s="367">
        <f>FCS!G44</f>
        <v>46084</v>
      </c>
      <c r="C49">
        <f t="shared" ca="1" si="3"/>
        <v>0</v>
      </c>
      <c r="D49">
        <f>FCS!R44</f>
        <v>1.7692998204667862</v>
      </c>
      <c r="E49">
        <f>FCS!AM44</f>
        <v>102.79302341071941</v>
      </c>
      <c r="F49">
        <f t="shared" ca="1" si="4"/>
        <v>0</v>
      </c>
      <c r="G49">
        <f t="shared" ca="1" si="5"/>
        <v>0</v>
      </c>
      <c r="H49" t="str">
        <f>FCS!AO44</f>
        <v>Ok</v>
      </c>
    </row>
    <row r="50" spans="2:8" x14ac:dyDescent="0.25">
      <c r="B50" s="367">
        <f>FCS!G45</f>
        <v>46084</v>
      </c>
      <c r="C50">
        <f t="shared" ca="1" si="3"/>
        <v>0</v>
      </c>
      <c r="D50">
        <f>FCS!R45</f>
        <v>1.7498126273385284</v>
      </c>
      <c r="E50">
        <f>FCS!AM45</f>
        <v>101.66085379408895</v>
      </c>
      <c r="F50">
        <f t="shared" ca="1" si="4"/>
        <v>0</v>
      </c>
      <c r="G50">
        <f t="shared" ca="1" si="5"/>
        <v>0</v>
      </c>
      <c r="H50" t="str">
        <f>FCS!AO45</f>
        <v>OK</v>
      </c>
    </row>
    <row r="51" spans="2:8" x14ac:dyDescent="0.25">
      <c r="B51" s="367">
        <f>FCS!G46</f>
        <v>46084</v>
      </c>
      <c r="C51">
        <f t="shared" ca="1" si="3"/>
        <v>0</v>
      </c>
      <c r="D51">
        <f>FCS!R46</f>
        <v>1.7618181818181817</v>
      </c>
      <c r="E51">
        <f>FCS!AM46</f>
        <v>102.37177116898208</v>
      </c>
      <c r="F51">
        <f t="shared" ca="1" si="4"/>
        <v>0</v>
      </c>
      <c r="G51">
        <f t="shared" ca="1" si="5"/>
        <v>0</v>
      </c>
      <c r="H51" t="str">
        <f>FCS!AO46</f>
        <v>Ok</v>
      </c>
    </row>
    <row r="52" spans="2:8" x14ac:dyDescent="0.25">
      <c r="B52" s="367">
        <f>FCS!G47</f>
        <v>46084</v>
      </c>
      <c r="C52">
        <f t="shared" ca="1" si="3"/>
        <v>0</v>
      </c>
      <c r="D52">
        <f>FCS!R47</f>
        <v>1.7581227436823104</v>
      </c>
      <c r="E52">
        <f>FCS!AM47</f>
        <v>102.15704495539282</v>
      </c>
      <c r="F52">
        <f t="shared" ca="1" si="4"/>
        <v>0</v>
      </c>
      <c r="G52">
        <f t="shared" ca="1" si="5"/>
        <v>0</v>
      </c>
      <c r="H52" t="str">
        <f>FCS!AO47</f>
        <v>Ok</v>
      </c>
    </row>
    <row r="53" spans="2:8" x14ac:dyDescent="0.25">
      <c r="B53" s="367">
        <f>FCS!G48</f>
        <v>46084</v>
      </c>
      <c r="C53">
        <f t="shared" ca="1" si="3"/>
        <v>0</v>
      </c>
      <c r="D53">
        <f>FCS!R48</f>
        <v>1.7776752767527675</v>
      </c>
      <c r="E53">
        <f>FCS!AM48</f>
        <v>103.29315960213638</v>
      </c>
      <c r="F53">
        <f t="shared" ca="1" si="4"/>
        <v>0</v>
      </c>
      <c r="G53">
        <f t="shared" ca="1" si="5"/>
        <v>0</v>
      </c>
      <c r="H53" t="str">
        <f>FCS!AO48</f>
        <v>Ok</v>
      </c>
    </row>
    <row r="54" spans="2:8" x14ac:dyDescent="0.25">
      <c r="B54" s="367">
        <f>FCS!G49</f>
        <v>46084</v>
      </c>
      <c r="C54">
        <f t="shared" ca="1" si="3"/>
        <v>0</v>
      </c>
      <c r="D54">
        <f>FCS!R49</f>
        <v>1.8060109289617485</v>
      </c>
      <c r="E54">
        <f>FCS!AM49</f>
        <v>103.79373154952577</v>
      </c>
      <c r="F54">
        <f t="shared" ca="1" si="4"/>
        <v>0</v>
      </c>
      <c r="G54">
        <f t="shared" ca="1" si="5"/>
        <v>0</v>
      </c>
      <c r="H54" t="str">
        <f>FCS!AO49</f>
        <v>Ok</v>
      </c>
    </row>
    <row r="55" spans="2:8" x14ac:dyDescent="0.25">
      <c r="B55" s="367">
        <f>FCS!G50</f>
        <v>46084</v>
      </c>
      <c r="C55">
        <f t="shared" ca="1" si="3"/>
        <v>0</v>
      </c>
      <c r="D55">
        <f>FCS!R50</f>
        <v>1.7528684907325685</v>
      </c>
      <c r="E55">
        <f>FCS!AM50</f>
        <v>103.72002903743009</v>
      </c>
      <c r="F55">
        <f t="shared" ca="1" si="4"/>
        <v>0</v>
      </c>
      <c r="G55">
        <f t="shared" ca="1" si="5"/>
        <v>0</v>
      </c>
      <c r="H55" t="str">
        <f>FCS!AO50</f>
        <v>Ok</v>
      </c>
    </row>
    <row r="56" spans="2:8" x14ac:dyDescent="0.25">
      <c r="B56" s="367">
        <f>FCS!G51</f>
        <v>46084</v>
      </c>
      <c r="C56">
        <f t="shared" ca="1" si="3"/>
        <v>0</v>
      </c>
      <c r="D56">
        <f>FCS!R51</f>
        <v>1.7291479820627802</v>
      </c>
      <c r="E56">
        <f>FCS!AM51</f>
        <v>102.31644864276805</v>
      </c>
      <c r="F56">
        <f t="shared" ca="1" si="4"/>
        <v>0</v>
      </c>
      <c r="G56">
        <f t="shared" ca="1" si="5"/>
        <v>0</v>
      </c>
      <c r="H56" t="str">
        <f>FCS!AO51</f>
        <v>Ok</v>
      </c>
    </row>
    <row r="57" spans="2:8" x14ac:dyDescent="0.25">
      <c r="B57" s="367">
        <f>FCS!G52</f>
        <v>46084</v>
      </c>
      <c r="C57">
        <f t="shared" ca="1" si="3"/>
        <v>0</v>
      </c>
      <c r="D57">
        <f>FCS!R52</f>
        <v>1.773403324584427</v>
      </c>
      <c r="E57">
        <f>FCS!AM52</f>
        <v>104.93510796357558</v>
      </c>
      <c r="F57">
        <f t="shared" ca="1" si="4"/>
        <v>0</v>
      </c>
      <c r="G57">
        <f t="shared" ca="1" si="5"/>
        <v>0</v>
      </c>
      <c r="H57" t="str">
        <f>FCS!AO52</f>
        <v>Ok</v>
      </c>
    </row>
    <row r="58" spans="2:8" x14ac:dyDescent="0.25">
      <c r="B58" s="367">
        <f>FCS!G53</f>
        <v>46084</v>
      </c>
      <c r="C58">
        <f t="shared" ca="1" si="3"/>
        <v>0</v>
      </c>
      <c r="D58">
        <f>FCS!R53</f>
        <v>1.7699115044247788</v>
      </c>
      <c r="E58">
        <f>FCS!AM53</f>
        <v>104.7284913860816</v>
      </c>
      <c r="F58">
        <f t="shared" ca="1" si="4"/>
        <v>0</v>
      </c>
      <c r="G58">
        <f t="shared" ca="1" si="5"/>
        <v>0</v>
      </c>
      <c r="H58" t="str">
        <f>FCS!AO53</f>
        <v>Ok</v>
      </c>
    </row>
    <row r="59" spans="2:8" x14ac:dyDescent="0.25">
      <c r="B59" s="367">
        <f>FCS!G54</f>
        <v>46084</v>
      </c>
      <c r="C59">
        <f t="shared" ca="1" si="3"/>
        <v>0</v>
      </c>
      <c r="D59">
        <f>FCS!R54</f>
        <v>1.7087719298245612</v>
      </c>
      <c r="E59">
        <f>FCS!AM54</f>
        <v>101.1107650783764</v>
      </c>
      <c r="F59">
        <f t="shared" ca="1" si="4"/>
        <v>0</v>
      </c>
      <c r="G59">
        <f t="shared" ca="1" si="5"/>
        <v>0</v>
      </c>
      <c r="H59" t="str">
        <f>FCS!AO54</f>
        <v>Ok</v>
      </c>
    </row>
    <row r="60" spans="2:8" x14ac:dyDescent="0.25">
      <c r="B60" s="367">
        <f>FCS!G55</f>
        <v>46084</v>
      </c>
      <c r="C60">
        <f t="shared" ca="1" si="3"/>
        <v>0</v>
      </c>
      <c r="D60">
        <f>FCS!R55</f>
        <v>1.7252047315741583</v>
      </c>
      <c r="E60">
        <f>FCS!AM55</f>
        <v>100.92576884200734</v>
      </c>
      <c r="F60">
        <f t="shared" ca="1" si="4"/>
        <v>0</v>
      </c>
      <c r="G60">
        <f t="shared" ca="1" si="5"/>
        <v>0</v>
      </c>
      <c r="H60" t="str">
        <f>FCS!AO55</f>
        <v>Ok</v>
      </c>
    </row>
    <row r="61" spans="2:8" x14ac:dyDescent="0.25">
      <c r="B61" s="367">
        <f>FCS!G56</f>
        <v>46084</v>
      </c>
      <c r="C61">
        <f t="shared" ca="1" si="3"/>
        <v>0</v>
      </c>
      <c r="D61">
        <f>FCS!R56</f>
        <v>1.6775390391778733</v>
      </c>
      <c r="E61">
        <f>FCS!AM56</f>
        <v>98.137290138907474</v>
      </c>
      <c r="F61">
        <f t="shared" ca="1" si="4"/>
        <v>0</v>
      </c>
      <c r="G61">
        <f t="shared" ca="1" si="5"/>
        <v>0</v>
      </c>
      <c r="H61" t="str">
        <f>FCS!AO56</f>
        <v>OK</v>
      </c>
    </row>
    <row r="62" spans="2:8" x14ac:dyDescent="0.25">
      <c r="B62" s="367">
        <f>FCS!G57</f>
        <v>46084</v>
      </c>
      <c r="C62">
        <f t="shared" ca="1" si="3"/>
        <v>0</v>
      </c>
      <c r="D62">
        <f>FCS!R57</f>
        <v>1.7261802575107297</v>
      </c>
      <c r="E62">
        <f>FCS!AM57</f>
        <v>102.14084363968814</v>
      </c>
      <c r="F62">
        <f t="shared" ca="1" si="4"/>
        <v>0</v>
      </c>
      <c r="G62">
        <f t="shared" ca="1" si="5"/>
        <v>0</v>
      </c>
      <c r="H62" t="str">
        <f>FCS!AO57</f>
        <v>Ok</v>
      </c>
    </row>
    <row r="63" spans="2:8" x14ac:dyDescent="0.25">
      <c r="B63" s="367">
        <f>FCS!G58</f>
        <v>46084</v>
      </c>
      <c r="C63">
        <f t="shared" ca="1" si="3"/>
        <v>0</v>
      </c>
      <c r="D63">
        <f>FCS!R58</f>
        <v>1.75</v>
      </c>
      <c r="E63">
        <f>FCS!AM58</f>
        <v>103.55029585798816</v>
      </c>
      <c r="F63">
        <f t="shared" ca="1" si="4"/>
        <v>0</v>
      </c>
      <c r="G63">
        <f t="shared" ca="1" si="5"/>
        <v>0</v>
      </c>
      <c r="H63" t="str">
        <f>FCS!AO58</f>
        <v>Ok</v>
      </c>
    </row>
    <row r="64" spans="2:8" x14ac:dyDescent="0.25">
      <c r="B64" s="367">
        <f>FCS!G59</f>
        <v>46084</v>
      </c>
      <c r="C64">
        <f t="shared" ca="1" si="3"/>
        <v>0</v>
      </c>
      <c r="D64">
        <f>FCS!R59</f>
        <v>1.7683923705722071</v>
      </c>
      <c r="E64">
        <f>FCS!AM59</f>
        <v>104.63860180900635</v>
      </c>
      <c r="F64">
        <f t="shared" ca="1" si="4"/>
        <v>0</v>
      </c>
      <c r="G64">
        <f t="shared" ca="1" si="5"/>
        <v>0</v>
      </c>
      <c r="H64" t="str">
        <f>FCS!AO59</f>
        <v>Ok</v>
      </c>
    </row>
    <row r="65" spans="2:8" x14ac:dyDescent="0.25">
      <c r="B65" s="367">
        <f>FCS!G60</f>
        <v>46084</v>
      </c>
      <c r="C65">
        <f t="shared" ca="1" si="3"/>
        <v>0</v>
      </c>
      <c r="D65">
        <f>FCS!R60</f>
        <v>1.7524401064773736</v>
      </c>
      <c r="E65">
        <f>FCS!AM60</f>
        <v>103.69468085664933</v>
      </c>
      <c r="F65">
        <f t="shared" ca="1" si="4"/>
        <v>0</v>
      </c>
      <c r="G65">
        <f t="shared" ca="1" si="5"/>
        <v>0</v>
      </c>
      <c r="H65" t="str">
        <f>FCS!AO60</f>
        <v>Ok</v>
      </c>
    </row>
    <row r="66" spans="2:8" x14ac:dyDescent="0.25">
      <c r="B66" s="367">
        <f>FCS!G61</f>
        <v>46084</v>
      </c>
      <c r="C66">
        <f t="shared" ca="1" si="3"/>
        <v>0</v>
      </c>
      <c r="D66">
        <f>FCS!R61</f>
        <v>1.7710064635272391</v>
      </c>
      <c r="E66">
        <f>FCS!AM61</f>
        <v>102.90566319158856</v>
      </c>
      <c r="F66">
        <f t="shared" ca="1" si="4"/>
        <v>0</v>
      </c>
      <c r="G66">
        <f t="shared" ca="1" si="5"/>
        <v>0</v>
      </c>
      <c r="H66" t="str">
        <f>FCS!AO61</f>
        <v>Ok</v>
      </c>
    </row>
    <row r="67" spans="2:8" x14ac:dyDescent="0.25">
      <c r="B67" s="367">
        <f>FCS!G62</f>
        <v>46085</v>
      </c>
      <c r="C67">
        <f t="shared" ca="1" si="3"/>
        <v>0</v>
      </c>
      <c r="D67">
        <f>FCS!R62</f>
        <v>1.7813911472448059</v>
      </c>
      <c r="E67">
        <f>FCS!AM62</f>
        <v>103.50907305315549</v>
      </c>
      <c r="F67">
        <f t="shared" ca="1" si="4"/>
        <v>0</v>
      </c>
      <c r="G67">
        <f t="shared" ca="1" si="5"/>
        <v>0</v>
      </c>
      <c r="H67" t="str">
        <f>FCS!AO62</f>
        <v>Ok</v>
      </c>
    </row>
    <row r="68" spans="2:8" x14ac:dyDescent="0.25">
      <c r="B68" s="367">
        <f>FCS!G63</f>
        <v>46085</v>
      </c>
      <c r="C68">
        <f t="shared" ca="1" si="3"/>
        <v>0</v>
      </c>
      <c r="D68">
        <f>FCS!R63</f>
        <v>1.8062780269058294</v>
      </c>
      <c r="E68">
        <f>FCS!AM63</f>
        <v>104.95514392247701</v>
      </c>
      <c r="F68">
        <f t="shared" ca="1" si="4"/>
        <v>0</v>
      </c>
      <c r="G68">
        <f t="shared" ca="1" si="5"/>
        <v>0</v>
      </c>
      <c r="H68" t="str">
        <f>FCS!AO63</f>
        <v>Ok</v>
      </c>
    </row>
    <row r="69" spans="2:8" x14ac:dyDescent="0.25">
      <c r="B69" s="367">
        <f>FCS!G64</f>
        <v>46085</v>
      </c>
      <c r="C69">
        <f t="shared" ca="1" si="3"/>
        <v>0</v>
      </c>
      <c r="D69">
        <f>FCS!R64</f>
        <v>1.752260397830018</v>
      </c>
      <c r="E69">
        <f>FCS!AM64</f>
        <v>101.81640893840893</v>
      </c>
      <c r="F69">
        <f t="shared" ca="1" si="4"/>
        <v>0</v>
      </c>
      <c r="G69">
        <f t="shared" ca="1" si="5"/>
        <v>0</v>
      </c>
      <c r="H69" t="str">
        <f>FCS!AO64</f>
        <v>Ok</v>
      </c>
    </row>
    <row r="70" spans="2:8" x14ac:dyDescent="0.25">
      <c r="B70" s="367">
        <f>FCS!G65</f>
        <v>46085</v>
      </c>
      <c r="C70">
        <f t="shared" ca="1" si="3"/>
        <v>0</v>
      </c>
      <c r="D70">
        <f>FCS!R65</f>
        <v>1.7536988685813752</v>
      </c>
      <c r="E70">
        <f>FCS!AM65</f>
        <v>101.89999236382192</v>
      </c>
      <c r="F70">
        <f t="shared" ca="1" si="4"/>
        <v>0</v>
      </c>
      <c r="G70">
        <f t="shared" ca="1" si="5"/>
        <v>0</v>
      </c>
      <c r="H70" t="str">
        <f>FCS!AO65</f>
        <v>Ok</v>
      </c>
    </row>
    <row r="71" spans="2:8" x14ac:dyDescent="0.25">
      <c r="B71" s="367">
        <f>FCS!G66</f>
        <v>46085</v>
      </c>
      <c r="C71">
        <f t="shared" ca="1" si="3"/>
        <v>0</v>
      </c>
      <c r="D71">
        <f>FCS!R66</f>
        <v>1.813176895306859</v>
      </c>
      <c r="E71">
        <f>FCS!AM66</f>
        <v>103.49183192390747</v>
      </c>
      <c r="F71">
        <f t="shared" ca="1" si="4"/>
        <v>0</v>
      </c>
      <c r="G71">
        <f t="shared" ca="1" si="5"/>
        <v>0</v>
      </c>
      <c r="H71" t="str">
        <f>FCS!AO66</f>
        <v>Ok</v>
      </c>
    </row>
    <row r="72" spans="2:8" x14ac:dyDescent="0.25">
      <c r="B72" s="367">
        <f>FCS!G67</f>
        <v>46085</v>
      </c>
      <c r="C72">
        <f t="shared" ca="1" si="3"/>
        <v>0</v>
      </c>
      <c r="D72">
        <f>FCS!R67</f>
        <v>1.7814483293491727</v>
      </c>
      <c r="E72">
        <f>FCS!AM67</f>
        <v>101.68084071627699</v>
      </c>
      <c r="F72">
        <f t="shared" ca="1" si="4"/>
        <v>0</v>
      </c>
      <c r="G72">
        <f t="shared" ca="1" si="5"/>
        <v>0</v>
      </c>
      <c r="H72" t="str">
        <f>FCS!AO67</f>
        <v>OK</v>
      </c>
    </row>
    <row r="73" spans="2:8" x14ac:dyDescent="0.25">
      <c r="B73" s="367">
        <f>FCS!G68</f>
        <v>46085</v>
      </c>
      <c r="C73">
        <f t="shared" ca="1" si="3"/>
        <v>0</v>
      </c>
      <c r="D73">
        <f>FCS!R68</f>
        <v>1.7669990933816864</v>
      </c>
      <c r="E73">
        <f>FCS!AM68</f>
        <v>104.55615937169742</v>
      </c>
      <c r="F73">
        <f t="shared" ca="1" si="4"/>
        <v>0</v>
      </c>
      <c r="G73">
        <f t="shared" ca="1" si="5"/>
        <v>0</v>
      </c>
      <c r="H73" t="str">
        <f>FCS!AO68</f>
        <v>Ok</v>
      </c>
    </row>
    <row r="74" spans="2:8" x14ac:dyDescent="0.25">
      <c r="B74" s="367">
        <f>FCS!G69</f>
        <v>46085</v>
      </c>
      <c r="C74">
        <f t="shared" ca="1" si="3"/>
        <v>0</v>
      </c>
      <c r="D74">
        <f>FCS!R69</f>
        <v>1.7392857142857141</v>
      </c>
      <c r="E74">
        <f>FCS!AM69</f>
        <v>102.91631445477599</v>
      </c>
      <c r="F74">
        <f t="shared" ca="1" si="4"/>
        <v>0</v>
      </c>
      <c r="G74">
        <f t="shared" ca="1" si="5"/>
        <v>0</v>
      </c>
      <c r="H74" t="str">
        <f>FCS!AO69</f>
        <v>Ok</v>
      </c>
    </row>
    <row r="75" spans="2:8" x14ac:dyDescent="0.25">
      <c r="B75" s="367">
        <f>FCS!G70</f>
        <v>46085</v>
      </c>
      <c r="C75">
        <f t="shared" ca="1" si="3"/>
        <v>0</v>
      </c>
      <c r="D75">
        <f>FCS!R70</f>
        <v>1.7372654155495979</v>
      </c>
      <c r="E75">
        <f>FCS!AM70</f>
        <v>102.79677015086379</v>
      </c>
      <c r="F75">
        <f t="shared" ca="1" si="4"/>
        <v>0</v>
      </c>
      <c r="G75">
        <f t="shared" ca="1" si="5"/>
        <v>0</v>
      </c>
      <c r="H75" t="str">
        <f>FCS!AO70</f>
        <v>Ok</v>
      </c>
    </row>
    <row r="76" spans="2:8" x14ac:dyDescent="0.25">
      <c r="B76" s="367">
        <f>FCS!G71</f>
        <v>46085</v>
      </c>
      <c r="C76">
        <f t="shared" ca="1" si="3"/>
        <v>0</v>
      </c>
      <c r="D76">
        <f>FCS!R71</f>
        <v>1.7406082289803222</v>
      </c>
      <c r="E76">
        <f>FCS!AM71</f>
        <v>102.99456976214924</v>
      </c>
      <c r="F76">
        <f t="shared" ca="1" si="4"/>
        <v>0</v>
      </c>
      <c r="G76">
        <f t="shared" ca="1" si="5"/>
        <v>0</v>
      </c>
      <c r="H76" t="str">
        <f>FCS!AO71</f>
        <v>Ok</v>
      </c>
    </row>
    <row r="77" spans="2:8" x14ac:dyDescent="0.25">
      <c r="B77" s="367">
        <f>FCS!G72</f>
        <v>46085</v>
      </c>
      <c r="C77">
        <f t="shared" ca="1" si="3"/>
        <v>0</v>
      </c>
      <c r="D77">
        <f>FCS!R72</f>
        <v>1.7704626334519571</v>
      </c>
      <c r="E77">
        <f>FCS!AM72</f>
        <v>104.76110257112173</v>
      </c>
      <c r="F77">
        <f t="shared" ca="1" si="4"/>
        <v>0</v>
      </c>
      <c r="G77">
        <f t="shared" ca="1" si="5"/>
        <v>0</v>
      </c>
      <c r="H77" t="str">
        <f>FCS!AO72</f>
        <v>Ok</v>
      </c>
    </row>
    <row r="78" spans="2:8" x14ac:dyDescent="0.25">
      <c r="B78" s="367">
        <f>FCS!G73</f>
        <v>46085</v>
      </c>
      <c r="C78">
        <f t="shared" ca="1" si="3"/>
        <v>0</v>
      </c>
      <c r="D78">
        <f>FCS!R73</f>
        <v>1.7079252003561887</v>
      </c>
      <c r="E78">
        <f>FCS!AM73</f>
        <v>101.06066274296974</v>
      </c>
      <c r="F78">
        <f t="shared" ca="1" si="4"/>
        <v>0</v>
      </c>
      <c r="G78">
        <f t="shared" ca="1" si="5"/>
        <v>0</v>
      </c>
      <c r="H78" t="str">
        <f>FCS!AO73</f>
        <v>Ok</v>
      </c>
    </row>
    <row r="79" spans="2:8" x14ac:dyDescent="0.25">
      <c r="B79" s="367">
        <f>FCS!G74</f>
        <v>46085</v>
      </c>
      <c r="C79">
        <f t="shared" ca="1" si="3"/>
        <v>0</v>
      </c>
      <c r="D79">
        <f>FCS!R74</f>
        <v>1.8256130790190734</v>
      </c>
      <c r="E79">
        <f>FCS!AM74</f>
        <v>104.92029189764789</v>
      </c>
      <c r="F79">
        <f t="shared" ca="1" si="4"/>
        <v>0</v>
      </c>
      <c r="G79">
        <f t="shared" ca="1" si="5"/>
        <v>0</v>
      </c>
      <c r="H79" t="str">
        <f>FCS!AO74</f>
        <v>Ok</v>
      </c>
    </row>
    <row r="80" spans="2:8" x14ac:dyDescent="0.25">
      <c r="B80" s="367">
        <f>FCS!G75</f>
        <v>46085</v>
      </c>
      <c r="C80">
        <f t="shared" ca="1" si="3"/>
        <v>0</v>
      </c>
      <c r="D80">
        <f>FCS!R75</f>
        <v>1.8140794223826711</v>
      </c>
      <c r="E80">
        <f>FCS!AM75</f>
        <v>102.54829973898649</v>
      </c>
      <c r="F80">
        <f t="shared" ca="1" si="4"/>
        <v>0</v>
      </c>
      <c r="G80">
        <f t="shared" ca="1" si="5"/>
        <v>0</v>
      </c>
      <c r="H80" t="str">
        <f>FCS!AO75</f>
        <v>Ok</v>
      </c>
    </row>
    <row r="81" spans="2:8" x14ac:dyDescent="0.25">
      <c r="B81" s="367">
        <f>FCS!G76</f>
        <v>46085</v>
      </c>
      <c r="C81">
        <f t="shared" ca="1" si="3"/>
        <v>0</v>
      </c>
      <c r="D81">
        <f>FCS!R76</f>
        <v>1.8563829787234039</v>
      </c>
      <c r="E81">
        <f>FCS!AM76</f>
        <v>104.92302914080823</v>
      </c>
      <c r="F81">
        <f t="shared" ca="1" si="4"/>
        <v>0</v>
      </c>
      <c r="G81">
        <f t="shared" ca="1" si="5"/>
        <v>0</v>
      </c>
      <c r="H81" t="str">
        <f>FCS!AO76</f>
        <v>Ok</v>
      </c>
    </row>
    <row r="82" spans="2:8" x14ac:dyDescent="0.25">
      <c r="B82" s="367">
        <f>FCS!G77</f>
        <v>46085</v>
      </c>
      <c r="C82">
        <f t="shared" ca="1" si="3"/>
        <v>0</v>
      </c>
      <c r="D82">
        <f>FCS!R77</f>
        <v>1.8021680216802169</v>
      </c>
      <c r="E82">
        <f>FCS!AM77</f>
        <v>101.87495882872906</v>
      </c>
      <c r="F82">
        <f t="shared" ca="1" si="4"/>
        <v>0</v>
      </c>
      <c r="G82">
        <f t="shared" ca="1" si="5"/>
        <v>0</v>
      </c>
      <c r="H82" t="str">
        <f>FCS!AO77</f>
        <v>Ok</v>
      </c>
    </row>
    <row r="83" spans="2:8" x14ac:dyDescent="0.25">
      <c r="B83" s="367">
        <f>FCS!G78</f>
        <v>46085</v>
      </c>
      <c r="C83">
        <f t="shared" ref="C83:C146" ca="1" si="6">IF(AND(B83&gt;$C$5,B83&lt;$D$4,H83="OK"),1,0)</f>
        <v>0</v>
      </c>
      <c r="D83">
        <f>FCS!R78</f>
        <v>1.8112695168319566</v>
      </c>
      <c r="E83">
        <f>FCS!AM78</f>
        <v>102.38945827201564</v>
      </c>
      <c r="F83">
        <f t="shared" ref="F83:F146" ca="1" si="7">IFERROR(D83*C83,0)</f>
        <v>0</v>
      </c>
      <c r="G83">
        <f t="shared" ref="G83:G146" ca="1" si="8">IFERROR(E83*C83,0)</f>
        <v>0</v>
      </c>
      <c r="H83" t="str">
        <f>FCS!AO78</f>
        <v>OK</v>
      </c>
    </row>
    <row r="84" spans="2:8" x14ac:dyDescent="0.25">
      <c r="B84" s="367">
        <f>FCS!G79</f>
        <v>46085</v>
      </c>
      <c r="C84">
        <f t="shared" ca="1" si="6"/>
        <v>0</v>
      </c>
      <c r="D84">
        <f>FCS!R79</f>
        <v>1.7542908762420957</v>
      </c>
      <c r="E84">
        <f>FCS!AM79</f>
        <v>99.16850628841695</v>
      </c>
      <c r="F84">
        <f t="shared" ca="1" si="7"/>
        <v>0</v>
      </c>
      <c r="G84">
        <f t="shared" ca="1" si="8"/>
        <v>0</v>
      </c>
      <c r="H84" t="str">
        <f>FCS!AO79</f>
        <v>Ok</v>
      </c>
    </row>
    <row r="85" spans="2:8" x14ac:dyDescent="0.25">
      <c r="B85" s="367">
        <f>FCS!G80</f>
        <v>46085</v>
      </c>
      <c r="C85">
        <f t="shared" ca="1" si="6"/>
        <v>0</v>
      </c>
      <c r="D85">
        <f>FCS!R80</f>
        <v>1.7682481751824817</v>
      </c>
      <c r="E85">
        <f>FCS!AM80</f>
        <v>99.957500010315542</v>
      </c>
      <c r="F85">
        <f t="shared" ca="1" si="7"/>
        <v>0</v>
      </c>
      <c r="G85">
        <f t="shared" ca="1" si="8"/>
        <v>0</v>
      </c>
      <c r="H85" t="str">
        <f>FCS!AO80</f>
        <v>Ok</v>
      </c>
    </row>
    <row r="86" spans="2:8" x14ac:dyDescent="0.25">
      <c r="B86" s="367">
        <f>FCS!G81</f>
        <v>46085</v>
      </c>
      <c r="C86">
        <f t="shared" ca="1" si="6"/>
        <v>0</v>
      </c>
      <c r="D86">
        <f>FCS!R81</f>
        <v>1.7649186256781191</v>
      </c>
      <c r="E86">
        <f>FCS!AM81</f>
        <v>99.769283531832627</v>
      </c>
      <c r="F86">
        <f t="shared" ca="1" si="7"/>
        <v>0</v>
      </c>
      <c r="G86">
        <f t="shared" ca="1" si="8"/>
        <v>0</v>
      </c>
      <c r="H86" t="str">
        <f>FCS!AO81</f>
        <v>Ok</v>
      </c>
    </row>
    <row r="87" spans="2:8" x14ac:dyDescent="0.25">
      <c r="B87" s="367">
        <f>FCS!G82</f>
        <v>46085</v>
      </c>
      <c r="C87">
        <f t="shared" ca="1" si="6"/>
        <v>0</v>
      </c>
      <c r="D87">
        <f>FCS!R82</f>
        <v>1.7594594594594595</v>
      </c>
      <c r="E87">
        <f>FCS!AM82</f>
        <v>99.460681710540385</v>
      </c>
      <c r="F87">
        <f t="shared" ca="1" si="7"/>
        <v>0</v>
      </c>
      <c r="G87">
        <f t="shared" ca="1" si="8"/>
        <v>0</v>
      </c>
      <c r="H87" t="str">
        <f>FCS!AO82</f>
        <v>Ok</v>
      </c>
    </row>
    <row r="88" spans="2:8" x14ac:dyDescent="0.25">
      <c r="B88" s="367">
        <f>FCS!G83</f>
        <v>46085</v>
      </c>
      <c r="C88">
        <f t="shared" ca="1" si="6"/>
        <v>0</v>
      </c>
      <c r="D88">
        <f>FCS!R83</f>
        <v>1.7926059513074841</v>
      </c>
      <c r="E88">
        <f>FCS!AM83</f>
        <v>101.33442347696348</v>
      </c>
      <c r="F88">
        <f t="shared" ca="1" si="7"/>
        <v>0</v>
      </c>
      <c r="G88">
        <f t="shared" ca="1" si="8"/>
        <v>0</v>
      </c>
      <c r="H88" t="str">
        <f>FCS!AO83</f>
        <v>Ok</v>
      </c>
    </row>
    <row r="89" spans="2:8" x14ac:dyDescent="0.25">
      <c r="B89" s="367">
        <f>FCS!G84</f>
        <v>46085</v>
      </c>
      <c r="C89">
        <f t="shared" ca="1" si="6"/>
        <v>0</v>
      </c>
      <c r="D89">
        <f>FCS!R84</f>
        <v>1.7296058661778186</v>
      </c>
      <c r="E89">
        <f>FCS!AM84</f>
        <v>101.68170877000698</v>
      </c>
      <c r="F89">
        <f t="shared" ca="1" si="7"/>
        <v>0</v>
      </c>
      <c r="G89">
        <f t="shared" ca="1" si="8"/>
        <v>0</v>
      </c>
      <c r="H89" t="str">
        <f>FCS!AO84</f>
        <v>Ok</v>
      </c>
    </row>
    <row r="90" spans="2:8" x14ac:dyDescent="0.25">
      <c r="B90" s="367">
        <f>FCS!G85</f>
        <v>46085</v>
      </c>
      <c r="C90">
        <f t="shared" ca="1" si="6"/>
        <v>0</v>
      </c>
      <c r="D90">
        <f>FCS!R85</f>
        <v>1.7418755803156918</v>
      </c>
      <c r="E90">
        <f>FCS!AM85</f>
        <v>102.40303235248041</v>
      </c>
      <c r="F90">
        <f t="shared" ca="1" si="7"/>
        <v>0</v>
      </c>
      <c r="G90">
        <f t="shared" ca="1" si="8"/>
        <v>0</v>
      </c>
      <c r="H90" t="str">
        <f>FCS!AO85</f>
        <v>Ok</v>
      </c>
    </row>
    <row r="91" spans="2:8" x14ac:dyDescent="0.25">
      <c r="B91" s="367">
        <f>FCS!G86</f>
        <v>46085</v>
      </c>
      <c r="C91">
        <f t="shared" ca="1" si="6"/>
        <v>0</v>
      </c>
      <c r="D91">
        <f>FCS!R86</f>
        <v>1.7381386861313868</v>
      </c>
      <c r="E91">
        <f>FCS!AM86</f>
        <v>102.18334427580169</v>
      </c>
      <c r="F91">
        <f t="shared" ca="1" si="7"/>
        <v>0</v>
      </c>
      <c r="G91">
        <f t="shared" ca="1" si="8"/>
        <v>0</v>
      </c>
      <c r="H91" t="str">
        <f>FCS!AO86</f>
        <v>Ok</v>
      </c>
    </row>
    <row r="92" spans="2:8" x14ac:dyDescent="0.25">
      <c r="B92" s="367">
        <f>FCS!G87</f>
        <v>46085</v>
      </c>
      <c r="C92">
        <f t="shared" ca="1" si="6"/>
        <v>0</v>
      </c>
      <c r="D92">
        <f>FCS!R87</f>
        <v>1.7752707581227436</v>
      </c>
      <c r="E92">
        <f>FCS!AM87</f>
        <v>103.15344323781194</v>
      </c>
      <c r="F92">
        <f t="shared" ca="1" si="7"/>
        <v>0</v>
      </c>
      <c r="G92">
        <f t="shared" ca="1" si="8"/>
        <v>0</v>
      </c>
      <c r="H92" t="str">
        <f>FCS!AO87</f>
        <v>Ok</v>
      </c>
    </row>
    <row r="93" spans="2:8" x14ac:dyDescent="0.25">
      <c r="B93" s="367">
        <f>FCS!G88</f>
        <v>46085</v>
      </c>
      <c r="C93">
        <f t="shared" ca="1" si="6"/>
        <v>0</v>
      </c>
      <c r="D93" t="str">
        <f>FCS!R88</f>
        <v>-</v>
      </c>
      <c r="E93" t="str">
        <f>FCS!AM88</f>
        <v>-</v>
      </c>
      <c r="F93">
        <f t="shared" ca="1" si="7"/>
        <v>0</v>
      </c>
      <c r="G93">
        <f t="shared" ca="1" si="8"/>
        <v>0</v>
      </c>
      <c r="H93" t="str">
        <f>FCS!AO88</f>
        <v>-</v>
      </c>
    </row>
    <row r="94" spans="2:8" x14ac:dyDescent="0.25">
      <c r="B94" s="367">
        <f>FCS!G89</f>
        <v>46086</v>
      </c>
      <c r="C94">
        <f t="shared" ca="1" si="6"/>
        <v>0</v>
      </c>
      <c r="D94">
        <f>FCS!R89</f>
        <v>1.7341337907375642</v>
      </c>
      <c r="E94">
        <f>FCS!AM89</f>
        <v>100.13288962684237</v>
      </c>
      <c r="F94">
        <f t="shared" ca="1" si="7"/>
        <v>0</v>
      </c>
      <c r="G94">
        <f t="shared" ca="1" si="8"/>
        <v>0</v>
      </c>
      <c r="H94" t="str">
        <f>FCS!AO89</f>
        <v>Ok</v>
      </c>
    </row>
    <row r="95" spans="2:8" x14ac:dyDescent="0.25">
      <c r="B95" s="367">
        <f>FCS!G90</f>
        <v>46086</v>
      </c>
      <c r="C95">
        <f t="shared" ca="1" si="6"/>
        <v>0</v>
      </c>
      <c r="D95">
        <f>FCS!R90</f>
        <v>1.7191058440501015</v>
      </c>
      <c r="E95">
        <f>FCS!AM90</f>
        <v>99.265141281811992</v>
      </c>
      <c r="F95">
        <f t="shared" ca="1" si="7"/>
        <v>0</v>
      </c>
      <c r="G95">
        <f t="shared" ca="1" si="8"/>
        <v>0</v>
      </c>
      <c r="H95" t="str">
        <f>FCS!AO90</f>
        <v>OK</v>
      </c>
    </row>
    <row r="96" spans="2:8" x14ac:dyDescent="0.25">
      <c r="B96" s="367">
        <f>FCS!G91</f>
        <v>46086</v>
      </c>
      <c r="C96">
        <f t="shared" ca="1" si="6"/>
        <v>0</v>
      </c>
      <c r="D96">
        <f>FCS!R91</f>
        <v>1.7802893309222423</v>
      </c>
      <c r="E96">
        <f>FCS!AM91</f>
        <v>103.44505118664975</v>
      </c>
      <c r="F96">
        <f t="shared" ca="1" si="7"/>
        <v>0</v>
      </c>
      <c r="G96">
        <f t="shared" ca="1" si="8"/>
        <v>0</v>
      </c>
      <c r="H96" t="str">
        <f>FCS!AO91</f>
        <v>Ok</v>
      </c>
    </row>
    <row r="97" spans="2:8" x14ac:dyDescent="0.25">
      <c r="B97" s="367">
        <f>FCS!G92</f>
        <v>46086</v>
      </c>
      <c r="C97">
        <f t="shared" ca="1" si="6"/>
        <v>0</v>
      </c>
      <c r="D97">
        <f>FCS!R92</f>
        <v>1.7045454545454546</v>
      </c>
      <c r="E97">
        <f>FCS!AM92</f>
        <v>100.20843354176688</v>
      </c>
      <c r="F97">
        <f t="shared" ca="1" si="7"/>
        <v>0</v>
      </c>
      <c r="G97">
        <f t="shared" ca="1" si="8"/>
        <v>0</v>
      </c>
      <c r="H97" t="str">
        <f>FCS!AO92</f>
        <v>Ok</v>
      </c>
    </row>
    <row r="98" spans="2:8" x14ac:dyDescent="0.25">
      <c r="B98" s="367">
        <f>FCS!G93</f>
        <v>46086</v>
      </c>
      <c r="C98">
        <f t="shared" ca="1" si="6"/>
        <v>0</v>
      </c>
      <c r="D98">
        <f>FCS!R93</f>
        <v>1.7559893522626442</v>
      </c>
      <c r="E98">
        <f>FCS!AM93</f>
        <v>103.23276615300672</v>
      </c>
      <c r="F98">
        <f t="shared" ca="1" si="7"/>
        <v>0</v>
      </c>
      <c r="G98">
        <f t="shared" ca="1" si="8"/>
        <v>0</v>
      </c>
      <c r="H98" t="str">
        <f>FCS!AO93</f>
        <v>Ok</v>
      </c>
    </row>
    <row r="99" spans="2:8" x14ac:dyDescent="0.25">
      <c r="B99" s="367">
        <f>FCS!G94</f>
        <v>46086</v>
      </c>
      <c r="C99">
        <f t="shared" ca="1" si="6"/>
        <v>0</v>
      </c>
      <c r="D99">
        <f>FCS!R94</f>
        <v>1.733567046450482</v>
      </c>
      <c r="E99">
        <f>FCS!AM94</f>
        <v>101.91458238979905</v>
      </c>
      <c r="F99">
        <f t="shared" ca="1" si="7"/>
        <v>0</v>
      </c>
      <c r="G99">
        <f t="shared" ca="1" si="8"/>
        <v>0</v>
      </c>
      <c r="H99" t="str">
        <f>FCS!AO94</f>
        <v>Ok</v>
      </c>
    </row>
    <row r="100" spans="2:8" x14ac:dyDescent="0.25">
      <c r="B100" s="367">
        <f>FCS!G95</f>
        <v>46086</v>
      </c>
      <c r="C100">
        <f t="shared" ca="1" si="6"/>
        <v>0</v>
      </c>
      <c r="D100">
        <f>FCS!R95</f>
        <v>1.7715289982425309</v>
      </c>
      <c r="E100">
        <f>FCS!AM95</f>
        <v>101.92305861157453</v>
      </c>
      <c r="F100">
        <f t="shared" ca="1" si="7"/>
        <v>0</v>
      </c>
      <c r="G100">
        <f t="shared" ca="1" si="8"/>
        <v>0</v>
      </c>
      <c r="H100" t="str">
        <f>FCS!AO95</f>
        <v>Ok</v>
      </c>
    </row>
    <row r="101" spans="2:8" x14ac:dyDescent="0.25">
      <c r="B101" s="367">
        <f>FCS!G96</f>
        <v>46086</v>
      </c>
      <c r="C101">
        <f t="shared" ca="1" si="6"/>
        <v>0</v>
      </c>
      <c r="D101">
        <f>FCS!R96</f>
        <v>1.8303249097472922</v>
      </c>
      <c r="E101">
        <f>FCS!AM96</f>
        <v>103.45022338797057</v>
      </c>
      <c r="F101">
        <f t="shared" ca="1" si="7"/>
        <v>0</v>
      </c>
      <c r="G101">
        <f t="shared" ca="1" si="8"/>
        <v>0</v>
      </c>
      <c r="H101" t="str">
        <f>FCS!AO96</f>
        <v>Ok</v>
      </c>
    </row>
    <row r="102" spans="2:8" x14ac:dyDescent="0.25">
      <c r="B102" s="367">
        <f>FCS!G97</f>
        <v>46086</v>
      </c>
      <c r="C102">
        <f t="shared" ca="1" si="6"/>
        <v>0</v>
      </c>
      <c r="D102">
        <f>FCS!R97</f>
        <v>1.804812834224599</v>
      </c>
      <c r="E102">
        <f>FCS!AM97</f>
        <v>102.00827726252675</v>
      </c>
      <c r="F102">
        <f t="shared" ca="1" si="7"/>
        <v>0</v>
      </c>
      <c r="G102">
        <f t="shared" ca="1" si="8"/>
        <v>0</v>
      </c>
      <c r="H102" t="str">
        <f>FCS!AO97</f>
        <v>Ok</v>
      </c>
    </row>
    <row r="103" spans="2:8" x14ac:dyDescent="0.25">
      <c r="B103" s="367">
        <f>FCS!G98</f>
        <v>46086</v>
      </c>
      <c r="C103">
        <f t="shared" ca="1" si="6"/>
        <v>0</v>
      </c>
      <c r="D103">
        <f>FCS!R98</f>
        <v>1.7108540925266902</v>
      </c>
      <c r="E103">
        <f>FCS!AM98</f>
        <v>100.57931172996415</v>
      </c>
      <c r="F103">
        <f t="shared" ca="1" si="7"/>
        <v>0</v>
      </c>
      <c r="G103">
        <f t="shared" ca="1" si="8"/>
        <v>0</v>
      </c>
      <c r="H103" t="str">
        <f>FCS!AO98</f>
        <v>Ok</v>
      </c>
    </row>
    <row r="104" spans="2:8" x14ac:dyDescent="0.25">
      <c r="B104" s="367">
        <f>FCS!G99</f>
        <v>46086</v>
      </c>
      <c r="C104">
        <f t="shared" ca="1" si="6"/>
        <v>0</v>
      </c>
      <c r="D104">
        <f>FCS!R99</f>
        <v>1.7486535008976658</v>
      </c>
      <c r="E104">
        <f>FCS!AM99</f>
        <v>102.80149917093861</v>
      </c>
      <c r="F104">
        <f t="shared" ca="1" si="7"/>
        <v>0</v>
      </c>
      <c r="G104">
        <f t="shared" ca="1" si="8"/>
        <v>0</v>
      </c>
      <c r="H104" t="str">
        <f>FCS!AO99</f>
        <v>Ok</v>
      </c>
    </row>
    <row r="105" spans="2:8" x14ac:dyDescent="0.25">
      <c r="B105" s="367">
        <f>FCS!G100</f>
        <v>46086</v>
      </c>
      <c r="C105">
        <f t="shared" ca="1" si="6"/>
        <v>0</v>
      </c>
      <c r="D105">
        <f>FCS!R100</f>
        <v>1.7617391304347825</v>
      </c>
      <c r="E105">
        <f>FCS!AM100</f>
        <v>99.573745417675767</v>
      </c>
      <c r="F105">
        <f t="shared" ca="1" si="7"/>
        <v>0</v>
      </c>
      <c r="G105">
        <f t="shared" ca="1" si="8"/>
        <v>0</v>
      </c>
      <c r="H105" t="str">
        <f>FCS!AO100</f>
        <v>Ok</v>
      </c>
    </row>
    <row r="106" spans="2:8" x14ac:dyDescent="0.25">
      <c r="B106" s="367">
        <f>FCS!G101</f>
        <v>46086</v>
      </c>
      <c r="C106">
        <f t="shared" ca="1" si="6"/>
        <v>0</v>
      </c>
      <c r="D106">
        <f>FCS!R101</f>
        <v>1.7404620743337087</v>
      </c>
      <c r="E106">
        <f>FCS!AM101</f>
        <v>98.371163190349591</v>
      </c>
      <c r="F106">
        <f t="shared" ca="1" si="7"/>
        <v>0</v>
      </c>
      <c r="G106">
        <f t="shared" ca="1" si="8"/>
        <v>0</v>
      </c>
      <c r="H106" t="str">
        <f>FCS!AO101</f>
        <v>OK</v>
      </c>
    </row>
    <row r="107" spans="2:8" x14ac:dyDescent="0.25">
      <c r="B107" s="367">
        <f>FCS!G102</f>
        <v>46086</v>
      </c>
      <c r="C107">
        <f t="shared" ca="1" si="6"/>
        <v>0</v>
      </c>
      <c r="D107">
        <f>FCS!R102</f>
        <v>1.8212689901697943</v>
      </c>
      <c r="E107">
        <f>FCS!AM102</f>
        <v>104.67063161895369</v>
      </c>
      <c r="F107">
        <f t="shared" ca="1" si="7"/>
        <v>0</v>
      </c>
      <c r="G107">
        <f t="shared" ca="1" si="8"/>
        <v>0</v>
      </c>
      <c r="H107" t="str">
        <f>FCS!AO102</f>
        <v>Ok</v>
      </c>
    </row>
    <row r="108" spans="2:8" x14ac:dyDescent="0.25">
      <c r="B108" s="367">
        <f>FCS!G103</f>
        <v>46086</v>
      </c>
      <c r="C108">
        <f t="shared" ca="1" si="6"/>
        <v>0</v>
      </c>
      <c r="D108">
        <f>FCS!R103</f>
        <v>1.7808988764044942</v>
      </c>
      <c r="E108">
        <f>FCS!AM103</f>
        <v>104.69717086446173</v>
      </c>
      <c r="F108">
        <f t="shared" ca="1" si="7"/>
        <v>0</v>
      </c>
      <c r="G108">
        <f t="shared" ca="1" si="8"/>
        <v>0</v>
      </c>
      <c r="H108" t="str">
        <f>FCS!AO103</f>
        <v>Ok</v>
      </c>
    </row>
    <row r="109" spans="2:8" x14ac:dyDescent="0.25">
      <c r="B109" s="367">
        <f>FCS!G104</f>
        <v>46086</v>
      </c>
      <c r="C109">
        <f t="shared" ca="1" si="6"/>
        <v>0</v>
      </c>
      <c r="D109">
        <f>FCS!R104</f>
        <v>1.8184257602862255</v>
      </c>
      <c r="E109">
        <f>FCS!AM104</f>
        <v>104.621214516002</v>
      </c>
      <c r="F109">
        <f t="shared" ca="1" si="7"/>
        <v>0</v>
      </c>
      <c r="G109">
        <f t="shared" ca="1" si="8"/>
        <v>0</v>
      </c>
      <c r="H109" t="str">
        <f>FCS!AO104</f>
        <v>Ok</v>
      </c>
    </row>
    <row r="110" spans="2:8" x14ac:dyDescent="0.25">
      <c r="B110" s="367">
        <f>FCS!G105</f>
        <v>46086</v>
      </c>
      <c r="C110">
        <f t="shared" ca="1" si="6"/>
        <v>0</v>
      </c>
      <c r="D110">
        <f>FCS!R105</f>
        <v>1.7641681901279707</v>
      </c>
      <c r="E110">
        <f>FCS!AM105</f>
        <v>103.7135914243369</v>
      </c>
      <c r="F110">
        <f t="shared" ca="1" si="7"/>
        <v>0</v>
      </c>
      <c r="G110">
        <f t="shared" ca="1" si="8"/>
        <v>0</v>
      </c>
      <c r="H110" t="str">
        <f>FCS!AO105</f>
        <v>Ok</v>
      </c>
    </row>
    <row r="111" spans="2:8" x14ac:dyDescent="0.25">
      <c r="B111" s="367">
        <f>FCS!G106</f>
        <v>46086</v>
      </c>
      <c r="C111">
        <f t="shared" ca="1" si="6"/>
        <v>0</v>
      </c>
      <c r="D111">
        <f>FCS!R106</f>
        <v>1.7714808043875683</v>
      </c>
      <c r="E111">
        <f>FCS!AM106</f>
        <v>104.14349232143259</v>
      </c>
      <c r="F111">
        <f t="shared" ca="1" si="7"/>
        <v>0</v>
      </c>
      <c r="G111">
        <f t="shared" ca="1" si="8"/>
        <v>0</v>
      </c>
      <c r="H111" t="str">
        <f>FCS!AO106</f>
        <v>Ok</v>
      </c>
    </row>
    <row r="112" spans="2:8" x14ac:dyDescent="0.25">
      <c r="B112" s="367">
        <f>FCS!G107</f>
        <v>46086</v>
      </c>
      <c r="C112">
        <f t="shared" ca="1" si="6"/>
        <v>0</v>
      </c>
      <c r="D112">
        <f>FCS!R107</f>
        <v>1.7103873239436618</v>
      </c>
      <c r="E112">
        <f>FCS!AM107</f>
        <v>100.55187089615882</v>
      </c>
      <c r="F112">
        <f t="shared" ca="1" si="7"/>
        <v>0</v>
      </c>
      <c r="G112">
        <f t="shared" ca="1" si="8"/>
        <v>0</v>
      </c>
      <c r="H112" t="str">
        <f>FCS!AO107</f>
        <v>Ok</v>
      </c>
    </row>
    <row r="113" spans="2:8" x14ac:dyDescent="0.25">
      <c r="B113" s="367">
        <f>FCS!G108</f>
        <v>46086</v>
      </c>
      <c r="C113">
        <f t="shared" ca="1" si="6"/>
        <v>0</v>
      </c>
      <c r="D113">
        <f>FCS!R108</f>
        <v>1.7685352622061481</v>
      </c>
      <c r="E113">
        <f>FCS!AM108</f>
        <v>103.97032699624621</v>
      </c>
      <c r="F113">
        <f t="shared" ca="1" si="7"/>
        <v>0</v>
      </c>
      <c r="G113">
        <f t="shared" ca="1" si="8"/>
        <v>0</v>
      </c>
      <c r="H113" t="str">
        <f>FCS!AO108</f>
        <v>Ok</v>
      </c>
    </row>
    <row r="114" spans="2:8" x14ac:dyDescent="0.25">
      <c r="B114" s="367">
        <f>FCS!G109</f>
        <v>46086</v>
      </c>
      <c r="C114">
        <f t="shared" ca="1" si="6"/>
        <v>0</v>
      </c>
      <c r="D114">
        <f>FCS!R109</f>
        <v>1.6762904636920384</v>
      </c>
      <c r="E114">
        <f>FCS!AM109</f>
        <v>98.547352362847647</v>
      </c>
      <c r="F114">
        <f t="shared" ca="1" si="7"/>
        <v>0</v>
      </c>
      <c r="G114">
        <f t="shared" ca="1" si="8"/>
        <v>0</v>
      </c>
      <c r="H114" t="str">
        <f>FCS!AO109</f>
        <v>Ok</v>
      </c>
    </row>
    <row r="115" spans="2:8" x14ac:dyDescent="0.25">
      <c r="B115" s="367">
        <f>FCS!G110</f>
        <v>46086</v>
      </c>
      <c r="C115">
        <f t="shared" ca="1" si="6"/>
        <v>0</v>
      </c>
      <c r="D115">
        <f>FCS!R110</f>
        <v>1.759090909090909</v>
      </c>
      <c r="E115">
        <f>FCS!AM110</f>
        <v>103.4151034151034</v>
      </c>
      <c r="F115">
        <f t="shared" ca="1" si="7"/>
        <v>0</v>
      </c>
      <c r="G115">
        <f t="shared" ca="1" si="8"/>
        <v>0</v>
      </c>
      <c r="H115" t="str">
        <f>FCS!AO110</f>
        <v>Ok</v>
      </c>
    </row>
    <row r="116" spans="2:8" x14ac:dyDescent="0.25">
      <c r="B116" s="367">
        <f>FCS!G111</f>
        <v>46086</v>
      </c>
      <c r="C116">
        <f t="shared" ca="1" si="6"/>
        <v>0</v>
      </c>
      <c r="D116">
        <f>FCS!R111</f>
        <v>1.7284946236559138</v>
      </c>
      <c r="E116">
        <f>FCS!AM111</f>
        <v>99.867432202791406</v>
      </c>
      <c r="F116">
        <f t="shared" ca="1" si="7"/>
        <v>0</v>
      </c>
      <c r="G116">
        <f t="shared" ca="1" si="8"/>
        <v>0</v>
      </c>
      <c r="H116" t="str">
        <f>FCS!AO111</f>
        <v>Ok</v>
      </c>
    </row>
    <row r="117" spans="2:8" x14ac:dyDescent="0.25">
      <c r="B117" s="367">
        <f>FCS!G112</f>
        <v>46086</v>
      </c>
      <c r="C117">
        <f t="shared" ca="1" si="6"/>
        <v>0</v>
      </c>
      <c r="D117">
        <f>FCS!R112</f>
        <v>1.7318457295230161</v>
      </c>
      <c r="E117">
        <f>FCS!AM112</f>
        <v>100.0610494309893</v>
      </c>
      <c r="F117">
        <f t="shared" ca="1" si="7"/>
        <v>0</v>
      </c>
      <c r="G117">
        <f t="shared" ca="1" si="8"/>
        <v>0</v>
      </c>
      <c r="H117" t="str">
        <f>FCS!AO112</f>
        <v>OK</v>
      </c>
    </row>
    <row r="118" spans="2:8" x14ac:dyDescent="0.25">
      <c r="B118" s="367">
        <f>FCS!G113</f>
        <v>46086</v>
      </c>
      <c r="C118">
        <f t="shared" ca="1" si="6"/>
        <v>0</v>
      </c>
      <c r="D118">
        <f>FCS!R113</f>
        <v>1.7495495495495494</v>
      </c>
      <c r="E118">
        <f>FCS!AM113</f>
        <v>102.85417692825098</v>
      </c>
      <c r="F118">
        <f t="shared" ca="1" si="7"/>
        <v>0</v>
      </c>
      <c r="G118">
        <f t="shared" ca="1" si="8"/>
        <v>0</v>
      </c>
      <c r="H118" t="str">
        <f>FCS!AO113</f>
        <v>Ok</v>
      </c>
    </row>
    <row r="119" spans="2:8" x14ac:dyDescent="0.25">
      <c r="B119" s="367">
        <f>FCS!G114</f>
        <v>46086</v>
      </c>
      <c r="C119">
        <f t="shared" ca="1" si="6"/>
        <v>0</v>
      </c>
      <c r="D119">
        <f>FCS!R114</f>
        <v>1.7083708370837083</v>
      </c>
      <c r="E119">
        <f>FCS!AM114</f>
        <v>100.43332375565599</v>
      </c>
      <c r="F119">
        <f t="shared" ca="1" si="7"/>
        <v>0</v>
      </c>
      <c r="G119">
        <f t="shared" ca="1" si="8"/>
        <v>0</v>
      </c>
      <c r="H119" t="str">
        <f>FCS!AO114</f>
        <v>Ok</v>
      </c>
    </row>
    <row r="120" spans="2:8" x14ac:dyDescent="0.25">
      <c r="B120" s="367">
        <f>FCS!G115</f>
        <v>46086</v>
      </c>
      <c r="C120">
        <f t="shared" ca="1" si="6"/>
        <v>0</v>
      </c>
      <c r="D120">
        <f>FCS!R115</f>
        <v>1.6946702800361335</v>
      </c>
      <c r="E120">
        <f>FCS!AM115</f>
        <v>99.627882424228886</v>
      </c>
      <c r="F120">
        <f t="shared" ca="1" si="7"/>
        <v>0</v>
      </c>
      <c r="G120">
        <f t="shared" ca="1" si="8"/>
        <v>0</v>
      </c>
      <c r="H120" t="str">
        <f>FCS!AO115</f>
        <v>Ok</v>
      </c>
    </row>
    <row r="121" spans="2:8" x14ac:dyDescent="0.25">
      <c r="B121" s="367">
        <f>FCS!G116</f>
        <v>46086</v>
      </c>
      <c r="C121">
        <f t="shared" ca="1" si="6"/>
        <v>0</v>
      </c>
      <c r="D121">
        <f>FCS!R116</f>
        <v>1.701077199281867</v>
      </c>
      <c r="E121">
        <f>FCS!AM116</f>
        <v>100.00453846454245</v>
      </c>
      <c r="F121">
        <f t="shared" ca="1" si="7"/>
        <v>0</v>
      </c>
      <c r="G121">
        <f t="shared" ca="1" si="8"/>
        <v>0</v>
      </c>
      <c r="H121" t="str">
        <f>FCS!AO116</f>
        <v>Ok</v>
      </c>
    </row>
    <row r="122" spans="2:8" x14ac:dyDescent="0.25">
      <c r="B122" s="367">
        <f>FCS!G117</f>
        <v>46086</v>
      </c>
      <c r="C122">
        <f t="shared" ca="1" si="6"/>
        <v>0</v>
      </c>
      <c r="D122">
        <f>FCS!R117</f>
        <v>1.7308048103607772</v>
      </c>
      <c r="E122">
        <f>FCS!AM117</f>
        <v>101.75219343684756</v>
      </c>
      <c r="F122">
        <f t="shared" ca="1" si="7"/>
        <v>0</v>
      </c>
      <c r="G122">
        <f t="shared" ca="1" si="8"/>
        <v>0</v>
      </c>
      <c r="H122" t="str">
        <f>FCS!AO117</f>
        <v>Ok</v>
      </c>
    </row>
    <row r="123" spans="2:8" x14ac:dyDescent="0.25">
      <c r="B123" s="367">
        <f>FCS!G118</f>
        <v>46086</v>
      </c>
      <c r="C123">
        <f t="shared" ca="1" si="6"/>
        <v>0</v>
      </c>
      <c r="D123">
        <f>FCS!R118</f>
        <v>1.7744292237442922</v>
      </c>
      <c r="E123">
        <f>FCS!AM118</f>
        <v>101.97869101978692</v>
      </c>
      <c r="F123">
        <f t="shared" ca="1" si="7"/>
        <v>0</v>
      </c>
      <c r="G123">
        <f t="shared" ca="1" si="8"/>
        <v>0</v>
      </c>
      <c r="H123" t="str">
        <f>FCS!AO118</f>
        <v>Ok</v>
      </c>
    </row>
    <row r="124" spans="2:8" x14ac:dyDescent="0.25">
      <c r="B124" s="367">
        <f>FCS!G119</f>
        <v>46086</v>
      </c>
      <c r="C124">
        <f t="shared" ca="1" si="6"/>
        <v>0</v>
      </c>
      <c r="D124">
        <f>FCS!R119</f>
        <v>1.7194371152154795</v>
      </c>
      <c r="E124">
        <f>FCS!AM119</f>
        <v>101.08389860173305</v>
      </c>
      <c r="F124">
        <f t="shared" ca="1" si="7"/>
        <v>0</v>
      </c>
      <c r="G124">
        <f t="shared" ca="1" si="8"/>
        <v>0</v>
      </c>
      <c r="H124" t="str">
        <f>FCS!AO119</f>
        <v>Ok</v>
      </c>
    </row>
    <row r="125" spans="2:8" x14ac:dyDescent="0.25">
      <c r="B125" s="367">
        <f>FCS!G120</f>
        <v>46086</v>
      </c>
      <c r="C125">
        <f t="shared" ca="1" si="6"/>
        <v>0</v>
      </c>
      <c r="D125">
        <f>FCS!R120</f>
        <v>1.7403065825067627</v>
      </c>
      <c r="E125">
        <f>FCS!AM120</f>
        <v>102.31079262238462</v>
      </c>
      <c r="F125">
        <f t="shared" ca="1" si="7"/>
        <v>0</v>
      </c>
      <c r="G125">
        <f t="shared" ca="1" si="8"/>
        <v>0</v>
      </c>
      <c r="H125" t="str">
        <f>FCS!AO120</f>
        <v>Ok</v>
      </c>
    </row>
    <row r="126" spans="2:8" x14ac:dyDescent="0.25">
      <c r="B126" s="367">
        <f>FCS!G121</f>
        <v>46086</v>
      </c>
      <c r="C126">
        <f t="shared" ca="1" si="6"/>
        <v>0</v>
      </c>
      <c r="D126">
        <f>FCS!R121</f>
        <v>1.7221727515583258</v>
      </c>
      <c r="E126">
        <f>FCS!AM121</f>
        <v>101.24472378355824</v>
      </c>
      <c r="F126">
        <f t="shared" ca="1" si="7"/>
        <v>0</v>
      </c>
      <c r="G126">
        <f t="shared" ca="1" si="8"/>
        <v>0</v>
      </c>
      <c r="H126" t="str">
        <f>FCS!AO121</f>
        <v>Ok</v>
      </c>
    </row>
    <row r="127" spans="2:8" x14ac:dyDescent="0.25">
      <c r="B127" s="367">
        <f>FCS!G122</f>
        <v>46086</v>
      </c>
      <c r="C127">
        <f t="shared" ca="1" si="6"/>
        <v>0</v>
      </c>
      <c r="D127">
        <f>FCS!R122</f>
        <v>1.7439570277529095</v>
      </c>
      <c r="E127">
        <f>FCS!AM122</f>
        <v>100.7608052984987</v>
      </c>
      <c r="F127">
        <f t="shared" ca="1" si="7"/>
        <v>0</v>
      </c>
      <c r="G127">
        <f t="shared" ca="1" si="8"/>
        <v>0</v>
      </c>
      <c r="H127" t="str">
        <f>FCS!AO122</f>
        <v>Ok</v>
      </c>
    </row>
    <row r="128" spans="2:8" x14ac:dyDescent="0.25">
      <c r="B128" s="367">
        <f>FCS!G123</f>
        <v>46087</v>
      </c>
      <c r="C128">
        <f t="shared" ca="1" si="6"/>
        <v>0</v>
      </c>
      <c r="D128">
        <f>FCS!R123</f>
        <v>1.7407916354267166</v>
      </c>
      <c r="E128">
        <f>FCS!AM123</f>
        <v>100.57791806286316</v>
      </c>
      <c r="F128">
        <f t="shared" ca="1" si="7"/>
        <v>0</v>
      </c>
      <c r="G128">
        <f t="shared" ca="1" si="8"/>
        <v>0</v>
      </c>
      <c r="H128" t="str">
        <f>FCS!AO123</f>
        <v>OK</v>
      </c>
    </row>
    <row r="129" spans="2:8" x14ac:dyDescent="0.25">
      <c r="B129" s="367">
        <f>FCS!G124</f>
        <v>46086</v>
      </c>
      <c r="C129">
        <f t="shared" ca="1" si="6"/>
        <v>0</v>
      </c>
      <c r="D129">
        <f>FCS!R124</f>
        <v>1.7491134751773048</v>
      </c>
      <c r="E129">
        <f>FCS!AM124</f>
        <v>102.82854057479744</v>
      </c>
      <c r="F129">
        <f t="shared" ca="1" si="7"/>
        <v>0</v>
      </c>
      <c r="G129">
        <f t="shared" ca="1" si="8"/>
        <v>0</v>
      </c>
      <c r="H129" t="str">
        <f>FCS!AO124</f>
        <v>Ok</v>
      </c>
    </row>
    <row r="130" spans="2:8" x14ac:dyDescent="0.25">
      <c r="B130" s="367">
        <f>FCS!G125</f>
        <v>46087</v>
      </c>
      <c r="C130">
        <f t="shared" ca="1" si="6"/>
        <v>0</v>
      </c>
      <c r="D130">
        <f>FCS!R125</f>
        <v>1.7838827838827838</v>
      </c>
      <c r="E130">
        <f>FCS!AM125</f>
        <v>104.8725916450784</v>
      </c>
      <c r="F130">
        <f t="shared" ca="1" si="7"/>
        <v>0</v>
      </c>
      <c r="G130">
        <f t="shared" ca="1" si="8"/>
        <v>0</v>
      </c>
      <c r="H130" t="str">
        <f>FCS!AO125</f>
        <v>Ok</v>
      </c>
    </row>
    <row r="131" spans="2:8" x14ac:dyDescent="0.25">
      <c r="B131" s="367">
        <f>FCS!G126</f>
        <v>46087</v>
      </c>
      <c r="C131">
        <f t="shared" ca="1" si="6"/>
        <v>0</v>
      </c>
      <c r="D131">
        <f>FCS!R126</f>
        <v>1.781028368794326</v>
      </c>
      <c r="E131">
        <f>FCS!AM126</f>
        <v>104.70478358579223</v>
      </c>
      <c r="F131">
        <f t="shared" ca="1" si="7"/>
        <v>0</v>
      </c>
      <c r="G131">
        <f t="shared" ca="1" si="8"/>
        <v>0</v>
      </c>
      <c r="H131" t="str">
        <f>FCS!AO126</f>
        <v>Ok</v>
      </c>
    </row>
    <row r="132" spans="2:8" x14ac:dyDescent="0.25">
      <c r="B132" s="367">
        <f>FCS!G127</f>
        <v>46087</v>
      </c>
      <c r="C132">
        <f t="shared" ca="1" si="6"/>
        <v>0</v>
      </c>
      <c r="D132" t="str">
        <f>FCS!R127</f>
        <v>-</v>
      </c>
      <c r="E132" t="str">
        <f>FCS!AM127</f>
        <v>-</v>
      </c>
      <c r="F132">
        <f t="shared" ca="1" si="7"/>
        <v>0</v>
      </c>
      <c r="G132">
        <f t="shared" ca="1" si="8"/>
        <v>0</v>
      </c>
      <c r="H132" t="str">
        <f>FCS!AO127</f>
        <v>-</v>
      </c>
    </row>
    <row r="133" spans="2:8" x14ac:dyDescent="0.25">
      <c r="B133" s="367">
        <f>FCS!G128</f>
        <v>46088</v>
      </c>
      <c r="C133">
        <f t="shared" ca="1" si="6"/>
        <v>0</v>
      </c>
      <c r="D133">
        <f>FCS!R128</f>
        <v>1.7290909090909088</v>
      </c>
      <c r="E133">
        <f>FCS!AM128</f>
        <v>101.35351167004154</v>
      </c>
      <c r="F133">
        <f t="shared" ca="1" si="7"/>
        <v>0</v>
      </c>
      <c r="G133">
        <f t="shared" ca="1" si="8"/>
        <v>0</v>
      </c>
      <c r="H133" t="str">
        <f>FCS!AO128</f>
        <v>Ok</v>
      </c>
    </row>
    <row r="134" spans="2:8" x14ac:dyDescent="0.25">
      <c r="B134" s="367">
        <f>FCS!G129</f>
        <v>46088</v>
      </c>
      <c r="C134">
        <f t="shared" ca="1" si="6"/>
        <v>0</v>
      </c>
      <c r="D134">
        <f>FCS!R129</f>
        <v>1.7122683142100616</v>
      </c>
      <c r="E134">
        <f>FCS!AM129</f>
        <v>100.36742756213725</v>
      </c>
      <c r="F134">
        <f t="shared" ca="1" si="7"/>
        <v>0</v>
      </c>
      <c r="G134">
        <f t="shared" ca="1" si="8"/>
        <v>0</v>
      </c>
      <c r="H134" t="str">
        <f>FCS!AO129</f>
        <v>Ok</v>
      </c>
    </row>
    <row r="135" spans="2:8" x14ac:dyDescent="0.25">
      <c r="B135" s="367">
        <f>FCS!G130</f>
        <v>46088</v>
      </c>
      <c r="C135">
        <f t="shared" ca="1" si="6"/>
        <v>0</v>
      </c>
      <c r="D135">
        <f>FCS!R130</f>
        <v>1.772105742935278</v>
      </c>
      <c r="E135">
        <f>FCS!AM130</f>
        <v>103.87489700675721</v>
      </c>
      <c r="F135">
        <f t="shared" ca="1" si="7"/>
        <v>0</v>
      </c>
      <c r="G135">
        <f t="shared" ca="1" si="8"/>
        <v>0</v>
      </c>
      <c r="H135" t="str">
        <f>FCS!AO130</f>
        <v>Ok</v>
      </c>
    </row>
    <row r="136" spans="2:8" x14ac:dyDescent="0.25">
      <c r="B136" s="367">
        <f>FCS!G131</f>
        <v>46088</v>
      </c>
      <c r="C136">
        <f t="shared" ca="1" si="6"/>
        <v>0</v>
      </c>
      <c r="D136">
        <f>FCS!R131</f>
        <v>1.7103386809269163</v>
      </c>
      <c r="E136">
        <f>FCS!AM131</f>
        <v>100.2543189288931</v>
      </c>
      <c r="F136">
        <f t="shared" ca="1" si="7"/>
        <v>0</v>
      </c>
      <c r="G136">
        <f t="shared" ca="1" si="8"/>
        <v>0</v>
      </c>
      <c r="H136" t="str">
        <f>FCS!AO131</f>
        <v>Ok</v>
      </c>
    </row>
    <row r="137" spans="2:8" x14ac:dyDescent="0.25">
      <c r="B137" s="367">
        <f>FCS!G132</f>
        <v>46088</v>
      </c>
      <c r="C137">
        <f t="shared" ca="1" si="6"/>
        <v>0</v>
      </c>
      <c r="D137">
        <f>FCS!R132</f>
        <v>1.6890080428954424</v>
      </c>
      <c r="E137">
        <f>FCS!AM132</f>
        <v>99.003988446391702</v>
      </c>
      <c r="F137">
        <f t="shared" ca="1" si="7"/>
        <v>0</v>
      </c>
      <c r="G137">
        <f t="shared" ca="1" si="8"/>
        <v>0</v>
      </c>
      <c r="H137" t="str">
        <f>FCS!AO132</f>
        <v>Ok</v>
      </c>
    </row>
    <row r="138" spans="2:8" x14ac:dyDescent="0.25">
      <c r="B138" s="367">
        <f>FCS!G133</f>
        <v>46088</v>
      </c>
      <c r="C138">
        <f t="shared" ca="1" si="6"/>
        <v>0</v>
      </c>
      <c r="D138">
        <f>FCS!R133</f>
        <v>1.7643835616438357</v>
      </c>
      <c r="E138">
        <f>FCS!AM133</f>
        <v>103.42224863093996</v>
      </c>
      <c r="F138">
        <f t="shared" ca="1" si="7"/>
        <v>0</v>
      </c>
      <c r="G138">
        <f t="shared" ca="1" si="8"/>
        <v>0</v>
      </c>
      <c r="H138" t="str">
        <f>FCS!AO133</f>
        <v>Ok</v>
      </c>
    </row>
    <row r="139" spans="2:8" x14ac:dyDescent="0.25">
      <c r="B139" s="367">
        <f>FCS!G134</f>
        <v>46088</v>
      </c>
      <c r="C139">
        <f t="shared" ca="1" si="6"/>
        <v>0</v>
      </c>
      <c r="D139">
        <f>FCS!R134</f>
        <v>1.8038194444444444</v>
      </c>
      <c r="E139">
        <f>FCS!AM134</f>
        <v>104.15670019352163</v>
      </c>
      <c r="F139">
        <f t="shared" ca="1" si="7"/>
        <v>0</v>
      </c>
      <c r="G139">
        <f t="shared" ca="1" si="8"/>
        <v>0</v>
      </c>
      <c r="H139" t="str">
        <f>FCS!AO134</f>
        <v>Ok</v>
      </c>
    </row>
    <row r="140" spans="2:8" x14ac:dyDescent="0.25">
      <c r="B140" s="367">
        <f>FCS!G135</f>
        <v>46088</v>
      </c>
      <c r="C140">
        <f t="shared" ca="1" si="6"/>
        <v>0</v>
      </c>
      <c r="D140">
        <f>FCS!R135</f>
        <v>1.8149004144986332</v>
      </c>
      <c r="E140">
        <f>FCS!AM135</f>
        <v>104.79654099318824</v>
      </c>
      <c r="F140">
        <f t="shared" ca="1" si="7"/>
        <v>0</v>
      </c>
      <c r="G140">
        <f t="shared" ca="1" si="8"/>
        <v>0</v>
      </c>
      <c r="H140" t="str">
        <f>FCS!AO135</f>
        <v>OK</v>
      </c>
    </row>
    <row r="141" spans="2:8" x14ac:dyDescent="0.25">
      <c r="B141" s="367">
        <f>FCS!G136</f>
        <v>46088</v>
      </c>
      <c r="C141">
        <f t="shared" ca="1" si="6"/>
        <v>0</v>
      </c>
      <c r="D141">
        <f>FCS!R136</f>
        <v>1.7434599156118142</v>
      </c>
      <c r="E141">
        <f>FCS!AM136</f>
        <v>102.1957746548543</v>
      </c>
      <c r="F141">
        <f t="shared" ca="1" si="7"/>
        <v>0</v>
      </c>
      <c r="G141">
        <f t="shared" ca="1" si="8"/>
        <v>0</v>
      </c>
      <c r="H141" t="str">
        <f>FCS!AO136</f>
        <v>Ok</v>
      </c>
    </row>
    <row r="142" spans="2:8" x14ac:dyDescent="0.25">
      <c r="B142" s="367">
        <f>FCS!G137</f>
        <v>46088</v>
      </c>
      <c r="C142">
        <f t="shared" ca="1" si="6"/>
        <v>0</v>
      </c>
      <c r="D142">
        <f>FCS!R137</f>
        <v>1.7091531223267749</v>
      </c>
      <c r="E142">
        <f>FCS!AM137</f>
        <v>100.18482545877929</v>
      </c>
      <c r="F142">
        <f t="shared" ca="1" si="7"/>
        <v>0</v>
      </c>
      <c r="G142">
        <f t="shared" ca="1" si="8"/>
        <v>0</v>
      </c>
      <c r="H142" t="str">
        <f>FCS!AO137</f>
        <v>Ok</v>
      </c>
    </row>
    <row r="143" spans="2:8" x14ac:dyDescent="0.25">
      <c r="B143" s="367">
        <f>FCS!G138</f>
        <v>46088</v>
      </c>
      <c r="C143">
        <f t="shared" ca="1" si="6"/>
        <v>0</v>
      </c>
      <c r="D143" t="str">
        <f>FCS!R138</f>
        <v>-</v>
      </c>
      <c r="E143" t="str">
        <f>FCS!AM138</f>
        <v>-</v>
      </c>
      <c r="F143">
        <f t="shared" ca="1" si="7"/>
        <v>0</v>
      </c>
      <c r="G143">
        <f t="shared" ca="1" si="8"/>
        <v>0</v>
      </c>
      <c r="H143" t="str">
        <f>FCS!AO138</f>
        <v>-</v>
      </c>
    </row>
    <row r="144" spans="2:8" x14ac:dyDescent="0.25">
      <c r="B144" s="367">
        <f>FCS!G139</f>
        <v>46089</v>
      </c>
      <c r="C144">
        <f t="shared" ca="1" si="6"/>
        <v>0</v>
      </c>
      <c r="D144">
        <f>FCS!R139</f>
        <v>1.774134790528233</v>
      </c>
      <c r="E144">
        <f>FCS!AM139</f>
        <v>103.99383297351893</v>
      </c>
      <c r="F144">
        <f t="shared" ca="1" si="7"/>
        <v>0</v>
      </c>
      <c r="G144">
        <f t="shared" ca="1" si="8"/>
        <v>0</v>
      </c>
      <c r="H144" t="str">
        <f>FCS!AO139</f>
        <v>Ok</v>
      </c>
    </row>
    <row r="145" spans="2:8" x14ac:dyDescent="0.25">
      <c r="B145" s="367">
        <f>FCS!G140</f>
        <v>46089</v>
      </c>
      <c r="C145">
        <f t="shared" ca="1" si="6"/>
        <v>0</v>
      </c>
      <c r="D145">
        <f>FCS!R140</f>
        <v>1.7914389799635702</v>
      </c>
      <c r="E145">
        <f>FCS!AM140</f>
        <v>105.00814653948242</v>
      </c>
      <c r="F145">
        <f t="shared" ca="1" si="7"/>
        <v>0</v>
      </c>
      <c r="G145">
        <f t="shared" ca="1" si="8"/>
        <v>0</v>
      </c>
      <c r="H145" t="str">
        <f>FCS!AO140</f>
        <v>Ok</v>
      </c>
    </row>
    <row r="146" spans="2:8" x14ac:dyDescent="0.25">
      <c r="B146" s="367">
        <f>FCS!G141</f>
        <v>46089</v>
      </c>
      <c r="C146">
        <f t="shared" ca="1" si="6"/>
        <v>0</v>
      </c>
      <c r="D146">
        <f>FCS!R141</f>
        <v>1.7010119595216191</v>
      </c>
      <c r="E146">
        <f>FCS!AM141</f>
        <v>99.707617791419651</v>
      </c>
      <c r="F146">
        <f t="shared" ca="1" si="7"/>
        <v>0</v>
      </c>
      <c r="G146">
        <f t="shared" ca="1" si="8"/>
        <v>0</v>
      </c>
      <c r="H146" t="str">
        <f>FCS!AO141</f>
        <v>Ok</v>
      </c>
    </row>
    <row r="147" spans="2:8" x14ac:dyDescent="0.25">
      <c r="B147" s="367">
        <f>FCS!G142</f>
        <v>46089</v>
      </c>
      <c r="C147">
        <f t="shared" ref="C147:C210" ca="1" si="9">IF(AND(B147&gt;$C$5,B147&lt;$D$4,H147="OK"),1,0)</f>
        <v>0</v>
      </c>
      <c r="D147">
        <f>FCS!R142</f>
        <v>1.6765734265734267</v>
      </c>
      <c r="E147">
        <f>FCS!AM142</f>
        <v>98.275112929274727</v>
      </c>
      <c r="F147">
        <f t="shared" ref="F147:F210" ca="1" si="10">IFERROR(D147*C147,0)</f>
        <v>0</v>
      </c>
      <c r="G147">
        <f t="shared" ref="G147:G210" ca="1" si="11">IFERROR(E147*C147,0)</f>
        <v>0</v>
      </c>
      <c r="H147" t="str">
        <f>FCS!AO142</f>
        <v>Ok</v>
      </c>
    </row>
    <row r="148" spans="2:8" x14ac:dyDescent="0.25">
      <c r="B148" s="367">
        <f>FCS!G143</f>
        <v>46089</v>
      </c>
      <c r="C148">
        <f t="shared" ca="1" si="9"/>
        <v>0</v>
      </c>
      <c r="D148">
        <f>FCS!R143</f>
        <v>1.711923411662315</v>
      </c>
      <c r="E148">
        <f>FCS!AM143</f>
        <v>99.995526382144575</v>
      </c>
      <c r="F148">
        <f t="shared" ca="1" si="10"/>
        <v>0</v>
      </c>
      <c r="G148">
        <f t="shared" ca="1" si="11"/>
        <v>0</v>
      </c>
      <c r="H148" t="str">
        <f>FCS!AO143</f>
        <v>Ok</v>
      </c>
    </row>
    <row r="149" spans="2:8" x14ac:dyDescent="0.25">
      <c r="B149" s="367">
        <f>FCS!G144</f>
        <v>46089</v>
      </c>
      <c r="C149">
        <f t="shared" ca="1" si="9"/>
        <v>0</v>
      </c>
      <c r="D149">
        <f>FCS!R144</f>
        <v>1.7756232686980611</v>
      </c>
      <c r="E149">
        <f>FCS!AM144</f>
        <v>103.71631242395216</v>
      </c>
      <c r="F149">
        <f t="shared" ca="1" si="10"/>
        <v>0</v>
      </c>
      <c r="G149">
        <f t="shared" ca="1" si="11"/>
        <v>0</v>
      </c>
      <c r="H149" t="str">
        <f>FCS!AO144</f>
        <v>Ok</v>
      </c>
    </row>
    <row r="150" spans="2:8" x14ac:dyDescent="0.25">
      <c r="B150" s="367">
        <f>FCS!G145</f>
        <v>46089</v>
      </c>
      <c r="C150">
        <f t="shared" ca="1" si="9"/>
        <v>0</v>
      </c>
      <c r="D150">
        <f>FCS!R145</f>
        <v>1.7497741644083109</v>
      </c>
      <c r="E150">
        <f>FCS!AM145</f>
        <v>102.20643483693405</v>
      </c>
      <c r="F150">
        <f t="shared" ca="1" si="10"/>
        <v>0</v>
      </c>
      <c r="G150">
        <f t="shared" ca="1" si="11"/>
        <v>0</v>
      </c>
      <c r="H150" t="str">
        <f>FCS!AO145</f>
        <v>Ok</v>
      </c>
    </row>
    <row r="151" spans="2:8" x14ac:dyDescent="0.25">
      <c r="B151" s="367">
        <f>FCS!G146</f>
        <v>46089</v>
      </c>
      <c r="C151">
        <f t="shared" ca="1" si="9"/>
        <v>0</v>
      </c>
      <c r="D151">
        <f>FCS!R146</f>
        <v>1.7617777777777777</v>
      </c>
      <c r="E151">
        <f>FCS!AM146</f>
        <v>101.72911727544047</v>
      </c>
      <c r="F151">
        <f t="shared" ca="1" si="10"/>
        <v>0</v>
      </c>
      <c r="G151">
        <f t="shared" ca="1" si="11"/>
        <v>0</v>
      </c>
      <c r="H151" t="str">
        <f>FCS!AO146</f>
        <v>Ok</v>
      </c>
    </row>
    <row r="152" spans="2:8" x14ac:dyDescent="0.25">
      <c r="B152" s="367">
        <f>FCS!G147</f>
        <v>46089</v>
      </c>
      <c r="C152">
        <f t="shared" ca="1" si="9"/>
        <v>0</v>
      </c>
      <c r="D152">
        <f>FCS!R147</f>
        <v>1.7543923543424673</v>
      </c>
      <c r="E152">
        <f>FCS!AM147</f>
        <v>101.30266587149148</v>
      </c>
      <c r="F152">
        <f t="shared" ca="1" si="10"/>
        <v>0</v>
      </c>
      <c r="G152">
        <f t="shared" ca="1" si="11"/>
        <v>0</v>
      </c>
      <c r="H152" t="str">
        <f>FCS!AO147</f>
        <v>OK</v>
      </c>
    </row>
    <row r="153" spans="2:8" x14ac:dyDescent="0.25">
      <c r="B153" s="367">
        <f>FCS!G148</f>
        <v>46089</v>
      </c>
      <c r="C153">
        <f t="shared" ca="1" si="9"/>
        <v>0</v>
      </c>
      <c r="D153">
        <f>FCS!R148</f>
        <v>1.7229791099000908</v>
      </c>
      <c r="E153">
        <f>FCS!AM148</f>
        <v>100.64130314836979</v>
      </c>
      <c r="F153">
        <f t="shared" ca="1" si="10"/>
        <v>0</v>
      </c>
      <c r="G153">
        <f t="shared" ca="1" si="11"/>
        <v>0</v>
      </c>
      <c r="H153" t="str">
        <f>FCS!AO148</f>
        <v>Ok</v>
      </c>
    </row>
    <row r="154" spans="2:8" x14ac:dyDescent="0.25">
      <c r="B154" s="367">
        <f>FCS!G149</f>
        <v>46089</v>
      </c>
      <c r="C154">
        <f t="shared" ca="1" si="9"/>
        <v>0</v>
      </c>
      <c r="D154">
        <f>FCS!R149</f>
        <v>1.7369369369369367</v>
      </c>
      <c r="E154">
        <f>FCS!AM149</f>
        <v>101.45659678369958</v>
      </c>
      <c r="F154">
        <f t="shared" ca="1" si="10"/>
        <v>0</v>
      </c>
      <c r="G154">
        <f t="shared" ca="1" si="11"/>
        <v>0</v>
      </c>
      <c r="H154" t="str">
        <f>FCS!AO149</f>
        <v>Ok</v>
      </c>
    </row>
    <row r="155" spans="2:8" x14ac:dyDescent="0.25">
      <c r="B155" s="367">
        <f>FCS!G150</f>
        <v>46089</v>
      </c>
      <c r="C155">
        <f t="shared" ca="1" si="9"/>
        <v>0</v>
      </c>
      <c r="D155">
        <f>FCS!R150</f>
        <v>1.7290552584670233</v>
      </c>
      <c r="E155">
        <f>FCS!AM150</f>
        <v>100.99621836840089</v>
      </c>
      <c r="F155">
        <f t="shared" ca="1" si="10"/>
        <v>0</v>
      </c>
      <c r="G155">
        <f t="shared" ca="1" si="11"/>
        <v>0</v>
      </c>
      <c r="H155" t="str">
        <f>FCS!AO150</f>
        <v>Ok</v>
      </c>
    </row>
    <row r="156" spans="2:8" x14ac:dyDescent="0.25">
      <c r="B156" s="367">
        <f>FCS!G151</f>
        <v>46089</v>
      </c>
      <c r="C156">
        <f t="shared" ca="1" si="9"/>
        <v>0</v>
      </c>
      <c r="D156">
        <f>FCS!R151</f>
        <v>1.7700631199278631</v>
      </c>
      <c r="E156">
        <f>FCS!AM151</f>
        <v>103.39153737896396</v>
      </c>
      <c r="F156">
        <f t="shared" ca="1" si="10"/>
        <v>0</v>
      </c>
      <c r="G156">
        <f t="shared" ca="1" si="11"/>
        <v>0</v>
      </c>
      <c r="H156" t="str">
        <f>FCS!AO151</f>
        <v>Ok</v>
      </c>
    </row>
    <row r="157" spans="2:8" x14ac:dyDescent="0.25">
      <c r="B157" s="367">
        <f>FCS!G152</f>
        <v>46089</v>
      </c>
      <c r="C157">
        <f t="shared" ca="1" si="9"/>
        <v>0</v>
      </c>
      <c r="D157">
        <f>FCS!R152</f>
        <v>1.7186108637577915</v>
      </c>
      <c r="E157">
        <f>FCS!AM152</f>
        <v>100.38614858398316</v>
      </c>
      <c r="F157">
        <f t="shared" ca="1" si="10"/>
        <v>0</v>
      </c>
      <c r="G157">
        <f t="shared" ca="1" si="11"/>
        <v>0</v>
      </c>
      <c r="H157" t="str">
        <f>FCS!AO152</f>
        <v>Ok</v>
      </c>
    </row>
    <row r="158" spans="2:8" x14ac:dyDescent="0.25">
      <c r="B158" s="367">
        <f>FCS!G153</f>
        <v>46089</v>
      </c>
      <c r="C158">
        <f t="shared" ca="1" si="9"/>
        <v>0</v>
      </c>
      <c r="D158">
        <f>FCS!R153</f>
        <v>1.7328519855595665</v>
      </c>
      <c r="E158">
        <f>FCS!AM153</f>
        <v>101.21798981072234</v>
      </c>
      <c r="F158">
        <f t="shared" ca="1" si="10"/>
        <v>0</v>
      </c>
      <c r="G158">
        <f t="shared" ca="1" si="11"/>
        <v>0</v>
      </c>
      <c r="H158" t="str">
        <f>FCS!AO153</f>
        <v>Ok</v>
      </c>
    </row>
    <row r="159" spans="2:8" x14ac:dyDescent="0.25">
      <c r="B159" s="367">
        <f>FCS!G154</f>
        <v>46089</v>
      </c>
      <c r="C159">
        <f t="shared" ca="1" si="9"/>
        <v>0</v>
      </c>
      <c r="D159">
        <f>FCS!R154</f>
        <v>1.7216770740410348</v>
      </c>
      <c r="E159">
        <f>FCS!AM154</f>
        <v>100.56524965192961</v>
      </c>
      <c r="F159">
        <f t="shared" ca="1" si="10"/>
        <v>0</v>
      </c>
      <c r="G159">
        <f t="shared" ca="1" si="11"/>
        <v>0</v>
      </c>
      <c r="H159" t="str">
        <f>FCS!AO154</f>
        <v>Ok</v>
      </c>
    </row>
    <row r="160" spans="2:8" x14ac:dyDescent="0.25">
      <c r="B160" s="367">
        <f>FCS!G155</f>
        <v>46089</v>
      </c>
      <c r="C160">
        <f t="shared" ca="1" si="9"/>
        <v>0</v>
      </c>
      <c r="D160">
        <f>FCS!R155</f>
        <v>1.7372727272727271</v>
      </c>
      <c r="E160">
        <f>FCS!AM155</f>
        <v>101.47621070518267</v>
      </c>
      <c r="F160">
        <f t="shared" ca="1" si="10"/>
        <v>0</v>
      </c>
      <c r="G160">
        <f t="shared" ca="1" si="11"/>
        <v>0</v>
      </c>
      <c r="H160" t="str">
        <f>FCS!AO155</f>
        <v>Ok</v>
      </c>
    </row>
    <row r="161" spans="2:8" x14ac:dyDescent="0.25">
      <c r="B161" s="367">
        <f>FCS!G156</f>
        <v>46089</v>
      </c>
      <c r="C161">
        <f t="shared" ca="1" si="9"/>
        <v>0</v>
      </c>
      <c r="D161">
        <f>FCS!R156</f>
        <v>1.7651309846431797</v>
      </c>
      <c r="E161">
        <f>FCS!AM156</f>
        <v>103.10344536467171</v>
      </c>
      <c r="F161">
        <f t="shared" ca="1" si="10"/>
        <v>0</v>
      </c>
      <c r="G161">
        <f t="shared" ca="1" si="11"/>
        <v>0</v>
      </c>
      <c r="H161" t="str">
        <f>FCS!AO156</f>
        <v>Ok</v>
      </c>
    </row>
    <row r="162" spans="2:8" x14ac:dyDescent="0.25">
      <c r="B162" s="367">
        <f>FCS!G157</f>
        <v>46089</v>
      </c>
      <c r="C162">
        <f t="shared" ca="1" si="9"/>
        <v>0</v>
      </c>
      <c r="D162">
        <f>FCS!R157</f>
        <v>1.7606142728093948</v>
      </c>
      <c r="E162">
        <f>FCS!AM157</f>
        <v>101.12660958124036</v>
      </c>
      <c r="F162">
        <f t="shared" ca="1" si="10"/>
        <v>0</v>
      </c>
      <c r="G162">
        <f t="shared" ca="1" si="11"/>
        <v>0</v>
      </c>
      <c r="H162" t="str">
        <f>FCS!AO157</f>
        <v>Ok</v>
      </c>
    </row>
    <row r="163" spans="2:8" x14ac:dyDescent="0.25">
      <c r="B163" s="367">
        <f>FCS!G158</f>
        <v>46089</v>
      </c>
      <c r="C163">
        <f t="shared" ca="1" si="9"/>
        <v>0</v>
      </c>
      <c r="D163">
        <f>FCS!R158</f>
        <v>1.776029715918531</v>
      </c>
      <c r="E163">
        <f>FCS!AM158</f>
        <v>102.01204571617065</v>
      </c>
      <c r="F163">
        <f t="shared" ca="1" si="10"/>
        <v>0</v>
      </c>
      <c r="G163">
        <f t="shared" ca="1" si="11"/>
        <v>0</v>
      </c>
      <c r="H163" t="str">
        <f>FCS!AO158</f>
        <v>OK</v>
      </c>
    </row>
    <row r="164" spans="2:8" x14ac:dyDescent="0.25">
      <c r="B164" s="367">
        <f>FCS!G159</f>
        <v>46089</v>
      </c>
      <c r="C164">
        <f t="shared" ca="1" si="9"/>
        <v>0</v>
      </c>
      <c r="D164">
        <f>FCS!R159</f>
        <v>1.745685740236149</v>
      </c>
      <c r="E164">
        <f>FCS!AM159</f>
        <v>101.96762501379375</v>
      </c>
      <c r="F164">
        <f t="shared" ca="1" si="10"/>
        <v>0</v>
      </c>
      <c r="G164">
        <f t="shared" ca="1" si="11"/>
        <v>0</v>
      </c>
      <c r="H164" t="str">
        <f>FCS!AO159</f>
        <v>Ok</v>
      </c>
    </row>
    <row r="165" spans="2:8" x14ac:dyDescent="0.25">
      <c r="B165" s="367">
        <f>FCS!G160</f>
        <v>46089</v>
      </c>
      <c r="C165">
        <f t="shared" ca="1" si="9"/>
        <v>0</v>
      </c>
      <c r="D165">
        <f>FCS!R160</f>
        <v>1.7065217391304346</v>
      </c>
      <c r="E165">
        <f>FCS!AM160</f>
        <v>99.680008126777722</v>
      </c>
      <c r="F165">
        <f t="shared" ca="1" si="10"/>
        <v>0</v>
      </c>
      <c r="G165">
        <f t="shared" ca="1" si="11"/>
        <v>0</v>
      </c>
      <c r="H165" t="str">
        <f>FCS!AO160</f>
        <v>Ok</v>
      </c>
    </row>
    <row r="166" spans="2:8" x14ac:dyDescent="0.25">
      <c r="B166" s="367">
        <f>FCS!G161</f>
        <v>46089</v>
      </c>
      <c r="C166">
        <f t="shared" ca="1" si="9"/>
        <v>0</v>
      </c>
      <c r="D166">
        <f>FCS!R161</f>
        <v>1.757434944237918</v>
      </c>
      <c r="E166">
        <f>FCS!AM161</f>
        <v>102.65391029427091</v>
      </c>
      <c r="F166">
        <f t="shared" ca="1" si="10"/>
        <v>0</v>
      </c>
      <c r="G166">
        <f t="shared" ca="1" si="11"/>
        <v>0</v>
      </c>
      <c r="H166" t="str">
        <f>FCS!AO161</f>
        <v>Ok</v>
      </c>
    </row>
    <row r="167" spans="2:8" x14ac:dyDescent="0.25">
      <c r="B167" s="367">
        <f>FCS!G162</f>
        <v>46089</v>
      </c>
      <c r="C167">
        <f t="shared" ca="1" si="9"/>
        <v>0</v>
      </c>
      <c r="D167">
        <f>FCS!R162</f>
        <v>1.7442477876106197</v>
      </c>
      <c r="E167">
        <f>FCS!AM162</f>
        <v>101.88363245389134</v>
      </c>
      <c r="F167">
        <f t="shared" ca="1" si="10"/>
        <v>0</v>
      </c>
      <c r="G167">
        <f t="shared" ca="1" si="11"/>
        <v>0</v>
      </c>
      <c r="H167" t="str">
        <f>FCS!AO162</f>
        <v>Ok</v>
      </c>
    </row>
    <row r="168" spans="2:8" x14ac:dyDescent="0.25">
      <c r="B168" s="367">
        <f>FCS!G163</f>
        <v>46089</v>
      </c>
      <c r="C168">
        <f t="shared" ca="1" si="9"/>
        <v>0</v>
      </c>
      <c r="D168">
        <f>FCS!R163</f>
        <v>1.6948529411764706</v>
      </c>
      <c r="E168">
        <f>FCS!AM163</f>
        <v>99.34659678642852</v>
      </c>
      <c r="F168">
        <f t="shared" ca="1" si="10"/>
        <v>0</v>
      </c>
      <c r="G168">
        <f t="shared" ca="1" si="11"/>
        <v>0</v>
      </c>
      <c r="H168" t="str">
        <f>FCS!AO163</f>
        <v>Ok</v>
      </c>
    </row>
    <row r="169" spans="2:8" x14ac:dyDescent="0.25">
      <c r="B169" s="367">
        <f>FCS!G164</f>
        <v>46089</v>
      </c>
      <c r="C169">
        <f t="shared" ca="1" si="9"/>
        <v>0</v>
      </c>
      <c r="D169">
        <f>FCS!R164</f>
        <v>1.7293165467625897</v>
      </c>
      <c r="E169">
        <f>FCS!AM164</f>
        <v>101.36673779382122</v>
      </c>
      <c r="F169">
        <f t="shared" ca="1" si="10"/>
        <v>0</v>
      </c>
      <c r="G169">
        <f t="shared" ca="1" si="11"/>
        <v>0</v>
      </c>
      <c r="H169" t="str">
        <f>FCS!AO164</f>
        <v>Ok</v>
      </c>
    </row>
    <row r="170" spans="2:8" x14ac:dyDescent="0.25">
      <c r="B170" s="367">
        <f>FCS!G165</f>
        <v>46089</v>
      </c>
      <c r="C170">
        <f t="shared" ca="1" si="9"/>
        <v>0</v>
      </c>
      <c r="D170">
        <f>FCS!R165</f>
        <v>1.6856634016028496</v>
      </c>
      <c r="E170">
        <f>FCS!AM165</f>
        <v>98.807936787974768</v>
      </c>
      <c r="F170">
        <f t="shared" ca="1" si="10"/>
        <v>0</v>
      </c>
      <c r="G170">
        <f t="shared" ca="1" si="11"/>
        <v>0</v>
      </c>
      <c r="H170" t="str">
        <f>FCS!AO165</f>
        <v>Ok</v>
      </c>
    </row>
    <row r="171" spans="2:8" x14ac:dyDescent="0.25">
      <c r="B171" s="367">
        <f>FCS!G166</f>
        <v>46089</v>
      </c>
      <c r="C171">
        <f t="shared" ca="1" si="9"/>
        <v>0</v>
      </c>
      <c r="D171">
        <f>FCS!R166</f>
        <v>1.711349419124218</v>
      </c>
      <c r="E171">
        <f>FCS!AM166</f>
        <v>100.31356501314291</v>
      </c>
      <c r="F171">
        <f t="shared" ca="1" si="10"/>
        <v>0</v>
      </c>
      <c r="G171">
        <f t="shared" ca="1" si="11"/>
        <v>0</v>
      </c>
      <c r="H171" t="str">
        <f>FCS!AO166</f>
        <v>Ok</v>
      </c>
    </row>
    <row r="172" spans="2:8" x14ac:dyDescent="0.25">
      <c r="B172" s="367">
        <f>FCS!G167</f>
        <v>46089</v>
      </c>
      <c r="C172">
        <f t="shared" ca="1" si="9"/>
        <v>0</v>
      </c>
      <c r="D172">
        <f>FCS!R167</f>
        <v>1.7540250447227195</v>
      </c>
      <c r="E172">
        <f>FCS!AM167</f>
        <v>102.81506709980771</v>
      </c>
      <c r="F172">
        <f t="shared" ca="1" si="10"/>
        <v>0</v>
      </c>
      <c r="G172">
        <f t="shared" ca="1" si="11"/>
        <v>0</v>
      </c>
      <c r="H172" t="str">
        <f>FCS!AO167</f>
        <v>Ok</v>
      </c>
    </row>
    <row r="173" spans="2:8" x14ac:dyDescent="0.25">
      <c r="B173" s="367">
        <f>FCS!G168</f>
        <v>46090</v>
      </c>
      <c r="C173">
        <f t="shared" ca="1" si="9"/>
        <v>0</v>
      </c>
      <c r="D173">
        <f>FCS!R168</f>
        <v>1.7063492063492065</v>
      </c>
      <c r="E173">
        <f>FCS!AM168</f>
        <v>98.587933886040858</v>
      </c>
      <c r="F173">
        <f t="shared" ca="1" si="10"/>
        <v>0</v>
      </c>
      <c r="G173">
        <f t="shared" ca="1" si="11"/>
        <v>0</v>
      </c>
      <c r="H173" t="str">
        <f>FCS!AO168</f>
        <v>Ok</v>
      </c>
    </row>
    <row r="174" spans="2:8" x14ac:dyDescent="0.25">
      <c r="B174" s="367">
        <f>FCS!G169</f>
        <v>46090</v>
      </c>
      <c r="C174">
        <f t="shared" ca="1" si="9"/>
        <v>0</v>
      </c>
      <c r="D174">
        <f>FCS!R169</f>
        <v>1.725085531048441</v>
      </c>
      <c r="E174">
        <f>FCS!AM169</f>
        <v>99.658320684485318</v>
      </c>
      <c r="F174">
        <f t="shared" ca="1" si="10"/>
        <v>0</v>
      </c>
      <c r="G174">
        <f t="shared" ca="1" si="11"/>
        <v>0</v>
      </c>
      <c r="H174" t="str">
        <f>FCS!AO169</f>
        <v>OK</v>
      </c>
    </row>
    <row r="175" spans="2:8" x14ac:dyDescent="0.25">
      <c r="B175" s="367">
        <f>FCS!G170</f>
        <v>46090</v>
      </c>
      <c r="C175">
        <f t="shared" ca="1" si="9"/>
        <v>0</v>
      </c>
      <c r="D175">
        <f>FCS!R170</f>
        <v>1.7577132486388385</v>
      </c>
      <c r="E175">
        <f>FCS!AM170</f>
        <v>102.67016639245551</v>
      </c>
      <c r="F175">
        <f t="shared" ca="1" si="10"/>
        <v>0</v>
      </c>
      <c r="G175">
        <f t="shared" ca="1" si="11"/>
        <v>0</v>
      </c>
      <c r="H175" t="str">
        <f>FCS!AO170</f>
        <v>Ok</v>
      </c>
    </row>
    <row r="176" spans="2:8" x14ac:dyDescent="0.25">
      <c r="B176" s="367">
        <f>FCS!G171</f>
        <v>46090</v>
      </c>
      <c r="C176">
        <f t="shared" ca="1" si="9"/>
        <v>0</v>
      </c>
      <c r="D176">
        <f>FCS!R171</f>
        <v>1.7624209575429088</v>
      </c>
      <c r="E176">
        <f>FCS!AM171</f>
        <v>102.9451493891886</v>
      </c>
      <c r="F176">
        <f t="shared" ca="1" si="10"/>
        <v>0</v>
      </c>
      <c r="G176">
        <f t="shared" ca="1" si="11"/>
        <v>0</v>
      </c>
      <c r="H176" t="str">
        <f>FCS!AO171</f>
        <v>Ok</v>
      </c>
    </row>
    <row r="177" spans="2:8" x14ac:dyDescent="0.25">
      <c r="B177" s="367">
        <f>FCS!G172</f>
        <v>46090</v>
      </c>
      <c r="C177">
        <f t="shared" ca="1" si="9"/>
        <v>0</v>
      </c>
      <c r="D177">
        <f>FCS!R172</f>
        <v>1.7610701107011069</v>
      </c>
      <c r="E177">
        <f>FCS!AM172</f>
        <v>102.86624478394315</v>
      </c>
      <c r="F177">
        <f t="shared" ca="1" si="10"/>
        <v>0</v>
      </c>
      <c r="G177">
        <f t="shared" ca="1" si="11"/>
        <v>0</v>
      </c>
      <c r="H177" t="str">
        <f>FCS!AO172</f>
        <v>Ok</v>
      </c>
    </row>
    <row r="178" spans="2:8" x14ac:dyDescent="0.25">
      <c r="B178" s="367">
        <f>FCS!G173</f>
        <v>46090</v>
      </c>
      <c r="C178">
        <f t="shared" ca="1" si="9"/>
        <v>0</v>
      </c>
      <c r="D178">
        <f>FCS!R173</f>
        <v>1.7497725204731576</v>
      </c>
      <c r="E178">
        <f>FCS!AM173</f>
        <v>102.20633881268444</v>
      </c>
      <c r="F178">
        <f t="shared" ca="1" si="10"/>
        <v>0</v>
      </c>
      <c r="G178">
        <f t="shared" ca="1" si="11"/>
        <v>0</v>
      </c>
      <c r="H178" t="str">
        <f>FCS!AO173</f>
        <v>Ok</v>
      </c>
    </row>
    <row r="179" spans="2:8" x14ac:dyDescent="0.25">
      <c r="B179" s="367">
        <f>FCS!G174</f>
        <v>46090</v>
      </c>
      <c r="C179">
        <f t="shared" ca="1" si="9"/>
        <v>0</v>
      </c>
      <c r="D179">
        <f>FCS!R174</f>
        <v>1.7377201112140872</v>
      </c>
      <c r="E179">
        <f>FCS!AM174</f>
        <v>101.50234294474809</v>
      </c>
      <c r="F179">
        <f t="shared" ca="1" si="10"/>
        <v>0</v>
      </c>
      <c r="G179">
        <f t="shared" ca="1" si="11"/>
        <v>0</v>
      </c>
      <c r="H179" t="str">
        <f>FCS!AO174</f>
        <v>Ok</v>
      </c>
    </row>
    <row r="180" spans="2:8" x14ac:dyDescent="0.25">
      <c r="B180" s="367">
        <f>FCS!G175</f>
        <v>46090</v>
      </c>
      <c r="C180">
        <f t="shared" ca="1" si="9"/>
        <v>0</v>
      </c>
      <c r="D180">
        <f>FCS!R175</f>
        <v>1.7479300827966882</v>
      </c>
      <c r="E180">
        <f>FCS!AM175</f>
        <v>102.09871978952619</v>
      </c>
      <c r="F180">
        <f t="shared" ca="1" si="10"/>
        <v>0</v>
      </c>
      <c r="G180">
        <f t="shared" ca="1" si="11"/>
        <v>0</v>
      </c>
      <c r="H180" t="str">
        <f>FCS!AO175</f>
        <v>Ok</v>
      </c>
    </row>
    <row r="181" spans="2:8" x14ac:dyDescent="0.25">
      <c r="B181" s="367">
        <f>FCS!G176</f>
        <v>46090</v>
      </c>
      <c r="C181">
        <f t="shared" ca="1" si="9"/>
        <v>0</v>
      </c>
      <c r="D181">
        <f>FCS!R176</f>
        <v>1.7917448405253282</v>
      </c>
      <c r="E181">
        <f>FCS!AM176</f>
        <v>104.65799302133927</v>
      </c>
      <c r="F181">
        <f t="shared" ca="1" si="10"/>
        <v>0</v>
      </c>
      <c r="G181">
        <f t="shared" ca="1" si="11"/>
        <v>0</v>
      </c>
      <c r="H181" t="str">
        <f>FCS!AO176</f>
        <v>Ok</v>
      </c>
    </row>
    <row r="182" spans="2:8" x14ac:dyDescent="0.25">
      <c r="B182" s="367">
        <f>FCS!G177</f>
        <v>46090</v>
      </c>
      <c r="C182">
        <f t="shared" ca="1" si="9"/>
        <v>0</v>
      </c>
      <c r="D182">
        <f>FCS!R177</f>
        <v>1.7589367552703943</v>
      </c>
      <c r="E182">
        <f>FCS!AM177</f>
        <v>102.74163290130809</v>
      </c>
      <c r="F182">
        <f t="shared" ca="1" si="10"/>
        <v>0</v>
      </c>
      <c r="G182">
        <f t="shared" ca="1" si="11"/>
        <v>0</v>
      </c>
      <c r="H182" t="str">
        <f>FCS!AO177</f>
        <v>Ok</v>
      </c>
    </row>
    <row r="183" spans="2:8" x14ac:dyDescent="0.25">
      <c r="B183" s="367">
        <f>FCS!G178</f>
        <v>46090</v>
      </c>
      <c r="C183">
        <f t="shared" ca="1" si="9"/>
        <v>0</v>
      </c>
      <c r="D183">
        <f>FCS!R178</f>
        <v>1.7122929380993896</v>
      </c>
      <c r="E183">
        <f>FCS!AM178</f>
        <v>100.01711087029146</v>
      </c>
      <c r="F183">
        <f t="shared" ca="1" si="10"/>
        <v>0</v>
      </c>
      <c r="G183">
        <f t="shared" ca="1" si="11"/>
        <v>0</v>
      </c>
      <c r="H183" t="str">
        <f>FCS!AO178</f>
        <v>Ok</v>
      </c>
    </row>
    <row r="184" spans="2:8" x14ac:dyDescent="0.25">
      <c r="B184" s="367">
        <f>FCS!G179</f>
        <v>46090</v>
      </c>
      <c r="C184">
        <f t="shared" ca="1" si="9"/>
        <v>0</v>
      </c>
      <c r="D184">
        <f>FCS!R179</f>
        <v>1.7717690192483961</v>
      </c>
      <c r="E184">
        <f>FCS!AM179</f>
        <v>102.06042737605969</v>
      </c>
      <c r="F184">
        <f t="shared" ca="1" si="10"/>
        <v>0</v>
      </c>
      <c r="G184">
        <f t="shared" ca="1" si="11"/>
        <v>0</v>
      </c>
      <c r="H184" t="str">
        <f>FCS!AO179</f>
        <v>Ok</v>
      </c>
    </row>
    <row r="185" spans="2:8" x14ac:dyDescent="0.25">
      <c r="B185" s="367">
        <f>FCS!G180</f>
        <v>46090</v>
      </c>
      <c r="C185">
        <f t="shared" ca="1" si="9"/>
        <v>0</v>
      </c>
      <c r="D185">
        <f>FCS!R180</f>
        <v>1.7317859980833661</v>
      </c>
      <c r="E185">
        <f>FCS!AM180</f>
        <v>99.757257954110941</v>
      </c>
      <c r="F185">
        <f t="shared" ca="1" si="10"/>
        <v>0</v>
      </c>
      <c r="G185">
        <f t="shared" ca="1" si="11"/>
        <v>0</v>
      </c>
      <c r="H185" t="str">
        <f>FCS!AO180</f>
        <v>OK</v>
      </c>
    </row>
    <row r="186" spans="2:8" x14ac:dyDescent="0.25">
      <c r="B186" s="367">
        <f>FCS!G181</f>
        <v>46090</v>
      </c>
      <c r="C186">
        <f t="shared" ca="1" si="9"/>
        <v>0</v>
      </c>
      <c r="D186">
        <f>FCS!R181</f>
        <v>1.7298534798534797</v>
      </c>
      <c r="E186">
        <f>FCS!AM181</f>
        <v>101.0428434493855</v>
      </c>
      <c r="F186">
        <f t="shared" ca="1" si="10"/>
        <v>0</v>
      </c>
      <c r="G186">
        <f t="shared" ca="1" si="11"/>
        <v>0</v>
      </c>
      <c r="H186" t="str">
        <f>FCS!AO181</f>
        <v>Ok</v>
      </c>
    </row>
    <row r="187" spans="2:8" x14ac:dyDescent="0.25">
      <c r="B187" s="367">
        <f>FCS!G182</f>
        <v>46090</v>
      </c>
      <c r="C187">
        <f t="shared" ca="1" si="9"/>
        <v>0</v>
      </c>
      <c r="D187">
        <f>FCS!R182</f>
        <v>1.7463099630996308</v>
      </c>
      <c r="E187">
        <f>FCS!AM182</f>
        <v>102.00408662965133</v>
      </c>
      <c r="F187">
        <f t="shared" ca="1" si="10"/>
        <v>0</v>
      </c>
      <c r="G187">
        <f t="shared" ca="1" si="11"/>
        <v>0</v>
      </c>
      <c r="H187" t="str">
        <f>FCS!AO182</f>
        <v>Ok</v>
      </c>
    </row>
    <row r="188" spans="2:8" x14ac:dyDescent="0.25">
      <c r="B188" s="367">
        <f>FCS!G183</f>
        <v>46090</v>
      </c>
      <c r="C188">
        <f t="shared" ca="1" si="9"/>
        <v>0</v>
      </c>
      <c r="D188">
        <f>FCS!R183</f>
        <v>1.758020164986251</v>
      </c>
      <c r="E188">
        <f>FCS!AM183</f>
        <v>102.68809374919692</v>
      </c>
      <c r="F188">
        <f t="shared" ca="1" si="10"/>
        <v>0</v>
      </c>
      <c r="G188">
        <f t="shared" ca="1" si="11"/>
        <v>0</v>
      </c>
      <c r="H188" t="str">
        <f>FCS!AO183</f>
        <v>Ok</v>
      </c>
    </row>
    <row r="189" spans="2:8" x14ac:dyDescent="0.25">
      <c r="B189" s="367">
        <f>FCS!G184</f>
        <v>46090</v>
      </c>
      <c r="C189">
        <f t="shared" ca="1" si="9"/>
        <v>0</v>
      </c>
      <c r="D189">
        <f>FCS!R184</f>
        <v>1.7169476486246673</v>
      </c>
      <c r="E189">
        <f>FCS!AM184</f>
        <v>100.05522427882676</v>
      </c>
      <c r="F189">
        <f t="shared" ca="1" si="10"/>
        <v>0</v>
      </c>
      <c r="G189">
        <f t="shared" ca="1" si="11"/>
        <v>0</v>
      </c>
      <c r="H189" t="str">
        <f>FCS!AO184</f>
        <v>Ok</v>
      </c>
    </row>
    <row r="190" spans="2:8" x14ac:dyDescent="0.25">
      <c r="B190" s="367">
        <f>FCS!G185</f>
        <v>46090</v>
      </c>
      <c r="C190">
        <f t="shared" ca="1" si="9"/>
        <v>0</v>
      </c>
      <c r="D190">
        <f>FCS!R185</f>
        <v>1.7173144876325086</v>
      </c>
      <c r="E190">
        <f>FCS!AM185</f>
        <v>100.66321732898645</v>
      </c>
      <c r="F190">
        <f t="shared" ca="1" si="10"/>
        <v>0</v>
      </c>
      <c r="G190">
        <f t="shared" ca="1" si="11"/>
        <v>0</v>
      </c>
      <c r="H190" t="str">
        <f>FCS!AO185</f>
        <v>Ok</v>
      </c>
    </row>
    <row r="191" spans="2:8" x14ac:dyDescent="0.25">
      <c r="B191" s="367">
        <f>FCS!G186</f>
        <v>46090</v>
      </c>
      <c r="C191">
        <f t="shared" ca="1" si="9"/>
        <v>0</v>
      </c>
      <c r="D191" t="str">
        <f>FCS!R186</f>
        <v>-</v>
      </c>
      <c r="E191" t="str">
        <f>FCS!AM186</f>
        <v>-</v>
      </c>
      <c r="F191">
        <f t="shared" ca="1" si="10"/>
        <v>0</v>
      </c>
      <c r="G191">
        <f t="shared" ca="1" si="11"/>
        <v>0</v>
      </c>
      <c r="H191" t="str">
        <f>FCS!AO186</f>
        <v>-</v>
      </c>
    </row>
    <row r="192" spans="2:8" x14ac:dyDescent="0.25">
      <c r="B192" s="367">
        <f>FCS!G187</f>
        <v>46091</v>
      </c>
      <c r="C192">
        <f t="shared" ca="1" si="9"/>
        <v>0</v>
      </c>
      <c r="D192">
        <f>FCS!R187</f>
        <v>1.7204688908926962</v>
      </c>
      <c r="E192">
        <f>FCS!AM187</f>
        <v>100.26042487719675</v>
      </c>
      <c r="F192">
        <f t="shared" ca="1" si="10"/>
        <v>0</v>
      </c>
      <c r="G192">
        <f t="shared" ca="1" si="11"/>
        <v>0</v>
      </c>
      <c r="H192" t="str">
        <f>FCS!AO187</f>
        <v>Ok</v>
      </c>
    </row>
    <row r="193" spans="2:8" x14ac:dyDescent="0.25">
      <c r="B193" s="367">
        <f>FCS!G188</f>
        <v>46091</v>
      </c>
      <c r="C193">
        <f t="shared" ca="1" si="9"/>
        <v>0</v>
      </c>
      <c r="D193">
        <f>FCS!R188</f>
        <v>1.7663384064458372</v>
      </c>
      <c r="E193">
        <f>FCS!AM188</f>
        <v>102.93347356910473</v>
      </c>
      <c r="F193">
        <f t="shared" ca="1" si="10"/>
        <v>0</v>
      </c>
      <c r="G193">
        <f t="shared" ca="1" si="11"/>
        <v>0</v>
      </c>
      <c r="H193" t="str">
        <f>FCS!AO188</f>
        <v>Ok</v>
      </c>
    </row>
    <row r="194" spans="2:8" x14ac:dyDescent="0.25">
      <c r="B194" s="367">
        <f>FCS!G189</f>
        <v>46091</v>
      </c>
      <c r="C194">
        <f t="shared" ca="1" si="9"/>
        <v>0</v>
      </c>
      <c r="D194">
        <f>FCS!R189</f>
        <v>1.7574123989218329</v>
      </c>
      <c r="E194">
        <f>FCS!AM189</f>
        <v>102.41330996047976</v>
      </c>
      <c r="F194">
        <f t="shared" ca="1" si="10"/>
        <v>0</v>
      </c>
      <c r="G194">
        <f t="shared" ca="1" si="11"/>
        <v>0</v>
      </c>
      <c r="H194" t="str">
        <f>FCS!AO189</f>
        <v>Ok</v>
      </c>
    </row>
    <row r="195" spans="2:8" x14ac:dyDescent="0.25">
      <c r="B195" s="367">
        <f>FCS!G190</f>
        <v>46091</v>
      </c>
      <c r="C195">
        <f t="shared" ca="1" si="9"/>
        <v>0</v>
      </c>
      <c r="D195">
        <f>FCS!R190</f>
        <v>1.7178796046720575</v>
      </c>
      <c r="E195">
        <f>FCS!AM190</f>
        <v>100.10953407179821</v>
      </c>
      <c r="F195">
        <f t="shared" ca="1" si="10"/>
        <v>0</v>
      </c>
      <c r="G195">
        <f t="shared" ca="1" si="11"/>
        <v>0</v>
      </c>
      <c r="H195" t="str">
        <f>FCS!AO190</f>
        <v>Ok</v>
      </c>
    </row>
    <row r="196" spans="2:8" x14ac:dyDescent="0.25">
      <c r="B196" s="367">
        <f>FCS!G191</f>
        <v>46091</v>
      </c>
      <c r="C196">
        <f t="shared" ca="1" si="9"/>
        <v>0</v>
      </c>
      <c r="D196">
        <f>FCS!R191</f>
        <v>1.775381850853549</v>
      </c>
      <c r="E196">
        <f>FCS!AM191</f>
        <v>103.46048081897139</v>
      </c>
      <c r="F196">
        <f t="shared" ca="1" si="10"/>
        <v>0</v>
      </c>
      <c r="G196">
        <f t="shared" ca="1" si="11"/>
        <v>0</v>
      </c>
      <c r="H196" t="str">
        <f>FCS!AO191</f>
        <v>Ok</v>
      </c>
    </row>
    <row r="197" spans="2:8" x14ac:dyDescent="0.25">
      <c r="B197" s="367">
        <f>FCS!G192</f>
        <v>46091</v>
      </c>
      <c r="C197">
        <f t="shared" ca="1" si="9"/>
        <v>0</v>
      </c>
      <c r="D197">
        <f>FCS!R192</f>
        <v>1.7324490533726571</v>
      </c>
      <c r="E197">
        <f>FCS!AM192</f>
        <v>100.95856954386113</v>
      </c>
      <c r="F197">
        <f t="shared" ca="1" si="10"/>
        <v>0</v>
      </c>
      <c r="G197">
        <f t="shared" ca="1" si="11"/>
        <v>0</v>
      </c>
      <c r="H197" t="str">
        <f>FCS!AO192</f>
        <v>OK</v>
      </c>
    </row>
    <row r="198" spans="2:8" x14ac:dyDescent="0.25">
      <c r="B198" s="367">
        <f>FCS!G193</f>
        <v>46091</v>
      </c>
      <c r="C198">
        <f t="shared" ca="1" si="9"/>
        <v>0</v>
      </c>
      <c r="D198">
        <f>FCS!R193</f>
        <v>1.7769784172661869</v>
      </c>
      <c r="E198">
        <f>FCS!AM193</f>
        <v>103.55352081970786</v>
      </c>
      <c r="F198">
        <f t="shared" ca="1" si="10"/>
        <v>0</v>
      </c>
      <c r="G198">
        <f t="shared" ca="1" si="11"/>
        <v>0</v>
      </c>
      <c r="H198" t="str">
        <f>FCS!AO193</f>
        <v>Ok</v>
      </c>
    </row>
    <row r="199" spans="2:8" x14ac:dyDescent="0.25">
      <c r="B199" s="367">
        <f>FCS!G194</f>
        <v>46091</v>
      </c>
      <c r="C199">
        <f t="shared" ca="1" si="9"/>
        <v>0</v>
      </c>
      <c r="D199">
        <f>FCS!R194</f>
        <v>1.7185840707964604</v>
      </c>
      <c r="E199">
        <f>FCS!AM194</f>
        <v>100.1505868762506</v>
      </c>
      <c r="F199">
        <f t="shared" ca="1" si="10"/>
        <v>0</v>
      </c>
      <c r="G199">
        <f t="shared" ca="1" si="11"/>
        <v>0</v>
      </c>
      <c r="H199" t="str">
        <f>FCS!AO194</f>
        <v>Ok</v>
      </c>
    </row>
    <row r="200" spans="2:8" x14ac:dyDescent="0.25">
      <c r="B200" s="367">
        <f>FCS!G195</f>
        <v>46091</v>
      </c>
      <c r="C200">
        <f t="shared" ca="1" si="9"/>
        <v>0</v>
      </c>
      <c r="D200">
        <f>FCS!R195</f>
        <v>1.7604735883424407</v>
      </c>
      <c r="E200">
        <f>FCS!AM195</f>
        <v>102.59170095235667</v>
      </c>
      <c r="F200">
        <f t="shared" ca="1" si="10"/>
        <v>0</v>
      </c>
      <c r="G200">
        <f t="shared" ca="1" si="11"/>
        <v>0</v>
      </c>
      <c r="H200" t="str">
        <f>FCS!AO195</f>
        <v>Ok</v>
      </c>
    </row>
    <row r="201" spans="2:8" x14ac:dyDescent="0.25">
      <c r="B201" s="367">
        <f>FCS!G196</f>
        <v>46091</v>
      </c>
      <c r="C201">
        <f t="shared" ca="1" si="9"/>
        <v>0</v>
      </c>
      <c r="D201">
        <f>FCS!R196</f>
        <v>1.6924460431654673</v>
      </c>
      <c r="E201">
        <f>FCS!AM196</f>
        <v>98.569950096998667</v>
      </c>
      <c r="F201">
        <f t="shared" ca="1" si="10"/>
        <v>0</v>
      </c>
      <c r="G201">
        <f t="shared" ca="1" si="11"/>
        <v>0</v>
      </c>
      <c r="H201" t="str">
        <f>FCS!AO196</f>
        <v>Ok</v>
      </c>
    </row>
    <row r="202" spans="2:8" x14ac:dyDescent="0.25">
      <c r="B202" s="367">
        <f>FCS!G197</f>
        <v>46091</v>
      </c>
      <c r="C202">
        <f t="shared" ca="1" si="9"/>
        <v>0</v>
      </c>
      <c r="D202">
        <f>FCS!R197</f>
        <v>1.7267135325131813</v>
      </c>
      <c r="E202">
        <f>FCS!AM197</f>
        <v>100.62433173153738</v>
      </c>
      <c r="F202">
        <f t="shared" ca="1" si="10"/>
        <v>0</v>
      </c>
      <c r="G202">
        <f t="shared" ca="1" si="11"/>
        <v>0</v>
      </c>
      <c r="H202" t="str">
        <f>FCS!AO197</f>
        <v>Ok</v>
      </c>
    </row>
    <row r="203" spans="2:8" x14ac:dyDescent="0.25">
      <c r="B203" s="367">
        <f>FCS!G198</f>
        <v>46091</v>
      </c>
      <c r="C203">
        <f t="shared" ca="1" si="9"/>
        <v>0</v>
      </c>
      <c r="D203">
        <f>FCS!R198</f>
        <v>1.7174311926605503</v>
      </c>
      <c r="E203">
        <f>FCS!AM198</f>
        <v>100.6700581864332</v>
      </c>
      <c r="F203">
        <f t="shared" ca="1" si="10"/>
        <v>0</v>
      </c>
      <c r="G203">
        <f t="shared" ca="1" si="11"/>
        <v>0</v>
      </c>
      <c r="H203" t="str">
        <f>FCS!AO198</f>
        <v>Ok</v>
      </c>
    </row>
    <row r="204" spans="2:8" x14ac:dyDescent="0.25">
      <c r="B204" s="367">
        <f>FCS!G199</f>
        <v>46091</v>
      </c>
      <c r="C204">
        <f t="shared" ca="1" si="9"/>
        <v>0</v>
      </c>
      <c r="D204">
        <f>FCS!R199</f>
        <v>1.7450628366247753</v>
      </c>
      <c r="E204">
        <f>FCS!AM199</f>
        <v>102.28973251024476</v>
      </c>
      <c r="F204">
        <f t="shared" ca="1" si="10"/>
        <v>0</v>
      </c>
      <c r="G204">
        <f t="shared" ca="1" si="11"/>
        <v>0</v>
      </c>
      <c r="H204" t="str">
        <f>FCS!AO199</f>
        <v>Ok</v>
      </c>
    </row>
    <row r="205" spans="2:8" x14ac:dyDescent="0.25">
      <c r="B205" s="367">
        <f>FCS!G200</f>
        <v>46092</v>
      </c>
      <c r="C205">
        <f t="shared" ca="1" si="9"/>
        <v>0</v>
      </c>
      <c r="D205">
        <f>FCS!R200</f>
        <v>1.7520435967302452</v>
      </c>
      <c r="E205">
        <f>FCS!AM200</f>
        <v>102.33899513611246</v>
      </c>
      <c r="F205">
        <f t="shared" ca="1" si="10"/>
        <v>0</v>
      </c>
      <c r="G205">
        <f t="shared" ca="1" si="11"/>
        <v>0</v>
      </c>
      <c r="H205" t="str">
        <f>FCS!AO200</f>
        <v>Ok</v>
      </c>
    </row>
    <row r="206" spans="2:8" x14ac:dyDescent="0.25">
      <c r="B206" s="367">
        <f>FCS!G201</f>
        <v>46092</v>
      </c>
      <c r="C206">
        <f t="shared" ca="1" si="9"/>
        <v>0</v>
      </c>
      <c r="D206">
        <f>FCS!R201</f>
        <v>1.6897777777777778</v>
      </c>
      <c r="E206">
        <f>FCS!AM201</f>
        <v>98.701973001038425</v>
      </c>
      <c r="F206">
        <f t="shared" ca="1" si="10"/>
        <v>0</v>
      </c>
      <c r="G206">
        <f t="shared" ca="1" si="11"/>
        <v>0</v>
      </c>
      <c r="H206" t="str">
        <f>FCS!AO201</f>
        <v>Ok</v>
      </c>
    </row>
    <row r="207" spans="2:8" x14ac:dyDescent="0.25">
      <c r="B207" s="367">
        <f>FCS!G202</f>
        <v>46092</v>
      </c>
      <c r="C207">
        <f t="shared" ca="1" si="9"/>
        <v>0</v>
      </c>
      <c r="D207">
        <f>FCS!R202</f>
        <v>1.7560321715817695</v>
      </c>
      <c r="E207">
        <f>FCS!AM202</f>
        <v>101.85801459291007</v>
      </c>
      <c r="F207">
        <f t="shared" ca="1" si="10"/>
        <v>0</v>
      </c>
      <c r="G207">
        <f t="shared" ca="1" si="11"/>
        <v>0</v>
      </c>
      <c r="H207" t="str">
        <f>FCS!AO202</f>
        <v>Ok</v>
      </c>
    </row>
    <row r="208" spans="2:8" x14ac:dyDescent="0.25">
      <c r="B208" s="367">
        <f>FCS!G203</f>
        <v>46092</v>
      </c>
      <c r="C208">
        <f t="shared" ca="1" si="9"/>
        <v>0</v>
      </c>
      <c r="D208">
        <f>FCS!R203</f>
        <v>1.7905776907498501</v>
      </c>
      <c r="E208">
        <f>FCS!AM203</f>
        <v>103.92209464595763</v>
      </c>
      <c r="F208">
        <f t="shared" ca="1" si="10"/>
        <v>0</v>
      </c>
      <c r="G208">
        <f t="shared" ca="1" si="11"/>
        <v>0</v>
      </c>
      <c r="H208" t="str">
        <f>FCS!AO203</f>
        <v>OK</v>
      </c>
    </row>
    <row r="209" spans="2:8" x14ac:dyDescent="0.25">
      <c r="B209" s="367">
        <f>FCS!G204</f>
        <v>46092</v>
      </c>
      <c r="C209">
        <f t="shared" ca="1" si="9"/>
        <v>0</v>
      </c>
      <c r="D209">
        <f>FCS!R204</f>
        <v>1.7352415026833632</v>
      </c>
      <c r="E209">
        <f>FCS!AM204</f>
        <v>101.12129969017268</v>
      </c>
      <c r="F209">
        <f t="shared" ca="1" si="10"/>
        <v>0</v>
      </c>
      <c r="G209">
        <f t="shared" ca="1" si="11"/>
        <v>0</v>
      </c>
      <c r="H209" t="str">
        <f>FCS!AO204</f>
        <v>Ok</v>
      </c>
    </row>
    <row r="210" spans="2:8" x14ac:dyDescent="0.25">
      <c r="B210" s="367">
        <f>FCS!G205</f>
        <v>46092</v>
      </c>
      <c r="C210">
        <f t="shared" ca="1" si="9"/>
        <v>0</v>
      </c>
      <c r="D210">
        <f>FCS!R205</f>
        <v>1.7302867383512543</v>
      </c>
      <c r="E210">
        <f>FCS!AM205</f>
        <v>100.83256050997986</v>
      </c>
      <c r="F210">
        <f t="shared" ca="1" si="10"/>
        <v>0</v>
      </c>
      <c r="G210">
        <f t="shared" ca="1" si="11"/>
        <v>0</v>
      </c>
      <c r="H210" t="str">
        <f>FCS!AO205</f>
        <v>Ok</v>
      </c>
    </row>
    <row r="211" spans="2:8" x14ac:dyDescent="0.25">
      <c r="B211" s="367">
        <f>FCS!G206</f>
        <v>46092</v>
      </c>
      <c r="C211">
        <f t="shared" ref="C211:C274" ca="1" si="12">IF(AND(B211&gt;$C$5,B211&lt;$D$4,H211="OK"),1,0)</f>
        <v>0</v>
      </c>
      <c r="D211">
        <f>FCS!R206</f>
        <v>1.717785843920145</v>
      </c>
      <c r="E211">
        <f>FCS!AM206</f>
        <v>100.10407015851661</v>
      </c>
      <c r="F211">
        <f t="shared" ref="F211:F274" ca="1" si="13">IFERROR(D211*C211,0)</f>
        <v>0</v>
      </c>
      <c r="G211">
        <f t="shared" ref="G211:G274" ca="1" si="14">IFERROR(E211*C211,0)</f>
        <v>0</v>
      </c>
      <c r="H211" t="str">
        <f>FCS!AO206</f>
        <v>Ok</v>
      </c>
    </row>
    <row r="212" spans="2:8" x14ac:dyDescent="0.25">
      <c r="B212" s="367">
        <f>FCS!G207</f>
        <v>46092</v>
      </c>
      <c r="C212">
        <f t="shared" ca="1" si="12"/>
        <v>0</v>
      </c>
      <c r="D212">
        <f>FCS!R207</f>
        <v>1.7225747960108793</v>
      </c>
      <c r="E212">
        <f>FCS!AM207</f>
        <v>100.38314662068062</v>
      </c>
      <c r="F212">
        <f t="shared" ca="1" si="13"/>
        <v>0</v>
      </c>
      <c r="G212">
        <f t="shared" ca="1" si="14"/>
        <v>0</v>
      </c>
      <c r="H212" t="str">
        <f>FCS!AO207</f>
        <v>Ok</v>
      </c>
    </row>
    <row r="213" spans="2:8" x14ac:dyDescent="0.25">
      <c r="B213" s="367">
        <f>FCS!G208</f>
        <v>46092</v>
      </c>
      <c r="C213">
        <f t="shared" ca="1" si="12"/>
        <v>0</v>
      </c>
      <c r="D213">
        <f>FCS!R208</f>
        <v>1.7927272727272725</v>
      </c>
      <c r="E213">
        <f>FCS!AM208</f>
        <v>104.4712862894681</v>
      </c>
      <c r="F213">
        <f t="shared" ca="1" si="13"/>
        <v>0</v>
      </c>
      <c r="G213">
        <f t="shared" ca="1" si="14"/>
        <v>0</v>
      </c>
      <c r="H213" t="str">
        <f>FCS!AO208</f>
        <v>Ok</v>
      </c>
    </row>
    <row r="214" spans="2:8" x14ac:dyDescent="0.25">
      <c r="B214" s="367">
        <f>FCS!G209</f>
        <v>46092</v>
      </c>
      <c r="C214">
        <f t="shared" ca="1" si="12"/>
        <v>0</v>
      </c>
      <c r="D214">
        <f>FCS!R209</f>
        <v>1.719634703196347</v>
      </c>
      <c r="E214">
        <f>FCS!AM209</f>
        <v>100.21181254057967</v>
      </c>
      <c r="F214">
        <f t="shared" ca="1" si="13"/>
        <v>0</v>
      </c>
      <c r="G214">
        <f t="shared" ca="1" si="14"/>
        <v>0</v>
      </c>
      <c r="H214" t="str">
        <f>FCS!AO209</f>
        <v>Ok</v>
      </c>
    </row>
    <row r="215" spans="2:8" x14ac:dyDescent="0.25">
      <c r="B215" s="367">
        <f>FCS!G210</f>
        <v>46092</v>
      </c>
      <c r="C215">
        <f t="shared" ca="1" si="12"/>
        <v>0</v>
      </c>
      <c r="D215">
        <f>FCS!R210</f>
        <v>1.7700091996320146</v>
      </c>
      <c r="E215">
        <f>FCS!AM210</f>
        <v>103.14738925594492</v>
      </c>
      <c r="F215">
        <f t="shared" ca="1" si="13"/>
        <v>0</v>
      </c>
      <c r="G215">
        <f t="shared" ca="1" si="14"/>
        <v>0</v>
      </c>
      <c r="H215" t="str">
        <f>FCS!AO210</f>
        <v>Ok</v>
      </c>
    </row>
    <row r="216" spans="2:8" x14ac:dyDescent="0.25">
      <c r="B216" s="367">
        <f>FCS!G211</f>
        <v>46092</v>
      </c>
      <c r="C216">
        <f t="shared" ca="1" si="12"/>
        <v>0</v>
      </c>
      <c r="D216">
        <f>FCS!R211</f>
        <v>1.7588395285584768</v>
      </c>
      <c r="E216">
        <f>FCS!AM211</f>
        <v>102.49647602322125</v>
      </c>
      <c r="F216">
        <f t="shared" ca="1" si="13"/>
        <v>0</v>
      </c>
      <c r="G216">
        <f t="shared" ca="1" si="14"/>
        <v>0</v>
      </c>
      <c r="H216" t="str">
        <f>FCS!AO211</f>
        <v>Ok</v>
      </c>
    </row>
    <row r="217" spans="2:8" x14ac:dyDescent="0.25">
      <c r="B217" s="367">
        <f>FCS!G212</f>
        <v>46092</v>
      </c>
      <c r="C217">
        <f t="shared" ca="1" si="12"/>
        <v>0</v>
      </c>
      <c r="D217">
        <f>FCS!R212</f>
        <v>1.7930402930402929</v>
      </c>
      <c r="E217">
        <f>FCS!AM212</f>
        <v>104.48952756645065</v>
      </c>
      <c r="F217">
        <f t="shared" ca="1" si="13"/>
        <v>0</v>
      </c>
      <c r="G217">
        <f t="shared" ca="1" si="14"/>
        <v>0</v>
      </c>
      <c r="H217" t="str">
        <f>FCS!AO212</f>
        <v>Ok</v>
      </c>
    </row>
    <row r="218" spans="2:8" x14ac:dyDescent="0.25">
      <c r="B218" s="367">
        <f>FCS!G213</f>
        <v>46092</v>
      </c>
      <c r="C218">
        <f t="shared" ca="1" si="12"/>
        <v>0</v>
      </c>
      <c r="D218">
        <f>FCS!R213</f>
        <v>1.7062043795620438</v>
      </c>
      <c r="E218">
        <f>FCS!AM213</f>
        <v>99.140289341199519</v>
      </c>
      <c r="F218">
        <f t="shared" ca="1" si="13"/>
        <v>0</v>
      </c>
      <c r="G218">
        <f t="shared" ca="1" si="14"/>
        <v>0</v>
      </c>
      <c r="H218" t="str">
        <f>FCS!AO213</f>
        <v>Ok</v>
      </c>
    </row>
    <row r="219" spans="2:8" x14ac:dyDescent="0.25">
      <c r="B219" s="367">
        <f>FCS!G214</f>
        <v>46092</v>
      </c>
      <c r="C219">
        <f t="shared" ca="1" si="12"/>
        <v>0</v>
      </c>
      <c r="D219">
        <f>FCS!R214</f>
        <v>1.7140991187294208</v>
      </c>
      <c r="E219">
        <f>FCS!AM214</f>
        <v>99.599019101070354</v>
      </c>
      <c r="F219">
        <f t="shared" ca="1" si="13"/>
        <v>0</v>
      </c>
      <c r="G219">
        <f t="shared" ca="1" si="14"/>
        <v>0</v>
      </c>
      <c r="H219" t="str">
        <f>FCS!AO214</f>
        <v>OK</v>
      </c>
    </row>
    <row r="220" spans="2:8" x14ac:dyDescent="0.25">
      <c r="B220" s="367">
        <f>FCS!G215</f>
        <v>46092</v>
      </c>
      <c r="C220">
        <f t="shared" ca="1" si="12"/>
        <v>0</v>
      </c>
      <c r="D220">
        <f>FCS!R215</f>
        <v>1.7279344858962693</v>
      </c>
      <c r="E220">
        <f>FCS!AM215</f>
        <v>100.69548286108795</v>
      </c>
      <c r="F220">
        <f t="shared" ca="1" si="13"/>
        <v>0</v>
      </c>
      <c r="G220">
        <f t="shared" ca="1" si="14"/>
        <v>0</v>
      </c>
      <c r="H220" t="str">
        <f>FCS!AO215</f>
        <v>Ok</v>
      </c>
    </row>
    <row r="221" spans="2:8" x14ac:dyDescent="0.25">
      <c r="B221" s="367">
        <f>FCS!G216</f>
        <v>46092</v>
      </c>
      <c r="C221">
        <f t="shared" ca="1" si="12"/>
        <v>0</v>
      </c>
      <c r="D221">
        <f>FCS!R216</f>
        <v>1.771117166212534</v>
      </c>
      <c r="E221">
        <f>FCS!AM216</f>
        <v>103.2119560729915</v>
      </c>
      <c r="F221">
        <f t="shared" ca="1" si="13"/>
        <v>0</v>
      </c>
      <c r="G221">
        <f t="shared" ca="1" si="14"/>
        <v>0</v>
      </c>
      <c r="H221" t="str">
        <f>FCS!AO216</f>
        <v>Ok</v>
      </c>
    </row>
    <row r="222" spans="2:8" x14ac:dyDescent="0.25">
      <c r="B222" s="367">
        <f>FCS!G217</f>
        <v>46092</v>
      </c>
      <c r="C222">
        <f t="shared" ca="1" si="12"/>
        <v>0</v>
      </c>
      <c r="D222">
        <f>FCS!R217</f>
        <v>1.7079162875341221</v>
      </c>
      <c r="E222">
        <f>FCS!AM217</f>
        <v>99.528921184972148</v>
      </c>
      <c r="F222">
        <f t="shared" ca="1" si="13"/>
        <v>0</v>
      </c>
      <c r="G222">
        <f t="shared" ca="1" si="14"/>
        <v>0</v>
      </c>
      <c r="H222" t="str">
        <f>FCS!AO217</f>
        <v>Ok</v>
      </c>
    </row>
    <row r="223" spans="2:8" x14ac:dyDescent="0.25">
      <c r="B223" s="367">
        <f>FCS!G218</f>
        <v>46092</v>
      </c>
      <c r="C223">
        <f t="shared" ca="1" si="12"/>
        <v>0</v>
      </c>
      <c r="D223">
        <f>FCS!R218</f>
        <v>1.7836312323612418</v>
      </c>
      <c r="E223">
        <f>FCS!AM218</f>
        <v>103.94121400706537</v>
      </c>
      <c r="F223">
        <f t="shared" ca="1" si="13"/>
        <v>0</v>
      </c>
      <c r="G223">
        <f t="shared" ca="1" si="14"/>
        <v>0</v>
      </c>
      <c r="H223" t="str">
        <f>FCS!AO218</f>
        <v>Ok</v>
      </c>
    </row>
    <row r="224" spans="2:8" x14ac:dyDescent="0.25">
      <c r="B224" s="367">
        <f>FCS!G219</f>
        <v>46092</v>
      </c>
      <c r="C224">
        <f t="shared" ca="1" si="12"/>
        <v>0</v>
      </c>
      <c r="D224">
        <f>FCS!R219</f>
        <v>1.7465437788018434</v>
      </c>
      <c r="E224">
        <f>FCS!AM219</f>
        <v>102.37654037525461</v>
      </c>
      <c r="F224">
        <f t="shared" ca="1" si="13"/>
        <v>0</v>
      </c>
      <c r="G224">
        <f t="shared" ca="1" si="14"/>
        <v>0</v>
      </c>
      <c r="H224" t="str">
        <f>FCS!AO219</f>
        <v>Ok</v>
      </c>
    </row>
    <row r="225" spans="2:8" x14ac:dyDescent="0.25">
      <c r="B225" s="367">
        <f>FCS!G220</f>
        <v>46092</v>
      </c>
      <c r="C225">
        <f t="shared" ca="1" si="12"/>
        <v>0</v>
      </c>
      <c r="D225">
        <f>FCS!R220</f>
        <v>1.7335140018066848</v>
      </c>
      <c r="E225">
        <f>FCS!AM220</f>
        <v>101.61277853497566</v>
      </c>
      <c r="F225">
        <f t="shared" ca="1" si="13"/>
        <v>0</v>
      </c>
      <c r="G225">
        <f t="shared" ca="1" si="14"/>
        <v>0</v>
      </c>
      <c r="H225" t="str">
        <f>FCS!AO220</f>
        <v>Ok</v>
      </c>
    </row>
    <row r="226" spans="2:8" x14ac:dyDescent="0.25">
      <c r="B226" s="367">
        <f>FCS!G221</f>
        <v>46093</v>
      </c>
      <c r="C226">
        <f t="shared" ca="1" si="12"/>
        <v>0</v>
      </c>
      <c r="D226" t="str">
        <f>FCS!R221</f>
        <v>-</v>
      </c>
      <c r="E226" t="str">
        <f>FCS!AM221</f>
        <v>-</v>
      </c>
      <c r="F226">
        <f t="shared" ca="1" si="13"/>
        <v>0</v>
      </c>
      <c r="G226">
        <f t="shared" ca="1" si="14"/>
        <v>0</v>
      </c>
      <c r="H226" t="str">
        <f>FCS!AO221</f>
        <v>-</v>
      </c>
    </row>
    <row r="227" spans="2:8" x14ac:dyDescent="0.25">
      <c r="B227" s="367">
        <f>FCS!G222</f>
        <v>46093</v>
      </c>
      <c r="C227">
        <f t="shared" ca="1" si="12"/>
        <v>0</v>
      </c>
      <c r="D227">
        <f>FCS!R222</f>
        <v>1.6910499139414803</v>
      </c>
      <c r="E227">
        <f>FCS!AM222</f>
        <v>98.546032280972057</v>
      </c>
      <c r="F227">
        <f t="shared" ca="1" si="13"/>
        <v>0</v>
      </c>
      <c r="G227">
        <f t="shared" ca="1" si="14"/>
        <v>0</v>
      </c>
      <c r="H227" t="str">
        <f>FCS!AO222</f>
        <v>Ok</v>
      </c>
    </row>
    <row r="228" spans="2:8" x14ac:dyDescent="0.25">
      <c r="B228" s="367">
        <f>FCS!G223</f>
        <v>46093</v>
      </c>
      <c r="C228">
        <f t="shared" ca="1" si="12"/>
        <v>0</v>
      </c>
      <c r="D228">
        <f>FCS!R223</f>
        <v>1.795937211449677</v>
      </c>
      <c r="E228">
        <f>FCS!AM223</f>
        <v>104.65834565557559</v>
      </c>
      <c r="F228">
        <f t="shared" ca="1" si="13"/>
        <v>0</v>
      </c>
      <c r="G228">
        <f t="shared" ca="1" si="14"/>
        <v>0</v>
      </c>
      <c r="H228" t="str">
        <f>FCS!AO223</f>
        <v>Ok</v>
      </c>
    </row>
    <row r="229" spans="2:8" x14ac:dyDescent="0.25">
      <c r="B229" s="367">
        <f>FCS!G224</f>
        <v>46093</v>
      </c>
      <c r="C229">
        <f t="shared" ca="1" si="12"/>
        <v>0</v>
      </c>
      <c r="D229">
        <f>FCS!R224</f>
        <v>1.7145471180237879</v>
      </c>
      <c r="E229">
        <f>FCS!AM224</f>
        <v>99.915333218169451</v>
      </c>
      <c r="F229">
        <f t="shared" ca="1" si="13"/>
        <v>0</v>
      </c>
      <c r="G229">
        <f t="shared" ca="1" si="14"/>
        <v>0</v>
      </c>
      <c r="H229" t="str">
        <f>FCS!AO224</f>
        <v>Ok</v>
      </c>
    </row>
    <row r="230" spans="2:8" x14ac:dyDescent="0.25">
      <c r="B230" s="367">
        <f>FCS!G225</f>
        <v>46093</v>
      </c>
      <c r="C230">
        <f t="shared" ca="1" si="12"/>
        <v>0</v>
      </c>
      <c r="D230">
        <f>FCS!R225</f>
        <v>1.7679057116953762</v>
      </c>
      <c r="E230">
        <f>FCS!AM225</f>
        <v>103.04674278708194</v>
      </c>
      <c r="F230">
        <f t="shared" ca="1" si="13"/>
        <v>0</v>
      </c>
      <c r="G230">
        <f t="shared" ca="1" si="14"/>
        <v>0</v>
      </c>
      <c r="H230" t="str">
        <f>FCS!AO225</f>
        <v>Ok</v>
      </c>
    </row>
    <row r="231" spans="2:8" x14ac:dyDescent="0.25">
      <c r="B231" s="367">
        <f>FCS!G226</f>
        <v>46093</v>
      </c>
      <c r="C231">
        <f t="shared" ca="1" si="12"/>
        <v>0</v>
      </c>
      <c r="D231">
        <f>FCS!R226</f>
        <v>1.746563761976224</v>
      </c>
      <c r="E231">
        <f>FCS!AM226</f>
        <v>101.78110501026947</v>
      </c>
      <c r="F231">
        <f t="shared" ca="1" si="13"/>
        <v>0</v>
      </c>
      <c r="G231">
        <f t="shared" ca="1" si="14"/>
        <v>0</v>
      </c>
      <c r="H231" t="str">
        <f>FCS!AO226</f>
        <v>OK</v>
      </c>
    </row>
    <row r="232" spans="2:8" x14ac:dyDescent="0.25">
      <c r="B232" s="367">
        <f>FCS!G227</f>
        <v>46093</v>
      </c>
      <c r="C232">
        <f t="shared" ca="1" si="12"/>
        <v>0</v>
      </c>
      <c r="D232">
        <f>FCS!R227</f>
        <v>1.7215073529411764</v>
      </c>
      <c r="E232">
        <f>FCS!AM227</f>
        <v>100.32094131358838</v>
      </c>
      <c r="F232">
        <f t="shared" ca="1" si="13"/>
        <v>0</v>
      </c>
      <c r="G232">
        <f t="shared" ca="1" si="14"/>
        <v>0</v>
      </c>
      <c r="H232" t="str">
        <f>FCS!AO227</f>
        <v>Ok</v>
      </c>
    </row>
    <row r="233" spans="2:8" x14ac:dyDescent="0.25">
      <c r="B233" s="367">
        <f>FCS!G228</f>
        <v>46093</v>
      </c>
      <c r="C233">
        <f t="shared" ca="1" si="12"/>
        <v>0</v>
      </c>
      <c r="D233">
        <f>FCS!R228</f>
        <v>1.759597806215722</v>
      </c>
      <c r="E233">
        <f>FCS!AM228</f>
        <v>102.5406646978859</v>
      </c>
      <c r="F233">
        <f t="shared" ca="1" si="13"/>
        <v>0</v>
      </c>
      <c r="G233">
        <f t="shared" ca="1" si="14"/>
        <v>0</v>
      </c>
      <c r="H233" t="str">
        <f>FCS!AO228</f>
        <v>Ok</v>
      </c>
    </row>
    <row r="234" spans="2:8" x14ac:dyDescent="0.25">
      <c r="B234" s="367">
        <f>FCS!G229</f>
        <v>46093</v>
      </c>
      <c r="C234">
        <f t="shared" ca="1" si="12"/>
        <v>0</v>
      </c>
      <c r="D234">
        <f>FCS!R229</f>
        <v>1.7404021937842777</v>
      </c>
      <c r="E234">
        <f>FCS!AM229</f>
        <v>101.42203926481805</v>
      </c>
      <c r="F234">
        <f t="shared" ca="1" si="13"/>
        <v>0</v>
      </c>
      <c r="G234">
        <f t="shared" ca="1" si="14"/>
        <v>0</v>
      </c>
      <c r="H234" t="str">
        <f>FCS!AO229</f>
        <v>Ok</v>
      </c>
    </row>
    <row r="235" spans="2:8" x14ac:dyDescent="0.25">
      <c r="B235" s="367">
        <f>FCS!G230</f>
        <v>46093</v>
      </c>
      <c r="C235">
        <f t="shared" ca="1" si="12"/>
        <v>0</v>
      </c>
      <c r="D235">
        <f>FCS!R230</f>
        <v>1.7363636363636361</v>
      </c>
      <c r="E235">
        <f>FCS!AM230</f>
        <v>101.18669209578299</v>
      </c>
      <c r="F235">
        <f t="shared" ca="1" si="13"/>
        <v>0</v>
      </c>
      <c r="G235">
        <f t="shared" ca="1" si="14"/>
        <v>0</v>
      </c>
      <c r="H235" t="str">
        <f>FCS!AO230</f>
        <v>Ok</v>
      </c>
    </row>
    <row r="236" spans="2:8" x14ac:dyDescent="0.25">
      <c r="B236" s="367">
        <f>FCS!G231</f>
        <v>46093</v>
      </c>
      <c r="C236">
        <f t="shared" ca="1" si="12"/>
        <v>0</v>
      </c>
      <c r="D236">
        <f>FCS!R231</f>
        <v>1.7290322580645161</v>
      </c>
      <c r="E236">
        <f>FCS!AM231</f>
        <v>100.75945559816529</v>
      </c>
      <c r="F236">
        <f t="shared" ca="1" si="13"/>
        <v>0</v>
      </c>
      <c r="G236">
        <f t="shared" ca="1" si="14"/>
        <v>0</v>
      </c>
      <c r="H236" t="str">
        <f>FCS!AO231</f>
        <v>Ok</v>
      </c>
    </row>
    <row r="237" spans="2:8" x14ac:dyDescent="0.25">
      <c r="B237" s="367">
        <f>FCS!G232</f>
        <v>46093</v>
      </c>
      <c r="C237">
        <f t="shared" ca="1" si="12"/>
        <v>0</v>
      </c>
      <c r="D237">
        <f>FCS!R232</f>
        <v>1.7291092745638201</v>
      </c>
      <c r="E237">
        <f>FCS!AM232</f>
        <v>100.76394373915036</v>
      </c>
      <c r="F237">
        <f t="shared" ca="1" si="13"/>
        <v>0</v>
      </c>
      <c r="G237">
        <f t="shared" ca="1" si="14"/>
        <v>0</v>
      </c>
      <c r="H237" t="str">
        <f>FCS!AO232</f>
        <v>Ok</v>
      </c>
    </row>
    <row r="238" spans="2:8" x14ac:dyDescent="0.25">
      <c r="B238" s="367">
        <f>FCS!G233</f>
        <v>46093</v>
      </c>
      <c r="C238">
        <f t="shared" ca="1" si="12"/>
        <v>0</v>
      </c>
      <c r="D238">
        <f>FCS!R233</f>
        <v>1.7554744525547443</v>
      </c>
      <c r="E238">
        <f>FCS!AM233</f>
        <v>102.30037602300375</v>
      </c>
      <c r="F238">
        <f t="shared" ca="1" si="13"/>
        <v>0</v>
      </c>
      <c r="G238">
        <f t="shared" ca="1" si="14"/>
        <v>0</v>
      </c>
      <c r="H238" t="str">
        <f>FCS!AO233</f>
        <v>Ok</v>
      </c>
    </row>
    <row r="239" spans="2:8" x14ac:dyDescent="0.25">
      <c r="B239" s="367">
        <f>FCS!G234</f>
        <v>46093</v>
      </c>
      <c r="C239">
        <f t="shared" ca="1" si="12"/>
        <v>0</v>
      </c>
      <c r="D239">
        <f>FCS!R234</f>
        <v>1.7374301675977653</v>
      </c>
      <c r="E239">
        <f>FCS!AM234</f>
        <v>101.24884426560403</v>
      </c>
      <c r="F239">
        <f t="shared" ca="1" si="13"/>
        <v>0</v>
      </c>
      <c r="G239">
        <f t="shared" ca="1" si="14"/>
        <v>0</v>
      </c>
      <c r="H239" t="str">
        <f>FCS!AO234</f>
        <v>Ok</v>
      </c>
    </row>
    <row r="240" spans="2:8" x14ac:dyDescent="0.25">
      <c r="B240" s="367">
        <f>FCS!G235</f>
        <v>46093</v>
      </c>
      <c r="C240">
        <f t="shared" ca="1" si="12"/>
        <v>0</v>
      </c>
      <c r="D240">
        <f>FCS!R235</f>
        <v>1.722120658135283</v>
      </c>
      <c r="E240">
        <f>FCS!AM235</f>
        <v>100.35668170951533</v>
      </c>
      <c r="F240">
        <f t="shared" ca="1" si="13"/>
        <v>0</v>
      </c>
      <c r="G240">
        <f t="shared" ca="1" si="14"/>
        <v>0</v>
      </c>
      <c r="H240" t="str">
        <f>FCS!AO235</f>
        <v>Ok</v>
      </c>
    </row>
    <row r="241" spans="2:8" x14ac:dyDescent="0.25">
      <c r="B241" s="367">
        <f>FCS!G236</f>
        <v>46093</v>
      </c>
      <c r="C241">
        <f t="shared" ca="1" si="12"/>
        <v>0</v>
      </c>
      <c r="D241">
        <f>FCS!R236</f>
        <v>1.7844748858447488</v>
      </c>
      <c r="E241">
        <f>FCS!AM236</f>
        <v>104.49473889628207</v>
      </c>
      <c r="F241">
        <f t="shared" ca="1" si="13"/>
        <v>0</v>
      </c>
      <c r="G241">
        <f t="shared" ca="1" si="14"/>
        <v>0</v>
      </c>
      <c r="H241" t="str">
        <f>FCS!AO236</f>
        <v>Ok</v>
      </c>
    </row>
    <row r="242" spans="2:8" x14ac:dyDescent="0.25">
      <c r="B242" s="367">
        <f>FCS!G237</f>
        <v>46093</v>
      </c>
      <c r="C242">
        <f t="shared" ca="1" si="12"/>
        <v>0</v>
      </c>
      <c r="D242">
        <f>FCS!R237</f>
        <v>1.7635457842617868</v>
      </c>
      <c r="E242">
        <f>FCS!AM237</f>
        <v>103.26917891637231</v>
      </c>
      <c r="F242">
        <f t="shared" ca="1" si="13"/>
        <v>0</v>
      </c>
      <c r="G242">
        <f t="shared" ca="1" si="14"/>
        <v>0</v>
      </c>
      <c r="H242" t="str">
        <f>FCS!AO237</f>
        <v>OK</v>
      </c>
    </row>
    <row r="243" spans="2:8" x14ac:dyDescent="0.25">
      <c r="B243" s="367">
        <f>FCS!G238</f>
        <v>46093</v>
      </c>
      <c r="C243">
        <f t="shared" ca="1" si="12"/>
        <v>0</v>
      </c>
      <c r="D243">
        <f>FCS!R238</f>
        <v>1.7518382352941175</v>
      </c>
      <c r="E243">
        <f>FCS!AM238</f>
        <v>102.80740817453741</v>
      </c>
      <c r="F243">
        <f t="shared" ca="1" si="13"/>
        <v>0</v>
      </c>
      <c r="G243">
        <f t="shared" ca="1" si="14"/>
        <v>0</v>
      </c>
      <c r="H243" t="str">
        <f>FCS!AO238</f>
        <v>Ok</v>
      </c>
    </row>
    <row r="244" spans="2:8" x14ac:dyDescent="0.25">
      <c r="B244" s="367">
        <f>FCS!G239</f>
        <v>46093</v>
      </c>
      <c r="C244">
        <f t="shared" ca="1" si="12"/>
        <v>0</v>
      </c>
      <c r="D244">
        <f>FCS!R239</f>
        <v>1.7282608695652171</v>
      </c>
      <c r="E244">
        <f>FCS!AM239</f>
        <v>101.42375995101038</v>
      </c>
      <c r="F244">
        <f t="shared" ca="1" si="13"/>
        <v>0</v>
      </c>
      <c r="G244">
        <f t="shared" ca="1" si="14"/>
        <v>0</v>
      </c>
      <c r="H244" t="str">
        <f>FCS!AO239</f>
        <v>Ok</v>
      </c>
    </row>
    <row r="245" spans="2:8" x14ac:dyDescent="0.25">
      <c r="B245" s="367">
        <f>FCS!G240</f>
        <v>46093</v>
      </c>
      <c r="C245">
        <f t="shared" ca="1" si="12"/>
        <v>0</v>
      </c>
      <c r="D245">
        <f>FCS!R240</f>
        <v>1.7802893309222423</v>
      </c>
      <c r="E245">
        <f>FCS!AM240</f>
        <v>104.47707341092971</v>
      </c>
      <c r="F245">
        <f t="shared" ca="1" si="13"/>
        <v>0</v>
      </c>
      <c r="G245">
        <f t="shared" ca="1" si="14"/>
        <v>0</v>
      </c>
      <c r="H245" t="str">
        <f>FCS!AO240</f>
        <v>Ok</v>
      </c>
    </row>
    <row r="246" spans="2:8" x14ac:dyDescent="0.25">
      <c r="B246" s="367">
        <f>FCS!G241</f>
        <v>46093</v>
      </c>
      <c r="C246">
        <f t="shared" ca="1" si="12"/>
        <v>0</v>
      </c>
      <c r="D246">
        <f>FCS!R241</f>
        <v>1.7484105358764761</v>
      </c>
      <c r="E246">
        <f>FCS!AM241</f>
        <v>102.606252105427</v>
      </c>
      <c r="F246">
        <f t="shared" ca="1" si="13"/>
        <v>0</v>
      </c>
      <c r="G246">
        <f t="shared" ca="1" si="14"/>
        <v>0</v>
      </c>
      <c r="H246" t="str">
        <f>FCS!AO241</f>
        <v>Ok</v>
      </c>
    </row>
    <row r="247" spans="2:8" x14ac:dyDescent="0.25">
      <c r="B247" s="367">
        <f>FCS!G242</f>
        <v>46093</v>
      </c>
      <c r="C247">
        <f t="shared" ca="1" si="12"/>
        <v>0</v>
      </c>
      <c r="D247">
        <f>FCS!R242</f>
        <v>1.72841726618705</v>
      </c>
      <c r="E247">
        <f>FCS!AM242</f>
        <v>101.43293815651701</v>
      </c>
      <c r="F247">
        <f t="shared" ca="1" si="13"/>
        <v>0</v>
      </c>
      <c r="G247">
        <f t="shared" ca="1" si="14"/>
        <v>0</v>
      </c>
      <c r="H247" t="str">
        <f>FCS!AO242</f>
        <v>Ok</v>
      </c>
    </row>
    <row r="248" spans="2:8" x14ac:dyDescent="0.25">
      <c r="B248" s="367">
        <f>FCS!G243</f>
        <v>46093</v>
      </c>
      <c r="C248">
        <f t="shared" ca="1" si="12"/>
        <v>0</v>
      </c>
      <c r="D248">
        <f>FCS!R243</f>
        <v>1.7211120764552563</v>
      </c>
      <c r="E248">
        <f>FCS!AM243</f>
        <v>101.00422983892349</v>
      </c>
      <c r="F248">
        <f t="shared" ca="1" si="13"/>
        <v>0</v>
      </c>
      <c r="G248">
        <f t="shared" ca="1" si="14"/>
        <v>0</v>
      </c>
      <c r="H248" t="str">
        <f>FCS!AO243</f>
        <v>Ok</v>
      </c>
    </row>
    <row r="249" spans="2:8" x14ac:dyDescent="0.25">
      <c r="B249" s="367">
        <f>FCS!G244</f>
        <v>46093</v>
      </c>
      <c r="C249">
        <f t="shared" ca="1" si="12"/>
        <v>0</v>
      </c>
      <c r="D249">
        <f>FCS!R244</f>
        <v>1.739090909090909</v>
      </c>
      <c r="E249">
        <f>FCS!AM244</f>
        <v>101.3456240728968</v>
      </c>
      <c r="F249">
        <f t="shared" ca="1" si="13"/>
        <v>0</v>
      </c>
      <c r="G249">
        <f t="shared" ca="1" si="14"/>
        <v>0</v>
      </c>
      <c r="H249" t="str">
        <f>FCS!AO244</f>
        <v>Ok</v>
      </c>
    </row>
    <row r="250" spans="2:8" x14ac:dyDescent="0.25">
      <c r="B250" s="367">
        <f>FCS!G245</f>
        <v>46094</v>
      </c>
      <c r="C250">
        <f t="shared" ca="1" si="12"/>
        <v>0</v>
      </c>
      <c r="D250">
        <f>FCS!R245</f>
        <v>1.7883082373782109</v>
      </c>
      <c r="E250">
        <f>FCS!AM245</f>
        <v>102.65833739254941</v>
      </c>
      <c r="F250">
        <f t="shared" ca="1" si="13"/>
        <v>0</v>
      </c>
      <c r="G250">
        <f t="shared" ca="1" si="14"/>
        <v>0</v>
      </c>
      <c r="H250" t="str">
        <f>FCS!AO245</f>
        <v>Ok</v>
      </c>
    </row>
    <row r="251" spans="2:8" x14ac:dyDescent="0.25">
      <c r="B251" s="367">
        <f>FCS!G246</f>
        <v>46094</v>
      </c>
      <c r="C251">
        <f t="shared" ca="1" si="12"/>
        <v>0</v>
      </c>
      <c r="D251">
        <f>FCS!R246</f>
        <v>1.7917398945518457</v>
      </c>
      <c r="E251">
        <f>FCS!AM246</f>
        <v>102.85533263787863</v>
      </c>
      <c r="F251">
        <f t="shared" ca="1" si="13"/>
        <v>0</v>
      </c>
      <c r="G251">
        <f t="shared" ca="1" si="14"/>
        <v>0</v>
      </c>
      <c r="H251" t="str">
        <f>FCS!AO246</f>
        <v>Ok</v>
      </c>
    </row>
    <row r="252" spans="2:8" x14ac:dyDescent="0.25">
      <c r="B252" s="367">
        <f>FCS!G247</f>
        <v>46094</v>
      </c>
      <c r="C252">
        <f t="shared" ca="1" si="12"/>
        <v>0</v>
      </c>
      <c r="D252">
        <f>FCS!R247</f>
        <v>1.7664298401420961</v>
      </c>
      <c r="E252">
        <f>FCS!AM247</f>
        <v>99.838864995345006</v>
      </c>
      <c r="F252">
        <f t="shared" ca="1" si="13"/>
        <v>0</v>
      </c>
      <c r="G252">
        <f t="shared" ca="1" si="14"/>
        <v>0</v>
      </c>
      <c r="H252" t="str">
        <f>FCS!AO247</f>
        <v>Ok</v>
      </c>
    </row>
    <row r="253" spans="2:8" x14ac:dyDescent="0.25">
      <c r="B253" s="367">
        <f>FCS!G248</f>
        <v>46094</v>
      </c>
      <c r="C253">
        <f t="shared" ca="1" si="12"/>
        <v>0</v>
      </c>
      <c r="D253">
        <f>FCS!R248</f>
        <v>1.7699794778543494</v>
      </c>
      <c r="E253">
        <f>FCS!AM248</f>
        <v>100.03949102208125</v>
      </c>
      <c r="F253">
        <f t="shared" ca="1" si="13"/>
        <v>0</v>
      </c>
      <c r="G253">
        <f t="shared" ca="1" si="14"/>
        <v>0</v>
      </c>
      <c r="H253" t="str">
        <f>FCS!AO248</f>
        <v>OK</v>
      </c>
    </row>
    <row r="254" spans="2:8" x14ac:dyDescent="0.25">
      <c r="B254" s="367">
        <f>FCS!G249</f>
        <v>46094</v>
      </c>
      <c r="C254">
        <f t="shared" ca="1" si="12"/>
        <v>0</v>
      </c>
      <c r="D254">
        <f>FCS!R249</f>
        <v>1.7707231040564375</v>
      </c>
      <c r="E254">
        <f>FCS!AM249</f>
        <v>101.64885786776334</v>
      </c>
      <c r="F254">
        <f t="shared" ca="1" si="13"/>
        <v>0</v>
      </c>
      <c r="G254">
        <f t="shared" ca="1" si="14"/>
        <v>0</v>
      </c>
      <c r="H254" t="str">
        <f>FCS!AO249</f>
        <v>Ok</v>
      </c>
    </row>
    <row r="255" spans="2:8" x14ac:dyDescent="0.25">
      <c r="B255" s="367">
        <f>FCS!G250</f>
        <v>46094</v>
      </c>
      <c r="C255">
        <f t="shared" ca="1" si="12"/>
        <v>0</v>
      </c>
      <c r="D255">
        <f>FCS!R250</f>
        <v>1.7681539807524058</v>
      </c>
      <c r="E255">
        <f>FCS!AM250</f>
        <v>101.50137662183731</v>
      </c>
      <c r="F255">
        <f t="shared" ca="1" si="13"/>
        <v>0</v>
      </c>
      <c r="G255">
        <f t="shared" ca="1" si="14"/>
        <v>0</v>
      </c>
      <c r="H255" t="str">
        <f>FCS!AO250</f>
        <v>Ok</v>
      </c>
    </row>
    <row r="256" spans="2:8" x14ac:dyDescent="0.25">
      <c r="B256" s="367">
        <f>FCS!G251</f>
        <v>46094</v>
      </c>
      <c r="C256">
        <f t="shared" ca="1" si="12"/>
        <v>0</v>
      </c>
      <c r="D256">
        <f>FCS!R251</f>
        <v>1.7524487978628673</v>
      </c>
      <c r="E256">
        <f>FCS!AM251</f>
        <v>100.59981618041718</v>
      </c>
      <c r="F256">
        <f t="shared" ca="1" si="13"/>
        <v>0</v>
      </c>
      <c r="G256">
        <f t="shared" ca="1" si="14"/>
        <v>0</v>
      </c>
      <c r="H256" t="str">
        <f>FCS!AO251</f>
        <v>Ok</v>
      </c>
    </row>
    <row r="257" spans="2:8" x14ac:dyDescent="0.25">
      <c r="B257" s="367">
        <f>FCS!G252</f>
        <v>46094</v>
      </c>
      <c r="C257">
        <f t="shared" ca="1" si="12"/>
        <v>0</v>
      </c>
      <c r="D257">
        <f>FCS!R252</f>
        <v>1.7326906222611744</v>
      </c>
      <c r="E257">
        <f>FCS!AM252</f>
        <v>99.465592552306219</v>
      </c>
      <c r="F257">
        <f t="shared" ca="1" si="13"/>
        <v>0</v>
      </c>
      <c r="G257">
        <f t="shared" ca="1" si="14"/>
        <v>0</v>
      </c>
      <c r="H257" t="str">
        <f>FCS!AO252</f>
        <v>Ok</v>
      </c>
    </row>
    <row r="258" spans="2:8" x14ac:dyDescent="0.25">
      <c r="B258" s="367">
        <f>FCS!G253</f>
        <v>46094</v>
      </c>
      <c r="C258">
        <f t="shared" ca="1" si="12"/>
        <v>0</v>
      </c>
      <c r="D258">
        <f>FCS!R253</f>
        <v>1.7740511915269195</v>
      </c>
      <c r="E258">
        <f>FCS!AM253</f>
        <v>101.83990766515036</v>
      </c>
      <c r="F258">
        <f t="shared" ca="1" si="13"/>
        <v>0</v>
      </c>
      <c r="G258">
        <f t="shared" ca="1" si="14"/>
        <v>0</v>
      </c>
      <c r="H258" t="str">
        <f>FCS!AO253</f>
        <v>Ok</v>
      </c>
    </row>
    <row r="259" spans="2:8" x14ac:dyDescent="0.25">
      <c r="B259" s="367">
        <f>FCS!G254</f>
        <v>46094</v>
      </c>
      <c r="C259">
        <f t="shared" ca="1" si="12"/>
        <v>0</v>
      </c>
      <c r="D259">
        <f>FCS!R254</f>
        <v>1.7506654835847384</v>
      </c>
      <c r="E259">
        <f>FCS!AM254</f>
        <v>100.49744452266007</v>
      </c>
      <c r="F259">
        <f t="shared" ca="1" si="13"/>
        <v>0</v>
      </c>
      <c r="G259">
        <f t="shared" ca="1" si="14"/>
        <v>0</v>
      </c>
      <c r="H259" t="str">
        <f>FCS!AO254</f>
        <v>Ok</v>
      </c>
    </row>
    <row r="260" spans="2:8" x14ac:dyDescent="0.25">
      <c r="B260" s="367">
        <f>FCS!G255</f>
        <v>46094</v>
      </c>
      <c r="C260">
        <f t="shared" ca="1" si="12"/>
        <v>0</v>
      </c>
      <c r="D260" t="str">
        <f>FCS!R255</f>
        <v>-</v>
      </c>
      <c r="E260" t="str">
        <f>FCS!AM255</f>
        <v>-</v>
      </c>
      <c r="F260">
        <f t="shared" ca="1" si="13"/>
        <v>0</v>
      </c>
      <c r="G260">
        <f t="shared" ca="1" si="14"/>
        <v>0</v>
      </c>
      <c r="H260" t="str">
        <f>FCS!AO255</f>
        <v>-</v>
      </c>
    </row>
    <row r="261" spans="2:8" x14ac:dyDescent="0.25">
      <c r="B261" s="367">
        <f>FCS!G256</f>
        <v>46094</v>
      </c>
      <c r="C261">
        <f t="shared" ca="1" si="12"/>
        <v>0</v>
      </c>
      <c r="D261">
        <f>FCS!R256</f>
        <v>1.7447963800904978</v>
      </c>
      <c r="E261">
        <f>FCS!AM256</f>
        <v>100.16052698567725</v>
      </c>
      <c r="F261">
        <f t="shared" ca="1" si="13"/>
        <v>0</v>
      </c>
      <c r="G261">
        <f t="shared" ca="1" si="14"/>
        <v>0</v>
      </c>
      <c r="H261" t="str">
        <f>FCS!AO256</f>
        <v>Ok</v>
      </c>
    </row>
    <row r="262" spans="2:8" x14ac:dyDescent="0.25">
      <c r="B262" s="367">
        <f>FCS!G257</f>
        <v>46094</v>
      </c>
      <c r="C262">
        <f t="shared" ca="1" si="12"/>
        <v>0</v>
      </c>
      <c r="D262">
        <f>FCS!R257</f>
        <v>1.7804444444444445</v>
      </c>
      <c r="E262">
        <f>FCS!AM257</f>
        <v>102.20691414721266</v>
      </c>
      <c r="F262">
        <f t="shared" ca="1" si="13"/>
        <v>0</v>
      </c>
      <c r="G262">
        <f t="shared" ca="1" si="14"/>
        <v>0</v>
      </c>
      <c r="H262" t="str">
        <f>FCS!AO257</f>
        <v>Ok</v>
      </c>
    </row>
    <row r="263" spans="2:8" x14ac:dyDescent="0.25">
      <c r="B263" s="367">
        <f>FCS!G258</f>
        <v>46094</v>
      </c>
      <c r="C263">
        <f t="shared" ca="1" si="12"/>
        <v>0</v>
      </c>
      <c r="D263">
        <f>FCS!R258</f>
        <v>1.7737162750217579</v>
      </c>
      <c r="E263">
        <f>FCS!AM258</f>
        <v>101.8206816889643</v>
      </c>
      <c r="F263">
        <f t="shared" ca="1" si="13"/>
        <v>0</v>
      </c>
      <c r="G263">
        <f t="shared" ca="1" si="14"/>
        <v>0</v>
      </c>
      <c r="H263" t="str">
        <f>FCS!AO258</f>
        <v>Ok</v>
      </c>
    </row>
    <row r="264" spans="2:8" x14ac:dyDescent="0.25">
      <c r="B264" s="367">
        <f>FCS!G259</f>
        <v>46094</v>
      </c>
      <c r="C264">
        <f t="shared" ca="1" si="12"/>
        <v>0</v>
      </c>
      <c r="D264">
        <f>FCS!R259</f>
        <v>1.6992945326278661</v>
      </c>
      <c r="E264">
        <f>FCS!AM259</f>
        <v>99.723857548583695</v>
      </c>
      <c r="F264">
        <f t="shared" ca="1" si="13"/>
        <v>0</v>
      </c>
      <c r="G264">
        <f t="shared" ca="1" si="14"/>
        <v>0</v>
      </c>
      <c r="H264" t="str">
        <f>FCS!AO259</f>
        <v>Ok</v>
      </c>
    </row>
    <row r="265" spans="2:8" x14ac:dyDescent="0.25">
      <c r="B265" s="367">
        <f>FCS!G260</f>
        <v>46094</v>
      </c>
      <c r="C265">
        <f t="shared" ca="1" si="12"/>
        <v>0</v>
      </c>
      <c r="D265">
        <f>FCS!R260</f>
        <v>1.6867817621061971</v>
      </c>
      <c r="E265">
        <f>FCS!AM260</f>
        <v>98.989540029706404</v>
      </c>
      <c r="F265">
        <f t="shared" ca="1" si="13"/>
        <v>0</v>
      </c>
      <c r="G265">
        <f t="shared" ca="1" si="14"/>
        <v>0</v>
      </c>
      <c r="H265" t="str">
        <f>FCS!AO260</f>
        <v>OK</v>
      </c>
    </row>
    <row r="266" spans="2:8" x14ac:dyDescent="0.25">
      <c r="B266" s="367">
        <f>FCS!G261</f>
        <v>46094</v>
      </c>
      <c r="C266">
        <f t="shared" ca="1" si="12"/>
        <v>0</v>
      </c>
      <c r="D266">
        <f>FCS!R261</f>
        <v>1.7739965095986039</v>
      </c>
      <c r="E266">
        <f>FCS!AM261</f>
        <v>101.83676863367417</v>
      </c>
      <c r="F266">
        <f t="shared" ca="1" si="13"/>
        <v>0</v>
      </c>
      <c r="G266">
        <f t="shared" ca="1" si="14"/>
        <v>0</v>
      </c>
      <c r="H266" t="str">
        <f>FCS!AO261</f>
        <v>Ok</v>
      </c>
    </row>
    <row r="267" spans="2:8" x14ac:dyDescent="0.25">
      <c r="B267" s="367">
        <f>FCS!G262</f>
        <v>46094</v>
      </c>
      <c r="C267">
        <f t="shared" ca="1" si="12"/>
        <v>0</v>
      </c>
      <c r="D267">
        <f>FCS!R262</f>
        <v>1.7176901924839598</v>
      </c>
      <c r="E267">
        <f>FCS!AM262</f>
        <v>100.50849575681448</v>
      </c>
      <c r="F267">
        <f t="shared" ca="1" si="13"/>
        <v>0</v>
      </c>
      <c r="G267">
        <f t="shared" ca="1" si="14"/>
        <v>0</v>
      </c>
      <c r="H267" t="str">
        <f>FCS!AO262</f>
        <v>Ok</v>
      </c>
    </row>
    <row r="268" spans="2:8" x14ac:dyDescent="0.25">
      <c r="B268" s="367">
        <f>FCS!G263</f>
        <v>46094</v>
      </c>
      <c r="C268">
        <f t="shared" ca="1" si="12"/>
        <v>0</v>
      </c>
      <c r="D268">
        <f>FCS!R263</f>
        <v>1.7347826086956524</v>
      </c>
      <c r="E268">
        <f>FCS!AM263</f>
        <v>99.585683622023666</v>
      </c>
      <c r="F268">
        <f t="shared" ca="1" si="13"/>
        <v>0</v>
      </c>
      <c r="G268">
        <f t="shared" ca="1" si="14"/>
        <v>0</v>
      </c>
      <c r="H268" t="str">
        <f>FCS!AO263</f>
        <v>Ok</v>
      </c>
    </row>
    <row r="269" spans="2:8" x14ac:dyDescent="0.25">
      <c r="B269" s="367">
        <f>FCS!G264</f>
        <v>46095</v>
      </c>
      <c r="C269">
        <f t="shared" ca="1" si="12"/>
        <v>0</v>
      </c>
      <c r="D269">
        <f>FCS!R264</f>
        <v>1.7022263450834878</v>
      </c>
      <c r="E269">
        <f>FCS!AM264</f>
        <v>99.581516023268762</v>
      </c>
      <c r="F269">
        <f t="shared" ca="1" si="13"/>
        <v>0</v>
      </c>
      <c r="G269">
        <f t="shared" ca="1" si="14"/>
        <v>0</v>
      </c>
      <c r="H269" t="str">
        <f>FCS!AO264</f>
        <v>Ok</v>
      </c>
    </row>
    <row r="270" spans="2:8" x14ac:dyDescent="0.25">
      <c r="B270" s="367">
        <f>FCS!G265</f>
        <v>46095</v>
      </c>
      <c r="C270">
        <f t="shared" ca="1" si="12"/>
        <v>0</v>
      </c>
      <c r="D270">
        <f>FCS!R265</f>
        <v>1.7502278942570646</v>
      </c>
      <c r="E270">
        <f>FCS!AM265</f>
        <v>100.47232458421726</v>
      </c>
      <c r="F270">
        <f t="shared" ca="1" si="13"/>
        <v>0</v>
      </c>
      <c r="G270">
        <f t="shared" ca="1" si="14"/>
        <v>0</v>
      </c>
      <c r="H270" t="str">
        <f>FCS!AO265</f>
        <v>Ok</v>
      </c>
    </row>
    <row r="271" spans="2:8" x14ac:dyDescent="0.25">
      <c r="B271" s="367">
        <f>FCS!G266</f>
        <v>46095</v>
      </c>
      <c r="C271">
        <f t="shared" ca="1" si="12"/>
        <v>0</v>
      </c>
      <c r="D271">
        <f>FCS!R266</f>
        <v>1.7801998183469574</v>
      </c>
      <c r="E271">
        <f>FCS!AM266</f>
        <v>102.19287131727654</v>
      </c>
      <c r="F271">
        <f t="shared" ca="1" si="13"/>
        <v>0</v>
      </c>
      <c r="G271">
        <f t="shared" ca="1" si="14"/>
        <v>0</v>
      </c>
      <c r="H271" t="str">
        <f>FCS!AO266</f>
        <v>Ok</v>
      </c>
    </row>
    <row r="272" spans="2:8" x14ac:dyDescent="0.25">
      <c r="B272" s="367">
        <f>FCS!G267</f>
        <v>46095</v>
      </c>
      <c r="C272">
        <f t="shared" ca="1" si="12"/>
        <v>0</v>
      </c>
      <c r="D272">
        <f>FCS!R267</f>
        <v>1.7527272727272725</v>
      </c>
      <c r="E272">
        <f>FCS!AM267</f>
        <v>100.61580210833941</v>
      </c>
      <c r="F272">
        <f t="shared" ca="1" si="13"/>
        <v>0</v>
      </c>
      <c r="G272">
        <f t="shared" ca="1" si="14"/>
        <v>0</v>
      </c>
      <c r="H272" t="str">
        <f>FCS!AO267</f>
        <v>Ok</v>
      </c>
    </row>
    <row r="273" spans="2:8" x14ac:dyDescent="0.25">
      <c r="B273" s="367">
        <f>FCS!G268</f>
        <v>46095</v>
      </c>
      <c r="C273">
        <f t="shared" ca="1" si="12"/>
        <v>0</v>
      </c>
      <c r="D273">
        <f>FCS!R268</f>
        <v>1.7926720285969613</v>
      </c>
      <c r="E273">
        <f>FCS!AM268</f>
        <v>102.90884205493462</v>
      </c>
      <c r="F273">
        <f t="shared" ca="1" si="13"/>
        <v>0</v>
      </c>
      <c r="G273">
        <f t="shared" ca="1" si="14"/>
        <v>0</v>
      </c>
      <c r="H273" t="str">
        <f>FCS!AO268</f>
        <v>Ok</v>
      </c>
    </row>
    <row r="274" spans="2:8" x14ac:dyDescent="0.25">
      <c r="B274" s="367">
        <f>FCS!G269</f>
        <v>46095</v>
      </c>
      <c r="C274">
        <f t="shared" ca="1" si="12"/>
        <v>0</v>
      </c>
      <c r="D274">
        <f>FCS!R269</f>
        <v>1.7278424350940018</v>
      </c>
      <c r="E274">
        <f>FCS!AM269</f>
        <v>99.187281004248092</v>
      </c>
      <c r="F274">
        <f t="shared" ca="1" si="13"/>
        <v>0</v>
      </c>
      <c r="G274">
        <f t="shared" ca="1" si="14"/>
        <v>0</v>
      </c>
      <c r="H274" t="str">
        <f>FCS!AO269</f>
        <v>Ok</v>
      </c>
    </row>
    <row r="275" spans="2:8" x14ac:dyDescent="0.25">
      <c r="B275" s="367">
        <f>FCS!G270</f>
        <v>46095</v>
      </c>
      <c r="C275">
        <f t="shared" ref="C275:C338" ca="1" si="15">IF(AND(B275&gt;$C$5,B275&lt;$D$4,H275="OK"),1,0)</f>
        <v>0</v>
      </c>
      <c r="D275">
        <f>FCS!R270</f>
        <v>1.6939693969396938</v>
      </c>
      <c r="E275">
        <f>FCS!AM270</f>
        <v>98.416466142366275</v>
      </c>
      <c r="F275">
        <f t="shared" ref="F275:F338" ca="1" si="16">IFERROR(D275*C275,0)</f>
        <v>0</v>
      </c>
      <c r="G275">
        <f t="shared" ref="G275:G338" ca="1" si="17">IFERROR(E275*C275,0)</f>
        <v>0</v>
      </c>
      <c r="H275" t="str">
        <f>FCS!AO270</f>
        <v>Ok</v>
      </c>
    </row>
    <row r="276" spans="2:8" x14ac:dyDescent="0.25">
      <c r="B276" s="367">
        <f>FCS!G271</f>
        <v>46095</v>
      </c>
      <c r="C276">
        <f t="shared" ca="1" si="15"/>
        <v>0</v>
      </c>
      <c r="D276">
        <f>FCS!R271</f>
        <v>1.7371269780408083</v>
      </c>
      <c r="E276">
        <f>FCS!AM271</f>
        <v>100.92384120291788</v>
      </c>
      <c r="F276">
        <f t="shared" ca="1" si="16"/>
        <v>0</v>
      </c>
      <c r="G276">
        <f t="shared" ca="1" si="17"/>
        <v>0</v>
      </c>
      <c r="H276" t="str">
        <f>FCS!AO271</f>
        <v>OK</v>
      </c>
    </row>
    <row r="277" spans="2:8" x14ac:dyDescent="0.25">
      <c r="B277" s="367">
        <f>FCS!G272</f>
        <v>46095</v>
      </c>
      <c r="C277">
        <f t="shared" ca="1" si="15"/>
        <v>0</v>
      </c>
      <c r="D277">
        <f>FCS!R272</f>
        <v>1.7253333333333334</v>
      </c>
      <c r="E277">
        <f>FCS!AM272</f>
        <v>99.043245311902027</v>
      </c>
      <c r="F277">
        <f t="shared" ca="1" si="16"/>
        <v>0</v>
      </c>
      <c r="G277">
        <f t="shared" ca="1" si="17"/>
        <v>0</v>
      </c>
      <c r="H277" t="str">
        <f>FCS!AO272</f>
        <v>Ok</v>
      </c>
    </row>
    <row r="278" spans="2:8" x14ac:dyDescent="0.25">
      <c r="B278" s="367">
        <f>FCS!G273</f>
        <v>46095</v>
      </c>
      <c r="C278">
        <f t="shared" ca="1" si="15"/>
        <v>0</v>
      </c>
      <c r="D278" t="str">
        <f>FCS!R273</f>
        <v>-</v>
      </c>
      <c r="E278" t="str">
        <f>FCS!AM273</f>
        <v>-</v>
      </c>
      <c r="F278">
        <f t="shared" ca="1" si="16"/>
        <v>0</v>
      </c>
      <c r="G278">
        <f t="shared" ca="1" si="17"/>
        <v>0</v>
      </c>
      <c r="H278" t="str">
        <f>FCS!AO273</f>
        <v>-</v>
      </c>
    </row>
    <row r="279" spans="2:8" x14ac:dyDescent="0.25">
      <c r="B279" s="367">
        <f>FCS!G274</f>
        <v>46095</v>
      </c>
      <c r="C279">
        <f t="shared" ca="1" si="15"/>
        <v>0</v>
      </c>
      <c r="D279">
        <f>FCS!R274</f>
        <v>1.7702089009990918</v>
      </c>
      <c r="E279">
        <f>FCS!AM274</f>
        <v>103.7637104923266</v>
      </c>
      <c r="F279">
        <f t="shared" ca="1" si="16"/>
        <v>0</v>
      </c>
      <c r="G279">
        <f t="shared" ca="1" si="17"/>
        <v>0</v>
      </c>
      <c r="H279" t="str">
        <f>FCS!AO274</f>
        <v>Ok</v>
      </c>
    </row>
    <row r="280" spans="2:8" x14ac:dyDescent="0.25">
      <c r="B280" s="367">
        <f>FCS!G275</f>
        <v>46095</v>
      </c>
      <c r="C280">
        <f t="shared" ca="1" si="15"/>
        <v>0</v>
      </c>
      <c r="D280">
        <f>FCS!R275</f>
        <v>1.7301006404391583</v>
      </c>
      <c r="E280">
        <f>FCS!AM275</f>
        <v>99.890337207803597</v>
      </c>
      <c r="F280">
        <f t="shared" ca="1" si="16"/>
        <v>0</v>
      </c>
      <c r="G280">
        <f t="shared" ca="1" si="17"/>
        <v>0</v>
      </c>
      <c r="H280" t="str">
        <f>FCS!AO275</f>
        <v>Ok</v>
      </c>
    </row>
    <row r="281" spans="2:8" x14ac:dyDescent="0.25">
      <c r="B281" s="367">
        <f>FCS!G276</f>
        <v>46095</v>
      </c>
      <c r="C281">
        <f t="shared" ca="1" si="15"/>
        <v>0</v>
      </c>
      <c r="D281">
        <f>FCS!R276</f>
        <v>1.8065693430656933</v>
      </c>
      <c r="E281">
        <f>FCS!AM276</f>
        <v>103.70662130113051</v>
      </c>
      <c r="F281">
        <f t="shared" ca="1" si="16"/>
        <v>0</v>
      </c>
      <c r="G281">
        <f t="shared" ca="1" si="17"/>
        <v>0</v>
      </c>
      <c r="H281" t="str">
        <f>FCS!AO276</f>
        <v>Ok</v>
      </c>
    </row>
    <row r="282" spans="2:8" x14ac:dyDescent="0.25">
      <c r="B282" s="367">
        <f>FCS!G277</f>
        <v>46095</v>
      </c>
      <c r="C282">
        <f t="shared" ca="1" si="15"/>
        <v>0</v>
      </c>
      <c r="D282">
        <f>FCS!R277</f>
        <v>1.7329700272479565</v>
      </c>
      <c r="E282">
        <f>FCS!AM277</f>
        <v>99.481631874165117</v>
      </c>
      <c r="F282">
        <f t="shared" ca="1" si="16"/>
        <v>0</v>
      </c>
      <c r="G282">
        <f t="shared" ca="1" si="17"/>
        <v>0</v>
      </c>
      <c r="H282" t="str">
        <f>FCS!AO277</f>
        <v>Ok</v>
      </c>
    </row>
    <row r="283" spans="2:8" x14ac:dyDescent="0.25">
      <c r="B283" s="367">
        <f>FCS!G278</f>
        <v>46095</v>
      </c>
      <c r="C283">
        <f t="shared" ca="1" si="15"/>
        <v>0</v>
      </c>
      <c r="D283">
        <f>FCS!R278</f>
        <v>1.7190305206463194</v>
      </c>
      <c r="E283">
        <f>FCS!AM278</f>
        <v>98.68143057671179</v>
      </c>
      <c r="F283">
        <f t="shared" ca="1" si="16"/>
        <v>0</v>
      </c>
      <c r="G283">
        <f t="shared" ca="1" si="17"/>
        <v>0</v>
      </c>
      <c r="H283" t="str">
        <f>FCS!AO278</f>
        <v>Ok</v>
      </c>
    </row>
    <row r="284" spans="2:8" x14ac:dyDescent="0.25">
      <c r="B284" s="367">
        <f>FCS!G279</f>
        <v>46095</v>
      </c>
      <c r="C284">
        <f t="shared" ca="1" si="15"/>
        <v>0</v>
      </c>
      <c r="D284">
        <f>FCS!R279</f>
        <v>1.7328519855595665</v>
      </c>
      <c r="E284">
        <f>FCS!AM279</f>
        <v>99.47485565783964</v>
      </c>
      <c r="F284">
        <f t="shared" ca="1" si="16"/>
        <v>0</v>
      </c>
      <c r="G284">
        <f t="shared" ca="1" si="17"/>
        <v>0</v>
      </c>
      <c r="H284" t="str">
        <f>FCS!AO279</f>
        <v>Ok</v>
      </c>
    </row>
    <row r="285" spans="2:8" x14ac:dyDescent="0.25">
      <c r="B285" s="367">
        <f>FCS!G280</f>
        <v>46095</v>
      </c>
      <c r="C285">
        <f t="shared" ca="1" si="15"/>
        <v>0</v>
      </c>
      <c r="D285">
        <f>FCS!R280</f>
        <v>1.7349177330895793</v>
      </c>
      <c r="E285">
        <f>FCS!AM280</f>
        <v>101.49130964863029</v>
      </c>
      <c r="F285">
        <f t="shared" ca="1" si="16"/>
        <v>0</v>
      </c>
      <c r="G285">
        <f t="shared" ca="1" si="17"/>
        <v>0</v>
      </c>
      <c r="H285" t="str">
        <f>FCS!AO280</f>
        <v>Ok</v>
      </c>
    </row>
    <row r="286" spans="2:8" x14ac:dyDescent="0.25">
      <c r="B286" s="367">
        <f>FCS!G281</f>
        <v>46095</v>
      </c>
      <c r="C286">
        <f t="shared" ca="1" si="15"/>
        <v>0</v>
      </c>
      <c r="D286">
        <f>FCS!R281</f>
        <v>1.7427536231884055</v>
      </c>
      <c r="E286">
        <f>FCS!AM281</f>
        <v>100.04326195111398</v>
      </c>
      <c r="F286">
        <f t="shared" ca="1" si="16"/>
        <v>0</v>
      </c>
      <c r="G286">
        <f t="shared" ca="1" si="17"/>
        <v>0</v>
      </c>
      <c r="H286" t="str">
        <f>FCS!AO281</f>
        <v>Ok</v>
      </c>
    </row>
    <row r="287" spans="2:8" x14ac:dyDescent="0.25">
      <c r="B287" s="367">
        <f>FCS!G282</f>
        <v>46096</v>
      </c>
      <c r="C287">
        <f t="shared" ca="1" si="15"/>
        <v>0</v>
      </c>
      <c r="D287">
        <f>FCS!R282</f>
        <v>1.7661290322580645</v>
      </c>
      <c r="E287">
        <f>FCS!AM282</f>
        <v>102.6088065228866</v>
      </c>
      <c r="F287">
        <f t="shared" ca="1" si="16"/>
        <v>0</v>
      </c>
      <c r="G287">
        <f t="shared" ca="1" si="17"/>
        <v>0</v>
      </c>
      <c r="H287" t="str">
        <f>FCS!AO282</f>
        <v>Ok</v>
      </c>
    </row>
    <row r="288" spans="2:8" x14ac:dyDescent="0.25">
      <c r="B288" s="367">
        <f>FCS!G283</f>
        <v>46096</v>
      </c>
      <c r="C288">
        <f t="shared" ca="1" si="15"/>
        <v>0</v>
      </c>
      <c r="D288">
        <f>FCS!R283</f>
        <v>1.7270999324438108</v>
      </c>
      <c r="E288">
        <f>FCS!AM283</f>
        <v>100.341288533851</v>
      </c>
      <c r="F288">
        <f t="shared" ca="1" si="16"/>
        <v>0</v>
      </c>
      <c r="G288">
        <f t="shared" ca="1" si="17"/>
        <v>0</v>
      </c>
      <c r="H288" t="str">
        <f>FCS!AO283</f>
        <v>OK</v>
      </c>
    </row>
    <row r="289" spans="2:8" x14ac:dyDescent="0.25">
      <c r="B289" s="367">
        <f>FCS!G284</f>
        <v>46096</v>
      </c>
      <c r="C289">
        <f t="shared" ca="1" si="15"/>
        <v>0</v>
      </c>
      <c r="D289">
        <f>FCS!R284</f>
        <v>1.7782646801051709</v>
      </c>
      <c r="E289">
        <f>FCS!AM284</f>
        <v>104.23591325352702</v>
      </c>
      <c r="F289">
        <f t="shared" ca="1" si="16"/>
        <v>0</v>
      </c>
      <c r="G289">
        <f t="shared" ca="1" si="17"/>
        <v>0</v>
      </c>
      <c r="H289" t="str">
        <f>FCS!AO284</f>
        <v>Ok</v>
      </c>
    </row>
    <row r="290" spans="2:8" x14ac:dyDescent="0.25">
      <c r="B290" s="367">
        <f>FCS!G285</f>
        <v>46096</v>
      </c>
      <c r="C290">
        <f t="shared" ca="1" si="15"/>
        <v>0</v>
      </c>
      <c r="D290">
        <f>FCS!R285</f>
        <v>1.7705510388437218</v>
      </c>
      <c r="E290">
        <f>FCS!AM285</f>
        <v>103.11887238460812</v>
      </c>
      <c r="F290">
        <f t="shared" ca="1" si="16"/>
        <v>0</v>
      </c>
      <c r="G290">
        <f t="shared" ca="1" si="17"/>
        <v>0</v>
      </c>
      <c r="H290" t="str">
        <f>FCS!AO285</f>
        <v>Ok</v>
      </c>
    </row>
    <row r="291" spans="2:8" x14ac:dyDescent="0.25">
      <c r="B291" s="367">
        <f>FCS!G286</f>
        <v>46096</v>
      </c>
      <c r="C291">
        <f t="shared" ca="1" si="15"/>
        <v>0</v>
      </c>
      <c r="D291">
        <f>FCS!R286</f>
        <v>1.7440841367221736</v>
      </c>
      <c r="E291">
        <f>FCS!AM286</f>
        <v>101.57741040897923</v>
      </c>
      <c r="F291">
        <f t="shared" ca="1" si="16"/>
        <v>0</v>
      </c>
      <c r="G291">
        <f t="shared" ca="1" si="17"/>
        <v>0</v>
      </c>
      <c r="H291" t="str">
        <f>FCS!AO286</f>
        <v>Ok</v>
      </c>
    </row>
    <row r="292" spans="2:8" x14ac:dyDescent="0.25">
      <c r="B292" s="367">
        <f>FCS!G287</f>
        <v>46096</v>
      </c>
      <c r="C292">
        <f t="shared" ca="1" si="15"/>
        <v>0</v>
      </c>
      <c r="D292">
        <f>FCS!R287</f>
        <v>1.7186932849364789</v>
      </c>
      <c r="E292">
        <f>FCS!AM287</f>
        <v>100.09861880818166</v>
      </c>
      <c r="F292">
        <f t="shared" ca="1" si="16"/>
        <v>0</v>
      </c>
      <c r="G292">
        <f t="shared" ca="1" si="17"/>
        <v>0</v>
      </c>
      <c r="H292" t="str">
        <f>FCS!AO287</f>
        <v>Ok</v>
      </c>
    </row>
    <row r="293" spans="2:8" x14ac:dyDescent="0.25">
      <c r="B293" s="367">
        <f>FCS!G288</f>
        <v>46096</v>
      </c>
      <c r="C293">
        <f t="shared" ca="1" si="15"/>
        <v>0</v>
      </c>
      <c r="D293">
        <f>FCS!R288</f>
        <v>1.7633451957295372</v>
      </c>
      <c r="E293">
        <f>FCS!AM288</f>
        <v>102.6991960238519</v>
      </c>
      <c r="F293">
        <f t="shared" ca="1" si="16"/>
        <v>0</v>
      </c>
      <c r="G293">
        <f t="shared" ca="1" si="17"/>
        <v>0</v>
      </c>
      <c r="H293" t="str">
        <f>FCS!AO288</f>
        <v>Ok</v>
      </c>
    </row>
    <row r="294" spans="2:8" x14ac:dyDescent="0.25">
      <c r="B294" s="367">
        <f>FCS!G289</f>
        <v>46096</v>
      </c>
      <c r="C294">
        <f t="shared" ca="1" si="15"/>
        <v>0</v>
      </c>
      <c r="D294">
        <f>FCS!R289</f>
        <v>1.742397137745975</v>
      </c>
      <c r="E294">
        <f>FCS!AM289</f>
        <v>101.47915770215346</v>
      </c>
      <c r="F294">
        <f t="shared" ca="1" si="16"/>
        <v>0</v>
      </c>
      <c r="G294">
        <f t="shared" ca="1" si="17"/>
        <v>0</v>
      </c>
      <c r="H294" t="str">
        <f>FCS!AO289</f>
        <v>Ok</v>
      </c>
    </row>
    <row r="295" spans="2:8" x14ac:dyDescent="0.25">
      <c r="B295" s="367">
        <f>FCS!G290</f>
        <v>46096</v>
      </c>
      <c r="C295">
        <f t="shared" ca="1" si="15"/>
        <v>0</v>
      </c>
      <c r="D295">
        <f>FCS!R290</f>
        <v>1.7554347826086956</v>
      </c>
      <c r="E295">
        <f>FCS!AM290</f>
        <v>102.238484718037</v>
      </c>
      <c r="F295">
        <f t="shared" ca="1" si="16"/>
        <v>0</v>
      </c>
      <c r="G295">
        <f t="shared" ca="1" si="17"/>
        <v>0</v>
      </c>
      <c r="H295" t="str">
        <f>FCS!AO290</f>
        <v>Ok</v>
      </c>
    </row>
    <row r="296" spans="2:8" x14ac:dyDescent="0.25">
      <c r="B296" s="367">
        <f>FCS!G291</f>
        <v>46096</v>
      </c>
      <c r="C296">
        <f t="shared" ca="1" si="15"/>
        <v>0</v>
      </c>
      <c r="D296">
        <f>FCS!R291</f>
        <v>1.7536988685813752</v>
      </c>
      <c r="E296">
        <f>FCS!AM291</f>
        <v>102.79594774802902</v>
      </c>
      <c r="F296">
        <f t="shared" ca="1" si="16"/>
        <v>0</v>
      </c>
      <c r="G296">
        <f t="shared" ca="1" si="17"/>
        <v>0</v>
      </c>
      <c r="H296" t="str">
        <f>FCS!AO291</f>
        <v>Ok</v>
      </c>
    </row>
    <row r="297" spans="2:8" x14ac:dyDescent="0.25">
      <c r="B297" s="367">
        <f>FCS!G292</f>
        <v>46096</v>
      </c>
      <c r="C297">
        <f t="shared" ca="1" si="15"/>
        <v>0</v>
      </c>
      <c r="D297">
        <f>FCS!R292</f>
        <v>1.7878787878787878</v>
      </c>
      <c r="E297">
        <f>FCS!AM292</f>
        <v>104.79946001634161</v>
      </c>
      <c r="F297">
        <f t="shared" ca="1" si="16"/>
        <v>0</v>
      </c>
      <c r="G297">
        <f t="shared" ca="1" si="17"/>
        <v>0</v>
      </c>
      <c r="H297" t="str">
        <f>FCS!AO292</f>
        <v>Ok</v>
      </c>
    </row>
    <row r="298" spans="2:8" x14ac:dyDescent="0.25">
      <c r="B298" s="367">
        <f>FCS!G293</f>
        <v>46096</v>
      </c>
      <c r="C298">
        <f t="shared" ca="1" si="15"/>
        <v>0</v>
      </c>
      <c r="D298">
        <f>FCS!R293</f>
        <v>1.7192825112107624</v>
      </c>
      <c r="E298">
        <f>FCS!AM293</f>
        <v>100.77647330829313</v>
      </c>
      <c r="F298">
        <f t="shared" ca="1" si="16"/>
        <v>0</v>
      </c>
      <c r="G298">
        <f t="shared" ca="1" si="17"/>
        <v>0</v>
      </c>
      <c r="H298" t="str">
        <f>FCS!AO293</f>
        <v>Ok</v>
      </c>
    </row>
    <row r="299" spans="2:8" x14ac:dyDescent="0.25">
      <c r="B299" s="367">
        <f>FCS!G294</f>
        <v>46096</v>
      </c>
      <c r="C299">
        <f t="shared" ca="1" si="15"/>
        <v>0</v>
      </c>
      <c r="D299">
        <f>FCS!R294</f>
        <v>1.7329139781281289</v>
      </c>
      <c r="E299">
        <f>FCS!AM294</f>
        <v>101.5754875209041</v>
      </c>
      <c r="F299">
        <f t="shared" ca="1" si="16"/>
        <v>0</v>
      </c>
      <c r="G299">
        <f t="shared" ca="1" si="17"/>
        <v>0</v>
      </c>
      <c r="H299" t="str">
        <f>FCS!AO294</f>
        <v>OK</v>
      </c>
    </row>
    <row r="300" spans="2:8" x14ac:dyDescent="0.25">
      <c r="B300" s="367">
        <f>FCS!G295</f>
        <v>46096</v>
      </c>
      <c r="C300">
        <f t="shared" ca="1" si="15"/>
        <v>0</v>
      </c>
      <c r="D300">
        <f>FCS!R295</f>
        <v>1.7714808043875683</v>
      </c>
      <c r="E300">
        <f>FCS!AM295</f>
        <v>103.17302296957298</v>
      </c>
      <c r="F300">
        <f t="shared" ca="1" si="16"/>
        <v>0</v>
      </c>
      <c r="G300">
        <f t="shared" ca="1" si="17"/>
        <v>0</v>
      </c>
      <c r="H300" t="str">
        <f>FCS!AO295</f>
        <v>Ok</v>
      </c>
    </row>
    <row r="301" spans="2:8" x14ac:dyDescent="0.25">
      <c r="B301" s="367">
        <f>FCS!G296</f>
        <v>46096</v>
      </c>
      <c r="C301">
        <f t="shared" ca="1" si="15"/>
        <v>0</v>
      </c>
      <c r="D301">
        <f>FCS!R296</f>
        <v>1.7315140845070423</v>
      </c>
      <c r="E301">
        <f>FCS!AM296</f>
        <v>100.84531651176715</v>
      </c>
      <c r="F301">
        <f t="shared" ca="1" si="16"/>
        <v>0</v>
      </c>
      <c r="G301">
        <f t="shared" ca="1" si="17"/>
        <v>0</v>
      </c>
      <c r="H301" t="str">
        <f>FCS!AO296</f>
        <v>Ok</v>
      </c>
    </row>
    <row r="302" spans="2:8" x14ac:dyDescent="0.25">
      <c r="B302" s="367">
        <f>FCS!G297</f>
        <v>46096</v>
      </c>
      <c r="C302">
        <f t="shared" ca="1" si="15"/>
        <v>0</v>
      </c>
      <c r="D302">
        <f>FCS!R297</f>
        <v>1.71353711790393</v>
      </c>
      <c r="E302">
        <f>FCS!AM297</f>
        <v>99.798317874428065</v>
      </c>
      <c r="F302">
        <f t="shared" ca="1" si="16"/>
        <v>0</v>
      </c>
      <c r="G302">
        <f t="shared" ca="1" si="17"/>
        <v>0</v>
      </c>
      <c r="H302" t="str">
        <f>FCS!AO297</f>
        <v>Ok</v>
      </c>
    </row>
    <row r="303" spans="2:8" x14ac:dyDescent="0.25">
      <c r="B303" s="367">
        <f>FCS!G298</f>
        <v>46096</v>
      </c>
      <c r="C303">
        <f t="shared" ca="1" si="15"/>
        <v>0</v>
      </c>
      <c r="D303">
        <f>FCS!R298</f>
        <v>1.7039647577092509</v>
      </c>
      <c r="E303">
        <f>FCS!AM298</f>
        <v>99.240812912594691</v>
      </c>
      <c r="F303">
        <f t="shared" ca="1" si="16"/>
        <v>0</v>
      </c>
      <c r="G303">
        <f t="shared" ca="1" si="17"/>
        <v>0</v>
      </c>
      <c r="H303" t="str">
        <f>FCS!AO298</f>
        <v>Ok</v>
      </c>
    </row>
    <row r="304" spans="2:8" x14ac:dyDescent="0.25">
      <c r="B304" s="367">
        <f>FCS!G299</f>
        <v>46096</v>
      </c>
      <c r="C304">
        <f t="shared" ca="1" si="15"/>
        <v>0</v>
      </c>
      <c r="D304">
        <f>FCS!R299</f>
        <v>1.746618575293057</v>
      </c>
      <c r="E304">
        <f>FCS!AM299</f>
        <v>102.38092469478646</v>
      </c>
      <c r="F304">
        <f t="shared" ca="1" si="16"/>
        <v>0</v>
      </c>
      <c r="G304">
        <f t="shared" ca="1" si="17"/>
        <v>0</v>
      </c>
      <c r="H304" t="str">
        <f>FCS!AO299</f>
        <v>Ok</v>
      </c>
    </row>
    <row r="305" spans="2:8" x14ac:dyDescent="0.25">
      <c r="B305" s="367">
        <f>FCS!G300</f>
        <v>46096</v>
      </c>
      <c r="C305">
        <f t="shared" ca="1" si="15"/>
        <v>0</v>
      </c>
      <c r="D305">
        <f>FCS!R300</f>
        <v>1.7578268876611418</v>
      </c>
      <c r="E305">
        <f>FCS!AM300</f>
        <v>103.03791838576446</v>
      </c>
      <c r="F305">
        <f t="shared" ca="1" si="16"/>
        <v>0</v>
      </c>
      <c r="G305">
        <f t="shared" ca="1" si="17"/>
        <v>0</v>
      </c>
      <c r="H305" t="str">
        <f>FCS!AO300</f>
        <v>Ok</v>
      </c>
    </row>
    <row r="306" spans="2:8" x14ac:dyDescent="0.25">
      <c r="B306" s="367">
        <f>FCS!G301</f>
        <v>46096</v>
      </c>
      <c r="C306">
        <f t="shared" ca="1" si="15"/>
        <v>0</v>
      </c>
      <c r="D306">
        <f>FCS!R301</f>
        <v>1.715439856373429</v>
      </c>
      <c r="E306">
        <f>FCS!AM301</f>
        <v>100.55333272997827</v>
      </c>
      <c r="F306">
        <f t="shared" ca="1" si="16"/>
        <v>0</v>
      </c>
      <c r="G306">
        <f t="shared" ca="1" si="17"/>
        <v>0</v>
      </c>
      <c r="H306" t="str">
        <f>FCS!AO301</f>
        <v>Ok</v>
      </c>
    </row>
    <row r="307" spans="2:8" x14ac:dyDescent="0.25">
      <c r="B307" s="367">
        <f>FCS!G302</f>
        <v>46096</v>
      </c>
      <c r="C307">
        <f t="shared" ca="1" si="15"/>
        <v>0</v>
      </c>
      <c r="D307">
        <f>FCS!R302</f>
        <v>1.7598214285714284</v>
      </c>
      <c r="E307">
        <f>FCS!AM302</f>
        <v>101.02304412005904</v>
      </c>
      <c r="F307">
        <f t="shared" ca="1" si="16"/>
        <v>0</v>
      </c>
      <c r="G307">
        <f t="shared" ca="1" si="17"/>
        <v>0</v>
      </c>
      <c r="H307" t="str">
        <f>FCS!AO302</f>
        <v>Ok</v>
      </c>
    </row>
    <row r="308" spans="2:8" x14ac:dyDescent="0.25">
      <c r="B308" s="367">
        <f>FCS!G303</f>
        <v>46097</v>
      </c>
      <c r="C308">
        <f t="shared" ca="1" si="15"/>
        <v>0</v>
      </c>
      <c r="D308">
        <f>FCS!R303</f>
        <v>1.7357980162308386</v>
      </c>
      <c r="E308">
        <f>FCS!AM303</f>
        <v>101.09481748577976</v>
      </c>
      <c r="F308">
        <f t="shared" ca="1" si="16"/>
        <v>0</v>
      </c>
      <c r="G308">
        <f t="shared" ca="1" si="17"/>
        <v>0</v>
      </c>
      <c r="H308" t="str">
        <f>FCS!AO303</f>
        <v>Ok</v>
      </c>
    </row>
    <row r="309" spans="2:8" x14ac:dyDescent="0.25">
      <c r="B309" s="367">
        <f>FCS!G304</f>
        <v>46097</v>
      </c>
      <c r="C309">
        <f t="shared" ca="1" si="15"/>
        <v>0</v>
      </c>
      <c r="D309">
        <f>FCS!R304</f>
        <v>1.701834862385321</v>
      </c>
      <c r="E309">
        <f>FCS!AM304</f>
        <v>99.90951189600672</v>
      </c>
      <c r="F309">
        <f t="shared" ca="1" si="16"/>
        <v>0</v>
      </c>
      <c r="G309">
        <f t="shared" ca="1" si="17"/>
        <v>0</v>
      </c>
      <c r="H309" t="str">
        <f>FCS!AO304</f>
        <v>Ok</v>
      </c>
    </row>
    <row r="310" spans="2:8" x14ac:dyDescent="0.25">
      <c r="B310" s="367">
        <f>FCS!G305</f>
        <v>46097</v>
      </c>
      <c r="C310">
        <f t="shared" ca="1" si="15"/>
        <v>0</v>
      </c>
      <c r="D310">
        <f>FCS!R305</f>
        <v>1.6780509936066685</v>
      </c>
      <c r="E310">
        <f>FCS!AM305</f>
        <v>98.513233812160635</v>
      </c>
      <c r="F310">
        <f t="shared" ca="1" si="16"/>
        <v>0</v>
      </c>
      <c r="G310">
        <f t="shared" ca="1" si="17"/>
        <v>0</v>
      </c>
      <c r="H310" t="str">
        <f>FCS!AO305</f>
        <v>OK</v>
      </c>
    </row>
    <row r="311" spans="2:8" x14ac:dyDescent="0.25">
      <c r="B311" s="367">
        <f>FCS!G306</f>
        <v>46097</v>
      </c>
      <c r="C311">
        <f t="shared" ca="1" si="15"/>
        <v>0</v>
      </c>
      <c r="D311">
        <f>FCS!R306</f>
        <v>1.7509124087591239</v>
      </c>
      <c r="E311">
        <f>FCS!AM306</f>
        <v>101.97509660798625</v>
      </c>
      <c r="F311">
        <f t="shared" ca="1" si="16"/>
        <v>0</v>
      </c>
      <c r="G311">
        <f t="shared" ca="1" si="17"/>
        <v>0</v>
      </c>
      <c r="H311" t="str">
        <f>FCS!AO306</f>
        <v>Ok</v>
      </c>
    </row>
    <row r="312" spans="2:8" x14ac:dyDescent="0.25">
      <c r="B312" s="367">
        <f>FCS!G307</f>
        <v>46097</v>
      </c>
      <c r="C312">
        <f t="shared" ca="1" si="15"/>
        <v>0</v>
      </c>
      <c r="D312">
        <f>FCS!R307</f>
        <v>1.7168458781362006</v>
      </c>
      <c r="E312">
        <f>FCS!AM307</f>
        <v>99.991023770308701</v>
      </c>
      <c r="F312">
        <f t="shared" ca="1" si="16"/>
        <v>0</v>
      </c>
      <c r="G312">
        <f t="shared" ca="1" si="17"/>
        <v>0</v>
      </c>
      <c r="H312" t="str">
        <f>FCS!AO307</f>
        <v>Ok</v>
      </c>
    </row>
    <row r="313" spans="2:8" x14ac:dyDescent="0.25">
      <c r="B313" s="367">
        <f>FCS!G308</f>
        <v>46097</v>
      </c>
      <c r="C313">
        <f t="shared" ca="1" si="15"/>
        <v>0</v>
      </c>
      <c r="D313">
        <f>FCS!R308</f>
        <v>1.7653880463871545</v>
      </c>
      <c r="E313">
        <f>FCS!AM308</f>
        <v>102.81817393052735</v>
      </c>
      <c r="F313">
        <f t="shared" ca="1" si="16"/>
        <v>0</v>
      </c>
      <c r="G313">
        <f t="shared" ca="1" si="17"/>
        <v>0</v>
      </c>
      <c r="H313" t="str">
        <f>FCS!AO308</f>
        <v>Ok</v>
      </c>
    </row>
    <row r="314" spans="2:8" x14ac:dyDescent="0.25">
      <c r="B314" s="367">
        <f>FCS!G309</f>
        <v>46097</v>
      </c>
      <c r="C314">
        <f t="shared" ca="1" si="15"/>
        <v>0</v>
      </c>
      <c r="D314">
        <f>FCS!R309</f>
        <v>1.7525114155251142</v>
      </c>
      <c r="E314">
        <f>FCS!AM309</f>
        <v>102.06822455009402</v>
      </c>
      <c r="F314">
        <f t="shared" ca="1" si="16"/>
        <v>0</v>
      </c>
      <c r="G314">
        <f t="shared" ca="1" si="17"/>
        <v>0</v>
      </c>
      <c r="H314" t="str">
        <f>FCS!AO309</f>
        <v>Ok</v>
      </c>
    </row>
    <row r="315" spans="2:8" x14ac:dyDescent="0.25">
      <c r="B315" s="367">
        <f>FCS!G310</f>
        <v>46097</v>
      </c>
      <c r="C315">
        <f t="shared" ca="1" si="15"/>
        <v>0</v>
      </c>
      <c r="D315">
        <f>FCS!R310</f>
        <v>1.7470210815765352</v>
      </c>
      <c r="E315">
        <f>FCS!AM310</f>
        <v>101.74846136147555</v>
      </c>
      <c r="F315">
        <f t="shared" ca="1" si="16"/>
        <v>0</v>
      </c>
      <c r="G315">
        <f t="shared" ca="1" si="17"/>
        <v>0</v>
      </c>
      <c r="H315" t="str">
        <f>FCS!AO310</f>
        <v>Ok</v>
      </c>
    </row>
    <row r="316" spans="2:8" x14ac:dyDescent="0.25">
      <c r="B316" s="367">
        <f>FCS!G311</f>
        <v>46097</v>
      </c>
      <c r="C316">
        <f t="shared" ca="1" si="15"/>
        <v>0</v>
      </c>
      <c r="D316">
        <f>FCS!R311</f>
        <v>1.7645429362880887</v>
      </c>
      <c r="E316">
        <f>FCS!AM311</f>
        <v>102.76895377333074</v>
      </c>
      <c r="F316">
        <f t="shared" ca="1" si="16"/>
        <v>0</v>
      </c>
      <c r="G316">
        <f t="shared" ca="1" si="17"/>
        <v>0</v>
      </c>
      <c r="H316" t="str">
        <f>FCS!AO311</f>
        <v>Ok</v>
      </c>
    </row>
    <row r="317" spans="2:8" x14ac:dyDescent="0.25">
      <c r="B317" s="367">
        <f>FCS!G312</f>
        <v>46097</v>
      </c>
      <c r="C317">
        <f t="shared" ca="1" si="15"/>
        <v>0</v>
      </c>
      <c r="D317">
        <f>FCS!R312</f>
        <v>1.771945701357466</v>
      </c>
      <c r="E317">
        <f>FCS!AM312</f>
        <v>103.20009908896132</v>
      </c>
      <c r="F317">
        <f t="shared" ca="1" si="16"/>
        <v>0</v>
      </c>
      <c r="G317">
        <f t="shared" ca="1" si="17"/>
        <v>0</v>
      </c>
      <c r="H317" t="str">
        <f>FCS!AO312</f>
        <v>Ok</v>
      </c>
    </row>
    <row r="318" spans="2:8" x14ac:dyDescent="0.25">
      <c r="B318" s="367">
        <f>FCS!G313</f>
        <v>46097</v>
      </c>
      <c r="C318">
        <f t="shared" ca="1" si="15"/>
        <v>0</v>
      </c>
      <c r="D318">
        <f>FCS!R313</f>
        <v>1.7517985611510789</v>
      </c>
      <c r="E318">
        <f>FCS!AM313</f>
        <v>102.02670711421543</v>
      </c>
      <c r="F318">
        <f t="shared" ca="1" si="16"/>
        <v>0</v>
      </c>
      <c r="G318">
        <f t="shared" ca="1" si="17"/>
        <v>0</v>
      </c>
      <c r="H318" t="str">
        <f>FCS!AO313</f>
        <v>Ok</v>
      </c>
    </row>
    <row r="319" spans="2:8" x14ac:dyDescent="0.25">
      <c r="B319" s="367">
        <f>FCS!G314</f>
        <v>46097</v>
      </c>
      <c r="C319">
        <f t="shared" ca="1" si="15"/>
        <v>0</v>
      </c>
      <c r="D319">
        <f>FCS!R314</f>
        <v>1.7360730593607308</v>
      </c>
      <c r="E319">
        <f>FCS!AM314</f>
        <v>101.11083630522602</v>
      </c>
      <c r="F319">
        <f t="shared" ca="1" si="16"/>
        <v>0</v>
      </c>
      <c r="G319">
        <f t="shared" ca="1" si="17"/>
        <v>0</v>
      </c>
      <c r="H319" t="str">
        <f>FCS!AO314</f>
        <v>Ok</v>
      </c>
    </row>
    <row r="320" spans="2:8" x14ac:dyDescent="0.25">
      <c r="B320" s="367">
        <f>FCS!G315</f>
        <v>46097</v>
      </c>
      <c r="C320">
        <f t="shared" ca="1" si="15"/>
        <v>0</v>
      </c>
      <c r="D320">
        <f>FCS!R315</f>
        <v>1.7343608340888486</v>
      </c>
      <c r="E320">
        <f>FCS!AM315</f>
        <v>101.46140769632939</v>
      </c>
      <c r="F320">
        <f t="shared" ca="1" si="16"/>
        <v>0</v>
      </c>
      <c r="G320">
        <f t="shared" ca="1" si="17"/>
        <v>0</v>
      </c>
      <c r="H320" t="str">
        <f>FCS!AO315</f>
        <v>Ok</v>
      </c>
    </row>
    <row r="321" spans="2:8" x14ac:dyDescent="0.25">
      <c r="B321" s="367">
        <f>FCS!G316</f>
        <v>46097</v>
      </c>
      <c r="C321">
        <f t="shared" ca="1" si="15"/>
        <v>0</v>
      </c>
      <c r="D321">
        <f>FCS!R316</f>
        <v>1.7380613560254479</v>
      </c>
      <c r="E321">
        <f>FCS!AM316</f>
        <v>101.6778910010252</v>
      </c>
      <c r="F321">
        <f t="shared" ca="1" si="16"/>
        <v>0</v>
      </c>
      <c r="G321">
        <f t="shared" ca="1" si="17"/>
        <v>0</v>
      </c>
      <c r="H321" t="str">
        <f>FCS!AO316</f>
        <v>OK</v>
      </c>
    </row>
    <row r="322" spans="2:8" x14ac:dyDescent="0.25">
      <c r="B322" s="367">
        <f>FCS!G317</f>
        <v>46097</v>
      </c>
      <c r="C322">
        <f t="shared" ca="1" si="15"/>
        <v>0</v>
      </c>
      <c r="D322">
        <f>FCS!R317</f>
        <v>1.7351054078826764</v>
      </c>
      <c r="E322">
        <f>FCS!AM317</f>
        <v>101.05447920108772</v>
      </c>
      <c r="F322">
        <f t="shared" ca="1" si="16"/>
        <v>0</v>
      </c>
      <c r="G322">
        <f t="shared" ca="1" si="17"/>
        <v>0</v>
      </c>
      <c r="H322" t="str">
        <f>FCS!AO317</f>
        <v>Ok</v>
      </c>
    </row>
    <row r="323" spans="2:8" x14ac:dyDescent="0.25">
      <c r="B323" s="367">
        <f>FCS!G318</f>
        <v>46097</v>
      </c>
      <c r="C323">
        <f t="shared" ca="1" si="15"/>
        <v>0</v>
      </c>
      <c r="D323">
        <f>FCS!R318</f>
        <v>1.7534883720930234</v>
      </c>
      <c r="E323">
        <f>FCS!AM318</f>
        <v>102.12512359307067</v>
      </c>
      <c r="F323">
        <f t="shared" ca="1" si="16"/>
        <v>0</v>
      </c>
      <c r="G323">
        <f t="shared" ca="1" si="17"/>
        <v>0</v>
      </c>
      <c r="H323" t="str">
        <f>FCS!AO318</f>
        <v>Ok</v>
      </c>
    </row>
    <row r="324" spans="2:8" x14ac:dyDescent="0.25">
      <c r="B324" s="367">
        <f>FCS!G319</f>
        <v>46097</v>
      </c>
      <c r="C324">
        <f t="shared" ca="1" si="15"/>
        <v>0</v>
      </c>
      <c r="D324">
        <f>FCS!R319</f>
        <v>1.7556357078449054</v>
      </c>
      <c r="E324">
        <f>FCS!AM319</f>
        <v>102.2501868284744</v>
      </c>
      <c r="F324">
        <f t="shared" ca="1" si="16"/>
        <v>0</v>
      </c>
      <c r="G324">
        <f t="shared" ca="1" si="17"/>
        <v>0</v>
      </c>
      <c r="H324" t="str">
        <f>FCS!AO319</f>
        <v>Ok</v>
      </c>
    </row>
    <row r="325" spans="2:8" x14ac:dyDescent="0.25">
      <c r="B325" s="367">
        <f>FCS!G320</f>
        <v>46097</v>
      </c>
      <c r="C325">
        <f t="shared" ca="1" si="15"/>
        <v>0</v>
      </c>
      <c r="D325">
        <f>FCS!R320</f>
        <v>1.7465815861440293</v>
      </c>
      <c r="E325">
        <f>FCS!AM320</f>
        <v>101.72286465602967</v>
      </c>
      <c r="F325">
        <f t="shared" ca="1" si="16"/>
        <v>0</v>
      </c>
      <c r="G325">
        <f t="shared" ca="1" si="17"/>
        <v>0</v>
      </c>
      <c r="H325" t="str">
        <f>FCS!AO320</f>
        <v>Ok</v>
      </c>
    </row>
    <row r="326" spans="2:8" x14ac:dyDescent="0.25">
      <c r="B326" s="367">
        <f>FCS!G321</f>
        <v>46097</v>
      </c>
      <c r="C326">
        <f t="shared" ca="1" si="15"/>
        <v>0</v>
      </c>
      <c r="D326">
        <f>FCS!R321</f>
        <v>1.7641165755919854</v>
      </c>
      <c r="E326">
        <f>FCS!AM321</f>
        <v>102.74412204962059</v>
      </c>
      <c r="F326">
        <f t="shared" ca="1" si="16"/>
        <v>0</v>
      </c>
      <c r="G326">
        <f t="shared" ca="1" si="17"/>
        <v>0</v>
      </c>
      <c r="H326" t="str">
        <f>FCS!AO321</f>
        <v>Ok</v>
      </c>
    </row>
    <row r="327" spans="2:8" x14ac:dyDescent="0.25">
      <c r="B327" s="367">
        <f>FCS!G322</f>
        <v>46097</v>
      </c>
      <c r="C327">
        <f t="shared" ca="1" si="15"/>
        <v>0</v>
      </c>
      <c r="D327">
        <f>FCS!R322</f>
        <v>1.7279411764705881</v>
      </c>
      <c r="E327">
        <f>FCS!AM322</f>
        <v>100.637226352393</v>
      </c>
      <c r="F327">
        <f t="shared" ca="1" si="16"/>
        <v>0</v>
      </c>
      <c r="G327">
        <f t="shared" ca="1" si="17"/>
        <v>0</v>
      </c>
      <c r="H327" t="str">
        <f>FCS!AO322</f>
        <v>Ok</v>
      </c>
    </row>
    <row r="328" spans="2:8" x14ac:dyDescent="0.25">
      <c r="B328" s="367">
        <f>FCS!G323</f>
        <v>46097</v>
      </c>
      <c r="C328">
        <f t="shared" ca="1" si="15"/>
        <v>0</v>
      </c>
      <c r="D328">
        <f>FCS!R323</f>
        <v>1.7303473491773307</v>
      </c>
      <c r="E328">
        <f>FCS!AM323</f>
        <v>100.77736454148693</v>
      </c>
      <c r="F328">
        <f t="shared" ca="1" si="16"/>
        <v>0</v>
      </c>
      <c r="G328">
        <f t="shared" ca="1" si="17"/>
        <v>0</v>
      </c>
      <c r="H328" t="str">
        <f>FCS!AO323</f>
        <v>Ok</v>
      </c>
    </row>
    <row r="329" spans="2:8" x14ac:dyDescent="0.25">
      <c r="B329" s="367">
        <f>FCS!G324</f>
        <v>46097</v>
      </c>
      <c r="C329">
        <f t="shared" ca="1" si="15"/>
        <v>0</v>
      </c>
      <c r="D329">
        <f>FCS!R324</f>
        <v>1.6949458483754509</v>
      </c>
      <c r="E329">
        <f>FCS!AM324</f>
        <v>98.715541547783971</v>
      </c>
      <c r="F329">
        <f t="shared" ca="1" si="16"/>
        <v>0</v>
      </c>
      <c r="G329">
        <f t="shared" ca="1" si="17"/>
        <v>0</v>
      </c>
      <c r="H329" t="str">
        <f>FCS!AO324</f>
        <v>Ok</v>
      </c>
    </row>
    <row r="330" spans="2:8" x14ac:dyDescent="0.25">
      <c r="B330" s="367">
        <f>FCS!G325</f>
        <v>46097</v>
      </c>
      <c r="C330">
        <f t="shared" ca="1" si="15"/>
        <v>0</v>
      </c>
      <c r="D330">
        <f>FCS!R325</f>
        <v>1.7181571815718157</v>
      </c>
      <c r="E330">
        <f>FCS!AM325</f>
        <v>100.06739554873707</v>
      </c>
      <c r="F330">
        <f t="shared" ca="1" si="16"/>
        <v>0</v>
      </c>
      <c r="G330">
        <f t="shared" ca="1" si="17"/>
        <v>0</v>
      </c>
      <c r="H330" t="str">
        <f>FCS!AO325</f>
        <v>Ok</v>
      </c>
    </row>
    <row r="331" spans="2:8" x14ac:dyDescent="0.25">
      <c r="B331" s="367">
        <f>FCS!G326</f>
        <v>46097</v>
      </c>
      <c r="C331">
        <f t="shared" ca="1" si="15"/>
        <v>0</v>
      </c>
      <c r="D331">
        <f>FCS!R326</f>
        <v>1.7055103884372176</v>
      </c>
      <c r="E331">
        <f>FCS!AM326</f>
        <v>99.771003339499529</v>
      </c>
      <c r="F331">
        <f t="shared" ca="1" si="16"/>
        <v>0</v>
      </c>
      <c r="G331">
        <f t="shared" ca="1" si="17"/>
        <v>0</v>
      </c>
      <c r="H331" t="str">
        <f>FCS!AO326</f>
        <v>Ok</v>
      </c>
    </row>
    <row r="332" spans="2:8" x14ac:dyDescent="0.25">
      <c r="B332" s="367">
        <f>FCS!G327</f>
        <v>46097</v>
      </c>
      <c r="C332">
        <f t="shared" ca="1" si="15"/>
        <v>0</v>
      </c>
      <c r="D332">
        <f>FCS!R327</f>
        <v>1.6975848990342401</v>
      </c>
      <c r="E332">
        <f>FCS!AM327</f>
        <v>99.307368503234358</v>
      </c>
      <c r="F332">
        <f t="shared" ca="1" si="16"/>
        <v>0</v>
      </c>
      <c r="G332">
        <f t="shared" ca="1" si="17"/>
        <v>0</v>
      </c>
      <c r="H332" t="str">
        <f>FCS!AO327</f>
        <v>OK</v>
      </c>
    </row>
    <row r="333" spans="2:8" x14ac:dyDescent="0.25">
      <c r="B333" s="367">
        <f>FCS!G328</f>
        <v>46097</v>
      </c>
      <c r="C333">
        <f t="shared" ca="1" si="15"/>
        <v>0</v>
      </c>
      <c r="D333">
        <f>FCS!R328</f>
        <v>1.7169117647058822</v>
      </c>
      <c r="E333">
        <f>FCS!AM328</f>
        <v>99.994861077803279</v>
      </c>
      <c r="F333">
        <f t="shared" ca="1" si="16"/>
        <v>0</v>
      </c>
      <c r="G333">
        <f t="shared" ca="1" si="17"/>
        <v>0</v>
      </c>
      <c r="H333" t="str">
        <f>FCS!AO328</f>
        <v>Ok</v>
      </c>
    </row>
    <row r="334" spans="2:8" x14ac:dyDescent="0.25">
      <c r="B334" s="367">
        <f>FCS!G329</f>
        <v>46097</v>
      </c>
      <c r="C334">
        <f t="shared" ca="1" si="15"/>
        <v>0</v>
      </c>
      <c r="D334" t="str">
        <f>FCS!R329</f>
        <v>-</v>
      </c>
      <c r="E334" t="str">
        <f>FCS!AM329</f>
        <v>-</v>
      </c>
      <c r="F334">
        <f t="shared" ca="1" si="16"/>
        <v>0</v>
      </c>
      <c r="G334">
        <f t="shared" ca="1" si="17"/>
        <v>0</v>
      </c>
      <c r="H334" t="str">
        <f>FCS!AO329</f>
        <v>-</v>
      </c>
    </row>
    <row r="335" spans="2:8" x14ac:dyDescent="0.25">
      <c r="B335" s="367">
        <f>FCS!G330</f>
        <v>46098</v>
      </c>
      <c r="C335">
        <f t="shared" ca="1" si="15"/>
        <v>0</v>
      </c>
      <c r="D335">
        <f>FCS!R330</f>
        <v>1.7838827838827838</v>
      </c>
      <c r="E335">
        <f>FCS!AM330</f>
        <v>104.81097437619175</v>
      </c>
      <c r="F335">
        <f t="shared" ca="1" si="16"/>
        <v>0</v>
      </c>
      <c r="G335">
        <f t="shared" ca="1" si="17"/>
        <v>0</v>
      </c>
      <c r="H335" t="str">
        <f>FCS!AO330</f>
        <v>Ok</v>
      </c>
    </row>
    <row r="336" spans="2:8" x14ac:dyDescent="0.25">
      <c r="B336" s="367">
        <f>FCS!G331</f>
        <v>46098</v>
      </c>
      <c r="C336">
        <f t="shared" ca="1" si="15"/>
        <v>0</v>
      </c>
      <c r="D336">
        <f>FCS!R331</f>
        <v>1.7109304426377596</v>
      </c>
      <c r="E336">
        <f>FCS!AM331</f>
        <v>100.52470285768271</v>
      </c>
      <c r="F336">
        <f t="shared" ca="1" si="16"/>
        <v>0</v>
      </c>
      <c r="G336">
        <f t="shared" ca="1" si="17"/>
        <v>0</v>
      </c>
      <c r="H336" t="str">
        <f>FCS!AO331</f>
        <v>Ok</v>
      </c>
    </row>
    <row r="337" spans="2:8" x14ac:dyDescent="0.25">
      <c r="B337" s="367">
        <f>FCS!G332</f>
        <v>46098</v>
      </c>
      <c r="C337">
        <f t="shared" ca="1" si="15"/>
        <v>0</v>
      </c>
      <c r="D337">
        <f>FCS!R332</f>
        <v>1.7564814814814813</v>
      </c>
      <c r="E337">
        <f>FCS!AM332</f>
        <v>103.20102711407057</v>
      </c>
      <c r="F337">
        <f t="shared" ca="1" si="16"/>
        <v>0</v>
      </c>
      <c r="G337">
        <f t="shared" ca="1" si="17"/>
        <v>0</v>
      </c>
      <c r="H337" t="str">
        <f>FCS!AO332</f>
        <v>Ok</v>
      </c>
    </row>
    <row r="338" spans="2:8" x14ac:dyDescent="0.25">
      <c r="B338" s="367">
        <f>FCS!G333</f>
        <v>46098</v>
      </c>
      <c r="C338">
        <f t="shared" ca="1" si="15"/>
        <v>0</v>
      </c>
      <c r="D338">
        <f>FCS!R333</f>
        <v>1.7591575091575091</v>
      </c>
      <c r="E338">
        <f>FCS!AM333</f>
        <v>103.35825553216857</v>
      </c>
      <c r="F338">
        <f t="shared" ca="1" si="16"/>
        <v>0</v>
      </c>
      <c r="G338">
        <f t="shared" ca="1" si="17"/>
        <v>0</v>
      </c>
      <c r="H338" t="str">
        <f>FCS!AO333</f>
        <v>Ok</v>
      </c>
    </row>
    <row r="339" spans="2:8" x14ac:dyDescent="0.25">
      <c r="B339" s="367">
        <f>FCS!G334</f>
        <v>46098</v>
      </c>
      <c r="C339">
        <f t="shared" ref="C339:C402" ca="1" si="18">IF(AND(B339&gt;$C$5,B339&lt;$D$4,H339="OK"),1,0)</f>
        <v>0</v>
      </c>
      <c r="D339">
        <f>FCS!R334</f>
        <v>1.75</v>
      </c>
      <c r="E339">
        <f>FCS!AM334</f>
        <v>102.82021151586369</v>
      </c>
      <c r="F339">
        <f t="shared" ref="F339:F402" ca="1" si="19">IFERROR(D339*C339,0)</f>
        <v>0</v>
      </c>
      <c r="G339">
        <f t="shared" ref="G339:G402" ca="1" si="20">IFERROR(E339*C339,0)</f>
        <v>0</v>
      </c>
      <c r="H339" t="str">
        <f>FCS!AO334</f>
        <v>Ok</v>
      </c>
    </row>
    <row r="340" spans="2:8" x14ac:dyDescent="0.25">
      <c r="B340" s="367">
        <f>FCS!G335</f>
        <v>46098</v>
      </c>
      <c r="C340">
        <f t="shared" ca="1" si="18"/>
        <v>0</v>
      </c>
      <c r="D340">
        <f>FCS!R335</f>
        <v>1.769718948322756</v>
      </c>
      <c r="E340">
        <f>FCS!AM335</f>
        <v>103.97878662295864</v>
      </c>
      <c r="F340">
        <f t="shared" ca="1" si="19"/>
        <v>0</v>
      </c>
      <c r="G340">
        <f t="shared" ca="1" si="20"/>
        <v>0</v>
      </c>
      <c r="H340" t="str">
        <f>FCS!AO335</f>
        <v>Ok</v>
      </c>
    </row>
    <row r="341" spans="2:8" x14ac:dyDescent="0.25">
      <c r="B341" s="367">
        <f>FCS!G336</f>
        <v>46098</v>
      </c>
      <c r="C341">
        <f t="shared" ca="1" si="18"/>
        <v>0</v>
      </c>
      <c r="D341">
        <f>FCS!R336</f>
        <v>1.6971770744225834</v>
      </c>
      <c r="E341">
        <f>FCS!AM336</f>
        <v>99.716631869716991</v>
      </c>
      <c r="F341">
        <f t="shared" ca="1" si="19"/>
        <v>0</v>
      </c>
      <c r="G341">
        <f t="shared" ca="1" si="20"/>
        <v>0</v>
      </c>
      <c r="H341" t="str">
        <f>FCS!AO336</f>
        <v>Ok</v>
      </c>
    </row>
    <row r="342" spans="2:8" x14ac:dyDescent="0.25">
      <c r="B342" s="367">
        <f>FCS!G337</f>
        <v>46098</v>
      </c>
      <c r="C342">
        <f t="shared" ca="1" si="18"/>
        <v>0</v>
      </c>
      <c r="D342">
        <f>FCS!R337</f>
        <v>1.7575221238938055</v>
      </c>
      <c r="E342">
        <f>FCS!AM337</f>
        <v>103.26216944146918</v>
      </c>
      <c r="F342">
        <f t="shared" ca="1" si="19"/>
        <v>0</v>
      </c>
      <c r="G342">
        <f t="shared" ca="1" si="20"/>
        <v>0</v>
      </c>
      <c r="H342" t="str">
        <f>FCS!AO337</f>
        <v>Ok</v>
      </c>
    </row>
    <row r="343" spans="2:8" x14ac:dyDescent="0.25">
      <c r="B343" s="367">
        <f>FCS!G338</f>
        <v>46098</v>
      </c>
      <c r="C343">
        <f t="shared" ca="1" si="18"/>
        <v>0</v>
      </c>
      <c r="D343">
        <f>FCS!R338</f>
        <v>1.7256637168141593</v>
      </c>
      <c r="E343">
        <f>FCS!AM338</f>
        <v>100.25784708139969</v>
      </c>
      <c r="F343">
        <f t="shared" ca="1" si="19"/>
        <v>0</v>
      </c>
      <c r="G343">
        <f t="shared" ca="1" si="20"/>
        <v>0</v>
      </c>
      <c r="H343" t="str">
        <f>FCS!AO338</f>
        <v>Ok</v>
      </c>
    </row>
    <row r="344" spans="2:8" x14ac:dyDescent="0.25">
      <c r="B344" s="367">
        <f>FCS!G339</f>
        <v>46098</v>
      </c>
      <c r="C344">
        <f t="shared" ca="1" si="18"/>
        <v>0</v>
      </c>
      <c r="D344">
        <f>FCS!R339</f>
        <v>1.7017752715047871</v>
      </c>
      <c r="E344">
        <f>FCS!AM339</f>
        <v>99.906013497942851</v>
      </c>
      <c r="F344">
        <f t="shared" ca="1" si="19"/>
        <v>0</v>
      </c>
      <c r="G344">
        <f t="shared" ca="1" si="20"/>
        <v>0</v>
      </c>
      <c r="H344" t="str">
        <f>FCS!AO339</f>
        <v>OK</v>
      </c>
    </row>
    <row r="345" spans="2:8" x14ac:dyDescent="0.25">
      <c r="B345" s="367">
        <f>FCS!G340</f>
        <v>46098</v>
      </c>
      <c r="C345">
        <f t="shared" ca="1" si="18"/>
        <v>0</v>
      </c>
      <c r="D345">
        <f>FCS!R340</f>
        <v>1.7674825174825175</v>
      </c>
      <c r="E345">
        <f>FCS!AM340</f>
        <v>103.84738645608212</v>
      </c>
      <c r="F345">
        <f t="shared" ca="1" si="19"/>
        <v>0</v>
      </c>
      <c r="G345">
        <f t="shared" ca="1" si="20"/>
        <v>0</v>
      </c>
      <c r="H345" t="str">
        <f>FCS!AO340</f>
        <v>Ok</v>
      </c>
    </row>
    <row r="346" spans="2:8" x14ac:dyDescent="0.25">
      <c r="B346" s="367">
        <f>FCS!G341</f>
        <v>46098</v>
      </c>
      <c r="C346">
        <f t="shared" ca="1" si="18"/>
        <v>0</v>
      </c>
      <c r="D346">
        <f>FCS!R341</f>
        <v>1.7621145374449338</v>
      </c>
      <c r="E346">
        <f>FCS!AM341</f>
        <v>103.53199397443795</v>
      </c>
      <c r="F346">
        <f t="shared" ca="1" si="19"/>
        <v>0</v>
      </c>
      <c r="G346">
        <f t="shared" ca="1" si="20"/>
        <v>0</v>
      </c>
      <c r="H346" t="str">
        <f>FCS!AO341</f>
        <v>Ok</v>
      </c>
    </row>
    <row r="347" spans="2:8" x14ac:dyDescent="0.25">
      <c r="B347" s="367">
        <f>FCS!G342</f>
        <v>46098</v>
      </c>
      <c r="C347">
        <f t="shared" ca="1" si="18"/>
        <v>0</v>
      </c>
      <c r="D347">
        <f>FCS!R342</f>
        <v>1.7012635379061369</v>
      </c>
      <c r="E347">
        <f>FCS!AM342</f>
        <v>99.956729606706048</v>
      </c>
      <c r="F347">
        <f t="shared" ca="1" si="19"/>
        <v>0</v>
      </c>
      <c r="G347">
        <f t="shared" ca="1" si="20"/>
        <v>0</v>
      </c>
      <c r="H347" t="str">
        <f>FCS!AO342</f>
        <v>Ok</v>
      </c>
    </row>
    <row r="348" spans="2:8" x14ac:dyDescent="0.25">
      <c r="B348" s="367">
        <f>FCS!G343</f>
        <v>46098</v>
      </c>
      <c r="C348">
        <f t="shared" ca="1" si="18"/>
        <v>0</v>
      </c>
      <c r="D348">
        <f>FCS!R343</f>
        <v>1.7390493942218082</v>
      </c>
      <c r="E348">
        <f>FCS!AM343</f>
        <v>102.17681517166911</v>
      </c>
      <c r="F348">
        <f t="shared" ca="1" si="19"/>
        <v>0</v>
      </c>
      <c r="G348">
        <f t="shared" ca="1" si="20"/>
        <v>0</v>
      </c>
      <c r="H348" t="str">
        <f>FCS!AO343</f>
        <v>Ok</v>
      </c>
    </row>
    <row r="349" spans="2:8" x14ac:dyDescent="0.25">
      <c r="B349" s="367">
        <f>FCS!G344</f>
        <v>46098</v>
      </c>
      <c r="C349">
        <f t="shared" ca="1" si="18"/>
        <v>0</v>
      </c>
      <c r="D349">
        <f>FCS!R344</f>
        <v>1.6724587315377932</v>
      </c>
      <c r="E349">
        <f>FCS!AM344</f>
        <v>98.264320301867997</v>
      </c>
      <c r="F349">
        <f t="shared" ca="1" si="19"/>
        <v>0</v>
      </c>
      <c r="G349">
        <f t="shared" ca="1" si="20"/>
        <v>0</v>
      </c>
      <c r="H349" t="str">
        <f>FCS!AO344</f>
        <v>Ok</v>
      </c>
    </row>
    <row r="350" spans="2:8" x14ac:dyDescent="0.25">
      <c r="B350" s="367">
        <f>FCS!G345</f>
        <v>46098</v>
      </c>
      <c r="C350">
        <f t="shared" ca="1" si="18"/>
        <v>0</v>
      </c>
      <c r="D350">
        <f>FCS!R345</f>
        <v>1.7028985507246375</v>
      </c>
      <c r="E350">
        <f>FCS!AM345</f>
        <v>100.05279381460855</v>
      </c>
      <c r="F350">
        <f t="shared" ca="1" si="19"/>
        <v>0</v>
      </c>
      <c r="G350">
        <f t="shared" ca="1" si="20"/>
        <v>0</v>
      </c>
      <c r="H350" t="str">
        <f>FCS!AO345</f>
        <v>Ok</v>
      </c>
    </row>
    <row r="351" spans="2:8" x14ac:dyDescent="0.25">
      <c r="B351" s="367">
        <f>FCS!G346</f>
        <v>46098</v>
      </c>
      <c r="C351">
        <f t="shared" ca="1" si="18"/>
        <v>0</v>
      </c>
      <c r="D351">
        <f>FCS!R346</f>
        <v>1.6925858951175405</v>
      </c>
      <c r="E351">
        <f>FCS!AM346</f>
        <v>99.446879854144569</v>
      </c>
      <c r="F351">
        <f t="shared" ca="1" si="19"/>
        <v>0</v>
      </c>
      <c r="G351">
        <f t="shared" ca="1" si="20"/>
        <v>0</v>
      </c>
      <c r="H351" t="str">
        <f>FCS!AO346</f>
        <v>Ok</v>
      </c>
    </row>
    <row r="352" spans="2:8" x14ac:dyDescent="0.25">
      <c r="B352" s="367">
        <f>FCS!G347</f>
        <v>46098</v>
      </c>
      <c r="C352">
        <f t="shared" ca="1" si="18"/>
        <v>0</v>
      </c>
      <c r="D352">
        <f>FCS!R347</f>
        <v>1.7085561497326205</v>
      </c>
      <c r="E352">
        <f>FCS!AM347</f>
        <v>100.38520268699298</v>
      </c>
      <c r="F352">
        <f t="shared" ca="1" si="19"/>
        <v>0</v>
      </c>
      <c r="G352">
        <f t="shared" ca="1" si="20"/>
        <v>0</v>
      </c>
      <c r="H352" t="str">
        <f>FCS!AO347</f>
        <v>Ok</v>
      </c>
    </row>
    <row r="353" spans="2:8" x14ac:dyDescent="0.25">
      <c r="B353" s="367">
        <f>FCS!G348</f>
        <v>46098</v>
      </c>
      <c r="C353">
        <f t="shared" ca="1" si="18"/>
        <v>0</v>
      </c>
      <c r="D353">
        <f>FCS!R348</f>
        <v>1.7203539823008851</v>
      </c>
      <c r="E353">
        <f>FCS!AM348</f>
        <v>101.0783773384774</v>
      </c>
      <c r="F353">
        <f t="shared" ca="1" si="19"/>
        <v>0</v>
      </c>
      <c r="G353">
        <f t="shared" ca="1" si="20"/>
        <v>0</v>
      </c>
      <c r="H353" t="str">
        <f>FCS!AO348</f>
        <v>Ok</v>
      </c>
    </row>
    <row r="354" spans="2:8" x14ac:dyDescent="0.25">
      <c r="B354" s="367">
        <f>FCS!G349</f>
        <v>46098</v>
      </c>
      <c r="C354">
        <f t="shared" ca="1" si="18"/>
        <v>0</v>
      </c>
      <c r="D354">
        <f>FCS!R349</f>
        <v>1.7068965517241379</v>
      </c>
      <c r="E354">
        <f>FCS!AM349</f>
        <v>99.437142924535067</v>
      </c>
      <c r="F354">
        <f t="shared" ca="1" si="19"/>
        <v>0</v>
      </c>
      <c r="G354">
        <f t="shared" ca="1" si="20"/>
        <v>0</v>
      </c>
      <c r="H354" t="str">
        <f>FCS!AO349</f>
        <v>Ok</v>
      </c>
    </row>
    <row r="355" spans="2:8" x14ac:dyDescent="0.25">
      <c r="B355" s="367">
        <f>FCS!G350</f>
        <v>46098</v>
      </c>
      <c r="C355">
        <f t="shared" ca="1" si="18"/>
        <v>0</v>
      </c>
      <c r="D355">
        <f>FCS!R350</f>
        <v>1.7191472124893092</v>
      </c>
      <c r="E355">
        <f>FCS!AM350</f>
        <v>100.15081869135049</v>
      </c>
      <c r="F355">
        <f t="shared" ca="1" si="19"/>
        <v>0</v>
      </c>
      <c r="G355">
        <f t="shared" ca="1" si="20"/>
        <v>0</v>
      </c>
      <c r="H355" t="str">
        <f>FCS!AO350</f>
        <v>OK</v>
      </c>
    </row>
    <row r="356" spans="2:8" x14ac:dyDescent="0.25">
      <c r="B356" s="367">
        <f>FCS!G351</f>
        <v>46099</v>
      </c>
      <c r="C356">
        <f t="shared" ca="1" si="18"/>
        <v>0</v>
      </c>
      <c r="D356">
        <f>FCS!R351</f>
        <v>1.7222731439046746</v>
      </c>
      <c r="E356">
        <f>FCS!AM351</f>
        <v>101.19113653964011</v>
      </c>
      <c r="F356">
        <f t="shared" ca="1" si="19"/>
        <v>0</v>
      </c>
      <c r="G356">
        <f t="shared" ca="1" si="20"/>
        <v>0</v>
      </c>
      <c r="H356" t="str">
        <f>FCS!AO351</f>
        <v>Ok</v>
      </c>
    </row>
    <row r="357" spans="2:8" x14ac:dyDescent="0.25">
      <c r="B357" s="367">
        <f>FCS!G352</f>
        <v>46099</v>
      </c>
      <c r="C357">
        <f t="shared" ca="1" si="18"/>
        <v>0</v>
      </c>
      <c r="D357">
        <f>FCS!R352</f>
        <v>1.7595171773444755</v>
      </c>
      <c r="E357">
        <f>FCS!AM352</f>
        <v>103.37938762305967</v>
      </c>
      <c r="F357">
        <f t="shared" ca="1" si="19"/>
        <v>0</v>
      </c>
      <c r="G357">
        <f t="shared" ca="1" si="20"/>
        <v>0</v>
      </c>
      <c r="H357" t="str">
        <f>FCS!AO352</f>
        <v>Ok</v>
      </c>
    </row>
    <row r="358" spans="2:8" x14ac:dyDescent="0.25">
      <c r="B358" s="367">
        <f>FCS!G353</f>
        <v>46099</v>
      </c>
      <c r="C358">
        <f t="shared" ca="1" si="18"/>
        <v>0</v>
      </c>
      <c r="D358">
        <f>FCS!R353</f>
        <v>1.7052919708029195</v>
      </c>
      <c r="E358">
        <f>FCS!AM353</f>
        <v>100.19341779100586</v>
      </c>
      <c r="F358">
        <f t="shared" ca="1" si="19"/>
        <v>0</v>
      </c>
      <c r="G358">
        <f t="shared" ca="1" si="20"/>
        <v>0</v>
      </c>
      <c r="H358" t="str">
        <f>FCS!AO353</f>
        <v>Ok</v>
      </c>
    </row>
    <row r="359" spans="2:8" x14ac:dyDescent="0.25">
      <c r="B359" s="367">
        <f>FCS!G354</f>
        <v>46099</v>
      </c>
      <c r="C359">
        <f t="shared" ca="1" si="18"/>
        <v>0</v>
      </c>
      <c r="D359">
        <f>FCS!R354</f>
        <v>1.6980961015412512</v>
      </c>
      <c r="E359">
        <f>FCS!AM354</f>
        <v>99.770628762705712</v>
      </c>
      <c r="F359">
        <f t="shared" ca="1" si="19"/>
        <v>0</v>
      </c>
      <c r="G359">
        <f t="shared" ca="1" si="20"/>
        <v>0</v>
      </c>
      <c r="H359" t="str">
        <f>FCS!AO354</f>
        <v>Ok</v>
      </c>
    </row>
    <row r="360" spans="2:8" x14ac:dyDescent="0.25">
      <c r="B360" s="367">
        <f>FCS!G355</f>
        <v>46099</v>
      </c>
      <c r="C360">
        <f t="shared" ca="1" si="18"/>
        <v>0</v>
      </c>
      <c r="D360">
        <f>FCS!R355</f>
        <v>1.7243589743589742</v>
      </c>
      <c r="E360">
        <f>FCS!AM355</f>
        <v>101.31368827021001</v>
      </c>
      <c r="F360">
        <f t="shared" ca="1" si="19"/>
        <v>0</v>
      </c>
      <c r="G360">
        <f t="shared" ca="1" si="20"/>
        <v>0</v>
      </c>
      <c r="H360" t="str">
        <f>FCS!AO355</f>
        <v>Ok</v>
      </c>
    </row>
    <row r="361" spans="2:8" x14ac:dyDescent="0.25">
      <c r="B361" s="367">
        <f>FCS!G356</f>
        <v>46099</v>
      </c>
      <c r="C361">
        <f t="shared" ca="1" si="18"/>
        <v>0</v>
      </c>
      <c r="D361">
        <f>FCS!R356</f>
        <v>1.7317972350230415</v>
      </c>
      <c r="E361">
        <f>FCS!AM356</f>
        <v>101.75071886151829</v>
      </c>
      <c r="F361">
        <f t="shared" ca="1" si="19"/>
        <v>0</v>
      </c>
      <c r="G361">
        <f t="shared" ca="1" si="20"/>
        <v>0</v>
      </c>
      <c r="H361" t="str">
        <f>FCS!AO356</f>
        <v>Ok</v>
      </c>
    </row>
    <row r="362" spans="2:8" x14ac:dyDescent="0.25">
      <c r="B362" s="367">
        <f>FCS!G357</f>
        <v>46099</v>
      </c>
      <c r="C362">
        <f t="shared" ca="1" si="18"/>
        <v>0</v>
      </c>
      <c r="D362">
        <f>FCS!R357</f>
        <v>1.7042124542124542</v>
      </c>
      <c r="E362">
        <f>FCS!AM357</f>
        <v>100.12999143433925</v>
      </c>
      <c r="F362">
        <f t="shared" ca="1" si="19"/>
        <v>0</v>
      </c>
      <c r="G362">
        <f t="shared" ca="1" si="20"/>
        <v>0</v>
      </c>
      <c r="H362" t="str">
        <f>FCS!AO357</f>
        <v>Ok</v>
      </c>
    </row>
    <row r="363" spans="2:8" x14ac:dyDescent="0.25">
      <c r="B363" s="367">
        <f>FCS!G358</f>
        <v>46099</v>
      </c>
      <c r="C363">
        <f t="shared" ca="1" si="18"/>
        <v>0</v>
      </c>
      <c r="D363">
        <f>FCS!R358</f>
        <v>1.742354031510658</v>
      </c>
      <c r="E363">
        <f>FCS!AM358</f>
        <v>102.37097717453925</v>
      </c>
      <c r="F363">
        <f t="shared" ca="1" si="19"/>
        <v>0</v>
      </c>
      <c r="G363">
        <f t="shared" ca="1" si="20"/>
        <v>0</v>
      </c>
      <c r="H363" t="str">
        <f>FCS!AO358</f>
        <v>Ok</v>
      </c>
    </row>
    <row r="364" spans="2:8" x14ac:dyDescent="0.25">
      <c r="B364" s="367">
        <f>FCS!G359</f>
        <v>46099</v>
      </c>
      <c r="C364">
        <f t="shared" ca="1" si="18"/>
        <v>0</v>
      </c>
      <c r="D364">
        <f>FCS!R359</f>
        <v>1.702359346642468</v>
      </c>
      <c r="E364">
        <f>FCS!AM359</f>
        <v>100.02111319873489</v>
      </c>
      <c r="F364">
        <f t="shared" ca="1" si="19"/>
        <v>0</v>
      </c>
      <c r="G364">
        <f t="shared" ca="1" si="20"/>
        <v>0</v>
      </c>
      <c r="H364" t="str">
        <f>FCS!AO359</f>
        <v>Ok</v>
      </c>
    </row>
    <row r="365" spans="2:8" x14ac:dyDescent="0.25">
      <c r="B365" s="367">
        <f>FCS!G360</f>
        <v>46099</v>
      </c>
      <c r="C365">
        <f t="shared" ca="1" si="18"/>
        <v>0</v>
      </c>
      <c r="D365">
        <f>FCS!R360</f>
        <v>1.7166212534059946</v>
      </c>
      <c r="E365">
        <f>FCS!AM360</f>
        <v>100.05750170518462</v>
      </c>
      <c r="F365">
        <f t="shared" ca="1" si="19"/>
        <v>0</v>
      </c>
      <c r="G365">
        <f t="shared" ca="1" si="20"/>
        <v>0</v>
      </c>
      <c r="H365" t="str">
        <f>FCS!AO360</f>
        <v>Ok</v>
      </c>
    </row>
    <row r="366" spans="2:8" x14ac:dyDescent="0.25">
      <c r="B366" s="367">
        <f>FCS!G361</f>
        <v>46099</v>
      </c>
      <c r="C366">
        <f t="shared" ca="1" si="18"/>
        <v>0</v>
      </c>
      <c r="D366">
        <f>FCS!R361</f>
        <v>1.6946381560329395</v>
      </c>
      <c r="E366">
        <f>FCS!AM361</f>
        <v>98.776162680326649</v>
      </c>
      <c r="F366">
        <f t="shared" ca="1" si="19"/>
        <v>0</v>
      </c>
      <c r="G366">
        <f t="shared" ca="1" si="20"/>
        <v>0</v>
      </c>
      <c r="H366" t="str">
        <f>FCS!AO361</f>
        <v>OK</v>
      </c>
    </row>
    <row r="367" spans="2:8" x14ac:dyDescent="0.25">
      <c r="B367" s="367">
        <f>FCS!G362</f>
        <v>46099</v>
      </c>
      <c r="C367">
        <f t="shared" ca="1" si="18"/>
        <v>0</v>
      </c>
      <c r="D367">
        <f>FCS!R362</f>
        <v>1.7087114337568057</v>
      </c>
      <c r="E367">
        <f>FCS!AM362</f>
        <v>100.39432630768542</v>
      </c>
      <c r="F367">
        <f t="shared" ca="1" si="19"/>
        <v>0</v>
      </c>
      <c r="G367">
        <f t="shared" ca="1" si="20"/>
        <v>0</v>
      </c>
      <c r="H367" t="str">
        <f>FCS!AO362</f>
        <v>Ok</v>
      </c>
    </row>
    <row r="368" spans="2:8" x14ac:dyDescent="0.25">
      <c r="B368" s="367">
        <f>FCS!G363</f>
        <v>46099</v>
      </c>
      <c r="C368">
        <f t="shared" ca="1" si="18"/>
        <v>0</v>
      </c>
      <c r="D368">
        <f>FCS!R363</f>
        <v>1.7039055404178018</v>
      </c>
      <c r="E368">
        <f>FCS!AM363</f>
        <v>100.11195889646309</v>
      </c>
      <c r="F368">
        <f t="shared" ca="1" si="19"/>
        <v>0</v>
      </c>
      <c r="G368">
        <f t="shared" ca="1" si="20"/>
        <v>0</v>
      </c>
      <c r="H368" t="str">
        <f>FCS!AO363</f>
        <v>Ok</v>
      </c>
    </row>
    <row r="369" spans="2:8" x14ac:dyDescent="0.25">
      <c r="B369" s="367">
        <f>FCS!G364</f>
        <v>46099</v>
      </c>
      <c r="C369">
        <f t="shared" ca="1" si="18"/>
        <v>0</v>
      </c>
      <c r="D369" t="str">
        <f>FCS!R364</f>
        <v>-</v>
      </c>
      <c r="E369" t="str">
        <f>FCS!AM364</f>
        <v>-</v>
      </c>
      <c r="F369">
        <f t="shared" ca="1" si="19"/>
        <v>0</v>
      </c>
      <c r="G369">
        <f t="shared" ca="1" si="20"/>
        <v>0</v>
      </c>
      <c r="H369" t="str">
        <f>FCS!AO364</f>
        <v>-</v>
      </c>
    </row>
    <row r="370" spans="2:8" x14ac:dyDescent="0.25">
      <c r="B370" s="367">
        <f>FCS!G365</f>
        <v>46099</v>
      </c>
      <c r="C370">
        <f t="shared" ca="1" si="18"/>
        <v>0</v>
      </c>
      <c r="D370">
        <f>FCS!R365</f>
        <v>1.7550458715596329</v>
      </c>
      <c r="E370">
        <f>FCS!AM365</f>
        <v>103.11667870503132</v>
      </c>
      <c r="F370">
        <f t="shared" ca="1" si="19"/>
        <v>0</v>
      </c>
      <c r="G370">
        <f t="shared" ca="1" si="20"/>
        <v>0</v>
      </c>
      <c r="H370" t="str">
        <f>FCS!AO365</f>
        <v>Ok</v>
      </c>
    </row>
    <row r="371" spans="2:8" x14ac:dyDescent="0.25">
      <c r="B371" s="367">
        <f>FCS!G366</f>
        <v>46099</v>
      </c>
      <c r="C371">
        <f t="shared" ca="1" si="18"/>
        <v>0</v>
      </c>
      <c r="D371">
        <f>FCS!R366</f>
        <v>1.7012635379061369</v>
      </c>
      <c r="E371">
        <f>FCS!AM366</f>
        <v>99.956729606706048</v>
      </c>
      <c r="F371">
        <f t="shared" ca="1" si="19"/>
        <v>0</v>
      </c>
      <c r="G371">
        <f t="shared" ca="1" si="20"/>
        <v>0</v>
      </c>
      <c r="H371" t="str">
        <f>FCS!AO366</f>
        <v>Ok</v>
      </c>
    </row>
    <row r="372" spans="2:8" x14ac:dyDescent="0.25">
      <c r="B372" s="367">
        <f>FCS!G367</f>
        <v>46099</v>
      </c>
      <c r="C372">
        <f t="shared" ca="1" si="18"/>
        <v>0</v>
      </c>
      <c r="D372">
        <f>FCS!R367</f>
        <v>1.7336363636363634</v>
      </c>
      <c r="E372">
        <f>FCS!AM367</f>
        <v>101.85877577181924</v>
      </c>
      <c r="F372">
        <f t="shared" ca="1" si="19"/>
        <v>0</v>
      </c>
      <c r="G372">
        <f t="shared" ca="1" si="20"/>
        <v>0</v>
      </c>
      <c r="H372" t="str">
        <f>FCS!AO367</f>
        <v>Ok</v>
      </c>
    </row>
    <row r="373" spans="2:8" x14ac:dyDescent="0.25">
      <c r="B373" s="367">
        <f>FCS!G368</f>
        <v>46099</v>
      </c>
      <c r="C373">
        <f t="shared" ca="1" si="18"/>
        <v>0</v>
      </c>
      <c r="D373">
        <f>FCS!R368</f>
        <v>1.7486338797814205</v>
      </c>
      <c r="E373">
        <f>FCS!AM368</f>
        <v>102.73994593310346</v>
      </c>
      <c r="F373">
        <f t="shared" ca="1" si="19"/>
        <v>0</v>
      </c>
      <c r="G373">
        <f t="shared" ca="1" si="20"/>
        <v>0</v>
      </c>
      <c r="H373" t="str">
        <f>FCS!AO368</f>
        <v>Ok</v>
      </c>
    </row>
    <row r="374" spans="2:8" x14ac:dyDescent="0.25">
      <c r="B374" s="367">
        <f>FCS!G369</f>
        <v>46099</v>
      </c>
      <c r="C374">
        <f t="shared" ca="1" si="18"/>
        <v>0</v>
      </c>
      <c r="D374">
        <f>FCS!R369</f>
        <v>1.746618575293057</v>
      </c>
      <c r="E374">
        <f>FCS!AM369</f>
        <v>102.62153791381064</v>
      </c>
      <c r="F374">
        <f t="shared" ca="1" si="19"/>
        <v>0</v>
      </c>
      <c r="G374">
        <f t="shared" ca="1" si="20"/>
        <v>0</v>
      </c>
      <c r="H374" t="str">
        <f>FCS!AO369</f>
        <v>Ok</v>
      </c>
    </row>
    <row r="375" spans="2:8" x14ac:dyDescent="0.25">
      <c r="B375" s="367">
        <f>FCS!G370</f>
        <v>46099</v>
      </c>
      <c r="C375">
        <f t="shared" ca="1" si="18"/>
        <v>0</v>
      </c>
      <c r="D375">
        <f>FCS!R370</f>
        <v>1.7070524412296562</v>
      </c>
      <c r="E375">
        <f>FCS!AM370</f>
        <v>100.29685318623127</v>
      </c>
      <c r="F375">
        <f t="shared" ca="1" si="19"/>
        <v>0</v>
      </c>
      <c r="G375">
        <f t="shared" ca="1" si="20"/>
        <v>0</v>
      </c>
      <c r="H375" t="str">
        <f>FCS!AO370</f>
        <v>Ok</v>
      </c>
    </row>
    <row r="376" spans="2:8" x14ac:dyDescent="0.25">
      <c r="B376" s="367">
        <f>FCS!G371</f>
        <v>46099</v>
      </c>
      <c r="C376">
        <f t="shared" ca="1" si="18"/>
        <v>0</v>
      </c>
      <c r="D376">
        <f>FCS!R371</f>
        <v>1.6858168761220824</v>
      </c>
      <c r="E376">
        <f>FCS!AM371</f>
        <v>98.621549799603386</v>
      </c>
      <c r="F376">
        <f t="shared" ca="1" si="19"/>
        <v>0</v>
      </c>
      <c r="G376">
        <f t="shared" ca="1" si="20"/>
        <v>0</v>
      </c>
      <c r="H376" t="str">
        <f>FCS!AO371</f>
        <v>Ok</v>
      </c>
    </row>
    <row r="377" spans="2:8" x14ac:dyDescent="0.25">
      <c r="B377" s="367">
        <f>FCS!G373</f>
        <v>46099</v>
      </c>
      <c r="C377">
        <f t="shared" ca="1" si="18"/>
        <v>0</v>
      </c>
      <c r="D377">
        <f>FCS!R373</f>
        <v>1.7067898594262507</v>
      </c>
      <c r="E377">
        <f>FCS!AM373</f>
        <v>99.681140006922149</v>
      </c>
      <c r="F377">
        <f t="shared" ca="1" si="19"/>
        <v>0</v>
      </c>
      <c r="G377">
        <f t="shared" ca="1" si="20"/>
        <v>0</v>
      </c>
      <c r="H377" t="str">
        <f>FCS!AO373</f>
        <v>OK</v>
      </c>
    </row>
    <row r="378" spans="2:8" x14ac:dyDescent="0.25">
      <c r="B378" s="367">
        <f>FCS!G374</f>
        <v>46099</v>
      </c>
      <c r="C378">
        <f t="shared" ca="1" si="18"/>
        <v>0</v>
      </c>
      <c r="D378">
        <f>FCS!R374</f>
        <v>1.7100271002710028</v>
      </c>
      <c r="E378">
        <f>FCS!AM374</f>
        <v>100.47162751298488</v>
      </c>
      <c r="F378">
        <f t="shared" ca="1" si="19"/>
        <v>0</v>
      </c>
      <c r="G378">
        <f t="shared" ca="1" si="20"/>
        <v>0</v>
      </c>
      <c r="H378" t="str">
        <f>FCS!AO374</f>
        <v>Ok</v>
      </c>
    </row>
    <row r="379" spans="2:8" x14ac:dyDescent="0.25">
      <c r="B379" s="367">
        <f>FCS!G375</f>
        <v>46099</v>
      </c>
      <c r="C379">
        <f t="shared" ca="1" si="18"/>
        <v>0</v>
      </c>
      <c r="D379">
        <f>FCS!R375</f>
        <v>1.773500447627574</v>
      </c>
      <c r="E379">
        <f>FCS!AM375</f>
        <v>104.20096637059777</v>
      </c>
      <c r="F379">
        <f t="shared" ca="1" si="19"/>
        <v>0</v>
      </c>
      <c r="G379">
        <f t="shared" ca="1" si="20"/>
        <v>0</v>
      </c>
      <c r="H379" t="str">
        <f>FCS!AO375</f>
        <v>Ok</v>
      </c>
    </row>
    <row r="380" spans="2:8" x14ac:dyDescent="0.25">
      <c r="B380" s="367">
        <f>FCS!G376</f>
        <v>46099</v>
      </c>
      <c r="C380">
        <f t="shared" ca="1" si="18"/>
        <v>0</v>
      </c>
      <c r="D380">
        <f>FCS!R376</f>
        <v>1.758064516129032</v>
      </c>
      <c r="E380">
        <f>FCS!AM376</f>
        <v>103.29403737538378</v>
      </c>
      <c r="F380">
        <f t="shared" ca="1" si="19"/>
        <v>0</v>
      </c>
      <c r="G380">
        <f t="shared" ca="1" si="20"/>
        <v>0</v>
      </c>
      <c r="H380" t="str">
        <f>FCS!AO376</f>
        <v>Ok</v>
      </c>
    </row>
    <row r="381" spans="2:8" x14ac:dyDescent="0.25">
      <c r="B381" s="367">
        <f>FCS!G377</f>
        <v>46099</v>
      </c>
      <c r="C381">
        <f t="shared" ca="1" si="18"/>
        <v>0</v>
      </c>
      <c r="D381">
        <f>FCS!R377</f>
        <v>1.7444543034605147</v>
      </c>
      <c r="E381">
        <f>FCS!AM377</f>
        <v>102.49437740661074</v>
      </c>
      <c r="F381">
        <f t="shared" ca="1" si="19"/>
        <v>0</v>
      </c>
      <c r="G381">
        <f t="shared" ca="1" si="20"/>
        <v>0</v>
      </c>
      <c r="H381" t="str">
        <f>FCS!AO377</f>
        <v>Ok</v>
      </c>
    </row>
    <row r="382" spans="2:8" x14ac:dyDescent="0.25">
      <c r="B382" s="367">
        <f>FCS!G378</f>
        <v>46099</v>
      </c>
      <c r="C382">
        <f t="shared" ca="1" si="18"/>
        <v>0</v>
      </c>
      <c r="D382" t="str">
        <f>FCS!R378</f>
        <v>-</v>
      </c>
      <c r="E382" t="str">
        <f>FCS!AM378</f>
        <v>-</v>
      </c>
      <c r="F382">
        <f t="shared" ca="1" si="19"/>
        <v>0</v>
      </c>
      <c r="G382">
        <f t="shared" ca="1" si="20"/>
        <v>0</v>
      </c>
      <c r="H382" t="str">
        <f>FCS!AO378</f>
        <v>-</v>
      </c>
    </row>
    <row r="383" spans="2:8" x14ac:dyDescent="0.25">
      <c r="B383" s="367">
        <f>FCS!G379</f>
        <v>46100</v>
      </c>
      <c r="C383">
        <f t="shared" ca="1" si="18"/>
        <v>0</v>
      </c>
      <c r="D383">
        <f>FCS!R379</f>
        <v>1.6976127320954906</v>
      </c>
      <c r="E383">
        <f>FCS!AM379</f>
        <v>99.742228677760906</v>
      </c>
      <c r="F383">
        <f t="shared" ca="1" si="19"/>
        <v>0</v>
      </c>
      <c r="G383">
        <f t="shared" ca="1" si="20"/>
        <v>0</v>
      </c>
      <c r="H383" t="str">
        <f>FCS!AO379</f>
        <v>Ok</v>
      </c>
    </row>
    <row r="384" spans="2:8" x14ac:dyDescent="0.25">
      <c r="B384" s="367">
        <f>FCS!G380</f>
        <v>46100</v>
      </c>
      <c r="C384">
        <f t="shared" ca="1" si="18"/>
        <v>0</v>
      </c>
      <c r="D384">
        <f>FCS!R380</f>
        <v>1.7039355992844367</v>
      </c>
      <c r="E384">
        <f>FCS!AM380</f>
        <v>100.11372498733471</v>
      </c>
      <c r="F384">
        <f t="shared" ca="1" si="19"/>
        <v>0</v>
      </c>
      <c r="G384">
        <f t="shared" ca="1" si="20"/>
        <v>0</v>
      </c>
      <c r="H384" t="str">
        <f>FCS!AO380</f>
        <v>Ok</v>
      </c>
    </row>
    <row r="385" spans="2:8" x14ac:dyDescent="0.25">
      <c r="B385" s="367">
        <f>FCS!G381</f>
        <v>46100</v>
      </c>
      <c r="C385">
        <f t="shared" ca="1" si="18"/>
        <v>0</v>
      </c>
      <c r="D385">
        <f>FCS!R381</f>
        <v>1.7238421955403087</v>
      </c>
      <c r="E385">
        <f>FCS!AM381</f>
        <v>101.28332523738595</v>
      </c>
      <c r="F385">
        <f t="shared" ca="1" si="19"/>
        <v>0</v>
      </c>
      <c r="G385">
        <f t="shared" ca="1" si="20"/>
        <v>0</v>
      </c>
      <c r="H385" t="str">
        <f>FCS!AO381</f>
        <v>Ok</v>
      </c>
    </row>
    <row r="386" spans="2:8" x14ac:dyDescent="0.25">
      <c r="B386" s="367">
        <f>FCS!G382</f>
        <v>46100</v>
      </c>
      <c r="C386">
        <f t="shared" ca="1" si="18"/>
        <v>0</v>
      </c>
      <c r="D386">
        <f>FCS!R382</f>
        <v>1.7212065813528334</v>
      </c>
      <c r="E386">
        <f>FCS!AM382</f>
        <v>101.1284712898257</v>
      </c>
      <c r="F386">
        <f t="shared" ca="1" si="19"/>
        <v>0</v>
      </c>
      <c r="G386">
        <f t="shared" ca="1" si="20"/>
        <v>0</v>
      </c>
      <c r="H386" t="str">
        <f>FCS!AO382</f>
        <v>Ok</v>
      </c>
    </row>
    <row r="387" spans="2:8" x14ac:dyDescent="0.25">
      <c r="B387" s="367">
        <f>FCS!G383</f>
        <v>46100</v>
      </c>
      <c r="C387">
        <f t="shared" ca="1" si="18"/>
        <v>0</v>
      </c>
      <c r="D387" t="str">
        <f>FCS!R383</f>
        <v>-</v>
      </c>
      <c r="E387" t="str">
        <f>FCS!AM383</f>
        <v>-</v>
      </c>
      <c r="F387">
        <f t="shared" ca="1" si="19"/>
        <v>0</v>
      </c>
      <c r="G387">
        <f t="shared" ca="1" si="20"/>
        <v>0</v>
      </c>
      <c r="H387" t="str">
        <f>FCS!AO383</f>
        <v>-</v>
      </c>
    </row>
    <row r="388" spans="2:8" x14ac:dyDescent="0.25">
      <c r="B388" s="367">
        <f>FCS!G384</f>
        <v>46100</v>
      </c>
      <c r="C388">
        <f t="shared" ca="1" si="18"/>
        <v>0</v>
      </c>
      <c r="D388">
        <f>FCS!R384</f>
        <v>1.7879924953095683</v>
      </c>
      <c r="E388">
        <f>FCS!AM384</f>
        <v>103.11375405476173</v>
      </c>
      <c r="F388">
        <f t="shared" ca="1" si="19"/>
        <v>0</v>
      </c>
      <c r="G388">
        <f t="shared" ca="1" si="20"/>
        <v>0</v>
      </c>
      <c r="H388" t="str">
        <f>FCS!AO384</f>
        <v>Ok</v>
      </c>
    </row>
    <row r="389" spans="2:8" x14ac:dyDescent="0.25">
      <c r="B389" s="367">
        <f>FCS!G386</f>
        <v>46100</v>
      </c>
      <c r="C389">
        <f t="shared" ca="1" si="18"/>
        <v>0</v>
      </c>
      <c r="D389">
        <f>FCS!R386</f>
        <v>1.7268722874792246</v>
      </c>
      <c r="E389">
        <f>FCS!AM386</f>
        <v>99.142271762942144</v>
      </c>
      <c r="F389">
        <f t="shared" ca="1" si="19"/>
        <v>0</v>
      </c>
      <c r="G389">
        <f t="shared" ca="1" si="20"/>
        <v>0</v>
      </c>
      <c r="H389" t="str">
        <f>FCS!AO386</f>
        <v>OK</v>
      </c>
    </row>
    <row r="390" spans="2:8" x14ac:dyDescent="0.25">
      <c r="B390" s="367">
        <f>FCS!G387</f>
        <v>46100</v>
      </c>
      <c r="C390">
        <f t="shared" ca="1" si="18"/>
        <v>0</v>
      </c>
      <c r="D390">
        <f>FCS!R387</f>
        <v>1.7343608340888486</v>
      </c>
      <c r="E390">
        <f>FCS!AM387</f>
        <v>101.6028608136408</v>
      </c>
      <c r="F390">
        <f t="shared" ca="1" si="19"/>
        <v>0</v>
      </c>
      <c r="G390">
        <f t="shared" ca="1" si="20"/>
        <v>0</v>
      </c>
      <c r="H390" t="str">
        <f>FCS!AO387</f>
        <v>Ok</v>
      </c>
    </row>
    <row r="391" spans="2:8" x14ac:dyDescent="0.25">
      <c r="B391" s="367">
        <f>FCS!G388</f>
        <v>46100</v>
      </c>
      <c r="C391">
        <f t="shared" ca="1" si="18"/>
        <v>0</v>
      </c>
      <c r="D391">
        <f>FCS!R388</f>
        <v>1.7543378995433792</v>
      </c>
      <c r="E391">
        <f>FCS!AM388</f>
        <v>102.7731634178898</v>
      </c>
      <c r="F391">
        <f t="shared" ca="1" si="19"/>
        <v>0</v>
      </c>
      <c r="G391">
        <f t="shared" ca="1" si="20"/>
        <v>0</v>
      </c>
      <c r="H391" t="str">
        <f>FCS!AO388</f>
        <v>Ok</v>
      </c>
    </row>
    <row r="392" spans="2:8" x14ac:dyDescent="0.25">
      <c r="B392" s="367">
        <f>FCS!G389</f>
        <v>46100</v>
      </c>
      <c r="C392">
        <f t="shared" ca="1" si="18"/>
        <v>0</v>
      </c>
      <c r="D392">
        <f>FCS!R389</f>
        <v>1.7332139659803043</v>
      </c>
      <c r="E392">
        <f>FCS!AM389</f>
        <v>101.53567463270674</v>
      </c>
      <c r="F392">
        <f t="shared" ca="1" si="19"/>
        <v>0</v>
      </c>
      <c r="G392">
        <f t="shared" ca="1" si="20"/>
        <v>0</v>
      </c>
      <c r="H392" t="str">
        <f>FCS!AO389</f>
        <v>Ok</v>
      </c>
    </row>
    <row r="393" spans="2:8" x14ac:dyDescent="0.25">
      <c r="B393" s="367">
        <f>FCS!G390</f>
        <v>46100</v>
      </c>
      <c r="C393">
        <f t="shared" ca="1" si="18"/>
        <v>0</v>
      </c>
      <c r="D393">
        <f>FCS!R390</f>
        <v>1.7019400352733687</v>
      </c>
      <c r="E393">
        <f>FCS!AM390</f>
        <v>99.703575587192077</v>
      </c>
      <c r="F393">
        <f t="shared" ca="1" si="19"/>
        <v>0</v>
      </c>
      <c r="G393">
        <f t="shared" ca="1" si="20"/>
        <v>0</v>
      </c>
      <c r="H393" t="str">
        <f>FCS!AO390</f>
        <v>Ok</v>
      </c>
    </row>
    <row r="394" spans="2:8" x14ac:dyDescent="0.25">
      <c r="B394" s="367">
        <f>FCS!G391</f>
        <v>46100</v>
      </c>
      <c r="C394">
        <f t="shared" ca="1" si="18"/>
        <v>0</v>
      </c>
      <c r="D394">
        <f>FCS!R391</f>
        <v>1.7069271758436946</v>
      </c>
      <c r="E394">
        <f>FCS!AM391</f>
        <v>99.995733792835068</v>
      </c>
      <c r="F394">
        <f t="shared" ca="1" si="19"/>
        <v>0</v>
      </c>
      <c r="G394">
        <f t="shared" ca="1" si="20"/>
        <v>0</v>
      </c>
      <c r="H394" t="str">
        <f>FCS!AO391</f>
        <v>Ok</v>
      </c>
    </row>
    <row r="395" spans="2:8" x14ac:dyDescent="0.25">
      <c r="B395" s="367">
        <f>FCS!G392</f>
        <v>46100</v>
      </c>
      <c r="C395">
        <f t="shared" ca="1" si="18"/>
        <v>0</v>
      </c>
      <c r="D395">
        <f>FCS!R392</f>
        <v>1.7045855379188715</v>
      </c>
      <c r="E395">
        <f>FCS!AM392</f>
        <v>99.858555238363877</v>
      </c>
      <c r="F395">
        <f t="shared" ca="1" si="19"/>
        <v>0</v>
      </c>
      <c r="G395">
        <f t="shared" ca="1" si="20"/>
        <v>0</v>
      </c>
      <c r="H395" t="str">
        <f>FCS!AO392</f>
        <v>Ok</v>
      </c>
    </row>
    <row r="396" spans="2:8" x14ac:dyDescent="0.25">
      <c r="B396" s="367">
        <f>FCS!G393</f>
        <v>46100</v>
      </c>
      <c r="C396">
        <f t="shared" ca="1" si="18"/>
        <v>0</v>
      </c>
      <c r="D396">
        <f>FCS!R393</f>
        <v>1.7802893309222423</v>
      </c>
      <c r="E396">
        <f>FCS!AM393</f>
        <v>104.29345816767675</v>
      </c>
      <c r="F396">
        <f t="shared" ca="1" si="19"/>
        <v>0</v>
      </c>
      <c r="G396">
        <f t="shared" ca="1" si="20"/>
        <v>0</v>
      </c>
      <c r="H396" t="str">
        <f>FCS!AO393</f>
        <v>Ok</v>
      </c>
    </row>
    <row r="397" spans="2:8" x14ac:dyDescent="0.25">
      <c r="B397" s="367">
        <f>FCS!G394</f>
        <v>46100</v>
      </c>
      <c r="C397">
        <f t="shared" ca="1" si="18"/>
        <v>0</v>
      </c>
      <c r="D397">
        <f>FCS!R394</f>
        <v>1.6966696669666967</v>
      </c>
      <c r="E397">
        <f>FCS!AM394</f>
        <v>100.1575954525795</v>
      </c>
      <c r="F397">
        <f t="shared" ca="1" si="19"/>
        <v>0</v>
      </c>
      <c r="G397">
        <f t="shared" ca="1" si="20"/>
        <v>0</v>
      </c>
      <c r="H397" t="str">
        <f>FCS!AO394</f>
        <v>Ok</v>
      </c>
    </row>
    <row r="398" spans="2:8" x14ac:dyDescent="0.25">
      <c r="B398" s="367">
        <f>FCS!G395</f>
        <v>46101</v>
      </c>
      <c r="C398">
        <f t="shared" ca="1" si="18"/>
        <v>0</v>
      </c>
      <c r="D398">
        <f>FCS!R395</f>
        <v>1.7732610659439929</v>
      </c>
      <c r="E398">
        <f>FCS!AM395</f>
        <v>102.26419065420951</v>
      </c>
      <c r="F398">
        <f t="shared" ca="1" si="19"/>
        <v>0</v>
      </c>
      <c r="G398">
        <f t="shared" ca="1" si="20"/>
        <v>0</v>
      </c>
      <c r="H398" t="str">
        <f>FCS!AO395</f>
        <v>Ok</v>
      </c>
    </row>
    <row r="399" spans="2:8" x14ac:dyDescent="0.25">
      <c r="B399" s="367">
        <f>FCS!G396</f>
        <v>46101</v>
      </c>
      <c r="C399">
        <f t="shared" ca="1" si="18"/>
        <v>0</v>
      </c>
      <c r="D399">
        <f>FCS!R396</f>
        <v>1.7445848375451263</v>
      </c>
      <c r="E399">
        <f>FCS!AM396</f>
        <v>100.73635720359806</v>
      </c>
      <c r="F399">
        <f t="shared" ca="1" si="19"/>
        <v>0</v>
      </c>
      <c r="G399">
        <f t="shared" ca="1" si="20"/>
        <v>0</v>
      </c>
      <c r="H399" t="str">
        <f>FCS!AO396</f>
        <v>Ok</v>
      </c>
    </row>
    <row r="400" spans="2:8" x14ac:dyDescent="0.25">
      <c r="B400" s="367">
        <f>FCS!G397</f>
        <v>46101</v>
      </c>
      <c r="C400">
        <f t="shared" ca="1" si="18"/>
        <v>0</v>
      </c>
      <c r="D400">
        <f>FCS!R397</f>
        <v>1.7154611223151657</v>
      </c>
      <c r="E400">
        <f>FCS!AM397</f>
        <v>99.054686632260612</v>
      </c>
      <c r="F400">
        <f t="shared" ca="1" si="19"/>
        <v>0</v>
      </c>
      <c r="G400">
        <f t="shared" ca="1" si="20"/>
        <v>0</v>
      </c>
      <c r="H400" t="str">
        <f>FCS!AO397</f>
        <v>OK</v>
      </c>
    </row>
    <row r="401" spans="2:8" x14ac:dyDescent="0.25">
      <c r="B401" s="367">
        <f>FCS!G398</f>
        <v>46101</v>
      </c>
      <c r="C401">
        <f t="shared" ca="1" si="18"/>
        <v>0</v>
      </c>
      <c r="D401">
        <f>FCS!R398</f>
        <v>1.7438243366880146</v>
      </c>
      <c r="E401">
        <f>FCS!AM398</f>
        <v>100.56657074325344</v>
      </c>
      <c r="F401">
        <f t="shared" ca="1" si="19"/>
        <v>0</v>
      </c>
      <c r="G401">
        <f t="shared" ca="1" si="20"/>
        <v>0</v>
      </c>
      <c r="H401" t="str">
        <f>FCS!AO398</f>
        <v>Ok</v>
      </c>
    </row>
    <row r="402" spans="2:8" x14ac:dyDescent="0.25">
      <c r="B402" s="367">
        <f>FCS!G399</f>
        <v>46101</v>
      </c>
      <c r="C402">
        <f t="shared" ca="1" si="18"/>
        <v>0</v>
      </c>
      <c r="D402">
        <f>FCS!R399</f>
        <v>1.6937172774869111</v>
      </c>
      <c r="E402">
        <f>FCS!AM399</f>
        <v>99.221867456761046</v>
      </c>
      <c r="F402">
        <f t="shared" ca="1" si="19"/>
        <v>0</v>
      </c>
      <c r="G402">
        <f t="shared" ca="1" si="20"/>
        <v>0</v>
      </c>
      <c r="H402" t="str">
        <f>FCS!AO399</f>
        <v>Ok</v>
      </c>
    </row>
    <row r="403" spans="2:8" x14ac:dyDescent="0.25">
      <c r="B403" s="367">
        <f>FCS!G400</f>
        <v>46101</v>
      </c>
      <c r="C403">
        <f t="shared" ref="C403:C466" ca="1" si="21">IF(AND(B403&gt;$C$5,B403&lt;$D$4,H403="OK"),1,0)</f>
        <v>0</v>
      </c>
      <c r="D403">
        <f>FCS!R400</f>
        <v>1.6814621409921671</v>
      </c>
      <c r="E403">
        <f>FCS!AM400</f>
        <v>98.503933274292152</v>
      </c>
      <c r="F403">
        <f t="shared" ref="F403:F466" ca="1" si="22">IFERROR(D403*C403,0)</f>
        <v>0</v>
      </c>
      <c r="G403">
        <f t="shared" ref="G403:G466" ca="1" si="23">IFERROR(E403*C403,0)</f>
        <v>0</v>
      </c>
      <c r="H403" t="str">
        <f>FCS!AO400</f>
        <v>Ok</v>
      </c>
    </row>
    <row r="404" spans="2:8" x14ac:dyDescent="0.25">
      <c r="B404" s="367">
        <f>FCS!G401</f>
        <v>46101</v>
      </c>
      <c r="C404">
        <f t="shared" ca="1" si="21"/>
        <v>0</v>
      </c>
      <c r="D404">
        <f>FCS!R401</f>
        <v>1.6825817860300618</v>
      </c>
      <c r="E404">
        <f>FCS!AM401</f>
        <v>98.569524664912805</v>
      </c>
      <c r="F404">
        <f t="shared" ca="1" si="22"/>
        <v>0</v>
      </c>
      <c r="G404">
        <f t="shared" ca="1" si="23"/>
        <v>0</v>
      </c>
      <c r="H404" t="str">
        <f>FCS!AO401</f>
        <v>Ok</v>
      </c>
    </row>
    <row r="405" spans="2:8" x14ac:dyDescent="0.25">
      <c r="B405" s="367">
        <f>FCS!G402</f>
        <v>46101</v>
      </c>
      <c r="C405">
        <f t="shared" ca="1" si="21"/>
        <v>0</v>
      </c>
      <c r="D405">
        <f>FCS!R402</f>
        <v>1.7577365163572061</v>
      </c>
      <c r="E405">
        <f>FCS!AM402</f>
        <v>102.9722622353372</v>
      </c>
      <c r="F405">
        <f t="shared" ca="1" si="22"/>
        <v>0</v>
      </c>
      <c r="G405">
        <f t="shared" ca="1" si="23"/>
        <v>0</v>
      </c>
      <c r="H405" t="str">
        <f>FCS!AO402</f>
        <v>Ok</v>
      </c>
    </row>
    <row r="406" spans="2:8" x14ac:dyDescent="0.25">
      <c r="B406" s="367">
        <f>FCS!G403</f>
        <v>46101</v>
      </c>
      <c r="C406">
        <f t="shared" ca="1" si="21"/>
        <v>0</v>
      </c>
      <c r="D406">
        <f>FCS!R403</f>
        <v>1.7083700440528635</v>
      </c>
      <c r="E406">
        <f>FCS!AM403</f>
        <v>100.08026034287425</v>
      </c>
      <c r="F406">
        <f t="shared" ca="1" si="22"/>
        <v>0</v>
      </c>
      <c r="G406">
        <f t="shared" ca="1" si="23"/>
        <v>0</v>
      </c>
      <c r="H406" t="str">
        <f>FCS!AO403</f>
        <v>Ok</v>
      </c>
    </row>
    <row r="407" spans="2:8" x14ac:dyDescent="0.25">
      <c r="B407" s="367">
        <f>FCS!G404</f>
        <v>46101</v>
      </c>
      <c r="C407">
        <f t="shared" ca="1" si="21"/>
        <v>0</v>
      </c>
      <c r="D407">
        <f>FCS!R404</f>
        <v>1.7566607460035526</v>
      </c>
      <c r="E407">
        <f>FCS!AM404</f>
        <v>102.90924112498843</v>
      </c>
      <c r="F407">
        <f t="shared" ca="1" si="22"/>
        <v>0</v>
      </c>
      <c r="G407">
        <f t="shared" ca="1" si="23"/>
        <v>0</v>
      </c>
      <c r="H407" t="str">
        <f>FCS!AO404</f>
        <v>Ok</v>
      </c>
    </row>
    <row r="408" spans="2:8" x14ac:dyDescent="0.25">
      <c r="B408" s="367">
        <f>FCS!G405</f>
        <v>46101</v>
      </c>
      <c r="C408">
        <f t="shared" ca="1" si="21"/>
        <v>0</v>
      </c>
      <c r="D408">
        <f>FCS!R405</f>
        <v>1.6979445933869526</v>
      </c>
      <c r="E408">
        <f>FCS!AM405</f>
        <v>100.24452642577867</v>
      </c>
      <c r="F408">
        <f t="shared" ca="1" si="22"/>
        <v>0</v>
      </c>
      <c r="G408">
        <f t="shared" ca="1" si="23"/>
        <v>0</v>
      </c>
      <c r="H408" t="str">
        <f>FCS!AO405</f>
        <v>Ok</v>
      </c>
    </row>
    <row r="409" spans="2:8" x14ac:dyDescent="0.25">
      <c r="B409" s="367">
        <f>FCS!G406</f>
        <v>46101</v>
      </c>
      <c r="C409">
        <f t="shared" ca="1" si="21"/>
        <v>0</v>
      </c>
      <c r="D409">
        <f>FCS!R406</f>
        <v>1.7366997294860234</v>
      </c>
      <c r="E409">
        <f>FCS!AM406</f>
        <v>101.73987870451219</v>
      </c>
      <c r="F409">
        <f t="shared" ca="1" si="22"/>
        <v>0</v>
      </c>
      <c r="G409">
        <f t="shared" ca="1" si="23"/>
        <v>0</v>
      </c>
      <c r="H409" t="str">
        <f>FCS!AO406</f>
        <v>Ok</v>
      </c>
    </row>
    <row r="410" spans="2:8" x14ac:dyDescent="0.25">
      <c r="B410" s="367">
        <f>FCS!G407</f>
        <v>46101</v>
      </c>
      <c r="C410">
        <f t="shared" ca="1" si="21"/>
        <v>0</v>
      </c>
      <c r="D410">
        <f>FCS!R407</f>
        <v>1.7214734950584007</v>
      </c>
      <c r="E410">
        <f>FCS!AM407</f>
        <v>101.63364337020626</v>
      </c>
      <c r="F410">
        <f t="shared" ca="1" si="22"/>
        <v>0</v>
      </c>
      <c r="G410">
        <f t="shared" ca="1" si="23"/>
        <v>0</v>
      </c>
      <c r="H410" t="str">
        <f>FCS!AO407</f>
        <v>Ok</v>
      </c>
    </row>
    <row r="411" spans="2:8" x14ac:dyDescent="0.25">
      <c r="B411" s="367">
        <f>FCS!G408</f>
        <v>46101</v>
      </c>
      <c r="C411">
        <f t="shared" ca="1" si="21"/>
        <v>0</v>
      </c>
      <c r="D411">
        <f>FCS!R408</f>
        <v>1.6979772663850592</v>
      </c>
      <c r="E411">
        <f>FCS!AM408</f>
        <v>100.24645539874686</v>
      </c>
      <c r="F411">
        <f t="shared" ca="1" si="22"/>
        <v>0</v>
      </c>
      <c r="G411">
        <f t="shared" ca="1" si="23"/>
        <v>0</v>
      </c>
      <c r="H411" t="str">
        <f>FCS!AO408</f>
        <v>OK</v>
      </c>
    </row>
    <row r="412" spans="2:8" x14ac:dyDescent="0.25">
      <c r="B412" s="367">
        <f>FCS!G409</f>
        <v>46101</v>
      </c>
      <c r="C412">
        <f t="shared" ca="1" si="21"/>
        <v>0</v>
      </c>
      <c r="D412">
        <f>FCS!R409</f>
        <v>1.733092876465284</v>
      </c>
      <c r="E412">
        <f>FCS!AM409</f>
        <v>101.52858092942496</v>
      </c>
      <c r="F412">
        <f t="shared" ca="1" si="22"/>
        <v>0</v>
      </c>
      <c r="G412">
        <f t="shared" ca="1" si="23"/>
        <v>0</v>
      </c>
      <c r="H412" t="str">
        <f>FCS!AO409</f>
        <v>Ok</v>
      </c>
    </row>
    <row r="413" spans="2:8" x14ac:dyDescent="0.25">
      <c r="B413" s="367">
        <f>FCS!G410</f>
        <v>46101</v>
      </c>
      <c r="C413">
        <f t="shared" ca="1" si="21"/>
        <v>0</v>
      </c>
      <c r="D413">
        <f>FCS!R410</f>
        <v>1.7515808491418248</v>
      </c>
      <c r="E413">
        <f>FCS!AM410</f>
        <v>102.61164904170033</v>
      </c>
      <c r="F413">
        <f t="shared" ca="1" si="22"/>
        <v>0</v>
      </c>
      <c r="G413">
        <f t="shared" ca="1" si="23"/>
        <v>0</v>
      </c>
      <c r="H413" t="str">
        <f>FCS!AO410</f>
        <v>Ok</v>
      </c>
    </row>
    <row r="414" spans="2:8" x14ac:dyDescent="0.25">
      <c r="B414" s="367">
        <f>FCS!G411</f>
        <v>46101</v>
      </c>
      <c r="C414">
        <f t="shared" ca="1" si="21"/>
        <v>0</v>
      </c>
      <c r="D414">
        <f>FCS!R411</f>
        <v>1.7021089630931461</v>
      </c>
      <c r="E414">
        <f>FCS!AM411</f>
        <v>99.713471768784174</v>
      </c>
      <c r="F414">
        <f t="shared" ca="1" si="22"/>
        <v>0</v>
      </c>
      <c r="G414">
        <f t="shared" ca="1" si="23"/>
        <v>0</v>
      </c>
      <c r="H414" t="str">
        <f>FCS!AO411</f>
        <v>Ok</v>
      </c>
    </row>
    <row r="415" spans="2:8" x14ac:dyDescent="0.25">
      <c r="B415" s="367">
        <f>FCS!G412</f>
        <v>46101</v>
      </c>
      <c r="C415">
        <f t="shared" ca="1" si="21"/>
        <v>0</v>
      </c>
      <c r="D415">
        <f>FCS!R412</f>
        <v>1.718804920913884</v>
      </c>
      <c r="E415">
        <f>FCS!AM412</f>
        <v>100.69155951458019</v>
      </c>
      <c r="F415">
        <f t="shared" ca="1" si="22"/>
        <v>0</v>
      </c>
      <c r="G415">
        <f t="shared" ca="1" si="23"/>
        <v>0</v>
      </c>
      <c r="H415" t="str">
        <f>FCS!AO412</f>
        <v>Ok</v>
      </c>
    </row>
    <row r="416" spans="2:8" x14ac:dyDescent="0.25">
      <c r="B416" s="367">
        <f>FCS!G413</f>
        <v>46101</v>
      </c>
      <c r="C416">
        <f t="shared" ca="1" si="21"/>
        <v>0</v>
      </c>
      <c r="D416">
        <f>FCS!R413</f>
        <v>1.7240757439134355</v>
      </c>
      <c r="E416">
        <f>FCS!AM413</f>
        <v>101.29704723345685</v>
      </c>
      <c r="F416">
        <f t="shared" ca="1" si="22"/>
        <v>0</v>
      </c>
      <c r="G416">
        <f t="shared" ca="1" si="23"/>
        <v>0</v>
      </c>
      <c r="H416" t="str">
        <f>FCS!AO413</f>
        <v>Ok</v>
      </c>
    </row>
    <row r="417" spans="2:8" x14ac:dyDescent="0.25">
      <c r="B417" s="367">
        <f>FCS!G414</f>
        <v>46101</v>
      </c>
      <c r="C417">
        <f t="shared" ca="1" si="21"/>
        <v>0</v>
      </c>
      <c r="D417">
        <f>FCS!R414</f>
        <v>1.7447963800904978</v>
      </c>
      <c r="E417">
        <f>FCS!AM414</f>
        <v>102.21419918514924</v>
      </c>
      <c r="F417">
        <f t="shared" ca="1" si="22"/>
        <v>0</v>
      </c>
      <c r="G417">
        <f t="shared" ca="1" si="23"/>
        <v>0</v>
      </c>
      <c r="H417" t="str">
        <f>FCS!AO414</f>
        <v>Ok</v>
      </c>
    </row>
    <row r="418" spans="2:8" x14ac:dyDescent="0.25">
      <c r="B418" s="367">
        <f>FCS!G415</f>
        <v>46101</v>
      </c>
      <c r="C418">
        <f t="shared" ca="1" si="21"/>
        <v>0</v>
      </c>
      <c r="D418">
        <f>FCS!R415</f>
        <v>1.7891842346471127</v>
      </c>
      <c r="E418">
        <f>FCS!AM415</f>
        <v>104.81454215858889</v>
      </c>
      <c r="F418">
        <f t="shared" ca="1" si="22"/>
        <v>0</v>
      </c>
      <c r="G418">
        <f t="shared" ca="1" si="23"/>
        <v>0</v>
      </c>
      <c r="H418" t="str">
        <f>FCS!AO415</f>
        <v>Ok</v>
      </c>
    </row>
    <row r="419" spans="2:8" x14ac:dyDescent="0.25">
      <c r="B419" s="367">
        <f>FCS!G416</f>
        <v>46101</v>
      </c>
      <c r="C419">
        <f t="shared" ca="1" si="21"/>
        <v>0</v>
      </c>
      <c r="D419">
        <f>FCS!R416</f>
        <v>1.7062556663644606</v>
      </c>
      <c r="E419">
        <f>FCS!AM416</f>
        <v>99.956395217601667</v>
      </c>
      <c r="F419">
        <f t="shared" ca="1" si="22"/>
        <v>0</v>
      </c>
      <c r="G419">
        <f t="shared" ca="1" si="23"/>
        <v>0</v>
      </c>
      <c r="H419" t="str">
        <f>FCS!AO416</f>
        <v>Ok</v>
      </c>
    </row>
    <row r="420" spans="2:8" x14ac:dyDescent="0.25">
      <c r="B420" s="367">
        <f>FCS!G417</f>
        <v>46101</v>
      </c>
      <c r="C420">
        <f t="shared" ca="1" si="21"/>
        <v>0</v>
      </c>
      <c r="D420">
        <f>FCS!R417</f>
        <v>1.6802218114602587</v>
      </c>
      <c r="E420">
        <f>FCS!AM417</f>
        <v>98.488969018772494</v>
      </c>
      <c r="F420">
        <f t="shared" ca="1" si="22"/>
        <v>0</v>
      </c>
      <c r="G420">
        <f t="shared" ca="1" si="23"/>
        <v>0</v>
      </c>
      <c r="H420" t="str">
        <f>FCS!AO417</f>
        <v>Ok</v>
      </c>
    </row>
    <row r="421" spans="2:8" x14ac:dyDescent="0.25">
      <c r="B421" s="367">
        <f>FCS!G419</f>
        <v>46101</v>
      </c>
      <c r="C421">
        <f t="shared" ca="1" si="21"/>
        <v>0</v>
      </c>
      <c r="D421">
        <f>FCS!R419</f>
        <v>1.6883781435476968</v>
      </c>
      <c r="E421">
        <f>FCS!AM419</f>
        <v>99.199655907620254</v>
      </c>
      <c r="F421">
        <f t="shared" ca="1" si="22"/>
        <v>0</v>
      </c>
      <c r="G421">
        <f t="shared" ca="1" si="23"/>
        <v>0</v>
      </c>
      <c r="H421" t="str">
        <f>FCS!AO419</f>
        <v>OK</v>
      </c>
    </row>
    <row r="422" spans="2:8" x14ac:dyDescent="0.25">
      <c r="B422" s="367">
        <f>FCS!G420</f>
        <v>46101</v>
      </c>
      <c r="C422">
        <f t="shared" ca="1" si="21"/>
        <v>0</v>
      </c>
      <c r="D422">
        <f>FCS!R420</f>
        <v>1.715587967183227</v>
      </c>
      <c r="E422">
        <f>FCS!AM420</f>
        <v>100.50310293984927</v>
      </c>
      <c r="F422">
        <f t="shared" ca="1" si="22"/>
        <v>0</v>
      </c>
      <c r="G422">
        <f t="shared" ca="1" si="23"/>
        <v>0</v>
      </c>
      <c r="H422" t="str">
        <f>FCS!AO420</f>
        <v>Ok</v>
      </c>
    </row>
    <row r="423" spans="2:8" x14ac:dyDescent="0.25">
      <c r="B423" s="367">
        <f>FCS!G421</f>
        <v>46101</v>
      </c>
      <c r="C423">
        <f t="shared" ca="1" si="21"/>
        <v>0</v>
      </c>
      <c r="D423">
        <f>FCS!R421</f>
        <v>1.7065217391304346</v>
      </c>
      <c r="E423">
        <f>FCS!AM421</f>
        <v>99.971982374366405</v>
      </c>
      <c r="F423">
        <f t="shared" ca="1" si="22"/>
        <v>0</v>
      </c>
      <c r="G423">
        <f t="shared" ca="1" si="23"/>
        <v>0</v>
      </c>
      <c r="H423" t="str">
        <f>FCS!AO421</f>
        <v>Ok</v>
      </c>
    </row>
    <row r="424" spans="2:8" x14ac:dyDescent="0.25">
      <c r="B424" s="367">
        <f>FCS!G422</f>
        <v>46101</v>
      </c>
      <c r="C424">
        <f t="shared" ca="1" si="21"/>
        <v>0</v>
      </c>
      <c r="D424">
        <f>FCS!R422</f>
        <v>1.7113122171945703</v>
      </c>
      <c r="E424">
        <f>FCS!AM422</f>
        <v>100.25261963647161</v>
      </c>
      <c r="F424">
        <f t="shared" ca="1" si="22"/>
        <v>0</v>
      </c>
      <c r="G424">
        <f t="shared" ca="1" si="23"/>
        <v>0</v>
      </c>
      <c r="H424" t="str">
        <f>FCS!AO422</f>
        <v>Ok</v>
      </c>
    </row>
    <row r="425" spans="2:8" x14ac:dyDescent="0.25">
      <c r="B425" s="367">
        <f>FCS!G423</f>
        <v>46101</v>
      </c>
      <c r="C425">
        <f t="shared" ca="1" si="21"/>
        <v>0</v>
      </c>
      <c r="D425">
        <f>FCS!R423</f>
        <v>1.7830446672743847</v>
      </c>
      <c r="E425">
        <f>FCS!AM423</f>
        <v>104.45487213089541</v>
      </c>
      <c r="F425">
        <f t="shared" ca="1" si="22"/>
        <v>0</v>
      </c>
      <c r="G425">
        <f t="shared" ca="1" si="23"/>
        <v>0</v>
      </c>
      <c r="H425" t="str">
        <f>FCS!AO423</f>
        <v>Ok</v>
      </c>
    </row>
    <row r="426" spans="2:8" x14ac:dyDescent="0.25">
      <c r="B426" s="367">
        <f>FCS!G424</f>
        <v>46101</v>
      </c>
      <c r="C426">
        <f t="shared" ca="1" si="21"/>
        <v>0</v>
      </c>
      <c r="D426">
        <f>FCS!R424</f>
        <v>1.7889990982867447</v>
      </c>
      <c r="E426">
        <f>FCS!AM424</f>
        <v>104.80369644327736</v>
      </c>
      <c r="F426">
        <f t="shared" ca="1" si="22"/>
        <v>0</v>
      </c>
      <c r="G426">
        <f t="shared" ca="1" si="23"/>
        <v>0</v>
      </c>
      <c r="H426" t="str">
        <f>FCS!AO424</f>
        <v>Ok</v>
      </c>
    </row>
    <row r="427" spans="2:8" x14ac:dyDescent="0.25">
      <c r="B427" s="367">
        <f>FCS!G425</f>
        <v>46101</v>
      </c>
      <c r="C427">
        <f t="shared" ca="1" si="21"/>
        <v>0</v>
      </c>
      <c r="D427">
        <f>FCS!R425</f>
        <v>1.7784810126582278</v>
      </c>
      <c r="E427">
        <f>FCS!AM425</f>
        <v>104.18752270991376</v>
      </c>
      <c r="F427">
        <f t="shared" ca="1" si="22"/>
        <v>0</v>
      </c>
      <c r="G427">
        <f t="shared" ca="1" si="23"/>
        <v>0</v>
      </c>
      <c r="H427" t="str">
        <f>FCS!AO425</f>
        <v>Ok</v>
      </c>
    </row>
    <row r="428" spans="2:8" x14ac:dyDescent="0.25">
      <c r="B428" s="367">
        <f>FCS!G426</f>
        <v>46101</v>
      </c>
      <c r="C428">
        <f t="shared" ca="1" si="21"/>
        <v>0</v>
      </c>
      <c r="D428" t="str">
        <f>FCS!R426</f>
        <v>-</v>
      </c>
      <c r="E428" t="str">
        <f>FCS!AM426</f>
        <v>-</v>
      </c>
      <c r="F428">
        <f t="shared" ca="1" si="22"/>
        <v>0</v>
      </c>
      <c r="G428">
        <f t="shared" ca="1" si="23"/>
        <v>0</v>
      </c>
      <c r="H428" t="str">
        <f>FCS!AO426</f>
        <v>-</v>
      </c>
    </row>
    <row r="429" spans="2:8" x14ac:dyDescent="0.25">
      <c r="B429" s="367">
        <f>FCS!G427</f>
        <v>46102</v>
      </c>
      <c r="C429">
        <f t="shared" ca="1" si="21"/>
        <v>0</v>
      </c>
      <c r="D429">
        <f>FCS!R427</f>
        <v>1.7258652094717668</v>
      </c>
      <c r="E429">
        <f>FCS!AM427</f>
        <v>101.10516751445617</v>
      </c>
      <c r="F429">
        <f t="shared" ca="1" si="22"/>
        <v>0</v>
      </c>
      <c r="G429">
        <f t="shared" ca="1" si="23"/>
        <v>0</v>
      </c>
      <c r="H429" t="str">
        <f>FCS!AO427</f>
        <v>Ok</v>
      </c>
    </row>
    <row r="430" spans="2:8" x14ac:dyDescent="0.25">
      <c r="B430" s="367">
        <f>FCS!G428</f>
        <v>46102</v>
      </c>
      <c r="C430">
        <f t="shared" ca="1" si="21"/>
        <v>0</v>
      </c>
      <c r="D430">
        <f>FCS!R428</f>
        <v>1.774134790528233</v>
      </c>
      <c r="E430">
        <f>FCS!AM428</f>
        <v>103.93291098583673</v>
      </c>
      <c r="F430">
        <f t="shared" ca="1" si="22"/>
        <v>0</v>
      </c>
      <c r="G430">
        <f t="shared" ca="1" si="23"/>
        <v>0</v>
      </c>
      <c r="H430" t="str">
        <f>FCS!AO428</f>
        <v>Ok</v>
      </c>
    </row>
    <row r="431" spans="2:8" x14ac:dyDescent="0.25">
      <c r="B431" s="367">
        <f>FCS!G429</f>
        <v>46102</v>
      </c>
      <c r="C431">
        <f t="shared" ca="1" si="21"/>
        <v>0</v>
      </c>
      <c r="D431">
        <f>FCS!R429</f>
        <v>1.7257617728531855</v>
      </c>
      <c r="E431">
        <f>FCS!AM429</f>
        <v>101.09910795859318</v>
      </c>
      <c r="F431">
        <f t="shared" ca="1" si="22"/>
        <v>0</v>
      </c>
      <c r="G431">
        <f t="shared" ca="1" si="23"/>
        <v>0</v>
      </c>
      <c r="H431" t="str">
        <f>FCS!AO429</f>
        <v>Ok</v>
      </c>
    </row>
    <row r="432" spans="2:8" x14ac:dyDescent="0.25">
      <c r="B432" s="367">
        <f>FCS!G430</f>
        <v>46102</v>
      </c>
      <c r="C432">
        <f t="shared" ca="1" si="21"/>
        <v>0</v>
      </c>
      <c r="D432">
        <f>FCS!R430</f>
        <v>1.6789328426862926</v>
      </c>
      <c r="E432">
        <f>FCS!AM430</f>
        <v>98.745540668924278</v>
      </c>
      <c r="F432">
        <f t="shared" ca="1" si="22"/>
        <v>0</v>
      </c>
      <c r="G432">
        <f t="shared" ca="1" si="23"/>
        <v>0</v>
      </c>
      <c r="H432" t="str">
        <f>FCS!AO430</f>
        <v>Ok</v>
      </c>
    </row>
    <row r="433" spans="2:8" x14ac:dyDescent="0.25">
      <c r="B433" s="367">
        <f>FCS!G431</f>
        <v>46102</v>
      </c>
      <c r="C433">
        <f t="shared" ca="1" si="21"/>
        <v>0</v>
      </c>
      <c r="D433">
        <f>FCS!R431</f>
        <v>1.7089632166079496</v>
      </c>
      <c r="E433">
        <f>FCS!AM431</f>
        <v>100.51176111204778</v>
      </c>
      <c r="F433">
        <f t="shared" ca="1" si="22"/>
        <v>0</v>
      </c>
      <c r="G433">
        <f t="shared" ca="1" si="23"/>
        <v>0</v>
      </c>
      <c r="H433" t="str">
        <f>FCS!AO431</f>
        <v>OK</v>
      </c>
    </row>
    <row r="434" spans="2:8" x14ac:dyDescent="0.25">
      <c r="B434" s="367">
        <f>FCS!G432</f>
        <v>46102</v>
      </c>
      <c r="C434">
        <f t="shared" ca="1" si="21"/>
        <v>0</v>
      </c>
      <c r="D434">
        <f>FCS!R432</f>
        <v>1.7513863216266172</v>
      </c>
      <c r="E434">
        <f>FCS!AM432</f>
        <v>102.60025317086216</v>
      </c>
      <c r="F434">
        <f t="shared" ca="1" si="22"/>
        <v>0</v>
      </c>
      <c r="G434">
        <f t="shared" ca="1" si="23"/>
        <v>0</v>
      </c>
      <c r="H434" t="str">
        <f>FCS!AO432</f>
        <v>Ok</v>
      </c>
    </row>
    <row r="435" spans="2:8" x14ac:dyDescent="0.25">
      <c r="B435" s="367">
        <f>FCS!G433</f>
        <v>46102</v>
      </c>
      <c r="C435">
        <f t="shared" ca="1" si="21"/>
        <v>0</v>
      </c>
      <c r="D435">
        <f>FCS!R433</f>
        <v>1.6821130676552363</v>
      </c>
      <c r="E435">
        <f>FCS!AM433</f>
        <v>98.239948684004972</v>
      </c>
      <c r="F435">
        <f t="shared" ca="1" si="22"/>
        <v>0</v>
      </c>
      <c r="G435">
        <f t="shared" ca="1" si="23"/>
        <v>0</v>
      </c>
      <c r="H435" t="str">
        <f>FCS!AO433</f>
        <v>Ok</v>
      </c>
    </row>
    <row r="436" spans="2:8" x14ac:dyDescent="0.25">
      <c r="B436" s="367">
        <f>FCS!G434</f>
        <v>46102</v>
      </c>
      <c r="C436">
        <f t="shared" ca="1" si="21"/>
        <v>0</v>
      </c>
      <c r="D436">
        <f>FCS!R434</f>
        <v>1.6918063314711358</v>
      </c>
      <c r="E436">
        <f>FCS!AM434</f>
        <v>99.068281807992705</v>
      </c>
      <c r="F436">
        <f t="shared" ca="1" si="22"/>
        <v>0</v>
      </c>
      <c r="G436">
        <f t="shared" ca="1" si="23"/>
        <v>0</v>
      </c>
      <c r="H436" t="str">
        <f>FCS!AO434</f>
        <v>Ok</v>
      </c>
    </row>
    <row r="437" spans="2:8" x14ac:dyDescent="0.25">
      <c r="B437" s="367">
        <f>FCS!G435</f>
        <v>46102</v>
      </c>
      <c r="C437">
        <f t="shared" ca="1" si="21"/>
        <v>0</v>
      </c>
      <c r="D437">
        <f>FCS!R435</f>
        <v>1.7190226876090751</v>
      </c>
      <c r="E437">
        <f>FCS!AM435</f>
        <v>101.11898162406322</v>
      </c>
      <c r="F437">
        <f t="shared" ca="1" si="22"/>
        <v>0</v>
      </c>
      <c r="G437">
        <f t="shared" ca="1" si="23"/>
        <v>0</v>
      </c>
      <c r="H437" t="str">
        <f>FCS!AO435</f>
        <v>Ok</v>
      </c>
    </row>
    <row r="438" spans="2:8" x14ac:dyDescent="0.25">
      <c r="B438" s="367">
        <f>FCS!G436</f>
        <v>46102</v>
      </c>
      <c r="C438">
        <f t="shared" ca="1" si="21"/>
        <v>0</v>
      </c>
      <c r="D438">
        <f>FCS!R436</f>
        <v>1.7692307692307694</v>
      </c>
      <c r="E438">
        <f>FCS!AM436</f>
        <v>104.07239819004526</v>
      </c>
      <c r="F438">
        <f t="shared" ca="1" si="22"/>
        <v>0</v>
      </c>
      <c r="G438">
        <f t="shared" ca="1" si="23"/>
        <v>0</v>
      </c>
      <c r="H438" t="str">
        <f>FCS!AO436</f>
        <v>Ok</v>
      </c>
    </row>
    <row r="439" spans="2:8" x14ac:dyDescent="0.25">
      <c r="B439" s="367">
        <f>FCS!G437</f>
        <v>46102</v>
      </c>
      <c r="C439">
        <f t="shared" ca="1" si="21"/>
        <v>0</v>
      </c>
      <c r="D439">
        <f>FCS!R437</f>
        <v>1.7275179856115106</v>
      </c>
      <c r="E439">
        <f>FCS!AM437</f>
        <v>101.61870503597122</v>
      </c>
      <c r="F439">
        <f t="shared" ca="1" si="22"/>
        <v>0</v>
      </c>
      <c r="G439">
        <f t="shared" ca="1" si="23"/>
        <v>0</v>
      </c>
      <c r="H439" t="str">
        <f>FCS!AO437</f>
        <v>Ok</v>
      </c>
    </row>
    <row r="440" spans="2:8" x14ac:dyDescent="0.25">
      <c r="B440" s="367">
        <f>FCS!G438</f>
        <v>46102</v>
      </c>
      <c r="C440">
        <f t="shared" ca="1" si="21"/>
        <v>0</v>
      </c>
      <c r="D440">
        <f>FCS!R438</f>
        <v>1.7231040564373898</v>
      </c>
      <c r="E440">
        <f>FCS!AM438</f>
        <v>101.35906214337587</v>
      </c>
      <c r="F440">
        <f t="shared" ca="1" si="22"/>
        <v>0</v>
      </c>
      <c r="G440">
        <f t="shared" ca="1" si="23"/>
        <v>0</v>
      </c>
      <c r="H440" t="str">
        <f>FCS!AO438</f>
        <v>Ok</v>
      </c>
    </row>
    <row r="441" spans="2:8" x14ac:dyDescent="0.25">
      <c r="B441" s="367">
        <f>FCS!G439</f>
        <v>46102</v>
      </c>
      <c r="C441">
        <f t="shared" ca="1" si="21"/>
        <v>0</v>
      </c>
      <c r="D441">
        <f>FCS!R439</f>
        <v>1.6890681003584227</v>
      </c>
      <c r="E441">
        <f>FCS!AM439</f>
        <v>99.356947079907215</v>
      </c>
      <c r="F441">
        <f t="shared" ca="1" si="22"/>
        <v>0</v>
      </c>
      <c r="G441">
        <f t="shared" ca="1" si="23"/>
        <v>0</v>
      </c>
      <c r="H441" t="str">
        <f>FCS!AO439</f>
        <v>Ok</v>
      </c>
    </row>
    <row r="442" spans="2:8" x14ac:dyDescent="0.25">
      <c r="B442" s="367">
        <f>FCS!G440</f>
        <v>46102</v>
      </c>
      <c r="C442">
        <f t="shared" ca="1" si="21"/>
        <v>0</v>
      </c>
      <c r="D442">
        <f>FCS!R440</f>
        <v>1.7047451669595783</v>
      </c>
      <c r="E442">
        <f>FCS!AM440</f>
        <v>100.27912746821048</v>
      </c>
      <c r="F442">
        <f t="shared" ca="1" si="22"/>
        <v>0</v>
      </c>
      <c r="G442">
        <f t="shared" ca="1" si="23"/>
        <v>0</v>
      </c>
      <c r="H442" t="str">
        <f>FCS!AO440</f>
        <v>Ok</v>
      </c>
    </row>
    <row r="443" spans="2:8" x14ac:dyDescent="0.25">
      <c r="B443" s="367">
        <f>FCS!G442</f>
        <v>46102</v>
      </c>
      <c r="C443">
        <f t="shared" ca="1" si="21"/>
        <v>0</v>
      </c>
      <c r="D443">
        <f>FCS!R442</f>
        <v>1.7508602795847856</v>
      </c>
      <c r="E443">
        <f>FCS!AM442</f>
        <v>102.26987614397112</v>
      </c>
      <c r="F443">
        <f t="shared" ca="1" si="22"/>
        <v>0</v>
      </c>
      <c r="G443">
        <f t="shared" ca="1" si="23"/>
        <v>0</v>
      </c>
      <c r="H443" t="str">
        <f>FCS!AO442</f>
        <v>OK</v>
      </c>
    </row>
    <row r="444" spans="2:8" x14ac:dyDescent="0.25">
      <c r="B444" s="367">
        <f>FCS!G443</f>
        <v>46102</v>
      </c>
      <c r="C444">
        <f t="shared" ca="1" si="21"/>
        <v>0</v>
      </c>
      <c r="D444">
        <f>FCS!R443</f>
        <v>1.6891418563922944</v>
      </c>
      <c r="E444">
        <f>FCS!AM443</f>
        <v>99.244527402602486</v>
      </c>
      <c r="F444">
        <f t="shared" ca="1" si="22"/>
        <v>0</v>
      </c>
      <c r="G444">
        <f t="shared" ca="1" si="23"/>
        <v>0</v>
      </c>
      <c r="H444" t="str">
        <f>FCS!AO443</f>
        <v>Ok</v>
      </c>
    </row>
    <row r="445" spans="2:8" x14ac:dyDescent="0.25">
      <c r="B445" s="367">
        <f>FCS!G444</f>
        <v>46102</v>
      </c>
      <c r="C445">
        <f t="shared" ca="1" si="21"/>
        <v>0</v>
      </c>
      <c r="D445">
        <f>FCS!R444</f>
        <v>1.694746376811594</v>
      </c>
      <c r="E445">
        <f>FCS!AM444</f>
        <v>99.456946995985561</v>
      </c>
      <c r="F445">
        <f t="shared" ca="1" si="22"/>
        <v>0</v>
      </c>
      <c r="G445">
        <f t="shared" ca="1" si="23"/>
        <v>0</v>
      </c>
      <c r="H445" t="str">
        <f>FCS!AO444</f>
        <v>Ok</v>
      </c>
    </row>
    <row r="446" spans="2:8" x14ac:dyDescent="0.25">
      <c r="B446" s="367">
        <f>FCS!G445</f>
        <v>46102</v>
      </c>
      <c r="C446">
        <f t="shared" ca="1" si="21"/>
        <v>0</v>
      </c>
      <c r="D446">
        <f>FCS!R445</f>
        <v>1.7792915531335152</v>
      </c>
      <c r="E446">
        <f>FCS!AM445</f>
        <v>104.66420900785383</v>
      </c>
      <c r="F446">
        <f t="shared" ca="1" si="22"/>
        <v>0</v>
      </c>
      <c r="G446">
        <f t="shared" ca="1" si="23"/>
        <v>0</v>
      </c>
      <c r="H446" t="str">
        <f>FCS!AO445</f>
        <v>Ok</v>
      </c>
    </row>
    <row r="447" spans="2:8" x14ac:dyDescent="0.25">
      <c r="B447" s="367">
        <f>FCS!G446</f>
        <v>46102</v>
      </c>
      <c r="C447">
        <f t="shared" ca="1" si="21"/>
        <v>0</v>
      </c>
      <c r="D447">
        <f>FCS!R446</f>
        <v>1.769647696476965</v>
      </c>
      <c r="E447">
        <f>FCS!AM446</f>
        <v>104.09692332217442</v>
      </c>
      <c r="F447">
        <f t="shared" ca="1" si="22"/>
        <v>0</v>
      </c>
      <c r="G447">
        <f t="shared" ca="1" si="23"/>
        <v>0</v>
      </c>
      <c r="H447" t="str">
        <f>FCS!AO446</f>
        <v>Ok</v>
      </c>
    </row>
    <row r="448" spans="2:8" x14ac:dyDescent="0.25">
      <c r="B448" s="367">
        <f>FCS!G447</f>
        <v>46102</v>
      </c>
      <c r="C448">
        <f t="shared" ca="1" si="21"/>
        <v>0</v>
      </c>
      <c r="D448">
        <f>FCS!R447</f>
        <v>1.7262969588550985</v>
      </c>
      <c r="E448">
        <f>FCS!AM447</f>
        <v>101.54687993265286</v>
      </c>
      <c r="F448">
        <f t="shared" ca="1" si="22"/>
        <v>0</v>
      </c>
      <c r="G448">
        <f t="shared" ca="1" si="23"/>
        <v>0</v>
      </c>
      <c r="H448" t="str">
        <f>FCS!AO447</f>
        <v>Ok</v>
      </c>
    </row>
    <row r="449" spans="1:8" x14ac:dyDescent="0.25">
      <c r="B449" s="367">
        <f>FCS!G448</f>
        <v>46102</v>
      </c>
      <c r="C449">
        <f t="shared" ca="1" si="21"/>
        <v>0</v>
      </c>
      <c r="D449">
        <f>FCS!R448</f>
        <v>1.740143369175627</v>
      </c>
      <c r="E449">
        <f>FCS!AM448</f>
        <v>102.36137465738982</v>
      </c>
      <c r="F449">
        <f t="shared" ca="1" si="22"/>
        <v>0</v>
      </c>
      <c r="G449">
        <f t="shared" ca="1" si="23"/>
        <v>0</v>
      </c>
      <c r="H449" t="str">
        <f>FCS!AO448</f>
        <v>Ok</v>
      </c>
    </row>
    <row r="450" spans="1:8" x14ac:dyDescent="0.25">
      <c r="B450" s="367">
        <f>FCS!G449</f>
        <v>46102</v>
      </c>
      <c r="C450">
        <f t="shared" ca="1" si="21"/>
        <v>0</v>
      </c>
      <c r="D450">
        <f>FCS!R449</f>
        <v>1.6967799642218249</v>
      </c>
      <c r="E450">
        <f>FCS!AM449</f>
        <v>99.810586130695583</v>
      </c>
      <c r="F450">
        <f t="shared" ca="1" si="22"/>
        <v>0</v>
      </c>
      <c r="G450">
        <f t="shared" ca="1" si="23"/>
        <v>0</v>
      </c>
      <c r="H450" t="str">
        <f>FCS!AO449</f>
        <v>Ok</v>
      </c>
    </row>
    <row r="451" spans="1:8" x14ac:dyDescent="0.25">
      <c r="B451" s="367">
        <f>FCS!G450</f>
        <v>46102</v>
      </c>
      <c r="C451">
        <f t="shared" ca="1" si="21"/>
        <v>0</v>
      </c>
      <c r="D451">
        <f>FCS!R450</f>
        <v>1.7032374100719423</v>
      </c>
      <c r="E451">
        <f>FCS!AM450</f>
        <v>100.19043588658485</v>
      </c>
      <c r="F451">
        <f t="shared" ca="1" si="22"/>
        <v>0</v>
      </c>
      <c r="G451">
        <f t="shared" ca="1" si="23"/>
        <v>0</v>
      </c>
      <c r="H451" t="str">
        <f>FCS!AO450</f>
        <v>Ok</v>
      </c>
    </row>
    <row r="452" spans="1:8" x14ac:dyDescent="0.25">
      <c r="B452" s="367">
        <f>FCS!G451</f>
        <v>46102</v>
      </c>
      <c r="C452">
        <f t="shared" ca="1" si="21"/>
        <v>0</v>
      </c>
      <c r="D452">
        <f>FCS!R451</f>
        <v>1.7233848953594175</v>
      </c>
      <c r="E452">
        <f>FCS!AM451</f>
        <v>101.37558207996574</v>
      </c>
      <c r="F452">
        <f t="shared" ca="1" si="22"/>
        <v>0</v>
      </c>
      <c r="G452">
        <f t="shared" ca="1" si="23"/>
        <v>0</v>
      </c>
      <c r="H452" t="str">
        <f>FCS!AO451</f>
        <v>Ok</v>
      </c>
    </row>
    <row r="453" spans="1:8" x14ac:dyDescent="0.25">
      <c r="B453" s="367">
        <f>FCS!G452</f>
        <v>46102</v>
      </c>
      <c r="C453">
        <f t="shared" ca="1" si="21"/>
        <v>0</v>
      </c>
      <c r="D453">
        <f>FCS!R452</f>
        <v>1.7335115864527633</v>
      </c>
      <c r="E453">
        <f>FCS!AM452</f>
        <v>101.0204887210235</v>
      </c>
      <c r="F453">
        <f t="shared" ca="1" si="22"/>
        <v>0</v>
      </c>
      <c r="G453">
        <f t="shared" ca="1" si="23"/>
        <v>0</v>
      </c>
      <c r="H453" t="str">
        <f>FCS!AO452</f>
        <v>Ok</v>
      </c>
    </row>
    <row r="454" spans="1:8" x14ac:dyDescent="0.25">
      <c r="B454" s="367">
        <f>FCS!G453</f>
        <v>46102</v>
      </c>
      <c r="C454">
        <f t="shared" ca="1" si="21"/>
        <v>0</v>
      </c>
      <c r="D454">
        <f>FCS!R453</f>
        <v>1.7469127794161938</v>
      </c>
      <c r="E454">
        <f>FCS!AM453</f>
        <v>101.80144402192272</v>
      </c>
      <c r="F454">
        <f t="shared" ca="1" si="22"/>
        <v>0</v>
      </c>
      <c r="G454">
        <f t="shared" ca="1" si="23"/>
        <v>0</v>
      </c>
      <c r="H454" t="str">
        <f>FCS!AO453</f>
        <v>OK</v>
      </c>
    </row>
    <row r="455" spans="1:8" x14ac:dyDescent="0.25">
      <c r="B455" s="367">
        <f>FCS!G454</f>
        <v>46103</v>
      </c>
      <c r="C455">
        <f t="shared" ca="1" si="21"/>
        <v>0</v>
      </c>
      <c r="D455">
        <f>FCS!R454</f>
        <v>1.7571174377224199</v>
      </c>
      <c r="E455">
        <f>FCS!AM454</f>
        <v>103.35984927778941</v>
      </c>
      <c r="F455">
        <f t="shared" ca="1" si="22"/>
        <v>0</v>
      </c>
      <c r="G455">
        <f t="shared" ca="1" si="23"/>
        <v>0</v>
      </c>
      <c r="H455" t="str">
        <f>FCS!AO454</f>
        <v>Ok</v>
      </c>
    </row>
    <row r="456" spans="1:8" x14ac:dyDescent="0.25">
      <c r="B456" s="367">
        <f>FCS!G455</f>
        <v>46103</v>
      </c>
      <c r="C456">
        <f t="shared" ca="1" si="21"/>
        <v>0</v>
      </c>
      <c r="D456">
        <f>FCS!R455</f>
        <v>1.7819343065693429</v>
      </c>
      <c r="E456">
        <f>FCS!AM455</f>
        <v>104.81966509231428</v>
      </c>
      <c r="F456">
        <f t="shared" ca="1" si="22"/>
        <v>0</v>
      </c>
      <c r="G456">
        <f t="shared" ca="1" si="23"/>
        <v>0</v>
      </c>
      <c r="H456" t="str">
        <f>FCS!AO455</f>
        <v>Ok</v>
      </c>
    </row>
    <row r="457" spans="1:8" x14ac:dyDescent="0.25">
      <c r="B457" s="367">
        <f>FCS!G456</f>
        <v>46103</v>
      </c>
      <c r="C457">
        <f t="shared" ca="1" si="21"/>
        <v>0</v>
      </c>
      <c r="D457">
        <f>FCS!R456</f>
        <v>1.6981786643538594</v>
      </c>
      <c r="E457">
        <f>FCS!AM456</f>
        <v>99.892862609050553</v>
      </c>
      <c r="F457">
        <f t="shared" ca="1" si="22"/>
        <v>0</v>
      </c>
      <c r="G457">
        <f t="shared" ca="1" si="23"/>
        <v>0</v>
      </c>
      <c r="H457" t="str">
        <f>FCS!AO456</f>
        <v>Ok</v>
      </c>
    </row>
    <row r="458" spans="1:8" x14ac:dyDescent="0.25">
      <c r="B458" s="367">
        <f>FCS!G457</f>
        <v>46103</v>
      </c>
      <c r="C458">
        <f t="shared" ca="1" si="21"/>
        <v>0</v>
      </c>
      <c r="D458">
        <f>FCS!R457</f>
        <v>1.7340619307832421</v>
      </c>
      <c r="E458">
        <f>FCS!AM457</f>
        <v>102.00364298724953</v>
      </c>
      <c r="F458">
        <f t="shared" ca="1" si="22"/>
        <v>0</v>
      </c>
      <c r="G458">
        <f t="shared" ca="1" si="23"/>
        <v>0</v>
      </c>
      <c r="H458" t="str">
        <f>FCS!AO457</f>
        <v>Ok</v>
      </c>
    </row>
    <row r="459" spans="1:8" x14ac:dyDescent="0.25">
      <c r="B459" s="367">
        <f>FCS!G458</f>
        <v>46103</v>
      </c>
      <c r="C459">
        <f t="shared" ca="1" si="21"/>
        <v>0</v>
      </c>
      <c r="D459">
        <f>FCS!R458</f>
        <v>1.6894075403949729</v>
      </c>
      <c r="E459">
        <f>FCS!AM458</f>
        <v>99.361604434126619</v>
      </c>
      <c r="F459">
        <f t="shared" ca="1" si="22"/>
        <v>0</v>
      </c>
      <c r="G459">
        <f t="shared" ca="1" si="23"/>
        <v>0</v>
      </c>
      <c r="H459" t="str">
        <f>FCS!AO458</f>
        <v>Ok</v>
      </c>
    </row>
    <row r="460" spans="1:8" x14ac:dyDescent="0.25">
      <c r="B460" s="367">
        <f>FCS!G459</f>
        <v>46103</v>
      </c>
      <c r="C460">
        <f t="shared" ca="1" si="21"/>
        <v>0</v>
      </c>
      <c r="D460">
        <f>FCS!R459</f>
        <v>1.7376599634369285</v>
      </c>
      <c r="E460">
        <f>FCS!AM459</f>
        <v>102.21529196687815</v>
      </c>
      <c r="F460">
        <f t="shared" ca="1" si="22"/>
        <v>0</v>
      </c>
      <c r="G460">
        <f t="shared" ca="1" si="23"/>
        <v>0</v>
      </c>
      <c r="H460" t="str">
        <f>FCS!AO459</f>
        <v>Ok</v>
      </c>
    </row>
    <row r="461" spans="1:8" x14ac:dyDescent="0.25">
      <c r="B461" s="367">
        <f>FCS!G460</f>
        <v>46103</v>
      </c>
      <c r="C461">
        <f t="shared" ca="1" si="21"/>
        <v>0</v>
      </c>
      <c r="D461">
        <f>FCS!R460</f>
        <v>1.7178082191780821</v>
      </c>
      <c r="E461">
        <f>FCS!AM460</f>
        <v>101.04754230459308</v>
      </c>
      <c r="F461">
        <f t="shared" ca="1" si="22"/>
        <v>0</v>
      </c>
      <c r="G461">
        <f t="shared" ca="1" si="23"/>
        <v>0</v>
      </c>
      <c r="H461" t="str">
        <f>FCS!AO460</f>
        <v>Ok</v>
      </c>
    </row>
    <row r="462" spans="1:8" x14ac:dyDescent="0.25">
      <c r="B462" s="367">
        <f>FCS!G461</f>
        <v>46103</v>
      </c>
      <c r="C462">
        <f t="shared" ca="1" si="21"/>
        <v>0</v>
      </c>
      <c r="D462">
        <f>FCS!R461</f>
        <v>1.7264492753623186</v>
      </c>
      <c r="E462">
        <f>FCS!AM461</f>
        <v>101.55583972719522</v>
      </c>
      <c r="F462">
        <f t="shared" ca="1" si="22"/>
        <v>0</v>
      </c>
      <c r="G462">
        <f t="shared" ca="1" si="23"/>
        <v>0</v>
      </c>
      <c r="H462" t="str">
        <f>FCS!AO461</f>
        <v>Ok</v>
      </c>
    </row>
    <row r="463" spans="1:8" x14ac:dyDescent="0.25">
      <c r="B463" s="367">
        <f>FCS!G462</f>
        <v>46103</v>
      </c>
      <c r="C463">
        <f t="shared" ca="1" si="21"/>
        <v>0</v>
      </c>
      <c r="D463">
        <f>FCS!R462</f>
        <v>1.7483811285846438</v>
      </c>
      <c r="E463">
        <f>FCS!AM462</f>
        <v>100.82936151007173</v>
      </c>
      <c r="F463">
        <f t="shared" ca="1" si="22"/>
        <v>0</v>
      </c>
      <c r="G463">
        <f t="shared" ca="1" si="23"/>
        <v>0</v>
      </c>
      <c r="H463" t="str">
        <f>FCS!AO462</f>
        <v>Ok</v>
      </c>
    </row>
    <row r="464" spans="1:8" x14ac:dyDescent="0.25">
      <c r="A464" t="s">
        <v>967</v>
      </c>
      <c r="B464" s="367">
        <f>FCS!G463</f>
        <v>46103</v>
      </c>
      <c r="C464">
        <f t="shared" ca="1" si="21"/>
        <v>0</v>
      </c>
      <c r="D464">
        <f>FCS!R463</f>
        <v>1.7698783910196445</v>
      </c>
      <c r="E464">
        <f>FCS!AM463</f>
        <v>102.72311538791195</v>
      </c>
      <c r="F464">
        <f t="shared" ca="1" si="22"/>
        <v>0</v>
      </c>
      <c r="G464">
        <f t="shared" ca="1" si="23"/>
        <v>0</v>
      </c>
      <c r="H464" t="str">
        <f>FCS!AO463</f>
        <v>Ok</v>
      </c>
    </row>
    <row r="465" spans="2:8" x14ac:dyDescent="0.25">
      <c r="B465" s="367">
        <f>FCS!G464</f>
        <v>46103</v>
      </c>
      <c r="C465">
        <f t="shared" ca="1" si="21"/>
        <v>0</v>
      </c>
      <c r="D465">
        <f>FCS!R464</f>
        <v>1.7411039732814031</v>
      </c>
      <c r="E465">
        <f>FCS!AM464</f>
        <v>101.0530583667386</v>
      </c>
      <c r="F465">
        <f t="shared" ca="1" si="22"/>
        <v>0</v>
      </c>
      <c r="G465">
        <f t="shared" ca="1" si="23"/>
        <v>0</v>
      </c>
      <c r="H465" t="str">
        <f>FCS!AO464</f>
        <v>OK</v>
      </c>
    </row>
    <row r="466" spans="2:8" x14ac:dyDescent="0.25">
      <c r="B466" s="367">
        <f>FCS!G465</f>
        <v>46103</v>
      </c>
      <c r="C466">
        <f t="shared" ca="1" si="21"/>
        <v>0</v>
      </c>
      <c r="D466">
        <f>FCS!R465</f>
        <v>1.7910313901345292</v>
      </c>
      <c r="E466">
        <f>FCS!AM465</f>
        <v>104.92275279054067</v>
      </c>
      <c r="F466">
        <f t="shared" ca="1" si="22"/>
        <v>0</v>
      </c>
      <c r="G466">
        <f t="shared" ca="1" si="23"/>
        <v>0</v>
      </c>
      <c r="H466" t="str">
        <f>FCS!AO465</f>
        <v>Ok</v>
      </c>
    </row>
    <row r="467" spans="2:8" x14ac:dyDescent="0.25">
      <c r="B467" s="367">
        <f>FCS!G466</f>
        <v>46103</v>
      </c>
      <c r="C467">
        <f t="shared" ref="C467:C530" ca="1" si="24">IF(AND(B467&gt;$C$5,B467&lt;$D$4,H467="OK"),1,0)</f>
        <v>0</v>
      </c>
      <c r="D467">
        <f>FCS!R466</f>
        <v>1.7116071428571427</v>
      </c>
      <c r="E467">
        <f>FCS!AM466</f>
        <v>100.26989706251568</v>
      </c>
      <c r="F467">
        <f t="shared" ref="F467:F530" ca="1" si="25">IFERROR(D467*C467,0)</f>
        <v>0</v>
      </c>
      <c r="G467">
        <f t="shared" ref="G467:G530" ca="1" si="26">IFERROR(E467*C467,0)</f>
        <v>0</v>
      </c>
      <c r="H467" t="str">
        <f>FCS!AO466</f>
        <v>Ok</v>
      </c>
    </row>
    <row r="468" spans="2:8" x14ac:dyDescent="0.25">
      <c r="B468" s="367">
        <f>FCS!G467</f>
        <v>46103</v>
      </c>
      <c r="C468">
        <f t="shared" ca="1" si="24"/>
        <v>0</v>
      </c>
      <c r="D468" t="str">
        <f>FCS!R467</f>
        <v>-</v>
      </c>
      <c r="E468" t="str">
        <f>FCS!AM467</f>
        <v>-</v>
      </c>
      <c r="F468">
        <f t="shared" ca="1" si="25"/>
        <v>0</v>
      </c>
      <c r="G468">
        <f t="shared" ca="1" si="26"/>
        <v>0</v>
      </c>
      <c r="H468" t="str">
        <f>FCS!AO467</f>
        <v>-</v>
      </c>
    </row>
    <row r="469" spans="2:8" x14ac:dyDescent="0.25">
      <c r="B469" s="367">
        <f>FCS!G468</f>
        <v>46103</v>
      </c>
      <c r="C469">
        <f t="shared" ca="1" si="24"/>
        <v>0</v>
      </c>
      <c r="D469">
        <f>FCS!R468</f>
        <v>1.6943268416596102</v>
      </c>
      <c r="E469">
        <f>FCS!AM468</f>
        <v>99.257577132959</v>
      </c>
      <c r="F469">
        <f t="shared" ca="1" si="25"/>
        <v>0</v>
      </c>
      <c r="G469">
        <f t="shared" ca="1" si="26"/>
        <v>0</v>
      </c>
      <c r="H469" t="str">
        <f>FCS!AO468</f>
        <v>Ok</v>
      </c>
    </row>
    <row r="470" spans="2:8" x14ac:dyDescent="0.25">
      <c r="B470" s="367">
        <f>FCS!G469</f>
        <v>46103</v>
      </c>
      <c r="C470">
        <f t="shared" ca="1" si="24"/>
        <v>0</v>
      </c>
      <c r="D470">
        <f>FCS!R469</f>
        <v>1.6973321067157314</v>
      </c>
      <c r="E470">
        <f>FCS!AM469</f>
        <v>99.489841042638375</v>
      </c>
      <c r="F470">
        <f t="shared" ca="1" si="25"/>
        <v>0</v>
      </c>
      <c r="G470">
        <f t="shared" ca="1" si="26"/>
        <v>0</v>
      </c>
      <c r="H470" t="str">
        <f>FCS!AO469</f>
        <v>Ok</v>
      </c>
    </row>
    <row r="471" spans="2:8" x14ac:dyDescent="0.25">
      <c r="B471" s="367">
        <f>FCS!G470</f>
        <v>46103</v>
      </c>
      <c r="C471">
        <f t="shared" ca="1" si="24"/>
        <v>0</v>
      </c>
      <c r="D471">
        <f>FCS!R470</f>
        <v>1.6700091157702828</v>
      </c>
      <c r="E471">
        <f>FCS!AM470</f>
        <v>98.163687708606972</v>
      </c>
      <c r="F471">
        <f t="shared" ca="1" si="25"/>
        <v>0</v>
      </c>
      <c r="G471">
        <f t="shared" ca="1" si="26"/>
        <v>0</v>
      </c>
      <c r="H471" t="str">
        <f>FCS!AO470</f>
        <v>Ok</v>
      </c>
    </row>
    <row r="472" spans="2:8" x14ac:dyDescent="0.25">
      <c r="B472" s="367">
        <f>FCS!G471</f>
        <v>46103</v>
      </c>
      <c r="C472">
        <f t="shared" ca="1" si="24"/>
        <v>0</v>
      </c>
      <c r="D472">
        <f>FCS!R471</f>
        <v>1.706090026478376</v>
      </c>
      <c r="E472">
        <f>FCS!AM471</f>
        <v>98.390428285950165</v>
      </c>
      <c r="F472">
        <f t="shared" ca="1" si="25"/>
        <v>0</v>
      </c>
      <c r="G472">
        <f t="shared" ca="1" si="26"/>
        <v>0</v>
      </c>
      <c r="H472" t="str">
        <f>FCS!AO471</f>
        <v>Ok</v>
      </c>
    </row>
    <row r="473" spans="2:8" x14ac:dyDescent="0.25">
      <c r="B473" s="367">
        <f>FCS!G472</f>
        <v>46103</v>
      </c>
      <c r="C473">
        <f t="shared" ca="1" si="24"/>
        <v>0</v>
      </c>
      <c r="D473">
        <f>FCS!R472</f>
        <v>1.7019319227230911</v>
      </c>
      <c r="E473">
        <f>FCS!AM472</f>
        <v>100.113642513123</v>
      </c>
      <c r="F473">
        <f t="shared" ca="1" si="25"/>
        <v>0</v>
      </c>
      <c r="G473">
        <f t="shared" ca="1" si="26"/>
        <v>0</v>
      </c>
      <c r="H473" t="str">
        <f>FCS!AO472</f>
        <v>Ok</v>
      </c>
    </row>
    <row r="474" spans="2:8" x14ac:dyDescent="0.25">
      <c r="B474" s="367">
        <f>FCS!G473</f>
        <v>46103</v>
      </c>
      <c r="C474">
        <f t="shared" ca="1" si="24"/>
        <v>0</v>
      </c>
      <c r="D474">
        <f>FCS!R473</f>
        <v>1.7554347826086956</v>
      </c>
      <c r="E474">
        <f>FCS!AM473</f>
        <v>103.26086956521738</v>
      </c>
      <c r="F474">
        <f t="shared" ca="1" si="25"/>
        <v>0</v>
      </c>
      <c r="G474">
        <f t="shared" ca="1" si="26"/>
        <v>0</v>
      </c>
      <c r="H474" t="str">
        <f>FCS!AO473</f>
        <v>Ok</v>
      </c>
    </row>
    <row r="475" spans="2:8" x14ac:dyDescent="0.25">
      <c r="B475" s="367">
        <f>FCS!G474</f>
        <v>46103</v>
      </c>
      <c r="C475">
        <f t="shared" ca="1" si="24"/>
        <v>0</v>
      </c>
      <c r="D475">
        <f>FCS!R474</f>
        <v>1.7410795974382434</v>
      </c>
      <c r="E475">
        <f>FCS!AM474</f>
        <v>102.41644690813196</v>
      </c>
      <c r="F475">
        <f t="shared" ca="1" si="25"/>
        <v>0</v>
      </c>
      <c r="G475">
        <f t="shared" ca="1" si="26"/>
        <v>0</v>
      </c>
      <c r="H475" t="str">
        <f>FCS!AO474</f>
        <v>Ok</v>
      </c>
    </row>
    <row r="476" spans="2:8" x14ac:dyDescent="0.25">
      <c r="B476" s="367">
        <f>FCS!G476</f>
        <v>46103</v>
      </c>
      <c r="C476">
        <f t="shared" ca="1" si="24"/>
        <v>0</v>
      </c>
      <c r="D476">
        <f>FCS!R476</f>
        <v>1.6779386276652453</v>
      </c>
      <c r="E476">
        <f>FCS!AM476</f>
        <v>98.355136439932309</v>
      </c>
      <c r="F476">
        <f t="shared" ca="1" si="25"/>
        <v>0</v>
      </c>
      <c r="G476">
        <f t="shared" ca="1" si="26"/>
        <v>0</v>
      </c>
      <c r="H476" t="str">
        <f>FCS!AO476</f>
        <v>OK</v>
      </c>
    </row>
    <row r="477" spans="2:8" x14ac:dyDescent="0.25">
      <c r="B477" s="367">
        <f>FCS!G477</f>
        <v>46103</v>
      </c>
      <c r="C477">
        <f t="shared" ca="1" si="24"/>
        <v>0</v>
      </c>
      <c r="D477">
        <f>FCS!R477</f>
        <v>1.6970802919708028</v>
      </c>
      <c r="E477">
        <f>FCS!AM477</f>
        <v>99.475080814604027</v>
      </c>
      <c r="F477">
        <f t="shared" ca="1" si="25"/>
        <v>0</v>
      </c>
      <c r="G477">
        <f t="shared" ca="1" si="26"/>
        <v>0</v>
      </c>
      <c r="H477" t="str">
        <f>FCS!AO477</f>
        <v>Ok</v>
      </c>
    </row>
    <row r="478" spans="2:8" x14ac:dyDescent="0.25">
      <c r="B478" s="367">
        <f>FCS!G478</f>
        <v>46103</v>
      </c>
      <c r="C478">
        <f t="shared" ca="1" si="24"/>
        <v>0</v>
      </c>
      <c r="D478">
        <f>FCS!R478</f>
        <v>1.6864771748492677</v>
      </c>
      <c r="E478">
        <f>FCS!AM478</f>
        <v>99.087965619815961</v>
      </c>
      <c r="F478">
        <f t="shared" ca="1" si="25"/>
        <v>0</v>
      </c>
      <c r="G478">
        <f t="shared" ca="1" si="26"/>
        <v>0</v>
      </c>
      <c r="H478" t="str">
        <f>FCS!AO478</f>
        <v>Ok</v>
      </c>
    </row>
    <row r="479" spans="2:8" x14ac:dyDescent="0.25">
      <c r="B479" s="367">
        <f>FCS!G479</f>
        <v>46104</v>
      </c>
      <c r="C479">
        <f t="shared" ca="1" si="24"/>
        <v>0</v>
      </c>
      <c r="D479">
        <f>FCS!R479</f>
        <v>1.7416741674167417</v>
      </c>
      <c r="E479">
        <f>FCS!AM479</f>
        <v>102.39119150010238</v>
      </c>
      <c r="F479">
        <f t="shared" ca="1" si="25"/>
        <v>0</v>
      </c>
      <c r="G479">
        <f t="shared" ca="1" si="26"/>
        <v>0</v>
      </c>
      <c r="H479" t="str">
        <f>FCS!AO479</f>
        <v>Ok</v>
      </c>
    </row>
    <row r="480" spans="2:8" x14ac:dyDescent="0.25">
      <c r="B480" s="367">
        <f>FCS!G480</f>
        <v>46104</v>
      </c>
      <c r="C480">
        <f t="shared" ca="1" si="24"/>
        <v>0</v>
      </c>
      <c r="D480">
        <f>FCS!R480</f>
        <v>1.7286892758936754</v>
      </c>
      <c r="E480">
        <f>FCS!AM480</f>
        <v>101.62782339175045</v>
      </c>
      <c r="F480">
        <f t="shared" ca="1" si="25"/>
        <v>0</v>
      </c>
      <c r="G480">
        <f t="shared" ca="1" si="26"/>
        <v>0</v>
      </c>
      <c r="H480" t="str">
        <f>FCS!AO480</f>
        <v>Ok</v>
      </c>
    </row>
    <row r="481" spans="2:8" x14ac:dyDescent="0.25">
      <c r="B481" s="367">
        <f>FCS!G481</f>
        <v>46104</v>
      </c>
      <c r="C481">
        <f t="shared" ca="1" si="24"/>
        <v>0</v>
      </c>
      <c r="D481">
        <f>FCS!R481</f>
        <v>1.7000903342366755</v>
      </c>
      <c r="E481">
        <f>FCS!AM481</f>
        <v>99.931871670924664</v>
      </c>
      <c r="F481">
        <f t="shared" ca="1" si="25"/>
        <v>0</v>
      </c>
      <c r="G481">
        <f t="shared" ca="1" si="26"/>
        <v>0</v>
      </c>
      <c r="H481" t="str">
        <f>FCS!AO481</f>
        <v>Ok</v>
      </c>
    </row>
    <row r="482" spans="2:8" x14ac:dyDescent="0.25">
      <c r="B482" s="367">
        <f>FCS!G482</f>
        <v>46104</v>
      </c>
      <c r="C482">
        <f t="shared" ca="1" si="24"/>
        <v>0</v>
      </c>
      <c r="D482">
        <f>FCS!R482</f>
        <v>1.7104072398190044</v>
      </c>
      <c r="E482">
        <f>FCS!AM482</f>
        <v>100.55304172951232</v>
      </c>
      <c r="F482">
        <f t="shared" ca="1" si="25"/>
        <v>0</v>
      </c>
      <c r="G482">
        <f t="shared" ca="1" si="26"/>
        <v>0</v>
      </c>
      <c r="H482" t="str">
        <f>FCS!AO482</f>
        <v>Ok</v>
      </c>
    </row>
    <row r="483" spans="2:8" x14ac:dyDescent="0.25">
      <c r="B483" s="367">
        <f>FCS!G483</f>
        <v>46104</v>
      </c>
      <c r="C483">
        <f t="shared" ca="1" si="24"/>
        <v>0</v>
      </c>
      <c r="D483">
        <f>FCS!R483</f>
        <v>1.7194899817850635</v>
      </c>
      <c r="E483">
        <f>FCS!AM483</f>
        <v>101.08700657172625</v>
      </c>
      <c r="F483">
        <f t="shared" ca="1" si="25"/>
        <v>0</v>
      </c>
      <c r="G483">
        <f t="shared" ca="1" si="26"/>
        <v>0</v>
      </c>
      <c r="H483" t="str">
        <f>FCS!AO483</f>
        <v>Ok</v>
      </c>
    </row>
    <row r="484" spans="2:8" x14ac:dyDescent="0.25">
      <c r="B484" s="367">
        <f>FCS!G484</f>
        <v>46104</v>
      </c>
      <c r="C484">
        <f t="shared" ca="1" si="24"/>
        <v>0</v>
      </c>
      <c r="D484">
        <f>FCS!R484</f>
        <v>1.7382671480144403</v>
      </c>
      <c r="E484">
        <f>FCS!AM484</f>
        <v>102.19089641472311</v>
      </c>
      <c r="F484">
        <f t="shared" ca="1" si="25"/>
        <v>0</v>
      </c>
      <c r="G484">
        <f t="shared" ca="1" si="26"/>
        <v>0</v>
      </c>
      <c r="H484" t="str">
        <f>FCS!AO484</f>
        <v>Ok</v>
      </c>
    </row>
    <row r="485" spans="2:8" x14ac:dyDescent="0.25">
      <c r="B485" s="367">
        <f>FCS!G485</f>
        <v>46104</v>
      </c>
      <c r="C485">
        <f t="shared" ca="1" si="24"/>
        <v>0</v>
      </c>
      <c r="D485">
        <f>FCS!R485</f>
        <v>1.7621621621621619</v>
      </c>
      <c r="E485">
        <f>FCS!AM485</f>
        <v>103.59565915121469</v>
      </c>
      <c r="F485">
        <f t="shared" ca="1" si="25"/>
        <v>0</v>
      </c>
      <c r="G485">
        <f t="shared" ca="1" si="26"/>
        <v>0</v>
      </c>
      <c r="H485" t="str">
        <f>FCS!AO485</f>
        <v>Ok</v>
      </c>
    </row>
    <row r="486" spans="2:8" x14ac:dyDescent="0.25">
      <c r="B486" s="367">
        <f>FCS!G486</f>
        <v>46104</v>
      </c>
      <c r="C486">
        <f t="shared" ca="1" si="24"/>
        <v>0</v>
      </c>
      <c r="D486">
        <f>FCS!R486</f>
        <v>1.7807097361237489</v>
      </c>
      <c r="E486">
        <f>FCS!AM486</f>
        <v>104.36851489246554</v>
      </c>
      <c r="F486">
        <f t="shared" ca="1" si="25"/>
        <v>0</v>
      </c>
      <c r="G486">
        <f t="shared" ca="1" si="26"/>
        <v>0</v>
      </c>
      <c r="H486" t="str">
        <f>FCS!AO486</f>
        <v>Ok</v>
      </c>
    </row>
    <row r="487" spans="2:8" x14ac:dyDescent="0.25">
      <c r="B487" s="367">
        <f>FCS!G487</f>
        <v>46104</v>
      </c>
      <c r="C487">
        <f t="shared" ca="1" si="24"/>
        <v>0</v>
      </c>
      <c r="D487">
        <f>FCS!R487</f>
        <v>1.7551550271750123</v>
      </c>
      <c r="E487">
        <f>FCS!AM487</f>
        <v>102.87073736736782</v>
      </c>
      <c r="F487">
        <f t="shared" ca="1" si="25"/>
        <v>0</v>
      </c>
      <c r="G487">
        <f t="shared" ca="1" si="26"/>
        <v>0</v>
      </c>
      <c r="H487" t="str">
        <f>FCS!AO487</f>
        <v>OK</v>
      </c>
    </row>
    <row r="488" spans="2:8" x14ac:dyDescent="0.25">
      <c r="B488" s="367">
        <f>FCS!G488</f>
        <v>46104</v>
      </c>
      <c r="C488">
        <f t="shared" ca="1" si="24"/>
        <v>0</v>
      </c>
      <c r="D488">
        <f>FCS!R488</f>
        <v>1.7252946509519493</v>
      </c>
      <c r="E488">
        <f>FCS!AM488</f>
        <v>101.42825696366545</v>
      </c>
      <c r="F488">
        <f t="shared" ca="1" si="25"/>
        <v>0</v>
      </c>
      <c r="G488">
        <f t="shared" ca="1" si="26"/>
        <v>0</v>
      </c>
      <c r="H488" t="str">
        <f>FCS!AO488</f>
        <v>Ok</v>
      </c>
    </row>
    <row r="489" spans="2:8" x14ac:dyDescent="0.25">
      <c r="B489" s="367">
        <f>FCS!G489</f>
        <v>46104</v>
      </c>
      <c r="C489">
        <f t="shared" ca="1" si="24"/>
        <v>0</v>
      </c>
      <c r="D489">
        <f>FCS!R489</f>
        <v>1.719642857142857</v>
      </c>
      <c r="E489">
        <f>FCS!AM489</f>
        <v>101.0959939531368</v>
      </c>
      <c r="F489">
        <f t="shared" ca="1" si="25"/>
        <v>0</v>
      </c>
      <c r="G489">
        <f t="shared" ca="1" si="26"/>
        <v>0</v>
      </c>
      <c r="H489" t="str">
        <f>FCS!AO489</f>
        <v>Ok</v>
      </c>
    </row>
    <row r="490" spans="2:8" x14ac:dyDescent="0.25">
      <c r="B490" s="367">
        <f>FCS!G490</f>
        <v>46104</v>
      </c>
      <c r="C490">
        <f t="shared" ca="1" si="24"/>
        <v>0</v>
      </c>
      <c r="D490">
        <f>FCS!R490</f>
        <v>1.7039711191335738</v>
      </c>
      <c r="E490">
        <f>FCS!AM490</f>
        <v>100.17466896728828</v>
      </c>
      <c r="F490">
        <f t="shared" ca="1" si="25"/>
        <v>0</v>
      </c>
      <c r="G490">
        <f t="shared" ca="1" si="26"/>
        <v>0</v>
      </c>
      <c r="H490" t="str">
        <f>FCS!AO490</f>
        <v>Ok</v>
      </c>
    </row>
    <row r="491" spans="2:8" x14ac:dyDescent="0.25">
      <c r="B491" s="367">
        <f>FCS!G491</f>
        <v>46104</v>
      </c>
      <c r="C491">
        <f t="shared" ca="1" si="24"/>
        <v>0</v>
      </c>
      <c r="D491">
        <f>FCS!R491</f>
        <v>1.7671957671957674</v>
      </c>
      <c r="E491">
        <f>FCS!AM491</f>
        <v>103.52640698276316</v>
      </c>
      <c r="F491">
        <f t="shared" ca="1" si="25"/>
        <v>0</v>
      </c>
      <c r="G491">
        <f t="shared" ca="1" si="26"/>
        <v>0</v>
      </c>
      <c r="H491" t="str">
        <f>FCS!AO491</f>
        <v>Ok</v>
      </c>
    </row>
    <row r="492" spans="2:8" x14ac:dyDescent="0.25">
      <c r="B492" s="367">
        <f>FCS!G492</f>
        <v>46104</v>
      </c>
      <c r="C492">
        <f t="shared" ca="1" si="24"/>
        <v>0</v>
      </c>
      <c r="D492">
        <f>FCS!R492</f>
        <v>1.750886524822695</v>
      </c>
      <c r="E492">
        <f>FCS!AM492</f>
        <v>102.87229875574002</v>
      </c>
      <c r="F492">
        <f t="shared" ca="1" si="25"/>
        <v>0</v>
      </c>
      <c r="G492">
        <f t="shared" ca="1" si="26"/>
        <v>0</v>
      </c>
      <c r="H492" t="str">
        <f>FCS!AO492</f>
        <v>Ok</v>
      </c>
    </row>
    <row r="493" spans="2:8" x14ac:dyDescent="0.25">
      <c r="B493" s="367">
        <f>FCS!G493</f>
        <v>46104</v>
      </c>
      <c r="C493">
        <f t="shared" ca="1" si="24"/>
        <v>0</v>
      </c>
      <c r="D493">
        <f>FCS!R493</f>
        <v>1.7834101382488481</v>
      </c>
      <c r="E493">
        <f>FCS!AM493</f>
        <v>104.78320436244701</v>
      </c>
      <c r="F493">
        <f t="shared" ca="1" si="25"/>
        <v>0</v>
      </c>
      <c r="G493">
        <f t="shared" ca="1" si="26"/>
        <v>0</v>
      </c>
      <c r="H493" t="str">
        <f>FCS!AO493</f>
        <v>Ok</v>
      </c>
    </row>
    <row r="494" spans="2:8" x14ac:dyDescent="0.25">
      <c r="B494" s="367">
        <f>FCS!G494</f>
        <v>46104</v>
      </c>
      <c r="C494">
        <f t="shared" ca="1" si="24"/>
        <v>0</v>
      </c>
      <c r="D494">
        <f>FCS!R494</f>
        <v>1.7382053654024052</v>
      </c>
      <c r="E494">
        <f>FCS!AM494</f>
        <v>102.12722475924825</v>
      </c>
      <c r="F494">
        <f t="shared" ca="1" si="25"/>
        <v>0</v>
      </c>
      <c r="G494">
        <f t="shared" ca="1" si="26"/>
        <v>0</v>
      </c>
      <c r="H494" t="str">
        <f>FCS!AO494</f>
        <v>Ok</v>
      </c>
    </row>
    <row r="495" spans="2:8" x14ac:dyDescent="0.25">
      <c r="B495" s="367">
        <f>FCS!G495</f>
        <v>46104</v>
      </c>
      <c r="C495">
        <f t="shared" ca="1" si="24"/>
        <v>0</v>
      </c>
      <c r="D495">
        <f>FCS!R495</f>
        <v>1.7037037037037037</v>
      </c>
      <c r="E495">
        <f>FCS!AM495</f>
        <v>100.10010010010011</v>
      </c>
      <c r="F495">
        <f t="shared" ca="1" si="25"/>
        <v>0</v>
      </c>
      <c r="G495">
        <f t="shared" ca="1" si="26"/>
        <v>0</v>
      </c>
      <c r="H495" t="str">
        <f>FCS!AO495</f>
        <v>Ok</v>
      </c>
    </row>
    <row r="496" spans="2:8" x14ac:dyDescent="0.25">
      <c r="B496" s="367">
        <f>FCS!G496</f>
        <v>46104</v>
      </c>
      <c r="C496">
        <f t="shared" ca="1" si="24"/>
        <v>0</v>
      </c>
      <c r="D496">
        <f>FCS!R496</f>
        <v>1.7184115523465702</v>
      </c>
      <c r="E496">
        <f>FCS!AM496</f>
        <v>100.96425101918744</v>
      </c>
      <c r="F496">
        <f t="shared" ca="1" si="25"/>
        <v>0</v>
      </c>
      <c r="G496">
        <f t="shared" ca="1" si="26"/>
        <v>0</v>
      </c>
      <c r="H496" t="str">
        <f>FCS!AO496</f>
        <v>Ok</v>
      </c>
    </row>
    <row r="497" spans="2:8" x14ac:dyDescent="0.25">
      <c r="B497" s="367">
        <f>FCS!G497</f>
        <v>46104</v>
      </c>
      <c r="C497">
        <f t="shared" ca="1" si="24"/>
        <v>0</v>
      </c>
      <c r="D497">
        <f>FCS!R497</f>
        <v>1.7106227106227105</v>
      </c>
      <c r="E497">
        <f>FCS!AM497</f>
        <v>100.55096823550321</v>
      </c>
      <c r="F497">
        <f t="shared" ca="1" si="25"/>
        <v>0</v>
      </c>
      <c r="G497">
        <f t="shared" ca="1" si="26"/>
        <v>0</v>
      </c>
      <c r="H497" t="str">
        <f>FCS!AO497</f>
        <v>Ok</v>
      </c>
    </row>
    <row r="498" spans="2:8" x14ac:dyDescent="0.25">
      <c r="B498" s="367">
        <f>FCS!G498</f>
        <v>46104</v>
      </c>
      <c r="C498">
        <f t="shared" ca="1" si="24"/>
        <v>0</v>
      </c>
      <c r="D498">
        <f>FCS!R498</f>
        <v>1.6964384060004032</v>
      </c>
      <c r="E498">
        <f>FCS!AM498</f>
        <v>99.717210122353222</v>
      </c>
      <c r="F498">
        <f t="shared" ca="1" si="25"/>
        <v>0</v>
      </c>
      <c r="G498">
        <f t="shared" ca="1" si="26"/>
        <v>0</v>
      </c>
      <c r="H498" t="str">
        <f>FCS!AO498</f>
        <v>OK</v>
      </c>
    </row>
    <row r="499" spans="2:8" x14ac:dyDescent="0.25">
      <c r="B499" s="367">
        <f>FCS!G499</f>
        <v>46104</v>
      </c>
      <c r="C499">
        <f t="shared" ca="1" si="24"/>
        <v>0</v>
      </c>
      <c r="D499">
        <f>FCS!R499</f>
        <v>1.7005494505494505</v>
      </c>
      <c r="E499">
        <f>FCS!AM499</f>
        <v>99.505526655906991</v>
      </c>
      <c r="F499">
        <f t="shared" ca="1" si="25"/>
        <v>0</v>
      </c>
      <c r="G499">
        <f t="shared" ca="1" si="26"/>
        <v>0</v>
      </c>
      <c r="H499" t="str">
        <f>FCS!AO499</f>
        <v>Ok</v>
      </c>
    </row>
    <row r="500" spans="2:8" x14ac:dyDescent="0.25">
      <c r="B500" s="367">
        <f>FCS!G500</f>
        <v>46104</v>
      </c>
      <c r="C500">
        <f t="shared" ca="1" si="24"/>
        <v>0</v>
      </c>
      <c r="D500">
        <f>FCS!R500</f>
        <v>1.6970534069981582</v>
      </c>
      <c r="E500">
        <f>FCS!AM500</f>
        <v>99.473504940534212</v>
      </c>
      <c r="F500">
        <f t="shared" ca="1" si="25"/>
        <v>0</v>
      </c>
      <c r="G500">
        <f t="shared" ca="1" si="26"/>
        <v>0</v>
      </c>
      <c r="H500" t="str">
        <f>FCS!AO500</f>
        <v>Ok</v>
      </c>
    </row>
    <row r="501" spans="2:8" x14ac:dyDescent="0.25">
      <c r="B501" s="367">
        <f>FCS!G501</f>
        <v>46104</v>
      </c>
      <c r="C501">
        <f t="shared" ca="1" si="24"/>
        <v>0</v>
      </c>
      <c r="D501">
        <f>FCS!R501</f>
        <v>1.7477231329690346</v>
      </c>
      <c r="E501">
        <f>FCS!AM501</f>
        <v>102.74680381946118</v>
      </c>
      <c r="F501">
        <f t="shared" ca="1" si="25"/>
        <v>0</v>
      </c>
      <c r="G501">
        <f t="shared" ca="1" si="26"/>
        <v>0</v>
      </c>
      <c r="H501" t="str">
        <f>FCS!AO501</f>
        <v>Ok</v>
      </c>
    </row>
    <row r="502" spans="2:8" x14ac:dyDescent="0.25">
      <c r="B502" s="367">
        <f>FCS!G502</f>
        <v>46104</v>
      </c>
      <c r="C502">
        <f t="shared" ca="1" si="24"/>
        <v>0</v>
      </c>
      <c r="D502">
        <f>FCS!R502</f>
        <v>1.7522522522522521</v>
      </c>
      <c r="E502">
        <f>FCS!AM502</f>
        <v>103.01306597602893</v>
      </c>
      <c r="F502">
        <f t="shared" ca="1" si="25"/>
        <v>0</v>
      </c>
      <c r="G502">
        <f t="shared" ca="1" si="26"/>
        <v>0</v>
      </c>
      <c r="H502" t="str">
        <f>FCS!AO502</f>
        <v>Ok</v>
      </c>
    </row>
    <row r="503" spans="2:8" x14ac:dyDescent="0.25">
      <c r="B503" s="367">
        <f>FCS!G503</f>
        <v>46104</v>
      </c>
      <c r="C503">
        <f t="shared" ca="1" si="24"/>
        <v>0</v>
      </c>
      <c r="D503">
        <f>FCS!R503</f>
        <v>1.7146763901549682</v>
      </c>
      <c r="E503">
        <f>FCS!AM503</f>
        <v>100.8040205852421</v>
      </c>
      <c r="F503">
        <f t="shared" ca="1" si="25"/>
        <v>0</v>
      </c>
      <c r="G503">
        <f t="shared" ca="1" si="26"/>
        <v>0</v>
      </c>
      <c r="H503" t="str">
        <f>FCS!AO503</f>
        <v>Ok</v>
      </c>
    </row>
    <row r="504" spans="2:8" x14ac:dyDescent="0.25">
      <c r="B504" s="367">
        <f>FCS!G504</f>
        <v>46104</v>
      </c>
      <c r="C504">
        <f t="shared" ca="1" si="24"/>
        <v>0</v>
      </c>
      <c r="D504">
        <f>FCS!R504</f>
        <v>1.785321100917431</v>
      </c>
      <c r="E504">
        <f>FCS!AM504</f>
        <v>104.95714878997242</v>
      </c>
      <c r="F504">
        <f t="shared" ca="1" si="25"/>
        <v>0</v>
      </c>
      <c r="G504">
        <f t="shared" ca="1" si="26"/>
        <v>0</v>
      </c>
      <c r="H504" t="str">
        <f>FCS!AO504</f>
        <v>Ok</v>
      </c>
    </row>
    <row r="505" spans="2:8" x14ac:dyDescent="0.25">
      <c r="B505" s="367">
        <f>FCS!G505</f>
        <v>46104</v>
      </c>
      <c r="C505">
        <f t="shared" ca="1" si="24"/>
        <v>0</v>
      </c>
      <c r="D505">
        <f>FCS!R505</f>
        <v>1.784601283226398</v>
      </c>
      <c r="E505">
        <f>FCS!AM505</f>
        <v>104.9148314653967</v>
      </c>
      <c r="F505">
        <f t="shared" ca="1" si="25"/>
        <v>0</v>
      </c>
      <c r="G505">
        <f t="shared" ca="1" si="26"/>
        <v>0</v>
      </c>
      <c r="H505" t="str">
        <f>FCS!AO505</f>
        <v>Ok</v>
      </c>
    </row>
    <row r="506" spans="2:8" x14ac:dyDescent="0.25">
      <c r="B506" s="367">
        <f>FCS!G506</f>
        <v>46104</v>
      </c>
      <c r="C506">
        <f t="shared" ca="1" si="24"/>
        <v>0</v>
      </c>
      <c r="D506">
        <f>FCS!R506</f>
        <v>1.719634703196347</v>
      </c>
      <c r="E506">
        <f>FCS!AM506</f>
        <v>101.09551459120205</v>
      </c>
      <c r="F506">
        <f t="shared" ca="1" si="25"/>
        <v>0</v>
      </c>
      <c r="G506">
        <f t="shared" ca="1" si="26"/>
        <v>0</v>
      </c>
      <c r="H506" t="str">
        <f>FCS!AO506</f>
        <v>Ok</v>
      </c>
    </row>
    <row r="507" spans="2:8" x14ac:dyDescent="0.25">
      <c r="B507" s="367">
        <f>FCS!G507</f>
        <v>46104</v>
      </c>
      <c r="C507">
        <f t="shared" ca="1" si="24"/>
        <v>0</v>
      </c>
      <c r="D507">
        <f>FCS!R507</f>
        <v>1.7435897435897436</v>
      </c>
      <c r="E507">
        <f>FCS!AM507</f>
        <v>102.50380620750991</v>
      </c>
      <c r="F507">
        <f t="shared" ca="1" si="25"/>
        <v>0</v>
      </c>
      <c r="G507">
        <f t="shared" ca="1" si="26"/>
        <v>0</v>
      </c>
      <c r="H507" t="str">
        <f>FCS!AO507</f>
        <v>Ok</v>
      </c>
    </row>
    <row r="508" spans="2:8" x14ac:dyDescent="0.25">
      <c r="B508" s="367">
        <f>FCS!G508</f>
        <v>46104</v>
      </c>
      <c r="C508">
        <f t="shared" ca="1" si="24"/>
        <v>0</v>
      </c>
      <c r="D508">
        <f>FCS!R508</f>
        <v>1.7646551724137933</v>
      </c>
      <c r="E508">
        <f>FCS!AM508</f>
        <v>103.79134258882112</v>
      </c>
      <c r="F508">
        <f t="shared" ca="1" si="25"/>
        <v>0</v>
      </c>
      <c r="G508">
        <f t="shared" ca="1" si="26"/>
        <v>0</v>
      </c>
      <c r="H508" t="str">
        <f>FCS!AO508</f>
        <v>Ok</v>
      </c>
    </row>
    <row r="509" spans="2:8" x14ac:dyDescent="0.25">
      <c r="B509" s="367">
        <f>FCS!G509</f>
        <v>46104</v>
      </c>
      <c r="C509">
        <f t="shared" ca="1" si="24"/>
        <v>0</v>
      </c>
      <c r="D509">
        <f>FCS!R509</f>
        <v>1.711572245271066</v>
      </c>
      <c r="E509">
        <f>FCS!AM509</f>
        <v>100.66917551458646</v>
      </c>
      <c r="F509">
        <f t="shared" ca="1" si="25"/>
        <v>0</v>
      </c>
      <c r="G509">
        <f t="shared" ca="1" si="26"/>
        <v>0</v>
      </c>
      <c r="H509" t="str">
        <f>FCS!AO509</f>
        <v>OK</v>
      </c>
    </row>
    <row r="510" spans="2:8" x14ac:dyDescent="0.25">
      <c r="B510" s="367">
        <f>FCS!G510</f>
        <v>46104</v>
      </c>
      <c r="C510">
        <f t="shared" ca="1" si="24"/>
        <v>0</v>
      </c>
      <c r="D510">
        <f>FCS!R510</f>
        <v>1.7093023255813955</v>
      </c>
      <c r="E510">
        <f>FCS!AM510</f>
        <v>101.26198611264192</v>
      </c>
      <c r="F510">
        <f t="shared" ca="1" si="25"/>
        <v>0</v>
      </c>
      <c r="G510">
        <f t="shared" ca="1" si="26"/>
        <v>0</v>
      </c>
      <c r="H510" t="str">
        <f>FCS!AO510</f>
        <v>Ok</v>
      </c>
    </row>
    <row r="511" spans="2:8" x14ac:dyDescent="0.25">
      <c r="B511" s="367">
        <f>FCS!G511</f>
        <v>46104</v>
      </c>
      <c r="C511">
        <f t="shared" ca="1" si="24"/>
        <v>0</v>
      </c>
      <c r="D511" t="str">
        <f>FCS!R511</f>
        <v>-</v>
      </c>
      <c r="E511" t="str">
        <f>FCS!AM511</f>
        <v>-</v>
      </c>
      <c r="F511">
        <f t="shared" ca="1" si="25"/>
        <v>0</v>
      </c>
      <c r="G511">
        <f t="shared" ca="1" si="26"/>
        <v>0</v>
      </c>
      <c r="H511" t="str">
        <f>FCS!AO511</f>
        <v>-</v>
      </c>
    </row>
    <row r="512" spans="2:8" x14ac:dyDescent="0.25">
      <c r="B512" s="367">
        <f>FCS!G512</f>
        <v>46105</v>
      </c>
      <c r="C512">
        <f t="shared" ca="1" si="24"/>
        <v>0</v>
      </c>
      <c r="D512">
        <f>FCS!R512</f>
        <v>1.7238267148014439</v>
      </c>
      <c r="E512">
        <f>FCS!AM512</f>
        <v>101.2824156757605</v>
      </c>
      <c r="F512">
        <f t="shared" ca="1" si="25"/>
        <v>0</v>
      </c>
      <c r="G512">
        <f t="shared" ca="1" si="26"/>
        <v>0</v>
      </c>
      <c r="H512" t="str">
        <f>FCS!AO512</f>
        <v>Ok</v>
      </c>
    </row>
    <row r="513" spans="2:8" x14ac:dyDescent="0.25">
      <c r="B513" s="367">
        <f>FCS!G513</f>
        <v>46105</v>
      </c>
      <c r="C513">
        <f t="shared" ca="1" si="24"/>
        <v>0</v>
      </c>
      <c r="D513">
        <f>FCS!R513</f>
        <v>1.6935622317596566</v>
      </c>
      <c r="E513">
        <f>FCS!AM513</f>
        <v>100.32951609950574</v>
      </c>
      <c r="F513">
        <f t="shared" ca="1" si="25"/>
        <v>0</v>
      </c>
      <c r="G513">
        <f t="shared" ca="1" si="26"/>
        <v>0</v>
      </c>
      <c r="H513" t="str">
        <f>FCS!AO513</f>
        <v>Ok</v>
      </c>
    </row>
    <row r="514" spans="2:8" x14ac:dyDescent="0.25">
      <c r="B514" s="367">
        <f>FCS!G514</f>
        <v>46105</v>
      </c>
      <c r="C514">
        <f t="shared" ca="1" si="24"/>
        <v>0</v>
      </c>
      <c r="D514">
        <f>FCS!R514</f>
        <v>1.7096491228070174</v>
      </c>
      <c r="E514">
        <f>FCS!AM514</f>
        <v>101.2825309719797</v>
      </c>
      <c r="F514">
        <f t="shared" ca="1" si="25"/>
        <v>0</v>
      </c>
      <c r="G514">
        <f t="shared" ca="1" si="26"/>
        <v>0</v>
      </c>
      <c r="H514" t="str">
        <f>FCS!AO514</f>
        <v>Ok</v>
      </c>
    </row>
    <row r="515" spans="2:8" x14ac:dyDescent="0.25">
      <c r="B515" s="367">
        <f>FCS!G515</f>
        <v>46105</v>
      </c>
      <c r="C515">
        <f t="shared" ca="1" si="24"/>
        <v>0</v>
      </c>
      <c r="D515">
        <f>FCS!R515</f>
        <v>1.7417923691215618</v>
      </c>
      <c r="E515">
        <f>FCS!AM515</f>
        <v>103.18675172521101</v>
      </c>
      <c r="F515">
        <f t="shared" ca="1" si="25"/>
        <v>0</v>
      </c>
      <c r="G515">
        <f t="shared" ca="1" si="26"/>
        <v>0</v>
      </c>
      <c r="H515" t="str">
        <f>FCS!AO515</f>
        <v>Ok</v>
      </c>
    </row>
    <row r="516" spans="2:8" x14ac:dyDescent="0.25">
      <c r="B516" s="367">
        <f>FCS!G516</f>
        <v>46105</v>
      </c>
      <c r="C516">
        <f t="shared" ca="1" si="24"/>
        <v>0</v>
      </c>
      <c r="D516">
        <f>FCS!R516</f>
        <v>1.7301310043668123</v>
      </c>
      <c r="E516">
        <f>FCS!AM516</f>
        <v>102.4959125809723</v>
      </c>
      <c r="F516">
        <f t="shared" ca="1" si="25"/>
        <v>0</v>
      </c>
      <c r="G516">
        <f t="shared" ca="1" si="26"/>
        <v>0</v>
      </c>
      <c r="H516" t="str">
        <f>FCS!AO516</f>
        <v>Ok</v>
      </c>
    </row>
    <row r="517" spans="2:8" x14ac:dyDescent="0.25">
      <c r="B517" s="367">
        <f>FCS!G517</f>
        <v>46105</v>
      </c>
      <c r="C517">
        <f t="shared" ca="1" si="24"/>
        <v>0</v>
      </c>
      <c r="D517">
        <f>FCS!R517</f>
        <v>1.7355008787346224</v>
      </c>
      <c r="E517">
        <f>FCS!AM517</f>
        <v>102.81403310039232</v>
      </c>
      <c r="F517">
        <f t="shared" ca="1" si="25"/>
        <v>0</v>
      </c>
      <c r="G517">
        <f t="shared" ca="1" si="26"/>
        <v>0</v>
      </c>
      <c r="H517" t="str">
        <f>FCS!AO517</f>
        <v>Ok</v>
      </c>
    </row>
    <row r="518" spans="2:8" x14ac:dyDescent="0.25">
      <c r="B518" s="367">
        <f>FCS!G518</f>
        <v>46105</v>
      </c>
      <c r="C518">
        <f t="shared" ca="1" si="24"/>
        <v>0</v>
      </c>
      <c r="D518">
        <f>FCS!R518</f>
        <v>1.717699115044248</v>
      </c>
      <c r="E518">
        <f>FCS!AM518</f>
        <v>101.75942624669716</v>
      </c>
      <c r="F518">
        <f t="shared" ca="1" si="25"/>
        <v>0</v>
      </c>
      <c r="G518">
        <f t="shared" ca="1" si="26"/>
        <v>0</v>
      </c>
      <c r="H518" t="str">
        <f>FCS!AO518</f>
        <v>Ok</v>
      </c>
    </row>
    <row r="519" spans="2:8" x14ac:dyDescent="0.25">
      <c r="B519" s="367">
        <f>FCS!G519</f>
        <v>46105</v>
      </c>
      <c r="C519">
        <f t="shared" ca="1" si="24"/>
        <v>0</v>
      </c>
      <c r="D519">
        <f>FCS!R519</f>
        <v>1.755595344673232</v>
      </c>
      <c r="E519">
        <f>FCS!AM519</f>
        <v>102.8468274559597</v>
      </c>
      <c r="F519">
        <f t="shared" ca="1" si="25"/>
        <v>0</v>
      </c>
      <c r="G519">
        <f t="shared" ca="1" si="26"/>
        <v>0</v>
      </c>
      <c r="H519" t="str">
        <f>FCS!AO519</f>
        <v>Ok</v>
      </c>
    </row>
    <row r="520" spans="2:8" x14ac:dyDescent="0.25">
      <c r="B520" s="367">
        <f>FCS!G520</f>
        <v>46105</v>
      </c>
      <c r="C520">
        <f t="shared" ca="1" si="24"/>
        <v>0</v>
      </c>
      <c r="D520">
        <f>FCS!R520</f>
        <v>1.8055555555555556</v>
      </c>
      <c r="E520">
        <f>FCS!AM520</f>
        <v>104.3197905073223</v>
      </c>
      <c r="F520">
        <f t="shared" ca="1" si="25"/>
        <v>0</v>
      </c>
      <c r="G520">
        <f t="shared" ca="1" si="26"/>
        <v>0</v>
      </c>
      <c r="H520" t="str">
        <f>FCS!AO520</f>
        <v>Ok</v>
      </c>
    </row>
    <row r="521" spans="2:8" x14ac:dyDescent="0.25">
      <c r="B521" s="367">
        <f>FCS!G521</f>
        <v>46105</v>
      </c>
      <c r="C521">
        <f t="shared" ca="1" si="24"/>
        <v>0</v>
      </c>
      <c r="D521">
        <f>FCS!R521</f>
        <v>1.7645821507493877</v>
      </c>
      <c r="E521">
        <f>FCS!AM521</f>
        <v>101.95246539644474</v>
      </c>
      <c r="F521">
        <f t="shared" ca="1" si="25"/>
        <v>0</v>
      </c>
      <c r="G521">
        <f t="shared" ca="1" si="26"/>
        <v>0</v>
      </c>
      <c r="H521" t="str">
        <f>FCS!AO521</f>
        <v>OK</v>
      </c>
    </row>
    <row r="522" spans="2:8" x14ac:dyDescent="0.25">
      <c r="B522" s="367">
        <f>FCS!G522</f>
        <v>46105</v>
      </c>
      <c r="C522">
        <f t="shared" ca="1" si="24"/>
        <v>0</v>
      </c>
      <c r="D522">
        <f>FCS!R522</f>
        <v>1.7697841726618704</v>
      </c>
      <c r="E522">
        <f>FCS!AM522</f>
        <v>104.84503392546627</v>
      </c>
      <c r="F522">
        <f t="shared" ca="1" si="25"/>
        <v>0</v>
      </c>
      <c r="G522">
        <f t="shared" ca="1" si="26"/>
        <v>0</v>
      </c>
      <c r="H522" t="str">
        <f>FCS!AO522</f>
        <v>Ok</v>
      </c>
    </row>
    <row r="523" spans="2:8" x14ac:dyDescent="0.25">
      <c r="B523" s="367">
        <f>FCS!G523</f>
        <v>46105</v>
      </c>
      <c r="C523">
        <f t="shared" ca="1" si="24"/>
        <v>0</v>
      </c>
      <c r="D523">
        <f>FCS!R523</f>
        <v>1.7691614066726782</v>
      </c>
      <c r="E523">
        <f>FCS!AM523</f>
        <v>104.80814020572737</v>
      </c>
      <c r="F523">
        <f t="shared" ca="1" si="25"/>
        <v>0</v>
      </c>
      <c r="G523">
        <f t="shared" ca="1" si="26"/>
        <v>0</v>
      </c>
      <c r="H523" t="str">
        <f>FCS!AO523</f>
        <v>Ok</v>
      </c>
    </row>
    <row r="524" spans="2:8" x14ac:dyDescent="0.25">
      <c r="B524" s="367">
        <f>FCS!G524</f>
        <v>46105</v>
      </c>
      <c r="C524">
        <f t="shared" ca="1" si="24"/>
        <v>0</v>
      </c>
      <c r="D524">
        <f>FCS!R524</f>
        <v>1.7253839205058716</v>
      </c>
      <c r="E524">
        <f>FCS!AM524</f>
        <v>102.21468723376017</v>
      </c>
      <c r="F524">
        <f t="shared" ca="1" si="25"/>
        <v>0</v>
      </c>
      <c r="G524">
        <f t="shared" ca="1" si="26"/>
        <v>0</v>
      </c>
      <c r="H524" t="str">
        <f>FCS!AO524</f>
        <v>Ok</v>
      </c>
    </row>
    <row r="525" spans="2:8" x14ac:dyDescent="0.25">
      <c r="B525" s="367">
        <f>FCS!G525</f>
        <v>46105</v>
      </c>
      <c r="C525">
        <f t="shared" ca="1" si="24"/>
        <v>0</v>
      </c>
      <c r="D525">
        <f>FCS!R525</f>
        <v>1.7587131367292226</v>
      </c>
      <c r="E525">
        <f>FCS!AM525</f>
        <v>104.18916686784495</v>
      </c>
      <c r="F525">
        <f t="shared" ca="1" si="25"/>
        <v>0</v>
      </c>
      <c r="G525">
        <f t="shared" ca="1" si="26"/>
        <v>0</v>
      </c>
      <c r="H525" t="str">
        <f>FCS!AO525</f>
        <v>Ok</v>
      </c>
    </row>
    <row r="526" spans="2:8" x14ac:dyDescent="0.25">
      <c r="B526" s="367">
        <f>FCS!G526</f>
        <v>46105</v>
      </c>
      <c r="C526">
        <f t="shared" ca="1" si="24"/>
        <v>0</v>
      </c>
      <c r="D526">
        <f>FCS!R526</f>
        <v>1.6837837837837837</v>
      </c>
      <c r="E526">
        <f>FCS!AM526</f>
        <v>99.750224157807082</v>
      </c>
      <c r="F526">
        <f t="shared" ca="1" si="25"/>
        <v>0</v>
      </c>
      <c r="G526">
        <f t="shared" ca="1" si="26"/>
        <v>0</v>
      </c>
      <c r="H526" t="str">
        <f>FCS!AO526</f>
        <v>Ok</v>
      </c>
    </row>
    <row r="527" spans="2:8" x14ac:dyDescent="0.25">
      <c r="B527" s="367">
        <f>FCS!G527</f>
        <v>46105</v>
      </c>
      <c r="C527">
        <f t="shared" ca="1" si="24"/>
        <v>0</v>
      </c>
      <c r="D527">
        <f>FCS!R527</f>
        <v>1.7504504504504503</v>
      </c>
      <c r="E527">
        <f>FCS!AM527</f>
        <v>103.69967123521626</v>
      </c>
      <c r="F527">
        <f t="shared" ca="1" si="25"/>
        <v>0</v>
      </c>
      <c r="G527">
        <f t="shared" ca="1" si="26"/>
        <v>0</v>
      </c>
      <c r="H527" t="str">
        <f>FCS!AO527</f>
        <v>Ok</v>
      </c>
    </row>
    <row r="528" spans="2:8" x14ac:dyDescent="0.25">
      <c r="B528" s="367">
        <f>FCS!G528</f>
        <v>46105</v>
      </c>
      <c r="C528">
        <f t="shared" ca="1" si="24"/>
        <v>0</v>
      </c>
      <c r="D528">
        <f>FCS!R528</f>
        <v>1.7333333333333334</v>
      </c>
      <c r="E528">
        <f>FCS!AM528</f>
        <v>102.68562401263823</v>
      </c>
      <c r="F528">
        <f t="shared" ca="1" si="25"/>
        <v>0</v>
      </c>
      <c r="G528">
        <f t="shared" ca="1" si="26"/>
        <v>0</v>
      </c>
      <c r="H528" t="str">
        <f>FCS!AO528</f>
        <v>Ok</v>
      </c>
    </row>
    <row r="529" spans="2:8" x14ac:dyDescent="0.25">
      <c r="B529" s="367">
        <f>FCS!G529</f>
        <v>46105</v>
      </c>
      <c r="C529">
        <f t="shared" ca="1" si="24"/>
        <v>0</v>
      </c>
      <c r="D529">
        <f>FCS!R529</f>
        <v>1.683274021352313</v>
      </c>
      <c r="E529">
        <f>FCS!AM529</f>
        <v>99.720024961629917</v>
      </c>
      <c r="F529">
        <f t="shared" ca="1" si="25"/>
        <v>0</v>
      </c>
      <c r="G529">
        <f t="shared" ca="1" si="26"/>
        <v>0</v>
      </c>
      <c r="H529" t="str">
        <f>FCS!AO529</f>
        <v>Ok</v>
      </c>
    </row>
    <row r="530" spans="2:8" x14ac:dyDescent="0.25">
      <c r="B530" s="367">
        <f>FCS!G530</f>
        <v>46105</v>
      </c>
      <c r="C530">
        <f t="shared" ca="1" si="24"/>
        <v>0</v>
      </c>
      <c r="D530">
        <f>FCS!R530</f>
        <v>1.7360219981668195</v>
      </c>
      <c r="E530">
        <f>FCS!AM530</f>
        <v>102.84490510466939</v>
      </c>
      <c r="F530">
        <f t="shared" ca="1" si="25"/>
        <v>0</v>
      </c>
      <c r="G530">
        <f t="shared" ca="1" si="26"/>
        <v>0</v>
      </c>
      <c r="H530" t="str">
        <f>FCS!AO530</f>
        <v>Ok</v>
      </c>
    </row>
    <row r="531" spans="2:8" x14ac:dyDescent="0.25">
      <c r="B531" s="367">
        <f>FCS!G531</f>
        <v>46105</v>
      </c>
      <c r="C531">
        <f t="shared" ref="C531:C594" ca="1" si="27">IF(AND(B531&gt;$C$5,B531&lt;$D$4,H531="OK"),1,0)</f>
        <v>0</v>
      </c>
      <c r="D531">
        <f>FCS!R531</f>
        <v>1.7573333333333334</v>
      </c>
      <c r="E531">
        <f>FCS!AM531</f>
        <v>102.40870240870241</v>
      </c>
      <c r="F531">
        <f t="shared" ref="F531:F594" ca="1" si="28">IFERROR(D531*C531,0)</f>
        <v>0</v>
      </c>
      <c r="G531">
        <f t="shared" ref="G531:G594" ca="1" si="29">IFERROR(E531*C531,0)</f>
        <v>0</v>
      </c>
      <c r="H531" t="str">
        <f>FCS!AO531</f>
        <v>Ok</v>
      </c>
    </row>
    <row r="532" spans="2:8" x14ac:dyDescent="0.25">
      <c r="B532" s="367">
        <f>FCS!G532</f>
        <v>46105</v>
      </c>
      <c r="C532">
        <f t="shared" ca="1" si="27"/>
        <v>0</v>
      </c>
      <c r="D532">
        <f>FCS!R532</f>
        <v>1.7372148446793649</v>
      </c>
      <c r="E532">
        <f>FCS!AM532</f>
        <v>101.2362963099863</v>
      </c>
      <c r="F532">
        <f t="shared" ca="1" si="28"/>
        <v>0</v>
      </c>
      <c r="G532">
        <f t="shared" ca="1" si="29"/>
        <v>0</v>
      </c>
      <c r="H532" t="str">
        <f>FCS!AO532</f>
        <v>OK</v>
      </c>
    </row>
    <row r="533" spans="2:8" x14ac:dyDescent="0.25">
      <c r="B533" s="367">
        <f>FCS!G533</f>
        <v>46105</v>
      </c>
      <c r="C533">
        <f t="shared" ca="1" si="27"/>
        <v>0</v>
      </c>
      <c r="D533">
        <f>FCS!R533</f>
        <v>1.7119416590701915</v>
      </c>
      <c r="E533">
        <f>FCS!AM533</f>
        <v>101.41834473164641</v>
      </c>
      <c r="F533">
        <f t="shared" ca="1" si="28"/>
        <v>0</v>
      </c>
      <c r="G533">
        <f t="shared" ca="1" si="29"/>
        <v>0</v>
      </c>
      <c r="H533" t="str">
        <f>FCS!AO533</f>
        <v>Ok</v>
      </c>
    </row>
    <row r="534" spans="2:8" x14ac:dyDescent="0.25">
      <c r="B534" s="367">
        <f>FCS!G534</f>
        <v>46105</v>
      </c>
      <c r="C534">
        <f t="shared" ca="1" si="27"/>
        <v>0</v>
      </c>
      <c r="D534">
        <f>FCS!R534</f>
        <v>1.6921005385996408</v>
      </c>
      <c r="E534">
        <f>FCS!AM534</f>
        <v>100.24292290282233</v>
      </c>
      <c r="F534">
        <f t="shared" ca="1" si="28"/>
        <v>0</v>
      </c>
      <c r="G534">
        <f t="shared" ca="1" si="29"/>
        <v>0</v>
      </c>
      <c r="H534" t="str">
        <f>FCS!AO534</f>
        <v>Ok</v>
      </c>
    </row>
    <row r="535" spans="2:8" x14ac:dyDescent="0.25">
      <c r="B535" s="367">
        <f>FCS!G535</f>
        <v>46105</v>
      </c>
      <c r="C535">
        <f t="shared" ca="1" si="27"/>
        <v>0</v>
      </c>
      <c r="D535">
        <f>FCS!R535</f>
        <v>1.7263544536271809</v>
      </c>
      <c r="E535">
        <f>FCS!AM535</f>
        <v>101.49056164768847</v>
      </c>
      <c r="F535">
        <f t="shared" ca="1" si="28"/>
        <v>0</v>
      </c>
      <c r="G535">
        <f t="shared" ca="1" si="29"/>
        <v>0</v>
      </c>
      <c r="H535" t="str">
        <f>FCS!AO535</f>
        <v>Ok</v>
      </c>
    </row>
    <row r="536" spans="2:8" x14ac:dyDescent="0.25">
      <c r="B536" s="367">
        <f>FCS!G536</f>
        <v>46105</v>
      </c>
      <c r="C536">
        <f t="shared" ca="1" si="27"/>
        <v>0</v>
      </c>
      <c r="D536">
        <f>FCS!R536</f>
        <v>1.73731884057971</v>
      </c>
      <c r="E536">
        <f>FCS!AM536</f>
        <v>102.13514641856025</v>
      </c>
      <c r="F536">
        <f t="shared" ca="1" si="28"/>
        <v>0</v>
      </c>
      <c r="G536">
        <f t="shared" ca="1" si="29"/>
        <v>0</v>
      </c>
      <c r="H536" t="str">
        <f>FCS!AO536</f>
        <v>Ok</v>
      </c>
    </row>
    <row r="537" spans="2:8" x14ac:dyDescent="0.25">
      <c r="B537" s="367">
        <f>FCS!G537</f>
        <v>46105</v>
      </c>
      <c r="C537">
        <f t="shared" ca="1" si="27"/>
        <v>0</v>
      </c>
      <c r="D537">
        <f>FCS!R537</f>
        <v>1.7713498622589532</v>
      </c>
      <c r="E537">
        <f>FCS!AM537</f>
        <v>104.13579437148461</v>
      </c>
      <c r="F537">
        <f t="shared" ca="1" si="28"/>
        <v>0</v>
      </c>
      <c r="G537">
        <f t="shared" ca="1" si="29"/>
        <v>0</v>
      </c>
      <c r="H537" t="str">
        <f>FCS!AO537</f>
        <v>Ok</v>
      </c>
    </row>
    <row r="538" spans="2:8" x14ac:dyDescent="0.25">
      <c r="B538" s="367">
        <f>FCS!G538</f>
        <v>46105</v>
      </c>
      <c r="C538">
        <f t="shared" ca="1" si="27"/>
        <v>0</v>
      </c>
      <c r="D538">
        <f>FCS!R538</f>
        <v>1.6761992619926198</v>
      </c>
      <c r="E538">
        <f>FCS!AM538</f>
        <v>99.30090414648221</v>
      </c>
      <c r="F538">
        <f t="shared" ca="1" si="28"/>
        <v>0</v>
      </c>
      <c r="G538">
        <f t="shared" ca="1" si="29"/>
        <v>0</v>
      </c>
      <c r="H538" t="str">
        <f>FCS!AO538</f>
        <v>Ok</v>
      </c>
    </row>
    <row r="539" spans="2:8" x14ac:dyDescent="0.25">
      <c r="B539" s="367">
        <f>FCS!G539</f>
        <v>46106</v>
      </c>
      <c r="C539">
        <f t="shared" ca="1" si="27"/>
        <v>0</v>
      </c>
      <c r="D539">
        <f>FCS!R539</f>
        <v>1.706209453197405</v>
      </c>
      <c r="E539">
        <f>FCS!AM539</f>
        <v>100.2473239246419</v>
      </c>
      <c r="F539">
        <f t="shared" ca="1" si="28"/>
        <v>0</v>
      </c>
      <c r="G539">
        <f t="shared" ca="1" si="29"/>
        <v>0</v>
      </c>
      <c r="H539" t="str">
        <f>FCS!AO539</f>
        <v>Ok</v>
      </c>
    </row>
    <row r="540" spans="2:8" x14ac:dyDescent="0.25">
      <c r="B540" s="367">
        <f>FCS!G540</f>
        <v>46106</v>
      </c>
      <c r="C540">
        <f t="shared" ca="1" si="27"/>
        <v>0</v>
      </c>
      <c r="D540">
        <f>FCS!R540</f>
        <v>1.7639925373134326</v>
      </c>
      <c r="E540">
        <f>FCS!AM540</f>
        <v>104.50192756596167</v>
      </c>
      <c r="F540">
        <f t="shared" ca="1" si="28"/>
        <v>0</v>
      </c>
      <c r="G540">
        <f t="shared" ca="1" si="29"/>
        <v>0</v>
      </c>
      <c r="H540" t="str">
        <f>FCS!AO540</f>
        <v>Ok</v>
      </c>
    </row>
    <row r="541" spans="2:8" x14ac:dyDescent="0.25">
      <c r="B541" s="367">
        <f>FCS!G541</f>
        <v>46106</v>
      </c>
      <c r="C541">
        <f t="shared" ca="1" si="27"/>
        <v>0</v>
      </c>
      <c r="D541">
        <f>FCS!R541</f>
        <v>1.7633726201269266</v>
      </c>
      <c r="E541">
        <f>FCS!AM541</f>
        <v>104.46520261415442</v>
      </c>
      <c r="F541">
        <f t="shared" ca="1" si="28"/>
        <v>0</v>
      </c>
      <c r="G541">
        <f t="shared" ca="1" si="29"/>
        <v>0</v>
      </c>
      <c r="H541" t="str">
        <f>FCS!AO541</f>
        <v>Ok</v>
      </c>
    </row>
    <row r="542" spans="2:8" x14ac:dyDescent="0.25">
      <c r="B542" s="367">
        <f>FCS!G542</f>
        <v>46106</v>
      </c>
      <c r="C542">
        <f t="shared" ca="1" si="27"/>
        <v>0</v>
      </c>
      <c r="D542">
        <f>FCS!R542</f>
        <v>1.733092876465284</v>
      </c>
      <c r="E542">
        <f>FCS!AM542</f>
        <v>101.87177200938775</v>
      </c>
      <c r="F542">
        <f t="shared" ca="1" si="28"/>
        <v>0</v>
      </c>
      <c r="G542">
        <f t="shared" ca="1" si="29"/>
        <v>0</v>
      </c>
      <c r="H542" t="str">
        <f>FCS!AO542</f>
        <v>Ok</v>
      </c>
    </row>
    <row r="543" spans="2:8" x14ac:dyDescent="0.25">
      <c r="B543" s="367">
        <f>FCS!G543</f>
        <v>46106</v>
      </c>
      <c r="C543">
        <f t="shared" ca="1" si="27"/>
        <v>0</v>
      </c>
      <c r="D543">
        <f>FCS!R543</f>
        <v>1.7494332797682879</v>
      </c>
      <c r="E543">
        <f>FCS!AM543</f>
        <v>102.8322663155095</v>
      </c>
      <c r="F543">
        <f t="shared" ca="1" si="28"/>
        <v>0</v>
      </c>
      <c r="G543">
        <f t="shared" ca="1" si="29"/>
        <v>0</v>
      </c>
      <c r="H543" t="str">
        <f>FCS!AO543</f>
        <v>OK</v>
      </c>
    </row>
    <row r="544" spans="2:8" x14ac:dyDescent="0.25">
      <c r="B544" s="367">
        <f>FCS!G544</f>
        <v>46106</v>
      </c>
      <c r="C544">
        <f t="shared" ca="1" si="27"/>
        <v>0</v>
      </c>
      <c r="D544">
        <f>FCS!R544</f>
        <v>1.7562557924003708</v>
      </c>
      <c r="E544">
        <f>FCS!AM544</f>
        <v>104.04358959717837</v>
      </c>
      <c r="F544">
        <f t="shared" ca="1" si="28"/>
        <v>0</v>
      </c>
      <c r="G544">
        <f t="shared" ca="1" si="29"/>
        <v>0</v>
      </c>
      <c r="H544" t="str">
        <f>FCS!AO544</f>
        <v>Ok</v>
      </c>
    </row>
    <row r="545" spans="2:8" x14ac:dyDescent="0.25">
      <c r="B545" s="367">
        <f>FCS!G545</f>
        <v>46106</v>
      </c>
      <c r="C545">
        <f t="shared" ca="1" si="27"/>
        <v>0</v>
      </c>
      <c r="D545">
        <f>FCS!R545</f>
        <v>1.7439353099730459</v>
      </c>
      <c r="E545">
        <f>FCS!AM545</f>
        <v>103.31370319745533</v>
      </c>
      <c r="F545">
        <f t="shared" ca="1" si="28"/>
        <v>0</v>
      </c>
      <c r="G545">
        <f t="shared" ca="1" si="29"/>
        <v>0</v>
      </c>
      <c r="H545" t="str">
        <f>FCS!AO545</f>
        <v>Ok</v>
      </c>
    </row>
    <row r="546" spans="2:8" x14ac:dyDescent="0.25">
      <c r="B546" s="367">
        <f>FCS!G546</f>
        <v>46106</v>
      </c>
      <c r="C546">
        <f t="shared" ca="1" si="27"/>
        <v>0</v>
      </c>
      <c r="D546">
        <f>FCS!R546</f>
        <v>1.7428571428571427</v>
      </c>
      <c r="E546">
        <f>FCS!AM546</f>
        <v>103.24983073798239</v>
      </c>
      <c r="F546">
        <f t="shared" ca="1" si="28"/>
        <v>0</v>
      </c>
      <c r="G546">
        <f t="shared" ca="1" si="29"/>
        <v>0</v>
      </c>
      <c r="H546" t="str">
        <f>FCS!AO546</f>
        <v>Ok</v>
      </c>
    </row>
    <row r="547" spans="2:8" x14ac:dyDescent="0.25">
      <c r="B547" s="367">
        <f>FCS!G547</f>
        <v>46106</v>
      </c>
      <c r="C547">
        <f t="shared" ca="1" si="27"/>
        <v>0</v>
      </c>
      <c r="D547">
        <f>FCS!R547</f>
        <v>1.7477148080438756</v>
      </c>
      <c r="E547">
        <f>FCS!AM547</f>
        <v>103.537607111604</v>
      </c>
      <c r="F547">
        <f t="shared" ca="1" si="28"/>
        <v>0</v>
      </c>
      <c r="G547">
        <f t="shared" ca="1" si="29"/>
        <v>0</v>
      </c>
      <c r="H547" t="str">
        <f>FCS!AO547</f>
        <v>Ok</v>
      </c>
    </row>
    <row r="548" spans="2:8" x14ac:dyDescent="0.25">
      <c r="B548" s="367">
        <f>FCS!G548</f>
        <v>46106</v>
      </c>
      <c r="C548">
        <f t="shared" ca="1" si="27"/>
        <v>0</v>
      </c>
      <c r="D548">
        <f>FCS!R548</f>
        <v>1.7400555041628123</v>
      </c>
      <c r="E548">
        <f>FCS!AM548</f>
        <v>103.0838568816832</v>
      </c>
      <c r="F548">
        <f t="shared" ca="1" si="28"/>
        <v>0</v>
      </c>
      <c r="G548">
        <f t="shared" ca="1" si="29"/>
        <v>0</v>
      </c>
      <c r="H548" t="str">
        <f>FCS!AO548</f>
        <v>Ok</v>
      </c>
    </row>
    <row r="549" spans="2:8" x14ac:dyDescent="0.25">
      <c r="B549" s="367">
        <f>FCS!G549</f>
        <v>46106</v>
      </c>
      <c r="C549">
        <f t="shared" ca="1" si="27"/>
        <v>0</v>
      </c>
      <c r="D549">
        <f>FCS!R549</f>
        <v>1.7684407096171801</v>
      </c>
      <c r="E549">
        <f>FCS!AM549</f>
        <v>104.76544488253437</v>
      </c>
      <c r="F549">
        <f t="shared" ca="1" si="28"/>
        <v>0</v>
      </c>
      <c r="G549">
        <f t="shared" ca="1" si="29"/>
        <v>0</v>
      </c>
      <c r="H549" t="str">
        <f>FCS!AO549</f>
        <v>Ok</v>
      </c>
    </row>
    <row r="550" spans="2:8" x14ac:dyDescent="0.25">
      <c r="B550" s="367">
        <f>FCS!G550</f>
        <v>46106</v>
      </c>
      <c r="C550">
        <f t="shared" ca="1" si="27"/>
        <v>0</v>
      </c>
      <c r="D550">
        <f>FCS!R550</f>
        <v>1.7325066430469442</v>
      </c>
      <c r="E550">
        <f>FCS!AM550</f>
        <v>103.4332324207131</v>
      </c>
      <c r="F550">
        <f t="shared" ca="1" si="28"/>
        <v>0</v>
      </c>
      <c r="G550">
        <f t="shared" ca="1" si="29"/>
        <v>0</v>
      </c>
      <c r="H550" t="str">
        <f>FCS!AO550</f>
        <v>Ok</v>
      </c>
    </row>
    <row r="551" spans="2:8" x14ac:dyDescent="0.25">
      <c r="B551" s="367">
        <f>FCS!G551</f>
        <v>46106</v>
      </c>
      <c r="C551">
        <f t="shared" ca="1" si="27"/>
        <v>0</v>
      </c>
      <c r="D551">
        <f>FCS!R551</f>
        <v>1.7021660649819492</v>
      </c>
      <c r="E551">
        <f>FCS!AM551</f>
        <v>101.62185462578802</v>
      </c>
      <c r="F551">
        <f t="shared" ca="1" si="28"/>
        <v>0</v>
      </c>
      <c r="G551">
        <f t="shared" ca="1" si="29"/>
        <v>0</v>
      </c>
      <c r="H551" t="str">
        <f>FCS!AO551</f>
        <v>Ok</v>
      </c>
    </row>
    <row r="552" spans="2:8" x14ac:dyDescent="0.25">
      <c r="B552" s="367">
        <f>FCS!G552</f>
        <v>46106</v>
      </c>
      <c r="C552">
        <f t="shared" ca="1" si="27"/>
        <v>0</v>
      </c>
      <c r="D552">
        <f>FCS!R552</f>
        <v>1.690712353471596</v>
      </c>
      <c r="E552">
        <f>FCS!AM552</f>
        <v>100.93805095352812</v>
      </c>
      <c r="F552">
        <f t="shared" ca="1" si="28"/>
        <v>0</v>
      </c>
      <c r="G552">
        <f t="shared" ca="1" si="29"/>
        <v>0</v>
      </c>
      <c r="H552" t="str">
        <f>FCS!AO552</f>
        <v>Ok</v>
      </c>
    </row>
    <row r="553" spans="2:8" x14ac:dyDescent="0.25">
      <c r="B553" s="367">
        <f>FCS!G553</f>
        <v>46106</v>
      </c>
      <c r="C553">
        <f t="shared" ca="1" si="27"/>
        <v>0</v>
      </c>
      <c r="D553">
        <f>FCS!R553</f>
        <v>1.7192825112107624</v>
      </c>
      <c r="E553">
        <f>FCS!AM553</f>
        <v>101.13426536533896</v>
      </c>
      <c r="F553">
        <f t="shared" ca="1" si="28"/>
        <v>0</v>
      </c>
      <c r="G553">
        <f t="shared" ca="1" si="29"/>
        <v>0</v>
      </c>
      <c r="H553" t="str">
        <f>FCS!AO553</f>
        <v>Ok</v>
      </c>
    </row>
    <row r="554" spans="2:8" x14ac:dyDescent="0.25">
      <c r="B554" s="367">
        <f>FCS!G554</f>
        <v>46106</v>
      </c>
      <c r="C554">
        <f t="shared" ca="1" si="27"/>
        <v>0</v>
      </c>
      <c r="D554">
        <f>FCS!R554</f>
        <v>1.6853638397255783</v>
      </c>
      <c r="E554">
        <f>FCS!AM554</f>
        <v>99.139049395622266</v>
      </c>
      <c r="F554">
        <f t="shared" ca="1" si="28"/>
        <v>0</v>
      </c>
      <c r="G554">
        <f t="shared" ca="1" si="29"/>
        <v>0</v>
      </c>
      <c r="H554" t="str">
        <f>FCS!AO554</f>
        <v>OK</v>
      </c>
    </row>
    <row r="555" spans="2:8" x14ac:dyDescent="0.25">
      <c r="B555" s="367">
        <f>FCS!G555</f>
        <v>46106</v>
      </c>
      <c r="C555">
        <f t="shared" ca="1" si="27"/>
        <v>0</v>
      </c>
      <c r="D555">
        <f>FCS!R555</f>
        <v>1.7038358608385369</v>
      </c>
      <c r="E555">
        <f>FCS!AM555</f>
        <v>101.72154393065891</v>
      </c>
      <c r="F555">
        <f t="shared" ca="1" si="28"/>
        <v>0</v>
      </c>
      <c r="G555">
        <f t="shared" ca="1" si="29"/>
        <v>0</v>
      </c>
      <c r="H555" t="str">
        <f>FCS!AO555</f>
        <v>Ok</v>
      </c>
    </row>
    <row r="556" spans="2:8" x14ac:dyDescent="0.25">
      <c r="B556" s="367">
        <f>FCS!G556</f>
        <v>46106</v>
      </c>
      <c r="C556">
        <f t="shared" ca="1" si="27"/>
        <v>0</v>
      </c>
      <c r="D556">
        <f>FCS!R556</f>
        <v>1.7153153153153151</v>
      </c>
      <c r="E556">
        <f>FCS!AM556</f>
        <v>102.40688449643672</v>
      </c>
      <c r="F556">
        <f t="shared" ca="1" si="28"/>
        <v>0</v>
      </c>
      <c r="G556">
        <f t="shared" ca="1" si="29"/>
        <v>0</v>
      </c>
      <c r="H556" t="str">
        <f>FCS!AO556</f>
        <v>Ok</v>
      </c>
    </row>
    <row r="557" spans="2:8" x14ac:dyDescent="0.25">
      <c r="B557" s="367">
        <f>FCS!G557</f>
        <v>46106</v>
      </c>
      <c r="C557">
        <f t="shared" ca="1" si="27"/>
        <v>0</v>
      </c>
      <c r="D557">
        <f>FCS!R557</f>
        <v>1.7453744493392072</v>
      </c>
      <c r="E557">
        <f>FCS!AM557</f>
        <v>104.20145966204221</v>
      </c>
      <c r="F557">
        <f t="shared" ca="1" si="28"/>
        <v>0</v>
      </c>
      <c r="G557">
        <f t="shared" ca="1" si="29"/>
        <v>0</v>
      </c>
      <c r="H557" t="str">
        <f>FCS!AO557</f>
        <v>Ok</v>
      </c>
    </row>
    <row r="558" spans="2:8" x14ac:dyDescent="0.25">
      <c r="B558" s="367">
        <f>FCS!G558</f>
        <v>46106</v>
      </c>
      <c r="C558">
        <f t="shared" ca="1" si="27"/>
        <v>0</v>
      </c>
      <c r="D558">
        <f>FCS!R558</f>
        <v>1.7544642857142856</v>
      </c>
      <c r="E558">
        <f>FCS!AM558</f>
        <v>104.74413646055436</v>
      </c>
      <c r="F558">
        <f t="shared" ca="1" si="28"/>
        <v>0</v>
      </c>
      <c r="G558">
        <f t="shared" ca="1" si="29"/>
        <v>0</v>
      </c>
      <c r="H558" t="str">
        <f>FCS!AO558</f>
        <v>Ok</v>
      </c>
    </row>
    <row r="559" spans="2:8" x14ac:dyDescent="0.25">
      <c r="B559" s="367">
        <f>FCS!G559</f>
        <v>46107</v>
      </c>
      <c r="C559">
        <f t="shared" ca="1" si="27"/>
        <v>0</v>
      </c>
      <c r="D559">
        <f>FCS!R559</f>
        <v>1.7165137614678898</v>
      </c>
      <c r="E559">
        <f>FCS!AM559</f>
        <v>102.47843352047103</v>
      </c>
      <c r="F559">
        <f t="shared" ca="1" si="28"/>
        <v>0</v>
      </c>
      <c r="G559">
        <f t="shared" ca="1" si="29"/>
        <v>0</v>
      </c>
      <c r="H559" t="str">
        <f>FCS!AO559</f>
        <v>Ok</v>
      </c>
    </row>
    <row r="560" spans="2:8" x14ac:dyDescent="0.25">
      <c r="B560" s="367">
        <f>FCS!G560</f>
        <v>46107</v>
      </c>
      <c r="C560">
        <f t="shared" ca="1" si="27"/>
        <v>0</v>
      </c>
      <c r="D560">
        <f>FCS!R560</f>
        <v>1.7146714671467147</v>
      </c>
      <c r="E560">
        <f>FCS!AM560</f>
        <v>102.36844579980387</v>
      </c>
      <c r="F560">
        <f t="shared" ca="1" si="28"/>
        <v>0</v>
      </c>
      <c r="G560">
        <f t="shared" ca="1" si="29"/>
        <v>0</v>
      </c>
      <c r="H560" t="str">
        <f>FCS!AO560</f>
        <v>Ok</v>
      </c>
    </row>
    <row r="561" spans="2:8" x14ac:dyDescent="0.25">
      <c r="B561" s="367">
        <f>FCS!G561</f>
        <v>46107</v>
      </c>
      <c r="C561">
        <f t="shared" ca="1" si="27"/>
        <v>0</v>
      </c>
      <c r="D561">
        <f>FCS!R561</f>
        <v>1.697926059513075</v>
      </c>
      <c r="E561">
        <f>FCS!AM561</f>
        <v>101.36871997092985</v>
      </c>
      <c r="F561">
        <f t="shared" ca="1" si="28"/>
        <v>0</v>
      </c>
      <c r="G561">
        <f t="shared" ca="1" si="29"/>
        <v>0</v>
      </c>
      <c r="H561" t="str">
        <f>FCS!AO561</f>
        <v>Ok</v>
      </c>
    </row>
    <row r="562" spans="2:8" x14ac:dyDescent="0.25">
      <c r="B562" s="367">
        <f>FCS!G562</f>
        <v>46107</v>
      </c>
      <c r="C562">
        <f t="shared" ca="1" si="27"/>
        <v>0</v>
      </c>
      <c r="D562">
        <f>FCS!R562</f>
        <v>1.7173913043478259</v>
      </c>
      <c r="E562">
        <f>FCS!AM562</f>
        <v>102.53082414016872</v>
      </c>
      <c r="F562">
        <f t="shared" ca="1" si="28"/>
        <v>0</v>
      </c>
      <c r="G562">
        <f t="shared" ca="1" si="29"/>
        <v>0</v>
      </c>
      <c r="H562" t="str">
        <f>FCS!AO562</f>
        <v>Ok</v>
      </c>
    </row>
    <row r="563" spans="2:8" x14ac:dyDescent="0.25">
      <c r="B563" s="367">
        <f>FCS!G563</f>
        <v>46107</v>
      </c>
      <c r="C563">
        <f t="shared" ca="1" si="27"/>
        <v>0</v>
      </c>
      <c r="D563">
        <f>FCS!R563</f>
        <v>1.7265342960288808</v>
      </c>
      <c r="E563">
        <f>FCS!AM563</f>
        <v>103.07667438978392</v>
      </c>
      <c r="F563">
        <f t="shared" ca="1" si="28"/>
        <v>0</v>
      </c>
      <c r="G563">
        <f t="shared" ca="1" si="29"/>
        <v>0</v>
      </c>
      <c r="H563" t="str">
        <f>FCS!AO563</f>
        <v>Ok</v>
      </c>
    </row>
    <row r="564" spans="2:8" x14ac:dyDescent="0.25">
      <c r="B564" s="367">
        <f>FCS!G564</f>
        <v>46107</v>
      </c>
      <c r="C564">
        <f t="shared" ca="1" si="27"/>
        <v>0</v>
      </c>
      <c r="D564">
        <f>FCS!R564</f>
        <v>1.6971894832275614</v>
      </c>
      <c r="E564">
        <f>FCS!AM564</f>
        <v>100.9630864501821</v>
      </c>
      <c r="F564">
        <f t="shared" ca="1" si="28"/>
        <v>0</v>
      </c>
      <c r="G564">
        <f t="shared" ca="1" si="29"/>
        <v>0</v>
      </c>
      <c r="H564" t="str">
        <f>FCS!AO564</f>
        <v>Ok</v>
      </c>
    </row>
    <row r="565" spans="2:8" x14ac:dyDescent="0.25">
      <c r="B565" s="367">
        <f>FCS!G565</f>
        <v>46107</v>
      </c>
      <c r="C565">
        <f t="shared" ca="1" si="27"/>
        <v>0</v>
      </c>
      <c r="D565">
        <f>FCS!R565</f>
        <v>1.6824371255035284</v>
      </c>
      <c r="E565">
        <f>FCS!AM565</f>
        <v>100.08549229646214</v>
      </c>
      <c r="F565">
        <f t="shared" ca="1" si="28"/>
        <v>0</v>
      </c>
      <c r="G565">
        <f t="shared" ca="1" si="29"/>
        <v>0</v>
      </c>
      <c r="H565" t="str">
        <f>FCS!AO565</f>
        <v>OK</v>
      </c>
    </row>
    <row r="566" spans="2:8" x14ac:dyDescent="0.25">
      <c r="B566" s="367">
        <f>FCS!G566</f>
        <v>46107</v>
      </c>
      <c r="C566">
        <f t="shared" ca="1" si="27"/>
        <v>0</v>
      </c>
      <c r="D566">
        <f>FCS!R566</f>
        <v>1.7499999999999998</v>
      </c>
      <c r="E566">
        <f>FCS!AM566</f>
        <v>104.4776119402985</v>
      </c>
      <c r="F566">
        <f t="shared" ca="1" si="28"/>
        <v>0</v>
      </c>
      <c r="G566">
        <f t="shared" ca="1" si="29"/>
        <v>0</v>
      </c>
      <c r="H566" t="str">
        <f>FCS!AO566</f>
        <v>Ok</v>
      </c>
    </row>
    <row r="567" spans="2:8" x14ac:dyDescent="0.25">
      <c r="B567" s="367">
        <f>FCS!G567</f>
        <v>46107</v>
      </c>
      <c r="C567">
        <f t="shared" ca="1" si="27"/>
        <v>0</v>
      </c>
      <c r="D567">
        <f>FCS!R567</f>
        <v>1.7414104882459311</v>
      </c>
      <c r="E567">
        <f>FCS!AM567</f>
        <v>103.96480526841381</v>
      </c>
      <c r="F567">
        <f t="shared" ca="1" si="28"/>
        <v>0</v>
      </c>
      <c r="G567">
        <f t="shared" ca="1" si="29"/>
        <v>0</v>
      </c>
      <c r="H567" t="str">
        <f>FCS!AO567</f>
        <v>Ok</v>
      </c>
    </row>
    <row r="568" spans="2:8" x14ac:dyDescent="0.25">
      <c r="B568" s="367">
        <f>FCS!G568</f>
        <v>46107</v>
      </c>
      <c r="C568">
        <f t="shared" ca="1" si="27"/>
        <v>0</v>
      </c>
      <c r="D568">
        <f>FCS!R568</f>
        <v>1.7266187050359709</v>
      </c>
      <c r="E568">
        <f>FCS!AM568</f>
        <v>103.0817137334908</v>
      </c>
      <c r="F568">
        <f t="shared" ca="1" si="28"/>
        <v>0</v>
      </c>
      <c r="G568">
        <f t="shared" ca="1" si="29"/>
        <v>0</v>
      </c>
      <c r="H568" t="str">
        <f>FCS!AO568</f>
        <v>Ok</v>
      </c>
    </row>
    <row r="569" spans="2:8" x14ac:dyDescent="0.25">
      <c r="B569" s="367">
        <f>FCS!G569</f>
        <v>46107</v>
      </c>
      <c r="C569">
        <f t="shared" ca="1" si="27"/>
        <v>0</v>
      </c>
      <c r="D569" t="str">
        <f>FCS!R569</f>
        <v>-</v>
      </c>
      <c r="E569" t="str">
        <f>FCS!AM569</f>
        <v>-</v>
      </c>
      <c r="F569">
        <f t="shared" ca="1" si="28"/>
        <v>0</v>
      </c>
      <c r="G569">
        <f t="shared" ca="1" si="29"/>
        <v>0</v>
      </c>
      <c r="H569" t="str">
        <f>FCS!AO569</f>
        <v>-</v>
      </c>
    </row>
    <row r="570" spans="2:8" x14ac:dyDescent="0.25">
      <c r="B570" s="367">
        <f>FCS!G570</f>
        <v>46107</v>
      </c>
      <c r="C570">
        <f t="shared" ca="1" si="27"/>
        <v>0</v>
      </c>
      <c r="D570">
        <f>FCS!R570</f>
        <v>1.7931034482758619</v>
      </c>
      <c r="E570">
        <f>FCS!AM570</f>
        <v>103.52791271800588</v>
      </c>
      <c r="F570">
        <f t="shared" ca="1" si="28"/>
        <v>0</v>
      </c>
      <c r="G570">
        <f t="shared" ca="1" si="29"/>
        <v>0</v>
      </c>
      <c r="H570" t="str">
        <f>FCS!AO570</f>
        <v>Ok</v>
      </c>
    </row>
    <row r="571" spans="2:8" x14ac:dyDescent="0.25">
      <c r="B571" s="367">
        <f>FCS!G571</f>
        <v>46107</v>
      </c>
      <c r="C571">
        <f t="shared" ca="1" si="27"/>
        <v>0</v>
      </c>
      <c r="D571">
        <f>FCS!R571</f>
        <v>1.8073059360730594</v>
      </c>
      <c r="E571">
        <f>FCS!AM571</f>
        <v>104.34791778712815</v>
      </c>
      <c r="F571">
        <f t="shared" ca="1" si="28"/>
        <v>0</v>
      </c>
      <c r="G571">
        <f t="shared" ca="1" si="29"/>
        <v>0</v>
      </c>
      <c r="H571" t="str">
        <f>FCS!AO571</f>
        <v>Ok</v>
      </c>
    </row>
    <row r="572" spans="2:8" x14ac:dyDescent="0.25">
      <c r="B572" s="367">
        <f>FCS!G572</f>
        <v>46107</v>
      </c>
      <c r="C572">
        <f t="shared" ca="1" si="27"/>
        <v>0</v>
      </c>
      <c r="D572">
        <f>FCS!R572</f>
        <v>1.7445652173913042</v>
      </c>
      <c r="E572">
        <f>FCS!AM572</f>
        <v>100.72547444522542</v>
      </c>
      <c r="F572">
        <f t="shared" ca="1" si="28"/>
        <v>0</v>
      </c>
      <c r="G572">
        <f t="shared" ca="1" si="29"/>
        <v>0</v>
      </c>
      <c r="H572" t="str">
        <f>FCS!AO572</f>
        <v>Ok</v>
      </c>
    </row>
    <row r="573" spans="2:8" x14ac:dyDescent="0.25">
      <c r="B573" s="367">
        <f>FCS!G573</f>
        <v>46107</v>
      </c>
      <c r="C573">
        <f t="shared" ca="1" si="27"/>
        <v>0</v>
      </c>
      <c r="D573">
        <f>FCS!R573</f>
        <v>1.807553956834532</v>
      </c>
      <c r="E573">
        <f>FCS!AM573</f>
        <v>104.36223769252496</v>
      </c>
      <c r="F573">
        <f t="shared" ca="1" si="28"/>
        <v>0</v>
      </c>
      <c r="G573">
        <f t="shared" ca="1" si="29"/>
        <v>0</v>
      </c>
      <c r="H573" t="str">
        <f>FCS!AO573</f>
        <v>Ok</v>
      </c>
    </row>
    <row r="574" spans="2:8" x14ac:dyDescent="0.25">
      <c r="B574" s="367">
        <f>FCS!G574</f>
        <v>46107</v>
      </c>
      <c r="C574">
        <f t="shared" ca="1" si="27"/>
        <v>0</v>
      </c>
      <c r="D574">
        <f>FCS!R574</f>
        <v>1.7575205104831357</v>
      </c>
      <c r="E574">
        <f>FCS!AM574</f>
        <v>101.47347058216718</v>
      </c>
      <c r="F574">
        <f t="shared" ca="1" si="28"/>
        <v>0</v>
      </c>
      <c r="G574">
        <f t="shared" ca="1" si="29"/>
        <v>0</v>
      </c>
      <c r="H574" t="str">
        <f>FCS!AO574</f>
        <v>Ok</v>
      </c>
    </row>
    <row r="575" spans="2:8" x14ac:dyDescent="0.25">
      <c r="B575" s="367">
        <f>FCS!G575</f>
        <v>46107</v>
      </c>
      <c r="C575">
        <f t="shared" ca="1" si="27"/>
        <v>0</v>
      </c>
      <c r="D575">
        <f>FCS!R575</f>
        <v>1.7390134529147983</v>
      </c>
      <c r="E575">
        <f>FCS!AM575</f>
        <v>100.40493377106226</v>
      </c>
      <c r="F575">
        <f t="shared" ca="1" si="28"/>
        <v>0</v>
      </c>
      <c r="G575">
        <f t="shared" ca="1" si="29"/>
        <v>0</v>
      </c>
      <c r="H575" t="str">
        <f>FCS!AO575</f>
        <v>Ok</v>
      </c>
    </row>
    <row r="576" spans="2:8" x14ac:dyDescent="0.25">
      <c r="B576" s="367">
        <f>FCS!G576</f>
        <v>46107</v>
      </c>
      <c r="C576">
        <f t="shared" ca="1" si="27"/>
        <v>0</v>
      </c>
      <c r="D576">
        <f>FCS!R576</f>
        <v>1.7405745062836624</v>
      </c>
      <c r="E576">
        <f>FCS!AM576</f>
        <v>100.05767391781558</v>
      </c>
      <c r="F576">
        <f t="shared" ca="1" si="28"/>
        <v>0</v>
      </c>
      <c r="G576">
        <f t="shared" ca="1" si="29"/>
        <v>0</v>
      </c>
      <c r="H576" t="str">
        <f>FCS!AO576</f>
        <v>Ok</v>
      </c>
    </row>
    <row r="577" spans="2:8" x14ac:dyDescent="0.25">
      <c r="B577" s="367">
        <f>FCS!G577</f>
        <v>46107</v>
      </c>
      <c r="C577">
        <f t="shared" ca="1" si="27"/>
        <v>0</v>
      </c>
      <c r="D577">
        <f>FCS!R577</f>
        <v>1.7168965844063959</v>
      </c>
      <c r="E577">
        <f>FCS!AM577</f>
        <v>98.696538397506544</v>
      </c>
      <c r="F577">
        <f t="shared" ca="1" si="28"/>
        <v>0</v>
      </c>
      <c r="G577">
        <f t="shared" ca="1" si="29"/>
        <v>0</v>
      </c>
      <c r="H577" t="str">
        <f>FCS!AO577</f>
        <v>OK</v>
      </c>
    </row>
    <row r="578" spans="2:8" x14ac:dyDescent="0.25">
      <c r="B578" s="367">
        <f>FCS!G578</f>
        <v>46107</v>
      </c>
      <c r="C578">
        <f t="shared" ca="1" si="27"/>
        <v>0</v>
      </c>
      <c r="D578">
        <f>FCS!R578</f>
        <v>1.7643784786641927</v>
      </c>
      <c r="E578">
        <f>FCS!AM578</f>
        <v>101.86942717460697</v>
      </c>
      <c r="F578">
        <f t="shared" ca="1" si="28"/>
        <v>0</v>
      </c>
      <c r="G578">
        <f t="shared" ca="1" si="29"/>
        <v>0</v>
      </c>
      <c r="H578" t="str">
        <f>FCS!AO578</f>
        <v>Ok</v>
      </c>
    </row>
    <row r="579" spans="2:8" x14ac:dyDescent="0.25">
      <c r="B579" s="367">
        <f>FCS!G579</f>
        <v>46107</v>
      </c>
      <c r="C579">
        <f t="shared" ca="1" si="27"/>
        <v>0</v>
      </c>
      <c r="D579">
        <f>FCS!R579</f>
        <v>1.7026532479414456</v>
      </c>
      <c r="E579">
        <f>FCS!AM579</f>
        <v>101.6509401756087</v>
      </c>
      <c r="F579">
        <f t="shared" ca="1" si="28"/>
        <v>0</v>
      </c>
      <c r="G579">
        <f t="shared" ca="1" si="29"/>
        <v>0</v>
      </c>
      <c r="H579" t="str">
        <f>FCS!AO579</f>
        <v>Ok</v>
      </c>
    </row>
    <row r="580" spans="2:8" x14ac:dyDescent="0.25">
      <c r="B580" s="367">
        <f>FCS!G580</f>
        <v>46107</v>
      </c>
      <c r="C580">
        <f t="shared" ca="1" si="27"/>
        <v>0</v>
      </c>
      <c r="D580">
        <f>FCS!R580</f>
        <v>1.6882882882882881</v>
      </c>
      <c r="E580">
        <f>FCS!AM580</f>
        <v>100.79333064407689</v>
      </c>
      <c r="F580">
        <f t="shared" ca="1" si="28"/>
        <v>0</v>
      </c>
      <c r="G580">
        <f t="shared" ca="1" si="29"/>
        <v>0</v>
      </c>
      <c r="H580" t="str">
        <f>FCS!AO580</f>
        <v>Ok</v>
      </c>
    </row>
    <row r="581" spans="2:8" x14ac:dyDescent="0.25">
      <c r="B581" s="367">
        <f>FCS!G581</f>
        <v>46107</v>
      </c>
      <c r="C581">
        <f t="shared" ca="1" si="27"/>
        <v>0</v>
      </c>
      <c r="D581">
        <f>FCS!R581</f>
        <v>1.7175712971481141</v>
      </c>
      <c r="E581">
        <f>FCS!AM581</f>
        <v>102.54156997899189</v>
      </c>
      <c r="F581">
        <f t="shared" ca="1" si="28"/>
        <v>0</v>
      </c>
      <c r="G581">
        <f t="shared" ca="1" si="29"/>
        <v>0</v>
      </c>
      <c r="H581" t="str">
        <f>FCS!AO581</f>
        <v>Ok</v>
      </c>
    </row>
    <row r="582" spans="2:8" x14ac:dyDescent="0.25">
      <c r="B582" s="367">
        <f>FCS!G582</f>
        <v>46107</v>
      </c>
      <c r="C582">
        <f t="shared" ca="1" si="27"/>
        <v>0</v>
      </c>
      <c r="D582">
        <f>FCS!R582</f>
        <v>1.7179487179487176</v>
      </c>
      <c r="E582">
        <f>FCS!AM582</f>
        <v>102.56410256410253</v>
      </c>
      <c r="F582">
        <f t="shared" ca="1" si="28"/>
        <v>0</v>
      </c>
      <c r="G582">
        <f t="shared" ca="1" si="29"/>
        <v>0</v>
      </c>
      <c r="H582" t="str">
        <f>FCS!AO582</f>
        <v>Ok</v>
      </c>
    </row>
    <row r="583" spans="2:8" x14ac:dyDescent="0.25">
      <c r="B583" s="367">
        <f>FCS!G583</f>
        <v>46107</v>
      </c>
      <c r="C583">
        <f t="shared" ca="1" si="27"/>
        <v>0</v>
      </c>
      <c r="D583">
        <f>FCS!R583</f>
        <v>1.725598526703499</v>
      </c>
      <c r="E583">
        <f>FCS!AM583</f>
        <v>103.02080756438801</v>
      </c>
      <c r="F583">
        <f t="shared" ca="1" si="28"/>
        <v>0</v>
      </c>
      <c r="G583">
        <f t="shared" ca="1" si="29"/>
        <v>0</v>
      </c>
      <c r="H583" t="str">
        <f>FCS!AO583</f>
        <v>Ok</v>
      </c>
    </row>
    <row r="584" spans="2:8" x14ac:dyDescent="0.25">
      <c r="B584" s="367">
        <f>FCS!G584</f>
        <v>46107</v>
      </c>
      <c r="C584">
        <f t="shared" ca="1" si="27"/>
        <v>0</v>
      </c>
      <c r="D584">
        <f>FCS!R584</f>
        <v>1.7172727272727271</v>
      </c>
      <c r="E584">
        <f>FCS!AM584</f>
        <v>102.5237449118046</v>
      </c>
      <c r="F584">
        <f t="shared" ca="1" si="28"/>
        <v>0</v>
      </c>
      <c r="G584">
        <f t="shared" ca="1" si="29"/>
        <v>0</v>
      </c>
      <c r="H584" t="str">
        <f>FCS!AO584</f>
        <v>Ok</v>
      </c>
    </row>
    <row r="585" spans="2:8" x14ac:dyDescent="0.25">
      <c r="B585" s="367">
        <f>FCS!G585</f>
        <v>46107</v>
      </c>
      <c r="C585">
        <f t="shared" ca="1" si="27"/>
        <v>0</v>
      </c>
      <c r="D585">
        <f>FCS!R585</f>
        <v>1.7576576576576575</v>
      </c>
      <c r="E585">
        <f>FCS!AM585</f>
        <v>104.93478553180044</v>
      </c>
      <c r="F585">
        <f t="shared" ca="1" si="28"/>
        <v>0</v>
      </c>
      <c r="G585">
        <f t="shared" ca="1" si="29"/>
        <v>0</v>
      </c>
      <c r="H585" t="str">
        <f>FCS!AO585</f>
        <v>Ok</v>
      </c>
    </row>
    <row r="586" spans="2:8" x14ac:dyDescent="0.25">
      <c r="B586" s="367">
        <f>FCS!G586</f>
        <v>46108</v>
      </c>
      <c r="C586">
        <f t="shared" ca="1" si="27"/>
        <v>0</v>
      </c>
      <c r="D586">
        <f>FCS!R586</f>
        <v>1.8137432188065097</v>
      </c>
      <c r="E586">
        <f>FCS!AM586</f>
        <v>104.71958538143819</v>
      </c>
      <c r="F586">
        <f t="shared" ca="1" si="28"/>
        <v>0</v>
      </c>
      <c r="G586">
        <f t="shared" ca="1" si="29"/>
        <v>0</v>
      </c>
      <c r="H586" t="str">
        <f>FCS!AO586</f>
        <v>Ok</v>
      </c>
    </row>
    <row r="587" spans="2:8" x14ac:dyDescent="0.25">
      <c r="B587" s="367">
        <f>FCS!G587</f>
        <v>46108</v>
      </c>
      <c r="C587">
        <f t="shared" ca="1" si="27"/>
        <v>0</v>
      </c>
      <c r="D587">
        <f>FCS!R587</f>
        <v>1.8023572076155938</v>
      </c>
      <c r="E587">
        <f>FCS!AM587</f>
        <v>104.05575506884865</v>
      </c>
      <c r="F587">
        <f t="shared" ca="1" si="28"/>
        <v>0</v>
      </c>
      <c r="G587">
        <f t="shared" ca="1" si="29"/>
        <v>0</v>
      </c>
      <c r="H587" t="str">
        <f>FCS!AO587</f>
        <v>Ok</v>
      </c>
    </row>
    <row r="588" spans="2:8" x14ac:dyDescent="0.25">
      <c r="B588" s="367">
        <f>FCS!G588</f>
        <v>46108</v>
      </c>
      <c r="C588">
        <f t="shared" ca="1" si="27"/>
        <v>0</v>
      </c>
      <c r="D588">
        <f>FCS!R588</f>
        <v>1.7795316003570998</v>
      </c>
      <c r="E588">
        <f>FCS!AM588</f>
        <v>102.73796091120234</v>
      </c>
      <c r="F588">
        <f t="shared" ca="1" si="28"/>
        <v>0</v>
      </c>
      <c r="G588">
        <f t="shared" ca="1" si="29"/>
        <v>0</v>
      </c>
      <c r="H588" t="str">
        <f>FCS!AO588</f>
        <v>OK</v>
      </c>
    </row>
    <row r="589" spans="2:8" x14ac:dyDescent="0.25">
      <c r="B589" s="367">
        <f>FCS!G589</f>
        <v>46108</v>
      </c>
      <c r="C589">
        <f t="shared" ca="1" si="27"/>
        <v>0</v>
      </c>
      <c r="D589">
        <f>FCS!R589</f>
        <v>1.7431192660550456</v>
      </c>
      <c r="E589">
        <f>FCS!AM589</f>
        <v>100.63576223293251</v>
      </c>
      <c r="F589">
        <f t="shared" ca="1" si="28"/>
        <v>0</v>
      </c>
      <c r="G589">
        <f t="shared" ca="1" si="29"/>
        <v>0</v>
      </c>
      <c r="H589" t="str">
        <f>FCS!AO589</f>
        <v>Ok</v>
      </c>
    </row>
    <row r="590" spans="2:8" x14ac:dyDescent="0.25">
      <c r="B590" s="367">
        <f>FCS!G590</f>
        <v>46108</v>
      </c>
      <c r="C590">
        <f t="shared" ca="1" si="27"/>
        <v>0</v>
      </c>
      <c r="D590">
        <f>FCS!R590</f>
        <v>1.7364620938628157</v>
      </c>
      <c r="E590">
        <f>FCS!AM590</f>
        <v>100.25762666644434</v>
      </c>
      <c r="F590">
        <f t="shared" ca="1" si="28"/>
        <v>0</v>
      </c>
      <c r="G590">
        <f t="shared" ca="1" si="29"/>
        <v>0</v>
      </c>
      <c r="H590" t="str">
        <f>FCS!AO590</f>
        <v>Ok</v>
      </c>
    </row>
    <row r="591" spans="2:8" x14ac:dyDescent="0.25">
      <c r="B591" s="367">
        <f>FCS!G591</f>
        <v>46108</v>
      </c>
      <c r="C591">
        <f t="shared" ca="1" si="27"/>
        <v>0</v>
      </c>
      <c r="D591">
        <f>FCS!R591</f>
        <v>1.7506849315068493</v>
      </c>
      <c r="E591">
        <f>FCS!AM591</f>
        <v>101.07880666898667</v>
      </c>
      <c r="F591">
        <f t="shared" ca="1" si="28"/>
        <v>0</v>
      </c>
      <c r="G591">
        <f t="shared" ca="1" si="29"/>
        <v>0</v>
      </c>
      <c r="H591" t="str">
        <f>FCS!AO591</f>
        <v>Ok</v>
      </c>
    </row>
    <row r="592" spans="2:8" x14ac:dyDescent="0.25">
      <c r="B592" s="367">
        <f>FCS!G592</f>
        <v>46108</v>
      </c>
      <c r="C592">
        <f t="shared" ca="1" si="27"/>
        <v>0</v>
      </c>
      <c r="D592">
        <f>FCS!R592</f>
        <v>1.7719141323792489</v>
      </c>
      <c r="E592">
        <f>FCS!AM592</f>
        <v>102.30451110734693</v>
      </c>
      <c r="F592">
        <f t="shared" ca="1" si="28"/>
        <v>0</v>
      </c>
      <c r="G592">
        <f t="shared" ca="1" si="29"/>
        <v>0</v>
      </c>
      <c r="H592" t="str">
        <f>FCS!AO592</f>
        <v>Ok</v>
      </c>
    </row>
    <row r="593" spans="2:8" x14ac:dyDescent="0.25">
      <c r="B593" s="367">
        <f>FCS!G593</f>
        <v>46108</v>
      </c>
      <c r="C593">
        <f t="shared" ca="1" si="27"/>
        <v>0</v>
      </c>
      <c r="D593">
        <f>FCS!R593</f>
        <v>1.7760652765185858</v>
      </c>
      <c r="E593">
        <f>FCS!AM593</f>
        <v>102.54418455650034</v>
      </c>
      <c r="F593">
        <f t="shared" ca="1" si="28"/>
        <v>0</v>
      </c>
      <c r="G593">
        <f t="shared" ca="1" si="29"/>
        <v>0</v>
      </c>
      <c r="H593" t="str">
        <f>FCS!AO593</f>
        <v>Ok</v>
      </c>
    </row>
    <row r="594" spans="2:8" x14ac:dyDescent="0.25">
      <c r="B594" s="367">
        <f>FCS!G594</f>
        <v>46108</v>
      </c>
      <c r="C594">
        <f t="shared" ca="1" si="27"/>
        <v>0</v>
      </c>
      <c r="D594">
        <f>FCS!R594</f>
        <v>1.7943585077343038</v>
      </c>
      <c r="E594">
        <f>FCS!AM594</f>
        <v>103.60037573523695</v>
      </c>
      <c r="F594">
        <f t="shared" ca="1" si="28"/>
        <v>0</v>
      </c>
      <c r="G594">
        <f t="shared" ca="1" si="29"/>
        <v>0</v>
      </c>
      <c r="H594" t="str">
        <f>FCS!AO594</f>
        <v>Ok</v>
      </c>
    </row>
    <row r="595" spans="2:8" x14ac:dyDescent="0.25">
      <c r="B595" s="367">
        <f>FCS!G595</f>
        <v>46108</v>
      </c>
      <c r="C595">
        <f t="shared" ref="C595:C658" ca="1" si="30">IF(AND(B595&gt;$C$5,B595&lt;$D$4,H595="OK"),1,0)</f>
        <v>0</v>
      </c>
      <c r="D595">
        <f>FCS!R595</f>
        <v>1.7506824385805277</v>
      </c>
      <c r="E595">
        <f>FCS!AM595</f>
        <v>101.0786627355963</v>
      </c>
      <c r="F595">
        <f t="shared" ref="F595:F658" ca="1" si="31">IFERROR(D595*C595,0)</f>
        <v>0</v>
      </c>
      <c r="G595">
        <f t="shared" ref="G595:G658" ca="1" si="32">IFERROR(E595*C595,0)</f>
        <v>0</v>
      </c>
      <c r="H595" t="str">
        <f>FCS!AO595</f>
        <v>Ok</v>
      </c>
    </row>
    <row r="596" spans="2:8" x14ac:dyDescent="0.25">
      <c r="B596" s="367">
        <f>FCS!G596</f>
        <v>46108</v>
      </c>
      <c r="C596">
        <f t="shared" ca="1" si="30"/>
        <v>0</v>
      </c>
      <c r="D596">
        <f>FCS!R596</f>
        <v>1.7429864253393665</v>
      </c>
      <c r="E596">
        <f>FCS!AM596</f>
        <v>100.63432016970938</v>
      </c>
      <c r="F596">
        <f t="shared" ca="1" si="31"/>
        <v>0</v>
      </c>
      <c r="G596">
        <f t="shared" ca="1" si="32"/>
        <v>0</v>
      </c>
      <c r="H596" t="str">
        <f>FCS!AO596</f>
        <v>Ok</v>
      </c>
    </row>
    <row r="597" spans="2:8" x14ac:dyDescent="0.25">
      <c r="B597" s="367">
        <f>FCS!G597</f>
        <v>46108</v>
      </c>
      <c r="C597">
        <f t="shared" ca="1" si="30"/>
        <v>0</v>
      </c>
      <c r="D597">
        <f>FCS!R597</f>
        <v>1.798554652213189</v>
      </c>
      <c r="E597">
        <f>FCS!AM597</f>
        <v>103.84264735641968</v>
      </c>
      <c r="F597">
        <f t="shared" ca="1" si="31"/>
        <v>0</v>
      </c>
      <c r="G597">
        <f t="shared" ca="1" si="32"/>
        <v>0</v>
      </c>
      <c r="H597" t="str">
        <f>FCS!AO597</f>
        <v>Ok</v>
      </c>
    </row>
    <row r="598" spans="2:8" x14ac:dyDescent="0.25">
      <c r="B598" s="367">
        <f>FCS!G598</f>
        <v>46108</v>
      </c>
      <c r="C598">
        <f t="shared" ca="1" si="30"/>
        <v>0</v>
      </c>
      <c r="D598">
        <f>FCS!R598</f>
        <v>1.7570518653321201</v>
      </c>
      <c r="E598">
        <f>FCS!AM598</f>
        <v>101.44013504633594</v>
      </c>
      <c r="F598">
        <f t="shared" ca="1" si="31"/>
        <v>0</v>
      </c>
      <c r="G598">
        <f t="shared" ca="1" si="32"/>
        <v>0</v>
      </c>
      <c r="H598" t="str">
        <f>FCS!AO598</f>
        <v>Ok</v>
      </c>
    </row>
    <row r="599" spans="2:8" x14ac:dyDescent="0.25">
      <c r="B599" s="367">
        <f>FCS!G599</f>
        <v>46108</v>
      </c>
      <c r="C599">
        <f t="shared" ca="1" si="30"/>
        <v>0</v>
      </c>
      <c r="D599">
        <f>FCS!R599</f>
        <v>1.752521397043143</v>
      </c>
      <c r="E599">
        <f>FCS!AM599</f>
        <v>101.17857685097206</v>
      </c>
      <c r="F599">
        <f t="shared" ca="1" si="31"/>
        <v>0</v>
      </c>
      <c r="G599">
        <f t="shared" ca="1" si="32"/>
        <v>0</v>
      </c>
      <c r="H599" t="str">
        <f>FCS!AO599</f>
        <v>OK</v>
      </c>
    </row>
    <row r="600" spans="2:8" x14ac:dyDescent="0.25">
      <c r="B600" s="367">
        <f>FCS!G600</f>
        <v>46108</v>
      </c>
      <c r="C600">
        <f t="shared" ca="1" si="30"/>
        <v>0</v>
      </c>
      <c r="D600">
        <f>FCS!R600</f>
        <v>1.7382246376811592</v>
      </c>
      <c r="E600">
        <f>FCS!AM600</f>
        <v>100.35939016634869</v>
      </c>
      <c r="F600">
        <f t="shared" ca="1" si="31"/>
        <v>0</v>
      </c>
      <c r="G600">
        <f t="shared" ca="1" si="32"/>
        <v>0</v>
      </c>
      <c r="H600" t="str">
        <f>FCS!AO600</f>
        <v>Ok</v>
      </c>
    </row>
    <row r="601" spans="2:8" x14ac:dyDescent="0.25">
      <c r="B601" s="367">
        <f>FCS!G601</f>
        <v>46108</v>
      </c>
      <c r="C601">
        <f t="shared" ca="1" si="30"/>
        <v>0</v>
      </c>
      <c r="D601" t="str">
        <f>FCS!R601</f>
        <v>-</v>
      </c>
      <c r="E601" t="str">
        <f>FCS!AM601</f>
        <v>-</v>
      </c>
      <c r="F601">
        <f t="shared" ca="1" si="31"/>
        <v>0</v>
      </c>
      <c r="G601">
        <f t="shared" ca="1" si="32"/>
        <v>0</v>
      </c>
      <c r="H601" t="str">
        <f>FCS!AO601</f>
        <v>-</v>
      </c>
    </row>
    <row r="602" spans="2:8" x14ac:dyDescent="0.25">
      <c r="B602" s="367">
        <f>FCS!G602</f>
        <v>46108</v>
      </c>
      <c r="C602">
        <f t="shared" ca="1" si="30"/>
        <v>0</v>
      </c>
      <c r="D602">
        <f>FCS!R602</f>
        <v>1.7522935779816511</v>
      </c>
      <c r="E602">
        <f>FCS!AM602</f>
        <v>101.34722833901972</v>
      </c>
      <c r="F602">
        <f t="shared" ca="1" si="31"/>
        <v>0</v>
      </c>
      <c r="G602">
        <f t="shared" ca="1" si="32"/>
        <v>0</v>
      </c>
      <c r="H602" t="str">
        <f>FCS!AO602</f>
        <v>Ok</v>
      </c>
    </row>
    <row r="603" spans="2:8" x14ac:dyDescent="0.25">
      <c r="B603" s="367">
        <f>FCS!G603</f>
        <v>46108</v>
      </c>
      <c r="C603">
        <f t="shared" ca="1" si="30"/>
        <v>0</v>
      </c>
      <c r="D603">
        <f>FCS!R603</f>
        <v>1.749770009199632</v>
      </c>
      <c r="E603">
        <f>FCS!AM603</f>
        <v>101.2012729438769</v>
      </c>
      <c r="F603">
        <f t="shared" ca="1" si="31"/>
        <v>0</v>
      </c>
      <c r="G603">
        <f t="shared" ca="1" si="32"/>
        <v>0</v>
      </c>
      <c r="H603" t="str">
        <f>FCS!AO603</f>
        <v>Ok</v>
      </c>
    </row>
    <row r="604" spans="2:8" x14ac:dyDescent="0.25">
      <c r="B604" s="367">
        <f>FCS!G604</f>
        <v>46108</v>
      </c>
      <c r="C604">
        <f t="shared" ca="1" si="30"/>
        <v>0</v>
      </c>
      <c r="D604">
        <f>FCS!R604</f>
        <v>1.7298025134649908</v>
      </c>
      <c r="E604">
        <f>FCS!AM604</f>
        <v>100.04641489097691</v>
      </c>
      <c r="F604">
        <f t="shared" ca="1" si="31"/>
        <v>0</v>
      </c>
      <c r="G604">
        <f t="shared" ca="1" si="32"/>
        <v>0</v>
      </c>
      <c r="H604" t="str">
        <f>FCS!AO604</f>
        <v>Ok</v>
      </c>
    </row>
    <row r="605" spans="2:8" x14ac:dyDescent="0.25">
      <c r="B605" s="367">
        <f>FCS!G605</f>
        <v>46108</v>
      </c>
      <c r="C605">
        <f t="shared" ca="1" si="30"/>
        <v>0</v>
      </c>
      <c r="D605">
        <f>FCS!R605</f>
        <v>1.7707006369426752</v>
      </c>
      <c r="E605">
        <f>FCS!AM605</f>
        <v>102.41183556637796</v>
      </c>
      <c r="F605">
        <f t="shared" ca="1" si="31"/>
        <v>0</v>
      </c>
      <c r="G605">
        <f t="shared" ca="1" si="32"/>
        <v>0</v>
      </c>
      <c r="H605" t="str">
        <f>FCS!AO605</f>
        <v>Ok</v>
      </c>
    </row>
    <row r="606" spans="2:8" x14ac:dyDescent="0.25">
      <c r="B606" s="367">
        <f>FCS!G606</f>
        <v>46108</v>
      </c>
      <c r="C606">
        <f t="shared" ca="1" si="30"/>
        <v>0</v>
      </c>
      <c r="D606">
        <f>FCS!R606</f>
        <v>1.7714025500910746</v>
      </c>
      <c r="E606">
        <f>FCS!AM606</f>
        <v>102.45243204691003</v>
      </c>
      <c r="F606">
        <f t="shared" ca="1" si="31"/>
        <v>0</v>
      </c>
      <c r="G606">
        <f t="shared" ca="1" si="32"/>
        <v>0</v>
      </c>
      <c r="H606" t="str">
        <f>FCS!AO606</f>
        <v>Ok</v>
      </c>
    </row>
    <row r="607" spans="2:8" x14ac:dyDescent="0.25">
      <c r="B607" s="367">
        <f>FCS!G607</f>
        <v>46108</v>
      </c>
      <c r="C607">
        <f t="shared" ca="1" si="30"/>
        <v>0</v>
      </c>
      <c r="D607">
        <f>FCS!R607</f>
        <v>1.7807971014492752</v>
      </c>
      <c r="E607">
        <f>FCS!AM607</f>
        <v>102.9957837738158</v>
      </c>
      <c r="F607">
        <f t="shared" ca="1" si="31"/>
        <v>0</v>
      </c>
      <c r="G607">
        <f t="shared" ca="1" si="32"/>
        <v>0</v>
      </c>
      <c r="H607" t="str">
        <f>FCS!AO607</f>
        <v>Ok</v>
      </c>
    </row>
    <row r="608" spans="2:8" x14ac:dyDescent="0.25">
      <c r="B608" s="367">
        <f>FCS!G608</f>
        <v>46108</v>
      </c>
      <c r="C608">
        <f t="shared" ca="1" si="30"/>
        <v>0</v>
      </c>
      <c r="D608">
        <f>FCS!R608</f>
        <v>1.6981132075471699</v>
      </c>
      <c r="E608">
        <f>FCS!AM608</f>
        <v>98.213603675371303</v>
      </c>
      <c r="F608">
        <f t="shared" ca="1" si="31"/>
        <v>0</v>
      </c>
      <c r="G608">
        <f t="shared" ca="1" si="32"/>
        <v>0</v>
      </c>
      <c r="H608" t="str">
        <f>FCS!AO608</f>
        <v>Ok</v>
      </c>
    </row>
    <row r="609" spans="2:8" x14ac:dyDescent="0.25">
      <c r="B609" s="367">
        <f>FCS!G609</f>
        <v>46108</v>
      </c>
      <c r="C609">
        <f t="shared" ca="1" si="30"/>
        <v>0</v>
      </c>
      <c r="D609">
        <f>FCS!R609</f>
        <v>1.7227036395147315</v>
      </c>
      <c r="E609">
        <f>FCS!AM609</f>
        <v>99.635838028613733</v>
      </c>
      <c r="F609">
        <f t="shared" ca="1" si="31"/>
        <v>0</v>
      </c>
      <c r="G609">
        <f t="shared" ca="1" si="32"/>
        <v>0</v>
      </c>
      <c r="H609" t="str">
        <f>FCS!AO609</f>
        <v>Ok</v>
      </c>
    </row>
    <row r="610" spans="2:8" x14ac:dyDescent="0.25">
      <c r="B610" s="367">
        <f>FCS!G610</f>
        <v>46108</v>
      </c>
      <c r="C610">
        <f t="shared" ca="1" si="30"/>
        <v>0</v>
      </c>
      <c r="D610">
        <f>FCS!R610</f>
        <v>1.7162995594713655</v>
      </c>
      <c r="E610">
        <f>FCS!AM610</f>
        <v>99.263941765113827</v>
      </c>
      <c r="F610">
        <f t="shared" ca="1" si="31"/>
        <v>0</v>
      </c>
      <c r="G610">
        <f t="shared" ca="1" si="32"/>
        <v>0</v>
      </c>
      <c r="H610" t="str">
        <f>FCS!AO610</f>
        <v>Ok</v>
      </c>
    </row>
    <row r="611" spans="2:8" x14ac:dyDescent="0.25">
      <c r="B611" s="367">
        <f>FCS!G611</f>
        <v>46108</v>
      </c>
      <c r="C611">
        <f t="shared" ca="1" si="30"/>
        <v>0</v>
      </c>
      <c r="D611">
        <f>FCS!R611</f>
        <v>1.695677318504283</v>
      </c>
      <c r="E611">
        <f>FCS!AM611</f>
        <v>98.071233350591413</v>
      </c>
      <c r="F611">
        <f t="shared" ca="1" si="31"/>
        <v>0</v>
      </c>
      <c r="G611">
        <f t="shared" ca="1" si="32"/>
        <v>0</v>
      </c>
      <c r="H611" t="str">
        <f>FCS!AO611</f>
        <v>OK</v>
      </c>
    </row>
    <row r="612" spans="2:8" x14ac:dyDescent="0.25">
      <c r="B612" s="367">
        <f>FCS!G612</f>
        <v>46108</v>
      </c>
      <c r="C612">
        <f t="shared" ca="1" si="30"/>
        <v>0</v>
      </c>
      <c r="D612">
        <f>FCS!R612</f>
        <v>1.7278260869565221</v>
      </c>
      <c r="E612">
        <f>FCS!AM612</f>
        <v>99.932104508763558</v>
      </c>
      <c r="F612">
        <f t="shared" ca="1" si="31"/>
        <v>0</v>
      </c>
      <c r="G612">
        <f t="shared" ca="1" si="32"/>
        <v>0</v>
      </c>
      <c r="H612" t="str">
        <f>FCS!AO612</f>
        <v>Ok</v>
      </c>
    </row>
    <row r="613" spans="2:8" x14ac:dyDescent="0.25">
      <c r="B613" s="367">
        <f>FCS!G613</f>
        <v>46108</v>
      </c>
      <c r="C613">
        <f t="shared" ca="1" si="30"/>
        <v>0</v>
      </c>
      <c r="D613">
        <f>FCS!R613</f>
        <v>1.7194570135746605</v>
      </c>
      <c r="E613">
        <f>FCS!AM613</f>
        <v>101.14453021027414</v>
      </c>
      <c r="F613">
        <f t="shared" ca="1" si="31"/>
        <v>0</v>
      </c>
      <c r="G613">
        <f t="shared" ca="1" si="32"/>
        <v>0</v>
      </c>
      <c r="H613" t="str">
        <f>FCS!AO613</f>
        <v>Ok</v>
      </c>
    </row>
    <row r="614" spans="2:8" x14ac:dyDescent="0.25">
      <c r="B614" s="367">
        <f>FCS!G614</f>
        <v>46108</v>
      </c>
      <c r="C614">
        <f t="shared" ca="1" si="30"/>
        <v>0</v>
      </c>
      <c r="D614">
        <f>FCS!R614</f>
        <v>1.7016197783461209</v>
      </c>
      <c r="E614">
        <f>FCS!AM614</f>
        <v>98.416412859810336</v>
      </c>
      <c r="F614">
        <f t="shared" ca="1" si="31"/>
        <v>0</v>
      </c>
      <c r="G614">
        <f t="shared" ca="1" si="32"/>
        <v>0</v>
      </c>
      <c r="H614" t="str">
        <f>FCS!AO614</f>
        <v>Ok</v>
      </c>
    </row>
    <row r="615" spans="2:8" x14ac:dyDescent="0.25">
      <c r="B615" s="367">
        <f>FCS!G615</f>
        <v>46108</v>
      </c>
      <c r="C615">
        <f t="shared" ca="1" si="30"/>
        <v>0</v>
      </c>
      <c r="D615">
        <f>FCS!R615</f>
        <v>1.6837909654561558</v>
      </c>
      <c r="E615">
        <f>FCS!AM615</f>
        <v>98.123016634974107</v>
      </c>
      <c r="F615">
        <f t="shared" ca="1" si="31"/>
        <v>0</v>
      </c>
      <c r="G615">
        <f t="shared" ca="1" si="32"/>
        <v>0</v>
      </c>
      <c r="H615" t="str">
        <f>FCS!AO615</f>
        <v>Ok</v>
      </c>
    </row>
    <row r="616" spans="2:8" x14ac:dyDescent="0.25">
      <c r="B616" s="367">
        <f>FCS!G616</f>
        <v>46108</v>
      </c>
      <c r="C616">
        <f t="shared" ca="1" si="30"/>
        <v>0</v>
      </c>
      <c r="D616">
        <f>FCS!R616</f>
        <v>1.7540842648323303</v>
      </c>
      <c r="E616">
        <f>FCS!AM616</f>
        <v>101.4507961152302</v>
      </c>
      <c r="F616">
        <f t="shared" ca="1" si="31"/>
        <v>0</v>
      </c>
      <c r="G616">
        <f t="shared" ca="1" si="32"/>
        <v>0</v>
      </c>
      <c r="H616" t="str">
        <f>FCS!AO616</f>
        <v>Ok</v>
      </c>
    </row>
    <row r="617" spans="2:8" x14ac:dyDescent="0.25">
      <c r="B617" s="367">
        <f>FCS!G617</f>
        <v>46108</v>
      </c>
      <c r="C617">
        <f t="shared" ca="1" si="30"/>
        <v>0</v>
      </c>
      <c r="D617">
        <f>FCS!R617</f>
        <v>1.7350579839429081</v>
      </c>
      <c r="E617">
        <f>FCS!AM617</f>
        <v>100.3503750111572</v>
      </c>
      <c r="F617">
        <f t="shared" ca="1" si="31"/>
        <v>0</v>
      </c>
      <c r="G617">
        <f t="shared" ca="1" si="32"/>
        <v>0</v>
      </c>
      <c r="H617" t="str">
        <f>FCS!AO617</f>
        <v>Ok</v>
      </c>
    </row>
    <row r="618" spans="2:8" x14ac:dyDescent="0.25">
      <c r="B618" s="367">
        <f>FCS!G618</f>
        <v>46108</v>
      </c>
      <c r="C618">
        <f t="shared" ca="1" si="30"/>
        <v>0</v>
      </c>
      <c r="D618">
        <f>FCS!R618</f>
        <v>1.7577639751552796</v>
      </c>
      <c r="E618">
        <f>FCS!AM618</f>
        <v>101.66361915299476</v>
      </c>
      <c r="F618">
        <f t="shared" ca="1" si="31"/>
        <v>0</v>
      </c>
      <c r="G618">
        <f t="shared" ca="1" si="32"/>
        <v>0</v>
      </c>
      <c r="H618" t="str">
        <f>FCS!AO618</f>
        <v>Ok</v>
      </c>
    </row>
    <row r="619" spans="2:8" x14ac:dyDescent="0.25">
      <c r="B619" s="367">
        <f>FCS!G619</f>
        <v>46109</v>
      </c>
      <c r="C619">
        <f t="shared" ca="1" si="30"/>
        <v>0</v>
      </c>
      <c r="D619">
        <f>FCS!R619</f>
        <v>1.7935483870967741</v>
      </c>
      <c r="E619">
        <f>FCS!AM619</f>
        <v>103.73327860594412</v>
      </c>
      <c r="F619">
        <f t="shared" ca="1" si="31"/>
        <v>0</v>
      </c>
      <c r="G619">
        <f t="shared" ca="1" si="32"/>
        <v>0</v>
      </c>
      <c r="H619" t="str">
        <f>FCS!AO619</f>
        <v>Ok</v>
      </c>
    </row>
    <row r="620" spans="2:8" x14ac:dyDescent="0.25">
      <c r="B620" s="367">
        <f>FCS!G620</f>
        <v>46109</v>
      </c>
      <c r="C620">
        <f t="shared" ca="1" si="30"/>
        <v>0</v>
      </c>
      <c r="D620">
        <f>FCS!R620</f>
        <v>1.7694394213381555</v>
      </c>
      <c r="E620">
        <f>FCS!AM620</f>
        <v>102.33889076565387</v>
      </c>
      <c r="F620">
        <f t="shared" ca="1" si="31"/>
        <v>0</v>
      </c>
      <c r="G620">
        <f t="shared" ca="1" si="32"/>
        <v>0</v>
      </c>
      <c r="H620" t="str">
        <f>FCS!AO620</f>
        <v>Ok</v>
      </c>
    </row>
    <row r="621" spans="2:8" x14ac:dyDescent="0.25">
      <c r="B621" s="367">
        <f>FCS!G621</f>
        <v>46109</v>
      </c>
      <c r="C621">
        <f t="shared" ca="1" si="30"/>
        <v>0</v>
      </c>
      <c r="D621">
        <f>FCS!R621</f>
        <v>1.7858422939068099</v>
      </c>
      <c r="E621">
        <f>FCS!AM621</f>
        <v>103.01588023156177</v>
      </c>
      <c r="F621">
        <f t="shared" ca="1" si="31"/>
        <v>0</v>
      </c>
      <c r="G621">
        <f t="shared" ca="1" si="32"/>
        <v>0</v>
      </c>
      <c r="H621" t="str">
        <f>FCS!AO621</f>
        <v>Ok</v>
      </c>
    </row>
    <row r="622" spans="2:8" x14ac:dyDescent="0.25">
      <c r="B622" s="367">
        <f>FCS!G623</f>
        <v>46109</v>
      </c>
      <c r="C622">
        <f t="shared" ca="1" si="30"/>
        <v>0</v>
      </c>
      <c r="D622">
        <f>FCS!R623</f>
        <v>1.7888989990900819</v>
      </c>
      <c r="E622">
        <f>FCS!AM623</f>
        <v>103.46437241700879</v>
      </c>
      <c r="F622">
        <f t="shared" ca="1" si="31"/>
        <v>0</v>
      </c>
      <c r="G622">
        <f t="shared" ca="1" si="32"/>
        <v>0</v>
      </c>
      <c r="H622" t="str">
        <f>FCS!AO623</f>
        <v>Ok</v>
      </c>
    </row>
    <row r="623" spans="2:8" x14ac:dyDescent="0.25">
      <c r="B623" s="367">
        <f>FCS!G624</f>
        <v>46109</v>
      </c>
      <c r="C623">
        <f t="shared" ca="1" si="30"/>
        <v>0</v>
      </c>
      <c r="D623">
        <f>FCS!R624</f>
        <v>1.7717879604672058</v>
      </c>
      <c r="E623">
        <f>FCS!AM624</f>
        <v>102.47472298827101</v>
      </c>
      <c r="F623">
        <f t="shared" ca="1" si="31"/>
        <v>0</v>
      </c>
      <c r="G623">
        <f t="shared" ca="1" si="32"/>
        <v>0</v>
      </c>
      <c r="H623" t="str">
        <f>FCS!AO624</f>
        <v>Ok</v>
      </c>
    </row>
    <row r="624" spans="2:8" x14ac:dyDescent="0.25">
      <c r="B624" s="367">
        <f>FCS!G625</f>
        <v>46109</v>
      </c>
      <c r="C624">
        <f t="shared" ca="1" si="30"/>
        <v>0</v>
      </c>
      <c r="D624">
        <f>FCS!R625</f>
        <v>1.7758620689655171</v>
      </c>
      <c r="E624">
        <f>FCS!AM625</f>
        <v>102.71035679384136</v>
      </c>
      <c r="F624">
        <f t="shared" ca="1" si="31"/>
        <v>0</v>
      </c>
      <c r="G624">
        <f t="shared" ca="1" si="32"/>
        <v>0</v>
      </c>
      <c r="H624" t="str">
        <f>FCS!AO625</f>
        <v>Ok</v>
      </c>
    </row>
    <row r="625" spans="2:8" x14ac:dyDescent="0.25">
      <c r="B625" s="367">
        <f>FCS!G626</f>
        <v>46109</v>
      </c>
      <c r="C625">
        <f t="shared" ca="1" si="30"/>
        <v>0</v>
      </c>
      <c r="D625">
        <f>FCS!R626</f>
        <v>1.7391304347826086</v>
      </c>
      <c r="E625">
        <f>FCS!AM626</f>
        <v>100.32131795058612</v>
      </c>
      <c r="F625">
        <f t="shared" ca="1" si="31"/>
        <v>0</v>
      </c>
      <c r="G625">
        <f t="shared" ca="1" si="32"/>
        <v>0</v>
      </c>
      <c r="H625" t="str">
        <f>FCS!AO626</f>
        <v>Ok</v>
      </c>
    </row>
    <row r="626" spans="2:8" x14ac:dyDescent="0.25">
      <c r="B626" s="367">
        <f>FCS!G627</f>
        <v>46109</v>
      </c>
      <c r="C626">
        <f t="shared" ca="1" si="30"/>
        <v>0</v>
      </c>
      <c r="D626">
        <f>FCS!R627</f>
        <v>1.8083182640144664</v>
      </c>
      <c r="E626">
        <f>FCS!AM627</f>
        <v>104.58752249939076</v>
      </c>
      <c r="F626">
        <f t="shared" ca="1" si="31"/>
        <v>0</v>
      </c>
      <c r="G626">
        <f t="shared" ca="1" si="32"/>
        <v>0</v>
      </c>
      <c r="H626" t="str">
        <f>FCS!AO627</f>
        <v>Ok</v>
      </c>
    </row>
    <row r="627" spans="2:8" x14ac:dyDescent="0.25">
      <c r="B627" s="367">
        <f>FCS!G628</f>
        <v>46109</v>
      </c>
      <c r="C627">
        <f t="shared" ca="1" si="30"/>
        <v>0</v>
      </c>
      <c r="D627">
        <f>FCS!R628</f>
        <v>1.7183226982680038</v>
      </c>
      <c r="E627">
        <f>FCS!AM628</f>
        <v>99.121028708925749</v>
      </c>
      <c r="F627">
        <f t="shared" ca="1" si="31"/>
        <v>0</v>
      </c>
      <c r="G627">
        <f t="shared" ca="1" si="32"/>
        <v>0</v>
      </c>
      <c r="H627" t="str">
        <f>FCS!AO628</f>
        <v>Ok</v>
      </c>
    </row>
    <row r="628" spans="2:8" x14ac:dyDescent="0.25">
      <c r="B628" s="367">
        <f>FCS!G629</f>
        <v>46109</v>
      </c>
      <c r="C628">
        <f t="shared" ca="1" si="30"/>
        <v>0</v>
      </c>
      <c r="D628">
        <f>FCS!R629</f>
        <v>1.7961254612546125</v>
      </c>
      <c r="E628">
        <f>FCS!AM629</f>
        <v>103.88232858615456</v>
      </c>
      <c r="F628">
        <f t="shared" ca="1" si="31"/>
        <v>0</v>
      </c>
      <c r="G628">
        <f t="shared" ca="1" si="32"/>
        <v>0</v>
      </c>
      <c r="H628" t="str">
        <f>FCS!AO629</f>
        <v>Ok</v>
      </c>
    </row>
    <row r="629" spans="2:8" x14ac:dyDescent="0.25">
      <c r="B629" s="367">
        <f>FCS!G630</f>
        <v>46109</v>
      </c>
      <c r="C629">
        <f t="shared" ca="1" si="30"/>
        <v>0</v>
      </c>
      <c r="D629">
        <f>FCS!R630</f>
        <v>1.7423423423423421</v>
      </c>
      <c r="E629">
        <f>FCS!AM630</f>
        <v>100.77167971904812</v>
      </c>
      <c r="F629">
        <f t="shared" ca="1" si="31"/>
        <v>0</v>
      </c>
      <c r="G629">
        <f t="shared" ca="1" si="32"/>
        <v>0</v>
      </c>
      <c r="H629" t="str">
        <f>FCS!AO630</f>
        <v>Ok</v>
      </c>
    </row>
    <row r="630" spans="2:8" x14ac:dyDescent="0.25">
      <c r="B630" s="367">
        <f>FCS!G631</f>
        <v>46109</v>
      </c>
      <c r="C630">
        <f t="shared" ca="1" si="30"/>
        <v>0</v>
      </c>
      <c r="D630">
        <f>FCS!R631</f>
        <v>1.7525951557093424</v>
      </c>
      <c r="E630">
        <f>FCS!AM631</f>
        <v>101.364670659881</v>
      </c>
      <c r="F630">
        <f t="shared" ca="1" si="31"/>
        <v>0</v>
      </c>
      <c r="G630">
        <f t="shared" ca="1" si="32"/>
        <v>0</v>
      </c>
      <c r="H630" t="str">
        <f>FCS!AO631</f>
        <v>Ok</v>
      </c>
    </row>
    <row r="631" spans="2:8" x14ac:dyDescent="0.25">
      <c r="B631" s="367">
        <f>FCS!G632</f>
        <v>46109</v>
      </c>
      <c r="C631">
        <f t="shared" ca="1" si="30"/>
        <v>0</v>
      </c>
      <c r="D631">
        <f>FCS!R632</f>
        <v>1.7736890524379025</v>
      </c>
      <c r="E631">
        <f>FCS!AM632</f>
        <v>102.31482344068057</v>
      </c>
      <c r="F631">
        <f t="shared" ca="1" si="31"/>
        <v>0</v>
      </c>
      <c r="G631">
        <f t="shared" ca="1" si="32"/>
        <v>0</v>
      </c>
      <c r="H631" t="str">
        <f>FCS!AO632</f>
        <v>Ok</v>
      </c>
    </row>
    <row r="632" spans="2:8" x14ac:dyDescent="0.25">
      <c r="B632" s="367">
        <f>FCS!G633</f>
        <v>46109</v>
      </c>
      <c r="C632">
        <f t="shared" ca="1" si="30"/>
        <v>0</v>
      </c>
      <c r="D632">
        <f>FCS!R633</f>
        <v>1.7650981661800096</v>
      </c>
      <c r="E632">
        <f>FCS!AM633</f>
        <v>101.81926024742123</v>
      </c>
      <c r="F632">
        <f t="shared" ca="1" si="31"/>
        <v>0</v>
      </c>
      <c r="G632">
        <f t="shared" ca="1" si="32"/>
        <v>0</v>
      </c>
      <c r="H632" t="str">
        <f>FCS!AO633</f>
        <v>OK</v>
      </c>
    </row>
    <row r="633" spans="2:8" x14ac:dyDescent="0.25">
      <c r="B633" s="367">
        <f>FCS!G634</f>
        <v>46109</v>
      </c>
      <c r="C633">
        <f t="shared" ca="1" si="30"/>
        <v>0</v>
      </c>
      <c r="D633">
        <f>FCS!R634</f>
        <v>1.7903811252268602</v>
      </c>
      <c r="E633">
        <f>FCS!AM634</f>
        <v>103.55009399808328</v>
      </c>
      <c r="F633">
        <f t="shared" ca="1" si="31"/>
        <v>0</v>
      </c>
      <c r="G633">
        <f t="shared" ca="1" si="32"/>
        <v>0</v>
      </c>
      <c r="H633" t="str">
        <f>FCS!AO634</f>
        <v>Ok</v>
      </c>
    </row>
    <row r="634" spans="2:8" x14ac:dyDescent="0.25">
      <c r="B634" s="367">
        <f>FCS!G635</f>
        <v>46109</v>
      </c>
      <c r="C634">
        <f t="shared" ca="1" si="30"/>
        <v>0</v>
      </c>
      <c r="D634">
        <f>FCS!R635</f>
        <v>1.7655677655677653</v>
      </c>
      <c r="E634">
        <f>FCS!AM635</f>
        <v>102.11496619825131</v>
      </c>
      <c r="F634">
        <f t="shared" ca="1" si="31"/>
        <v>0</v>
      </c>
      <c r="G634">
        <f t="shared" ca="1" si="32"/>
        <v>0</v>
      </c>
      <c r="H634" t="str">
        <f>FCS!AO635</f>
        <v>Ok</v>
      </c>
    </row>
    <row r="635" spans="2:8" x14ac:dyDescent="0.25">
      <c r="B635" s="367">
        <f>FCS!G636</f>
        <v>46109</v>
      </c>
      <c r="C635">
        <f t="shared" ca="1" si="30"/>
        <v>0</v>
      </c>
      <c r="D635">
        <f>FCS!R636</f>
        <v>1.7401285583103765</v>
      </c>
      <c r="E635">
        <f>FCS!AM636</f>
        <v>100.64364131349777</v>
      </c>
      <c r="F635">
        <f t="shared" ca="1" si="31"/>
        <v>0</v>
      </c>
      <c r="G635">
        <f t="shared" ca="1" si="32"/>
        <v>0</v>
      </c>
      <c r="H635" t="str">
        <f>FCS!AO636</f>
        <v>Ok</v>
      </c>
    </row>
    <row r="636" spans="2:8" x14ac:dyDescent="0.25">
      <c r="B636" s="367">
        <f>FCS!G637</f>
        <v>46109</v>
      </c>
      <c r="C636">
        <f t="shared" ca="1" si="30"/>
        <v>0</v>
      </c>
      <c r="D636">
        <f>FCS!R637</f>
        <v>1.7695099818511795</v>
      </c>
      <c r="E636">
        <f>FCS!AM637</f>
        <v>102.3429717669855</v>
      </c>
      <c r="F636">
        <f t="shared" ca="1" si="31"/>
        <v>0</v>
      </c>
      <c r="G636">
        <f t="shared" ca="1" si="32"/>
        <v>0</v>
      </c>
      <c r="H636" t="str">
        <f>FCS!AO637</f>
        <v>Ok</v>
      </c>
    </row>
    <row r="637" spans="2:8" x14ac:dyDescent="0.25">
      <c r="B637" s="367">
        <f>FCS!G638</f>
        <v>46109</v>
      </c>
      <c r="C637">
        <f t="shared" ca="1" si="30"/>
        <v>0</v>
      </c>
      <c r="D637">
        <f>FCS!R638</f>
        <v>1.770083102493075</v>
      </c>
      <c r="E637">
        <f>FCS!AM638</f>
        <v>102.3761192882056</v>
      </c>
      <c r="F637">
        <f t="shared" ca="1" si="31"/>
        <v>0</v>
      </c>
      <c r="G637">
        <f t="shared" ca="1" si="32"/>
        <v>0</v>
      </c>
      <c r="H637" t="str">
        <f>FCS!AO638</f>
        <v>Ok</v>
      </c>
    </row>
    <row r="638" spans="2:8" x14ac:dyDescent="0.25">
      <c r="B638" s="367">
        <f>FCS!G639</f>
        <v>46110</v>
      </c>
      <c r="C638">
        <f t="shared" ca="1" si="30"/>
        <v>0</v>
      </c>
      <c r="D638">
        <f>FCS!R639</f>
        <v>1.7274336283185843</v>
      </c>
      <c r="E638">
        <f>FCS!AM639</f>
        <v>101.91348839637664</v>
      </c>
      <c r="F638">
        <f t="shared" ca="1" si="31"/>
        <v>0</v>
      </c>
      <c r="G638">
        <f t="shared" ca="1" si="32"/>
        <v>0</v>
      </c>
      <c r="H638" t="str">
        <f>FCS!AO639</f>
        <v>Ok</v>
      </c>
    </row>
    <row r="639" spans="2:8" x14ac:dyDescent="0.25">
      <c r="B639" s="367">
        <f>FCS!G640</f>
        <v>46110</v>
      </c>
      <c r="C639">
        <f t="shared" ca="1" si="30"/>
        <v>0</v>
      </c>
      <c r="D639">
        <f>FCS!R640</f>
        <v>1.7358490566037736</v>
      </c>
      <c r="E639">
        <f>FCS!AM640</f>
        <v>102.4099738409306</v>
      </c>
      <c r="F639">
        <f t="shared" ca="1" si="31"/>
        <v>0</v>
      </c>
      <c r="G639">
        <f t="shared" ca="1" si="32"/>
        <v>0</v>
      </c>
      <c r="H639" t="str">
        <f>FCS!AO640</f>
        <v>Ok</v>
      </c>
    </row>
    <row r="640" spans="2:8" x14ac:dyDescent="0.25">
      <c r="B640" s="367">
        <f>FCS!G641</f>
        <v>46110</v>
      </c>
      <c r="C640">
        <f t="shared" ca="1" si="30"/>
        <v>0</v>
      </c>
      <c r="D640">
        <f>FCS!R641</f>
        <v>1.7247292418772562</v>
      </c>
      <c r="E640">
        <f>FCS!AM641</f>
        <v>101.75393757387943</v>
      </c>
      <c r="F640">
        <f t="shared" ca="1" si="31"/>
        <v>0</v>
      </c>
      <c r="G640">
        <f t="shared" ca="1" si="32"/>
        <v>0</v>
      </c>
      <c r="H640" t="str">
        <f>FCS!AO641</f>
        <v>Ok</v>
      </c>
    </row>
    <row r="641" spans="2:8" x14ac:dyDescent="0.25">
      <c r="B641" s="367">
        <f>FCS!G642</f>
        <v>46110</v>
      </c>
      <c r="C641">
        <f t="shared" ca="1" si="30"/>
        <v>0</v>
      </c>
      <c r="D641">
        <f>FCS!R642</f>
        <v>1.7024346257889991</v>
      </c>
      <c r="E641">
        <f>FCS!AM642</f>
        <v>100.43862099050142</v>
      </c>
      <c r="F641">
        <f t="shared" ca="1" si="31"/>
        <v>0</v>
      </c>
      <c r="G641">
        <f t="shared" ca="1" si="32"/>
        <v>0</v>
      </c>
      <c r="H641" t="str">
        <f>FCS!AO642</f>
        <v>Ok</v>
      </c>
    </row>
    <row r="642" spans="2:8" x14ac:dyDescent="0.25">
      <c r="B642" s="367">
        <f>FCS!G643</f>
        <v>46110</v>
      </c>
      <c r="C642">
        <f t="shared" ca="1" si="30"/>
        <v>0</v>
      </c>
      <c r="D642">
        <f>FCS!R643</f>
        <v>1.7587476979742172</v>
      </c>
      <c r="E642">
        <f>FCS!AM643</f>
        <v>102.51294538028479</v>
      </c>
      <c r="F642">
        <f t="shared" ca="1" si="31"/>
        <v>0</v>
      </c>
      <c r="G642">
        <f t="shared" ca="1" si="32"/>
        <v>0</v>
      </c>
      <c r="H642" t="str">
        <f>FCS!AO643</f>
        <v>Ok</v>
      </c>
    </row>
    <row r="643" spans="2:8" x14ac:dyDescent="0.25">
      <c r="B643" s="367">
        <f>FCS!G645</f>
        <v>46110</v>
      </c>
      <c r="C643">
        <f t="shared" ca="1" si="30"/>
        <v>0</v>
      </c>
      <c r="D643">
        <f>FCS!R645</f>
        <v>1.7054735013032147</v>
      </c>
      <c r="E643">
        <f>FCS!AM645</f>
        <v>100.61790568160558</v>
      </c>
      <c r="F643">
        <f t="shared" ca="1" si="31"/>
        <v>0</v>
      </c>
      <c r="G643">
        <f t="shared" ca="1" si="32"/>
        <v>0</v>
      </c>
      <c r="H643" t="str">
        <f>FCS!AO645</f>
        <v>Ok</v>
      </c>
    </row>
    <row r="644" spans="2:8" x14ac:dyDescent="0.25">
      <c r="B644" s="367">
        <f>FCS!G646</f>
        <v>46110</v>
      </c>
      <c r="C644">
        <f t="shared" ca="1" si="30"/>
        <v>0</v>
      </c>
      <c r="D644">
        <f>FCS!R646</f>
        <v>1.7524752475247525</v>
      </c>
      <c r="E644">
        <f>FCS!AM646</f>
        <v>103.39087006045737</v>
      </c>
      <c r="F644">
        <f t="shared" ca="1" si="31"/>
        <v>0</v>
      </c>
      <c r="G644">
        <f t="shared" ca="1" si="32"/>
        <v>0</v>
      </c>
      <c r="H644" t="str">
        <f>FCS!AO646</f>
        <v>Ok</v>
      </c>
    </row>
    <row r="645" spans="2:8" x14ac:dyDescent="0.25">
      <c r="B645" s="367">
        <f>FCS!G647</f>
        <v>46110</v>
      </c>
      <c r="C645">
        <f t="shared" ca="1" si="30"/>
        <v>0</v>
      </c>
      <c r="D645">
        <f>FCS!R647</f>
        <v>1.7893284268629257</v>
      </c>
      <c r="E645">
        <f>FCS!AM647</f>
        <v>103.48920918813913</v>
      </c>
      <c r="F645">
        <f t="shared" ca="1" si="31"/>
        <v>0</v>
      </c>
      <c r="G645">
        <f t="shared" ca="1" si="32"/>
        <v>0</v>
      </c>
      <c r="H645" t="str">
        <f>FCS!AO647</f>
        <v>Ok</v>
      </c>
    </row>
    <row r="646" spans="2:8" x14ac:dyDescent="0.25">
      <c r="B646" s="367">
        <f>FCS!G648</f>
        <v>46110</v>
      </c>
      <c r="C646">
        <f t="shared" ca="1" si="30"/>
        <v>0</v>
      </c>
      <c r="D646">
        <f>FCS!R648</f>
        <v>1.8113718411552346</v>
      </c>
      <c r="E646">
        <f>FCS!AM648</f>
        <v>104.76413193494705</v>
      </c>
      <c r="F646">
        <f t="shared" ca="1" si="31"/>
        <v>0</v>
      </c>
      <c r="G646">
        <f t="shared" ca="1" si="32"/>
        <v>0</v>
      </c>
      <c r="H646" t="str">
        <f>FCS!AO648</f>
        <v>Ok</v>
      </c>
    </row>
    <row r="647" spans="2:8" x14ac:dyDescent="0.25">
      <c r="B647" s="367">
        <f>FCS!G649</f>
        <v>46110</v>
      </c>
      <c r="C647">
        <f t="shared" ca="1" si="30"/>
        <v>0</v>
      </c>
      <c r="D647">
        <f>FCS!R649</f>
        <v>1.7534364261168385</v>
      </c>
      <c r="E647">
        <f>FCS!AM649</f>
        <v>101.41332713226365</v>
      </c>
      <c r="F647">
        <f t="shared" ca="1" si="31"/>
        <v>0</v>
      </c>
      <c r="G647">
        <f t="shared" ca="1" si="32"/>
        <v>0</v>
      </c>
      <c r="H647" t="str">
        <f>FCS!AO649</f>
        <v>Ok</v>
      </c>
    </row>
    <row r="648" spans="2:8" x14ac:dyDescent="0.25">
      <c r="B648" s="367">
        <f>FCS!G650</f>
        <v>46110</v>
      </c>
      <c r="C648">
        <f t="shared" ca="1" si="30"/>
        <v>0</v>
      </c>
      <c r="D648">
        <f>FCS!R650</f>
        <v>1.7410394265232974</v>
      </c>
      <c r="E648">
        <f>FCS!AM650</f>
        <v>100.69632310718897</v>
      </c>
      <c r="F648">
        <f t="shared" ca="1" si="31"/>
        <v>0</v>
      </c>
      <c r="G648">
        <f t="shared" ca="1" si="32"/>
        <v>0</v>
      </c>
      <c r="H648" t="str">
        <f>FCS!AO650</f>
        <v>Ok</v>
      </c>
    </row>
    <row r="649" spans="2:8" x14ac:dyDescent="0.25">
      <c r="B649" s="367">
        <f>FCS!G651</f>
        <v>46110</v>
      </c>
      <c r="C649">
        <f t="shared" ca="1" si="30"/>
        <v>0</v>
      </c>
      <c r="D649">
        <f>FCS!R651</f>
        <v>1.7137777777777776</v>
      </c>
      <c r="E649">
        <f>FCS!AM651</f>
        <v>99.119593856435955</v>
      </c>
      <c r="F649">
        <f t="shared" ca="1" si="31"/>
        <v>0</v>
      </c>
      <c r="G649">
        <f t="shared" ca="1" si="32"/>
        <v>0</v>
      </c>
      <c r="H649" t="str">
        <f>FCS!AO651</f>
        <v>Ok</v>
      </c>
    </row>
    <row r="650" spans="2:8" x14ac:dyDescent="0.25">
      <c r="B650" s="367">
        <f>FCS!G652</f>
        <v>46110</v>
      </c>
      <c r="C650">
        <f t="shared" ca="1" si="30"/>
        <v>0</v>
      </c>
      <c r="D650">
        <f>FCS!R652</f>
        <v>1.7413333333333334</v>
      </c>
      <c r="E650">
        <f>FCS!AM652</f>
        <v>100.71332176595334</v>
      </c>
      <c r="F650">
        <f t="shared" ca="1" si="31"/>
        <v>0</v>
      </c>
      <c r="G650">
        <f t="shared" ca="1" si="32"/>
        <v>0</v>
      </c>
      <c r="H650" t="str">
        <f>FCS!AO652</f>
        <v>Ok</v>
      </c>
    </row>
    <row r="651" spans="2:8" x14ac:dyDescent="0.25">
      <c r="B651" s="367">
        <f>FCS!G653</f>
        <v>46110</v>
      </c>
      <c r="C651">
        <f t="shared" ca="1" si="30"/>
        <v>0</v>
      </c>
      <c r="D651">
        <f>FCS!R653</f>
        <v>1.7882562277580067</v>
      </c>
      <c r="E651">
        <f>FCS!AM653</f>
        <v>103.42719651578986</v>
      </c>
      <c r="F651">
        <f t="shared" ca="1" si="31"/>
        <v>0</v>
      </c>
      <c r="G651">
        <f t="shared" ca="1" si="32"/>
        <v>0</v>
      </c>
      <c r="H651" t="str">
        <f>FCS!AO653</f>
        <v>Ok</v>
      </c>
    </row>
    <row r="652" spans="2:8" x14ac:dyDescent="0.25">
      <c r="B652" s="367">
        <f>FCS!G654</f>
        <v>46110</v>
      </c>
      <c r="C652">
        <f t="shared" ca="1" si="30"/>
        <v>0</v>
      </c>
      <c r="D652">
        <f>FCS!R654</f>
        <v>1.7520361990950226</v>
      </c>
      <c r="E652">
        <f>FCS!AM654</f>
        <v>100.87734695554434</v>
      </c>
      <c r="F652">
        <f t="shared" ca="1" si="31"/>
        <v>0</v>
      </c>
      <c r="G652">
        <f t="shared" ca="1" si="32"/>
        <v>0</v>
      </c>
      <c r="H652" t="str">
        <f>FCS!AO654</f>
        <v>Ok</v>
      </c>
    </row>
    <row r="653" spans="2:8" x14ac:dyDescent="0.25">
      <c r="B653" s="367">
        <f>FCS!G655</f>
        <v>46110</v>
      </c>
      <c r="C653">
        <f t="shared" ca="1" si="30"/>
        <v>0</v>
      </c>
      <c r="D653">
        <f>FCS!R655</f>
        <v>1.7214542024675037</v>
      </c>
      <c r="E653">
        <f>FCS!AM655</f>
        <v>99.116521074217772</v>
      </c>
      <c r="F653">
        <f t="shared" ca="1" si="31"/>
        <v>0</v>
      </c>
      <c r="G653">
        <f t="shared" ca="1" si="32"/>
        <v>0</v>
      </c>
      <c r="H653" t="str">
        <f>FCS!AO655</f>
        <v>OK</v>
      </c>
    </row>
    <row r="654" spans="2:8" x14ac:dyDescent="0.25">
      <c r="B654" s="367">
        <f>FCS!G656</f>
        <v>46110</v>
      </c>
      <c r="C654">
        <f t="shared" ca="1" si="30"/>
        <v>0</v>
      </c>
      <c r="D654">
        <f>FCS!R656</f>
        <v>1.7240143369175625</v>
      </c>
      <c r="E654">
        <f>FCS!AM656</f>
        <v>99.711644703155727</v>
      </c>
      <c r="F654">
        <f t="shared" ca="1" si="31"/>
        <v>0</v>
      </c>
      <c r="G654">
        <f t="shared" ca="1" si="32"/>
        <v>0</v>
      </c>
      <c r="H654" t="str">
        <f>FCS!AO656</f>
        <v>Ok</v>
      </c>
    </row>
    <row r="655" spans="2:8" x14ac:dyDescent="0.25">
      <c r="B655" s="367">
        <f>FCS!G657</f>
        <v>46110</v>
      </c>
      <c r="C655">
        <f t="shared" ca="1" si="30"/>
        <v>0</v>
      </c>
      <c r="D655">
        <f>FCS!R657</f>
        <v>1.7809090909090908</v>
      </c>
      <c r="E655">
        <f>FCS!AM657</f>
        <v>103.00226089699774</v>
      </c>
      <c r="F655">
        <f t="shared" ca="1" si="31"/>
        <v>0</v>
      </c>
      <c r="G655">
        <f t="shared" ca="1" si="32"/>
        <v>0</v>
      </c>
      <c r="H655" t="str">
        <f>FCS!AO657</f>
        <v>Ok</v>
      </c>
    </row>
    <row r="656" spans="2:8" x14ac:dyDescent="0.25">
      <c r="B656" s="367">
        <f>FCS!G658</f>
        <v>46110</v>
      </c>
      <c r="C656">
        <f t="shared" ca="1" si="30"/>
        <v>0</v>
      </c>
      <c r="D656">
        <f>FCS!R658</f>
        <v>1.7710526315789472</v>
      </c>
      <c r="E656">
        <f>FCS!AM658</f>
        <v>102.43219384493621</v>
      </c>
      <c r="F656">
        <f t="shared" ca="1" si="31"/>
        <v>0</v>
      </c>
      <c r="G656">
        <f t="shared" ca="1" si="32"/>
        <v>0</v>
      </c>
      <c r="H656" t="str">
        <f>FCS!AO658</f>
        <v>Ok</v>
      </c>
    </row>
    <row r="657" spans="2:8" x14ac:dyDescent="0.25">
      <c r="B657" s="367">
        <f>FCS!G659</f>
        <v>46110</v>
      </c>
      <c r="C657">
        <f t="shared" ca="1" si="30"/>
        <v>0</v>
      </c>
      <c r="D657">
        <f>FCS!R659</f>
        <v>1.7319223985890655</v>
      </c>
      <c r="E657">
        <f>FCS!AM659</f>
        <v>100.1690224747869</v>
      </c>
      <c r="F657">
        <f t="shared" ca="1" si="31"/>
        <v>0</v>
      </c>
      <c r="G657">
        <f t="shared" ca="1" si="32"/>
        <v>0</v>
      </c>
      <c r="H657" t="str">
        <f>FCS!AO659</f>
        <v>Ok</v>
      </c>
    </row>
    <row r="658" spans="2:8" x14ac:dyDescent="0.25">
      <c r="B658" s="367">
        <f>FCS!G660</f>
        <v>46110</v>
      </c>
      <c r="C658">
        <f t="shared" ca="1" si="30"/>
        <v>0</v>
      </c>
      <c r="D658">
        <f>FCS!R660</f>
        <v>1.7340989399293285</v>
      </c>
      <c r="E658">
        <f>FCS!AM660</f>
        <v>100.29490687850367</v>
      </c>
      <c r="F658">
        <f t="shared" ca="1" si="31"/>
        <v>0</v>
      </c>
      <c r="G658">
        <f t="shared" ca="1" si="32"/>
        <v>0</v>
      </c>
      <c r="H658" t="str">
        <f>FCS!AO660</f>
        <v>Ok</v>
      </c>
    </row>
    <row r="659" spans="2:8" x14ac:dyDescent="0.25">
      <c r="B659" s="367">
        <f>FCS!G661</f>
        <v>46110</v>
      </c>
      <c r="C659">
        <f t="shared" ref="C659:C722" ca="1" si="33">IF(AND(B659&gt;$C$5,B659&lt;$D$4,H659="OK"),1,0)</f>
        <v>0</v>
      </c>
      <c r="D659">
        <f>FCS!R661</f>
        <v>1.7722513089005238</v>
      </c>
      <c r="E659">
        <f>FCS!AM661</f>
        <v>102.50152162524716</v>
      </c>
      <c r="F659">
        <f t="shared" ref="F659:F722" ca="1" si="34">IFERROR(D659*C659,0)</f>
        <v>0</v>
      </c>
      <c r="G659">
        <f t="shared" ref="G659:G722" ca="1" si="35">IFERROR(E659*C659,0)</f>
        <v>0</v>
      </c>
      <c r="H659" t="str">
        <f>FCS!AO661</f>
        <v>Ok</v>
      </c>
    </row>
    <row r="660" spans="2:8" x14ac:dyDescent="0.25">
      <c r="B660" s="367">
        <f>FCS!G662</f>
        <v>46110</v>
      </c>
      <c r="C660">
        <f t="shared" ca="1" si="33"/>
        <v>0</v>
      </c>
      <c r="D660">
        <f>FCS!R662</f>
        <v>1.7348214285714285</v>
      </c>
      <c r="E660">
        <f>FCS!AM662</f>
        <v>100.33669338180616</v>
      </c>
      <c r="F660">
        <f t="shared" ca="1" si="34"/>
        <v>0</v>
      </c>
      <c r="G660">
        <f t="shared" ca="1" si="35"/>
        <v>0</v>
      </c>
      <c r="H660" t="str">
        <f>FCS!AO662</f>
        <v>Ok</v>
      </c>
    </row>
    <row r="661" spans="2:8" x14ac:dyDescent="0.25">
      <c r="B661" s="367">
        <f>FCS!G663</f>
        <v>46110</v>
      </c>
      <c r="C661">
        <f t="shared" ca="1" si="33"/>
        <v>0</v>
      </c>
      <c r="D661">
        <f>FCS!R663</f>
        <v>1.7607142857142855</v>
      </c>
      <c r="E661">
        <f>FCS!AM663</f>
        <v>101.8342559695943</v>
      </c>
      <c r="F661">
        <f t="shared" ca="1" si="34"/>
        <v>0</v>
      </c>
      <c r="G661">
        <f t="shared" ca="1" si="35"/>
        <v>0</v>
      </c>
      <c r="H661" t="str">
        <f>FCS!AO663</f>
        <v>Ok</v>
      </c>
    </row>
    <row r="662" spans="2:8" x14ac:dyDescent="0.25">
      <c r="B662" s="367">
        <f>FCS!G664</f>
        <v>46110</v>
      </c>
      <c r="C662">
        <f t="shared" ca="1" si="33"/>
        <v>0</v>
      </c>
      <c r="D662">
        <f>FCS!R664</f>
        <v>1.7220756376429198</v>
      </c>
      <c r="E662">
        <f>FCS!AM664</f>
        <v>99.59951634719026</v>
      </c>
      <c r="F662">
        <f t="shared" ca="1" si="34"/>
        <v>0</v>
      </c>
      <c r="G662">
        <f t="shared" ca="1" si="35"/>
        <v>0</v>
      </c>
      <c r="H662" t="str">
        <f>FCS!AO664</f>
        <v>Ok</v>
      </c>
    </row>
    <row r="663" spans="2:8" x14ac:dyDescent="0.25">
      <c r="B663" s="367">
        <f>FCS!G665</f>
        <v>46111</v>
      </c>
      <c r="C663">
        <f t="shared" ca="1" si="33"/>
        <v>1</v>
      </c>
      <c r="D663">
        <f>FCS!R665</f>
        <v>1.7349505840071879</v>
      </c>
      <c r="E663">
        <f>FCS!AM665</f>
        <v>100.69359164290121</v>
      </c>
      <c r="F663">
        <f t="shared" ca="1" si="34"/>
        <v>1.7349505840071879</v>
      </c>
      <c r="G663">
        <f t="shared" ca="1" si="35"/>
        <v>100.69359164290121</v>
      </c>
      <c r="H663" t="str">
        <f>FCS!AO665</f>
        <v>Ok</v>
      </c>
    </row>
    <row r="664" spans="2:8" x14ac:dyDescent="0.25">
      <c r="B664" s="367">
        <f>FCS!G667</f>
        <v>46111</v>
      </c>
      <c r="C664">
        <f t="shared" ca="1" si="33"/>
        <v>1</v>
      </c>
      <c r="D664">
        <f>FCS!R667</f>
        <v>1.7445319335083114</v>
      </c>
      <c r="E664">
        <f>FCS!AM667</f>
        <v>100.66543182390717</v>
      </c>
      <c r="F664">
        <f t="shared" ca="1" si="34"/>
        <v>1.7445319335083114</v>
      </c>
      <c r="G664">
        <f t="shared" ca="1" si="35"/>
        <v>100.66543182390717</v>
      </c>
      <c r="H664" t="str">
        <f>FCS!AO667</f>
        <v>Ok</v>
      </c>
    </row>
    <row r="665" spans="2:8" x14ac:dyDescent="0.25">
      <c r="B665" s="367">
        <f>FCS!G668</f>
        <v>46111</v>
      </c>
      <c r="C665">
        <f t="shared" ca="1" si="33"/>
        <v>1</v>
      </c>
      <c r="D665">
        <f>FCS!R668</f>
        <v>1.8076923076923075</v>
      </c>
      <c r="E665">
        <f>FCS!AM668</f>
        <v>104.31000044387233</v>
      </c>
      <c r="F665">
        <f t="shared" ca="1" si="34"/>
        <v>1.8076923076923075</v>
      </c>
      <c r="G665">
        <f t="shared" ca="1" si="35"/>
        <v>104.31000044387233</v>
      </c>
      <c r="H665" t="str">
        <f>FCS!AO668</f>
        <v>Ok</v>
      </c>
    </row>
    <row r="666" spans="2:8" x14ac:dyDescent="0.25">
      <c r="B666" s="367">
        <f>FCS!G669</f>
        <v>46111</v>
      </c>
      <c r="C666">
        <f t="shared" ca="1" si="33"/>
        <v>1</v>
      </c>
      <c r="D666">
        <f>FCS!R669</f>
        <v>1.8030852994555353</v>
      </c>
      <c r="E666">
        <f>FCS!AM669</f>
        <v>104.04416038404705</v>
      </c>
      <c r="F666">
        <f t="shared" ca="1" si="34"/>
        <v>1.8030852994555353</v>
      </c>
      <c r="G666">
        <f t="shared" ca="1" si="35"/>
        <v>104.04416038404705</v>
      </c>
      <c r="H666" t="str">
        <f>FCS!AO669</f>
        <v>Ok</v>
      </c>
    </row>
    <row r="667" spans="2:8" x14ac:dyDescent="0.25">
      <c r="B667" s="367">
        <f>FCS!G670</f>
        <v>46111</v>
      </c>
      <c r="C667">
        <f t="shared" ca="1" si="33"/>
        <v>1</v>
      </c>
      <c r="D667">
        <f>FCS!R670</f>
        <v>1.7702582368655386</v>
      </c>
      <c r="E667">
        <f>FCS!AM670</f>
        <v>102.14992711284123</v>
      </c>
      <c r="F667">
        <f t="shared" ca="1" si="34"/>
        <v>1.7702582368655386</v>
      </c>
      <c r="G667">
        <f t="shared" ca="1" si="35"/>
        <v>102.14992711284123</v>
      </c>
      <c r="H667" t="str">
        <f>FCS!AO670</f>
        <v>Ok</v>
      </c>
    </row>
    <row r="668" spans="2:8" x14ac:dyDescent="0.25">
      <c r="B668" s="367">
        <f>FCS!G671</f>
        <v>46111</v>
      </c>
      <c r="C668">
        <f t="shared" ca="1" si="33"/>
        <v>1</v>
      </c>
      <c r="D668">
        <f>FCS!R671</f>
        <v>1.8131267092069281</v>
      </c>
      <c r="E668">
        <f>FCS!AM671</f>
        <v>104.62358391269061</v>
      </c>
      <c r="F668">
        <f t="shared" ca="1" si="34"/>
        <v>1.8131267092069281</v>
      </c>
      <c r="G668">
        <f t="shared" ca="1" si="35"/>
        <v>104.62358391269061</v>
      </c>
      <c r="H668" t="str">
        <f>FCS!AO671</f>
        <v>Ok</v>
      </c>
    </row>
    <row r="669" spans="2:8" x14ac:dyDescent="0.25">
      <c r="B669" s="367">
        <f>FCS!G672</f>
        <v>46111</v>
      </c>
      <c r="C669">
        <f t="shared" ca="1" si="33"/>
        <v>1</v>
      </c>
      <c r="D669">
        <f>FCS!R672</f>
        <v>1.7165492957746478</v>
      </c>
      <c r="E669">
        <f>FCS!AM672</f>
        <v>99.050738359760388</v>
      </c>
      <c r="F669">
        <f t="shared" ca="1" si="34"/>
        <v>1.7165492957746478</v>
      </c>
      <c r="G669">
        <f t="shared" ca="1" si="35"/>
        <v>99.050738359760388</v>
      </c>
      <c r="H669" t="str">
        <f>FCS!AO672</f>
        <v>Ok</v>
      </c>
    </row>
    <row r="670" spans="2:8" x14ac:dyDescent="0.25">
      <c r="B670" s="367">
        <f>FCS!G673</f>
        <v>46111</v>
      </c>
      <c r="C670">
        <f t="shared" ca="1" si="33"/>
        <v>1</v>
      </c>
      <c r="D670">
        <f>FCS!R673</f>
        <v>1.7824116047144152</v>
      </c>
      <c r="E670">
        <f>FCS!AM673</f>
        <v>102.85121781387276</v>
      </c>
      <c r="F670">
        <f t="shared" ca="1" si="34"/>
        <v>1.7824116047144152</v>
      </c>
      <c r="G670">
        <f t="shared" ca="1" si="35"/>
        <v>102.85121781387276</v>
      </c>
      <c r="H670" t="str">
        <f>FCS!AO673</f>
        <v>Ok</v>
      </c>
    </row>
    <row r="671" spans="2:8" x14ac:dyDescent="0.25">
      <c r="B671" s="367">
        <f>FCS!G674</f>
        <v>46111</v>
      </c>
      <c r="C671">
        <f t="shared" ca="1" si="33"/>
        <v>1</v>
      </c>
      <c r="D671">
        <f>FCS!R674</f>
        <v>1.8094339622641509</v>
      </c>
      <c r="E671">
        <f>FCS!AM674</f>
        <v>104.41049984213218</v>
      </c>
      <c r="F671">
        <f t="shared" ca="1" si="34"/>
        <v>1.8094339622641509</v>
      </c>
      <c r="G671">
        <f t="shared" ca="1" si="35"/>
        <v>104.41049984213218</v>
      </c>
      <c r="H671" t="str">
        <f>FCS!AO674</f>
        <v>Ok</v>
      </c>
    </row>
    <row r="672" spans="2:8" x14ac:dyDescent="0.25">
      <c r="B672" s="367">
        <f>FCS!G675</f>
        <v>46111</v>
      </c>
      <c r="C672">
        <f t="shared" ca="1" si="33"/>
        <v>1</v>
      </c>
      <c r="D672">
        <f>FCS!R675</f>
        <v>1.8090405904059039</v>
      </c>
      <c r="E672">
        <f>FCS!AM675</f>
        <v>104.38780094667651</v>
      </c>
      <c r="F672">
        <f t="shared" ca="1" si="34"/>
        <v>1.8090405904059039</v>
      </c>
      <c r="G672">
        <f t="shared" ca="1" si="35"/>
        <v>104.38780094667651</v>
      </c>
      <c r="H672" t="str">
        <f>FCS!AO675</f>
        <v>Ok</v>
      </c>
    </row>
    <row r="673" spans="2:8" x14ac:dyDescent="0.25">
      <c r="B673" s="367">
        <f>FCS!G676</f>
        <v>46111</v>
      </c>
      <c r="C673">
        <f t="shared" ca="1" si="33"/>
        <v>1</v>
      </c>
      <c r="D673">
        <f>FCS!R676</f>
        <v>1.7398005439709883</v>
      </c>
      <c r="E673">
        <f>FCS!AM676</f>
        <v>100.1728521352814</v>
      </c>
      <c r="F673">
        <f t="shared" ca="1" si="34"/>
        <v>1.7398005439709883</v>
      </c>
      <c r="G673">
        <f t="shared" ca="1" si="35"/>
        <v>100.1728521352814</v>
      </c>
      <c r="H673" t="str">
        <f>FCS!AO676</f>
        <v>Ok</v>
      </c>
    </row>
    <row r="674" spans="2:8" x14ac:dyDescent="0.25">
      <c r="B674" s="367">
        <f>FCS!G677</f>
        <v>46111</v>
      </c>
      <c r="C674">
        <f t="shared" ca="1" si="33"/>
        <v>1</v>
      </c>
      <c r="D674">
        <f>FCS!R677</f>
        <v>1.7133727344768335</v>
      </c>
      <c r="E674">
        <f>FCS!AM677</f>
        <v>98.651212737080655</v>
      </c>
      <c r="F674">
        <f t="shared" ca="1" si="34"/>
        <v>1.7133727344768335</v>
      </c>
      <c r="G674">
        <f t="shared" ca="1" si="35"/>
        <v>98.651212737080655</v>
      </c>
      <c r="H674" t="str">
        <f>FCS!AO677</f>
        <v>OK</v>
      </c>
    </row>
    <row r="675" spans="2:8" x14ac:dyDescent="0.25">
      <c r="B675" s="367">
        <f>FCS!G678</f>
        <v>46111</v>
      </c>
      <c r="C675">
        <f t="shared" ca="1" si="33"/>
        <v>1</v>
      </c>
      <c r="D675">
        <f>FCS!R678</f>
        <v>1.7628205128205128</v>
      </c>
      <c r="E675">
        <f>FCS!AM678</f>
        <v>101.72074511370528</v>
      </c>
      <c r="F675">
        <f t="shared" ca="1" si="34"/>
        <v>1.7628205128205128</v>
      </c>
      <c r="G675">
        <f t="shared" ca="1" si="35"/>
        <v>101.72074511370528</v>
      </c>
      <c r="H675" t="str">
        <f>FCS!AO678</f>
        <v>Ok</v>
      </c>
    </row>
    <row r="676" spans="2:8" x14ac:dyDescent="0.25">
      <c r="B676" s="367">
        <f>FCS!G679</f>
        <v>46111</v>
      </c>
      <c r="C676">
        <f t="shared" ca="1" si="33"/>
        <v>1</v>
      </c>
      <c r="D676">
        <f>FCS!R679</f>
        <v>1.7796024200518583</v>
      </c>
      <c r="E676">
        <f>FCS!AM679</f>
        <v>102.68911829497162</v>
      </c>
      <c r="F676">
        <f t="shared" ca="1" si="34"/>
        <v>1.7796024200518583</v>
      </c>
      <c r="G676">
        <f t="shared" ca="1" si="35"/>
        <v>102.68911829497162</v>
      </c>
      <c r="H676" t="str">
        <f>FCS!AO679</f>
        <v>Ok</v>
      </c>
    </row>
    <row r="677" spans="2:8" x14ac:dyDescent="0.25">
      <c r="B677" s="367">
        <f>FCS!G680</f>
        <v>46111</v>
      </c>
      <c r="C677">
        <f t="shared" ca="1" si="33"/>
        <v>1</v>
      </c>
      <c r="D677">
        <f>FCS!R680</f>
        <v>1.7315978456014363</v>
      </c>
      <c r="E677">
        <f>FCS!AM680</f>
        <v>99.919090917567004</v>
      </c>
      <c r="F677">
        <f t="shared" ca="1" si="34"/>
        <v>1.7315978456014363</v>
      </c>
      <c r="G677">
        <f t="shared" ca="1" si="35"/>
        <v>99.919090917567004</v>
      </c>
      <c r="H677" t="str">
        <f>FCS!AO680</f>
        <v>Ok</v>
      </c>
    </row>
    <row r="678" spans="2:8" x14ac:dyDescent="0.25">
      <c r="B678" s="367">
        <f>FCS!G681</f>
        <v>46111</v>
      </c>
      <c r="C678">
        <f t="shared" ca="1" si="33"/>
        <v>1</v>
      </c>
      <c r="D678">
        <f>FCS!R681</f>
        <v>1.731046931407942</v>
      </c>
      <c r="E678">
        <f>FCS!AM681</f>
        <v>99.887301293014531</v>
      </c>
      <c r="F678">
        <f t="shared" ca="1" si="34"/>
        <v>1.731046931407942</v>
      </c>
      <c r="G678">
        <f t="shared" ca="1" si="35"/>
        <v>99.887301293014531</v>
      </c>
      <c r="H678" t="str">
        <f>FCS!AO681</f>
        <v>Ok</v>
      </c>
    </row>
    <row r="679" spans="2:8" x14ac:dyDescent="0.25">
      <c r="B679" s="367">
        <f>FCS!G682</f>
        <v>46111</v>
      </c>
      <c r="C679">
        <f t="shared" ca="1" si="33"/>
        <v>1</v>
      </c>
      <c r="D679">
        <f>FCS!R682</f>
        <v>1.7597109304426377</v>
      </c>
      <c r="E679">
        <f>FCS!AM682</f>
        <v>101.54131162392601</v>
      </c>
      <c r="F679">
        <f t="shared" ca="1" si="34"/>
        <v>1.7597109304426377</v>
      </c>
      <c r="G679">
        <f t="shared" ca="1" si="35"/>
        <v>101.54131162392601</v>
      </c>
      <c r="H679" t="str">
        <f>FCS!AO682</f>
        <v>Ok</v>
      </c>
    </row>
    <row r="680" spans="2:8" x14ac:dyDescent="0.25">
      <c r="B680" s="367">
        <f>FCS!G683</f>
        <v>46111</v>
      </c>
      <c r="C680">
        <f t="shared" ca="1" si="33"/>
        <v>1</v>
      </c>
      <c r="D680">
        <f>FCS!R683</f>
        <v>1.8081818181818181</v>
      </c>
      <c r="E680">
        <f>FCS!AM683</f>
        <v>104.33824686565598</v>
      </c>
      <c r="F680">
        <f t="shared" ca="1" si="34"/>
        <v>1.8081818181818181</v>
      </c>
      <c r="G680">
        <f t="shared" ca="1" si="35"/>
        <v>104.33824686565598</v>
      </c>
      <c r="H680" t="str">
        <f>FCS!AO683</f>
        <v>Ok</v>
      </c>
    </row>
    <row r="681" spans="2:8" x14ac:dyDescent="0.25">
      <c r="B681" s="367">
        <f>FCS!G684</f>
        <v>46111</v>
      </c>
      <c r="C681">
        <f t="shared" ca="1" si="33"/>
        <v>1</v>
      </c>
      <c r="D681">
        <f>FCS!R684</f>
        <v>1.7982905982905986</v>
      </c>
      <c r="E681">
        <f>FCS!AM684</f>
        <v>103.76748980326593</v>
      </c>
      <c r="F681">
        <f t="shared" ca="1" si="34"/>
        <v>1.7982905982905986</v>
      </c>
      <c r="G681">
        <f t="shared" ca="1" si="35"/>
        <v>103.76748980326593</v>
      </c>
      <c r="H681" t="str">
        <f>FCS!AO684</f>
        <v>Ok</v>
      </c>
    </row>
    <row r="682" spans="2:8" x14ac:dyDescent="0.25">
      <c r="B682" s="367">
        <f>FCS!G685</f>
        <v>46111</v>
      </c>
      <c r="C682">
        <f t="shared" ca="1" si="33"/>
        <v>1</v>
      </c>
      <c r="D682">
        <f>FCS!R685</f>
        <v>1.7950310559006213</v>
      </c>
      <c r="E682">
        <f>FCS!AM685</f>
        <v>103.57940311024936</v>
      </c>
      <c r="F682">
        <f t="shared" ca="1" si="34"/>
        <v>1.7950310559006213</v>
      </c>
      <c r="G682">
        <f t="shared" ca="1" si="35"/>
        <v>103.57940311024936</v>
      </c>
      <c r="H682" t="str">
        <f>FCS!AO685</f>
        <v>Ok</v>
      </c>
    </row>
    <row r="683" spans="2:8" x14ac:dyDescent="0.25">
      <c r="B683" s="367">
        <f>FCS!G686</f>
        <v>46111</v>
      </c>
      <c r="C683">
        <f t="shared" ca="1" si="33"/>
        <v>1</v>
      </c>
      <c r="D683">
        <f>FCS!R686</f>
        <v>1.7688266199649738</v>
      </c>
      <c r="E683">
        <f>FCS!AM686</f>
        <v>102.06731794373766</v>
      </c>
      <c r="F683">
        <f t="shared" ca="1" si="34"/>
        <v>1.7688266199649738</v>
      </c>
      <c r="G683">
        <f t="shared" ca="1" si="35"/>
        <v>102.06731794373766</v>
      </c>
      <c r="H683" t="str">
        <f>FCS!AO686</f>
        <v>Ok</v>
      </c>
    </row>
    <row r="684" spans="2:8" x14ac:dyDescent="0.25">
      <c r="B684" s="367">
        <f>FCS!G687</f>
        <v>46111</v>
      </c>
      <c r="C684">
        <f t="shared" ca="1" si="33"/>
        <v>1</v>
      </c>
      <c r="D684">
        <f>FCS!R687</f>
        <v>1.7783933518005539</v>
      </c>
      <c r="E684">
        <f>FCS!AM687</f>
        <v>103.88172654408694</v>
      </c>
      <c r="F684">
        <f t="shared" ca="1" si="34"/>
        <v>1.7783933518005539</v>
      </c>
      <c r="G684">
        <f t="shared" ca="1" si="35"/>
        <v>103.88172654408694</v>
      </c>
      <c r="H684" t="str">
        <f>FCS!AO687</f>
        <v>Ok</v>
      </c>
    </row>
    <row r="685" spans="2:8" x14ac:dyDescent="0.25">
      <c r="B685" s="367">
        <f>FCS!G688</f>
        <v>46111</v>
      </c>
      <c r="C685">
        <f t="shared" ca="1" si="33"/>
        <v>1</v>
      </c>
      <c r="D685">
        <f>FCS!R688</f>
        <v>1.6885770518877186</v>
      </c>
      <c r="E685">
        <f>FCS!AM688</f>
        <v>98.635265013346114</v>
      </c>
      <c r="F685">
        <f t="shared" ca="1" si="34"/>
        <v>1.6885770518877186</v>
      </c>
      <c r="G685">
        <f t="shared" ca="1" si="35"/>
        <v>98.635265013346114</v>
      </c>
      <c r="H685" t="str">
        <f>FCS!AO688</f>
        <v>OK</v>
      </c>
    </row>
    <row r="686" spans="2:8" x14ac:dyDescent="0.25">
      <c r="B686" s="367">
        <f>FCS!G689</f>
        <v>46111</v>
      </c>
      <c r="C686">
        <f t="shared" ca="1" si="33"/>
        <v>1</v>
      </c>
      <c r="D686">
        <f>FCS!R689</f>
        <v>1.6654835847382432</v>
      </c>
      <c r="E686">
        <f>FCS!AM689</f>
        <v>98.258618568627909</v>
      </c>
      <c r="F686">
        <f t="shared" ca="1" si="34"/>
        <v>1.6654835847382432</v>
      </c>
      <c r="G686">
        <f t="shared" ca="1" si="35"/>
        <v>98.258618568627909</v>
      </c>
      <c r="H686" t="str">
        <f>FCS!AO689</f>
        <v>Ok</v>
      </c>
    </row>
    <row r="687" spans="2:8" x14ac:dyDescent="0.25">
      <c r="B687" s="367">
        <f>FCS!G691</f>
        <v>46112</v>
      </c>
      <c r="C687">
        <f t="shared" ca="1" si="33"/>
        <v>1</v>
      </c>
      <c r="D687">
        <f>FCS!R691</f>
        <v>1.718525179856115</v>
      </c>
      <c r="E687">
        <f>FCS!AM691</f>
        <v>101.3879162157</v>
      </c>
      <c r="F687">
        <f t="shared" ca="1" si="34"/>
        <v>1.718525179856115</v>
      </c>
      <c r="G687">
        <f t="shared" ca="1" si="35"/>
        <v>101.3879162157</v>
      </c>
      <c r="H687" t="str">
        <f>FCS!AO691</f>
        <v>Ok</v>
      </c>
    </row>
    <row r="688" spans="2:8" x14ac:dyDescent="0.25">
      <c r="B688" s="367">
        <f>FCS!G692</f>
        <v>46112</v>
      </c>
      <c r="C688">
        <f t="shared" ca="1" si="33"/>
        <v>1</v>
      </c>
      <c r="D688">
        <f>FCS!R692</f>
        <v>1.7468007312614258</v>
      </c>
      <c r="E688">
        <f>FCS!AM692</f>
        <v>103.05609033990713</v>
      </c>
      <c r="F688">
        <f t="shared" ca="1" si="34"/>
        <v>1.7468007312614258</v>
      </c>
      <c r="G688">
        <f t="shared" ca="1" si="35"/>
        <v>103.05609033990713</v>
      </c>
      <c r="H688" t="str">
        <f>FCS!AO692</f>
        <v>Ok</v>
      </c>
    </row>
    <row r="689" spans="2:8" x14ac:dyDescent="0.25">
      <c r="B689" s="367">
        <f>FCS!G693</f>
        <v>46112</v>
      </c>
      <c r="C689">
        <f t="shared" ca="1" si="33"/>
        <v>1</v>
      </c>
      <c r="D689">
        <f>FCS!R693</f>
        <v>1.6712922810060711</v>
      </c>
      <c r="E689">
        <f>FCS!AM693</f>
        <v>98.586774730448468</v>
      </c>
      <c r="F689">
        <f t="shared" ca="1" si="34"/>
        <v>1.6712922810060711</v>
      </c>
      <c r="G689">
        <f t="shared" ca="1" si="35"/>
        <v>98.586774730448468</v>
      </c>
      <c r="H689" t="str">
        <f>FCS!AO693</f>
        <v>Ok</v>
      </c>
    </row>
    <row r="690" spans="2:8" x14ac:dyDescent="0.25">
      <c r="B690" s="367">
        <f>FCS!G694</f>
        <v>46112</v>
      </c>
      <c r="C690">
        <f t="shared" ca="1" si="33"/>
        <v>1</v>
      </c>
      <c r="D690">
        <f>FCS!R694</f>
        <v>1.7374301675977653</v>
      </c>
      <c r="E690">
        <f>FCS!AM694</f>
        <v>102.50325472553187</v>
      </c>
      <c r="F690">
        <f t="shared" ca="1" si="34"/>
        <v>1.7374301675977653</v>
      </c>
      <c r="G690">
        <f t="shared" ca="1" si="35"/>
        <v>102.50325472553187</v>
      </c>
      <c r="H690" t="str">
        <f>FCS!AO694</f>
        <v>Ok</v>
      </c>
    </row>
    <row r="691" spans="2:8" x14ac:dyDescent="0.25">
      <c r="B691" s="367">
        <f>FCS!G695</f>
        <v>46112</v>
      </c>
      <c r="C691">
        <f t="shared" ca="1" si="33"/>
        <v>1</v>
      </c>
      <c r="D691">
        <f>FCS!R695</f>
        <v>1.7877984084880634</v>
      </c>
      <c r="E691">
        <f>FCS!AM695</f>
        <v>103.16205473099038</v>
      </c>
      <c r="F691">
        <f t="shared" ca="1" si="34"/>
        <v>1.7877984084880634</v>
      </c>
      <c r="G691">
        <f t="shared" ca="1" si="35"/>
        <v>103.16205473099038</v>
      </c>
      <c r="H691" t="str">
        <f>FCS!AO695</f>
        <v>Ok</v>
      </c>
    </row>
    <row r="692" spans="2:8" x14ac:dyDescent="0.25">
      <c r="B692" s="367">
        <f>FCS!G696</f>
        <v>46112</v>
      </c>
      <c r="C692">
        <f t="shared" ca="1" si="33"/>
        <v>1</v>
      </c>
      <c r="D692">
        <f>FCS!R696</f>
        <v>1.7883742052679383</v>
      </c>
      <c r="E692">
        <f>FCS!AM696</f>
        <v>103.19528016548981</v>
      </c>
      <c r="F692">
        <f t="shared" ca="1" si="34"/>
        <v>1.7883742052679383</v>
      </c>
      <c r="G692">
        <f t="shared" ca="1" si="35"/>
        <v>103.19528016548981</v>
      </c>
      <c r="H692" t="str">
        <f>FCS!AO696</f>
        <v>Ok</v>
      </c>
    </row>
    <row r="693" spans="2:8" x14ac:dyDescent="0.25">
      <c r="B693" s="367">
        <f>FCS!G697</f>
        <v>46112</v>
      </c>
      <c r="C693">
        <f t="shared" ca="1" si="33"/>
        <v>1</v>
      </c>
      <c r="D693">
        <f>FCS!R697</f>
        <v>1.7879890809827117</v>
      </c>
      <c r="E693">
        <f>FCS!AM697</f>
        <v>103.17305718307625</v>
      </c>
      <c r="F693">
        <f t="shared" ca="1" si="34"/>
        <v>1.7879890809827117</v>
      </c>
      <c r="G693">
        <f t="shared" ca="1" si="35"/>
        <v>103.17305718307625</v>
      </c>
      <c r="H693" t="str">
        <f>FCS!AO697</f>
        <v>Ok</v>
      </c>
    </row>
    <row r="694" spans="2:8" x14ac:dyDescent="0.25">
      <c r="B694" s="367">
        <f>FCS!G698</f>
        <v>46112</v>
      </c>
      <c r="C694">
        <f t="shared" ca="1" si="33"/>
        <v>1</v>
      </c>
      <c r="D694">
        <f>FCS!R698</f>
        <v>1.7944344703770196</v>
      </c>
      <c r="E694">
        <f>FCS!AM698</f>
        <v>103.5449780944616</v>
      </c>
      <c r="F694">
        <f t="shared" ca="1" si="34"/>
        <v>1.7944344703770196</v>
      </c>
      <c r="G694">
        <f t="shared" ca="1" si="35"/>
        <v>103.5449780944616</v>
      </c>
      <c r="H694" t="str">
        <f>FCS!AO698</f>
        <v>Ok</v>
      </c>
    </row>
    <row r="695" spans="2:8" x14ac:dyDescent="0.25">
      <c r="B695" s="367">
        <f>FCS!G699</f>
        <v>46112</v>
      </c>
      <c r="C695">
        <f t="shared" ca="1" si="33"/>
        <v>1</v>
      </c>
      <c r="D695">
        <f>FCS!R699</f>
        <v>1.6939501779359427</v>
      </c>
      <c r="E695">
        <f>FCS!AM699</f>
        <v>98.682937627541023</v>
      </c>
      <c r="F695">
        <f t="shared" ca="1" si="34"/>
        <v>1.6939501779359427</v>
      </c>
      <c r="G695">
        <f t="shared" ca="1" si="35"/>
        <v>98.682937627541023</v>
      </c>
      <c r="H695" t="str">
        <f>FCS!AO699</f>
        <v>Ok</v>
      </c>
    </row>
    <row r="696" spans="2:8" x14ac:dyDescent="0.25">
      <c r="B696" s="367">
        <f>FCS!G701</f>
        <v>46112</v>
      </c>
      <c r="C696">
        <f t="shared" ca="1" si="33"/>
        <v>1</v>
      </c>
      <c r="D696">
        <f>FCS!R701</f>
        <v>1.6957295373665477</v>
      </c>
      <c r="E696">
        <f>FCS!AM701</f>
        <v>98.876357863938637</v>
      </c>
      <c r="F696">
        <f t="shared" ca="1" si="34"/>
        <v>1.6957295373665477</v>
      </c>
      <c r="G696">
        <f t="shared" ca="1" si="35"/>
        <v>98.876357863938637</v>
      </c>
      <c r="H696" t="str">
        <f>FCS!AO701</f>
        <v>Ok</v>
      </c>
    </row>
    <row r="697" spans="2:8" x14ac:dyDescent="0.25">
      <c r="B697" s="367">
        <f>FCS!G702</f>
        <v>46112</v>
      </c>
      <c r="C697">
        <f t="shared" ca="1" si="33"/>
        <v>1</v>
      </c>
      <c r="D697">
        <f>FCS!R702</f>
        <v>1.7522441651705563</v>
      </c>
      <c r="E697">
        <f>FCS!AM702</f>
        <v>102.1716714385164</v>
      </c>
      <c r="F697">
        <f t="shared" ca="1" si="34"/>
        <v>1.7522441651705563</v>
      </c>
      <c r="G697">
        <f t="shared" ca="1" si="35"/>
        <v>102.1716714385164</v>
      </c>
      <c r="H697" t="str">
        <f>FCS!AO702</f>
        <v>Ok</v>
      </c>
    </row>
    <row r="698" spans="2:8" x14ac:dyDescent="0.25">
      <c r="B698" s="367">
        <f>FCS!G703</f>
        <v>46112</v>
      </c>
      <c r="C698">
        <f t="shared" ca="1" si="33"/>
        <v>1</v>
      </c>
      <c r="D698">
        <f>FCS!R703</f>
        <v>1.7392857142857141</v>
      </c>
      <c r="E698">
        <f>FCS!AM703</f>
        <v>101.4160766347355</v>
      </c>
      <c r="F698">
        <f t="shared" ca="1" si="34"/>
        <v>1.7392857142857141</v>
      </c>
      <c r="G698">
        <f t="shared" ca="1" si="35"/>
        <v>101.4160766347355</v>
      </c>
      <c r="H698" t="str">
        <f>FCS!AO703</f>
        <v>Ok</v>
      </c>
    </row>
    <row r="699" spans="2:8" x14ac:dyDescent="0.25">
      <c r="B699" s="367">
        <f>FCS!G704</f>
        <v>46112</v>
      </c>
      <c r="C699">
        <f t="shared" ca="1" si="33"/>
        <v>1</v>
      </c>
      <c r="D699">
        <f>FCS!R704</f>
        <v>1.7409372236958445</v>
      </c>
      <c r="E699">
        <f>FCS!AM704</f>
        <v>101.51237455952446</v>
      </c>
      <c r="F699">
        <f t="shared" ca="1" si="34"/>
        <v>1.7409372236958445</v>
      </c>
      <c r="G699">
        <f t="shared" ca="1" si="35"/>
        <v>101.51237455952446</v>
      </c>
      <c r="H699" t="str">
        <f>FCS!AO704</f>
        <v>Ok</v>
      </c>
    </row>
    <row r="700" spans="2:8" x14ac:dyDescent="0.25">
      <c r="B700" s="367">
        <f>FCS!G705</f>
        <v>46112</v>
      </c>
      <c r="C700">
        <f t="shared" ca="1" si="33"/>
        <v>1</v>
      </c>
      <c r="D700">
        <f>FCS!R705</f>
        <v>1.7630415561450044</v>
      </c>
      <c r="E700">
        <f>FCS!AM705</f>
        <v>102.80125691807605</v>
      </c>
      <c r="F700">
        <f t="shared" ca="1" si="34"/>
        <v>1.7630415561450044</v>
      </c>
      <c r="G700">
        <f t="shared" ca="1" si="35"/>
        <v>102.80125691807605</v>
      </c>
      <c r="H700" t="str">
        <f>FCS!AO705</f>
        <v>Ok</v>
      </c>
    </row>
    <row r="701" spans="2:8" x14ac:dyDescent="0.25">
      <c r="B701" s="367">
        <f>FCS!G706</f>
        <v>46112</v>
      </c>
      <c r="C701">
        <f t="shared" ca="1" si="33"/>
        <v>1</v>
      </c>
      <c r="D701">
        <f>FCS!R706</f>
        <v>1.7727272727272729</v>
      </c>
      <c r="E701">
        <f>FCS!AM706</f>
        <v>103.36602173336868</v>
      </c>
      <c r="F701">
        <f t="shared" ca="1" si="34"/>
        <v>1.7727272727272729</v>
      </c>
      <c r="G701">
        <f t="shared" ca="1" si="35"/>
        <v>103.36602173336868</v>
      </c>
      <c r="H701" t="str">
        <f>FCS!AO706</f>
        <v>Ok</v>
      </c>
    </row>
    <row r="702" spans="2:8" x14ac:dyDescent="0.25">
      <c r="B702" s="367">
        <f>FCS!G707</f>
        <v>46112</v>
      </c>
      <c r="C702">
        <f t="shared" ca="1" si="33"/>
        <v>1</v>
      </c>
      <c r="D702">
        <f>FCS!R707</f>
        <v>1.7162041181736796</v>
      </c>
      <c r="E702">
        <f>FCS!AM707</f>
        <v>100.07021097222622</v>
      </c>
      <c r="F702">
        <f t="shared" ca="1" si="34"/>
        <v>1.7162041181736796</v>
      </c>
      <c r="G702">
        <f t="shared" ca="1" si="35"/>
        <v>100.07021097222622</v>
      </c>
      <c r="H702" t="str">
        <f>FCS!AO707</f>
        <v>Ok</v>
      </c>
    </row>
    <row r="703" spans="2:8" x14ac:dyDescent="0.25">
      <c r="B703" s="367">
        <f>FCS!G708</f>
        <v>46112</v>
      </c>
      <c r="C703">
        <f t="shared" ca="1" si="33"/>
        <v>1</v>
      </c>
      <c r="D703">
        <f>FCS!R708</f>
        <v>1.7960893854748603</v>
      </c>
      <c r="E703">
        <f>FCS!AM708</f>
        <v>104.72824405101227</v>
      </c>
      <c r="F703">
        <f t="shared" ca="1" si="34"/>
        <v>1.7960893854748603</v>
      </c>
      <c r="G703">
        <f t="shared" ca="1" si="35"/>
        <v>104.72824405101227</v>
      </c>
      <c r="H703" t="str">
        <f>FCS!AO708</f>
        <v>Ok</v>
      </c>
    </row>
    <row r="704" spans="2:8" x14ac:dyDescent="0.25">
      <c r="B704" s="367">
        <f>FCS!G709</f>
        <v>46112</v>
      </c>
      <c r="C704">
        <f t="shared" ca="1" si="33"/>
        <v>1</v>
      </c>
      <c r="D704">
        <f>FCS!R709</f>
        <v>1.7118023787740164</v>
      </c>
      <c r="E704">
        <f>FCS!AM709</f>
        <v>99.813549782741475</v>
      </c>
      <c r="F704">
        <f t="shared" ca="1" si="34"/>
        <v>1.7118023787740164</v>
      </c>
      <c r="G704">
        <f t="shared" ca="1" si="35"/>
        <v>99.813549782741475</v>
      </c>
      <c r="H704" t="str">
        <f>FCS!AO709</f>
        <v>Ok</v>
      </c>
    </row>
    <row r="705" spans="2:8" x14ac:dyDescent="0.25">
      <c r="B705" s="367">
        <f>FCS!G710</f>
        <v>46112</v>
      </c>
      <c r="C705">
        <f t="shared" ca="1" si="33"/>
        <v>1</v>
      </c>
      <c r="D705">
        <f>FCS!R710</f>
        <v>1.7301587301587302</v>
      </c>
      <c r="E705">
        <f>FCS!AM710</f>
        <v>99.330951259177809</v>
      </c>
      <c r="F705">
        <f t="shared" ca="1" si="34"/>
        <v>1.7301587301587302</v>
      </c>
      <c r="G705">
        <f t="shared" ca="1" si="35"/>
        <v>99.330951259177809</v>
      </c>
      <c r="H705" t="str">
        <f>FCS!AO710</f>
        <v>Ok</v>
      </c>
    </row>
    <row r="706" spans="2:8" x14ac:dyDescent="0.25">
      <c r="B706" s="367">
        <f>FCS!G711</f>
        <v>46112</v>
      </c>
      <c r="C706">
        <f t="shared" ca="1" si="33"/>
        <v>1</v>
      </c>
      <c r="D706">
        <f>FCS!R711</f>
        <v>1.7769668394790974</v>
      </c>
      <c r="E706">
        <f>FCS!AM711</f>
        <v>102.01827349406263</v>
      </c>
      <c r="F706">
        <f t="shared" ca="1" si="34"/>
        <v>1.7769668394790974</v>
      </c>
      <c r="G706">
        <f t="shared" ca="1" si="35"/>
        <v>102.01827349406263</v>
      </c>
      <c r="H706" t="str">
        <f>FCS!AO711</f>
        <v>OK</v>
      </c>
    </row>
    <row r="707" spans="2:8" x14ac:dyDescent="0.25">
      <c r="B707" s="367">
        <f>FCS!G712</f>
        <v>46112</v>
      </c>
      <c r="C707">
        <f t="shared" ca="1" si="33"/>
        <v>1</v>
      </c>
      <c r="D707">
        <f>FCS!R712</f>
        <v>1.7538883806038428</v>
      </c>
      <c r="E707">
        <f>FCS!AM712</f>
        <v>102.2675440585331</v>
      </c>
      <c r="F707">
        <f t="shared" ca="1" si="34"/>
        <v>1.7538883806038428</v>
      </c>
      <c r="G707">
        <f t="shared" ca="1" si="35"/>
        <v>102.2675440585331</v>
      </c>
      <c r="H707" t="str">
        <f>FCS!AO712</f>
        <v>Ok</v>
      </c>
    </row>
    <row r="708" spans="2:8" x14ac:dyDescent="0.25">
      <c r="B708" s="367">
        <f>FCS!G713</f>
        <v>46112</v>
      </c>
      <c r="C708">
        <f t="shared" ca="1" si="33"/>
        <v>1</v>
      </c>
      <c r="D708">
        <f>FCS!R713</f>
        <v>1.693548387096774</v>
      </c>
      <c r="E708">
        <f>FCS!AM713</f>
        <v>98.749177090190898</v>
      </c>
      <c r="F708">
        <f t="shared" ca="1" si="34"/>
        <v>1.693548387096774</v>
      </c>
      <c r="G708">
        <f t="shared" ca="1" si="35"/>
        <v>98.749177090190898</v>
      </c>
      <c r="H708" t="str">
        <f>FCS!AO713</f>
        <v>Ok</v>
      </c>
    </row>
    <row r="709" spans="2:8" x14ac:dyDescent="0.25">
      <c r="B709" s="367">
        <f>FCS!G714</f>
        <v>46112</v>
      </c>
      <c r="C709">
        <f t="shared" ca="1" si="33"/>
        <v>1</v>
      </c>
      <c r="D709">
        <f>FCS!R714</f>
        <v>1.7214156079854808</v>
      </c>
      <c r="E709">
        <f>FCS!AM714</f>
        <v>100.37408792918254</v>
      </c>
      <c r="F709">
        <f t="shared" ca="1" si="34"/>
        <v>1.7214156079854808</v>
      </c>
      <c r="G709">
        <f t="shared" ca="1" si="35"/>
        <v>100.37408792918254</v>
      </c>
      <c r="H709" t="str">
        <f>FCS!AO714</f>
        <v>Ok</v>
      </c>
    </row>
    <row r="710" spans="2:8" x14ac:dyDescent="0.25">
      <c r="B710" s="367">
        <f>FCS!G715</f>
        <v>46112</v>
      </c>
      <c r="C710">
        <f t="shared" ca="1" si="33"/>
        <v>1</v>
      </c>
      <c r="D710">
        <f>FCS!R715</f>
        <v>1.699640287769784</v>
      </c>
      <c r="E710">
        <f>FCS!AM715</f>
        <v>99.104389957421802</v>
      </c>
      <c r="F710">
        <f t="shared" ca="1" si="34"/>
        <v>1.699640287769784</v>
      </c>
      <c r="G710">
        <f t="shared" ca="1" si="35"/>
        <v>99.104389957421802</v>
      </c>
      <c r="H710" t="str">
        <f>FCS!AO715</f>
        <v>Ok</v>
      </c>
    </row>
    <row r="711" spans="2:8" x14ac:dyDescent="0.25">
      <c r="B711" s="367">
        <f>FCS!G716</f>
        <v>46112</v>
      </c>
      <c r="C711">
        <f t="shared" ca="1" si="33"/>
        <v>1</v>
      </c>
      <c r="D711">
        <f>FCS!R716</f>
        <v>1.699020480854853</v>
      </c>
      <c r="E711">
        <f>FCS!AM716</f>
        <v>100.2371965106108</v>
      </c>
      <c r="F711">
        <f t="shared" ca="1" si="34"/>
        <v>1.699020480854853</v>
      </c>
      <c r="G711">
        <f t="shared" ca="1" si="35"/>
        <v>100.2371965106108</v>
      </c>
      <c r="H711" t="str">
        <f>FCS!AO716</f>
        <v>Ok</v>
      </c>
    </row>
    <row r="712" spans="2:8" x14ac:dyDescent="0.25">
      <c r="B712" s="367">
        <f>FCS!G717</f>
        <v>46112</v>
      </c>
      <c r="C712">
        <f t="shared" ca="1" si="33"/>
        <v>1</v>
      </c>
      <c r="D712">
        <f>FCS!R717</f>
        <v>1.7134935304990757</v>
      </c>
      <c r="E712">
        <f>FCS!AM717</f>
        <v>101.09106374625816</v>
      </c>
      <c r="F712">
        <f t="shared" ca="1" si="34"/>
        <v>1.7134935304990757</v>
      </c>
      <c r="G712">
        <f t="shared" ca="1" si="35"/>
        <v>101.09106374625816</v>
      </c>
      <c r="H712" t="str">
        <f>FCS!AO717</f>
        <v>Ok</v>
      </c>
    </row>
    <row r="713" spans="2:8" x14ac:dyDescent="0.25">
      <c r="B713" s="367">
        <f>FCS!G718</f>
        <v>46112</v>
      </c>
      <c r="C713">
        <f t="shared" ca="1" si="33"/>
        <v>1</v>
      </c>
      <c r="D713">
        <f>FCS!R718</f>
        <v>1.6914027149321267</v>
      </c>
      <c r="E713">
        <f>FCS!AM718</f>
        <v>99.787770792455845</v>
      </c>
      <c r="F713">
        <f t="shared" ca="1" si="34"/>
        <v>1.6914027149321267</v>
      </c>
      <c r="G713">
        <f t="shared" ca="1" si="35"/>
        <v>99.787770792455845</v>
      </c>
      <c r="H713" t="str">
        <f>FCS!AO718</f>
        <v>Ok</v>
      </c>
    </row>
    <row r="714" spans="2:8" x14ac:dyDescent="0.25">
      <c r="B714" s="367">
        <f>FCS!G719</f>
        <v>0</v>
      </c>
      <c r="C714">
        <f t="shared" ca="1" si="33"/>
        <v>0</v>
      </c>
      <c r="D714">
        <f>FCS!R719</f>
        <v>0</v>
      </c>
      <c r="E714">
        <f>FCS!AM719</f>
        <v>0</v>
      </c>
      <c r="F714">
        <f t="shared" ca="1" si="34"/>
        <v>0</v>
      </c>
      <c r="G714">
        <f t="shared" ca="1" si="35"/>
        <v>0</v>
      </c>
      <c r="H714">
        <f>FCS!AO719</f>
        <v>0</v>
      </c>
    </row>
    <row r="715" spans="2:8" x14ac:dyDescent="0.25">
      <c r="B715" s="367">
        <f>FCS!G720</f>
        <v>0</v>
      </c>
      <c r="C715">
        <f t="shared" ca="1" si="33"/>
        <v>0</v>
      </c>
      <c r="D715">
        <f>FCS!R720</f>
        <v>0</v>
      </c>
      <c r="E715">
        <f>FCS!AM720</f>
        <v>0</v>
      </c>
      <c r="F715">
        <f t="shared" ca="1" si="34"/>
        <v>0</v>
      </c>
      <c r="G715">
        <f t="shared" ca="1" si="35"/>
        <v>0</v>
      </c>
      <c r="H715">
        <f>FCS!AO720</f>
        <v>0</v>
      </c>
    </row>
    <row r="716" spans="2:8" x14ac:dyDescent="0.25">
      <c r="B716" s="367">
        <f>FCS!G721</f>
        <v>0</v>
      </c>
      <c r="C716">
        <f t="shared" ca="1" si="33"/>
        <v>0</v>
      </c>
      <c r="D716">
        <f>FCS!R721</f>
        <v>0</v>
      </c>
      <c r="E716">
        <f>FCS!AM721</f>
        <v>0</v>
      </c>
      <c r="F716">
        <f t="shared" ca="1" si="34"/>
        <v>0</v>
      </c>
      <c r="G716">
        <f t="shared" ca="1" si="35"/>
        <v>0</v>
      </c>
      <c r="H716">
        <f>FCS!AO721</f>
        <v>0</v>
      </c>
    </row>
    <row r="717" spans="2:8" x14ac:dyDescent="0.25">
      <c r="B717" s="367">
        <f>FCS!G723</f>
        <v>0</v>
      </c>
      <c r="C717">
        <f t="shared" ca="1" si="33"/>
        <v>0</v>
      </c>
      <c r="D717">
        <f>FCS!R723</f>
        <v>0</v>
      </c>
      <c r="E717">
        <f>FCS!AM723</f>
        <v>0</v>
      </c>
      <c r="F717">
        <f t="shared" ca="1" si="34"/>
        <v>0</v>
      </c>
      <c r="G717">
        <f t="shared" ca="1" si="35"/>
        <v>0</v>
      </c>
      <c r="H717">
        <f>FCS!AO723</f>
        <v>0</v>
      </c>
    </row>
    <row r="718" spans="2:8" x14ac:dyDescent="0.25">
      <c r="B718" s="367">
        <f>FCS!G724</f>
        <v>0</v>
      </c>
      <c r="C718">
        <f t="shared" ca="1" si="33"/>
        <v>0</v>
      </c>
      <c r="D718">
        <f>FCS!R724</f>
        <v>0</v>
      </c>
      <c r="E718">
        <f>FCS!AM724</f>
        <v>0</v>
      </c>
      <c r="F718">
        <f t="shared" ca="1" si="34"/>
        <v>0</v>
      </c>
      <c r="G718">
        <f t="shared" ca="1" si="35"/>
        <v>0</v>
      </c>
      <c r="H718">
        <f>FCS!AO724</f>
        <v>0</v>
      </c>
    </row>
    <row r="719" spans="2:8" x14ac:dyDescent="0.25">
      <c r="B719" s="367">
        <f>FCS!G725</f>
        <v>0</v>
      </c>
      <c r="C719">
        <f t="shared" ca="1" si="33"/>
        <v>0</v>
      </c>
      <c r="D719">
        <f>FCS!R725</f>
        <v>0</v>
      </c>
      <c r="E719">
        <f>FCS!AM725</f>
        <v>0</v>
      </c>
      <c r="F719">
        <f t="shared" ca="1" si="34"/>
        <v>0</v>
      </c>
      <c r="G719">
        <f t="shared" ca="1" si="35"/>
        <v>0</v>
      </c>
      <c r="H719">
        <f>FCS!AO725</f>
        <v>0</v>
      </c>
    </row>
    <row r="720" spans="2:8" x14ac:dyDescent="0.25">
      <c r="B720" s="367">
        <f>FCS!G726</f>
        <v>0</v>
      </c>
      <c r="C720">
        <f t="shared" ca="1" si="33"/>
        <v>0</v>
      </c>
      <c r="D720">
        <f>FCS!R726</f>
        <v>0</v>
      </c>
      <c r="E720">
        <f>FCS!AM726</f>
        <v>0</v>
      </c>
      <c r="F720">
        <f t="shared" ca="1" si="34"/>
        <v>0</v>
      </c>
      <c r="G720">
        <f t="shared" ca="1" si="35"/>
        <v>0</v>
      </c>
      <c r="H720">
        <f>FCS!AO726</f>
        <v>0</v>
      </c>
    </row>
    <row r="721" spans="2:8" x14ac:dyDescent="0.25">
      <c r="B721" s="367">
        <f>FCS!G727</f>
        <v>0</v>
      </c>
      <c r="C721">
        <f t="shared" ca="1" si="33"/>
        <v>0</v>
      </c>
      <c r="D721">
        <f>FCS!R727</f>
        <v>0</v>
      </c>
      <c r="E721">
        <f>FCS!AM727</f>
        <v>0</v>
      </c>
      <c r="F721">
        <f t="shared" ca="1" si="34"/>
        <v>0</v>
      </c>
      <c r="G721">
        <f t="shared" ca="1" si="35"/>
        <v>0</v>
      </c>
      <c r="H721">
        <f>FCS!AO727</f>
        <v>0</v>
      </c>
    </row>
    <row r="722" spans="2:8" x14ac:dyDescent="0.25">
      <c r="B722" s="367">
        <f>FCS!G728</f>
        <v>0</v>
      </c>
      <c r="C722">
        <f t="shared" ca="1" si="33"/>
        <v>0</v>
      </c>
      <c r="D722">
        <f>FCS!R728</f>
        <v>0</v>
      </c>
      <c r="E722">
        <f>FCS!AM728</f>
        <v>0</v>
      </c>
      <c r="F722">
        <f t="shared" ca="1" si="34"/>
        <v>0</v>
      </c>
      <c r="G722">
        <f t="shared" ca="1" si="35"/>
        <v>0</v>
      </c>
      <c r="H722">
        <f>FCS!AO728</f>
        <v>0</v>
      </c>
    </row>
    <row r="723" spans="2:8" x14ac:dyDescent="0.25">
      <c r="B723" s="367">
        <f>FCS!G729</f>
        <v>0</v>
      </c>
      <c r="C723">
        <f t="shared" ref="C723:C786" ca="1" si="36">IF(AND(B723&gt;$C$5,B723&lt;$D$4,H723="OK"),1,0)</f>
        <v>0</v>
      </c>
      <c r="D723">
        <f>FCS!R729</f>
        <v>0</v>
      </c>
      <c r="E723">
        <f>FCS!AM729</f>
        <v>0</v>
      </c>
      <c r="F723">
        <f t="shared" ref="F723:F786" ca="1" si="37">IFERROR(D723*C723,0)</f>
        <v>0</v>
      </c>
      <c r="G723">
        <f t="shared" ref="G723:G786" ca="1" si="38">IFERROR(E723*C723,0)</f>
        <v>0</v>
      </c>
      <c r="H723">
        <f>FCS!AO729</f>
        <v>0</v>
      </c>
    </row>
    <row r="724" spans="2:8" x14ac:dyDescent="0.25">
      <c r="B724" s="367">
        <f>FCS!G730</f>
        <v>0</v>
      </c>
      <c r="C724">
        <f t="shared" ca="1" si="36"/>
        <v>0</v>
      </c>
      <c r="D724">
        <f>FCS!R730</f>
        <v>0</v>
      </c>
      <c r="E724">
        <f>FCS!AM730</f>
        <v>0</v>
      </c>
      <c r="F724">
        <f t="shared" ca="1" si="37"/>
        <v>0</v>
      </c>
      <c r="G724">
        <f t="shared" ca="1" si="38"/>
        <v>0</v>
      </c>
      <c r="H724">
        <f>FCS!AO730</f>
        <v>0</v>
      </c>
    </row>
    <row r="725" spans="2:8" x14ac:dyDescent="0.25">
      <c r="B725" s="367">
        <f>FCS!G731</f>
        <v>0</v>
      </c>
      <c r="C725">
        <f t="shared" ca="1" si="36"/>
        <v>0</v>
      </c>
      <c r="D725">
        <f>FCS!R731</f>
        <v>0</v>
      </c>
      <c r="E725">
        <f>FCS!AM731</f>
        <v>0</v>
      </c>
      <c r="F725">
        <f t="shared" ca="1" si="37"/>
        <v>0</v>
      </c>
      <c r="G725">
        <f t="shared" ca="1" si="38"/>
        <v>0</v>
      </c>
      <c r="H725">
        <f>FCS!AO731</f>
        <v>0</v>
      </c>
    </row>
    <row r="726" spans="2:8" x14ac:dyDescent="0.25">
      <c r="B726" s="367">
        <f>FCS!G732</f>
        <v>0</v>
      </c>
      <c r="C726">
        <f t="shared" ca="1" si="36"/>
        <v>0</v>
      </c>
      <c r="D726">
        <f>FCS!R732</f>
        <v>0</v>
      </c>
      <c r="E726">
        <f>FCS!AM732</f>
        <v>0</v>
      </c>
      <c r="F726">
        <f t="shared" ca="1" si="37"/>
        <v>0</v>
      </c>
      <c r="G726">
        <f t="shared" ca="1" si="38"/>
        <v>0</v>
      </c>
      <c r="H726">
        <f>FCS!AO732</f>
        <v>0</v>
      </c>
    </row>
    <row r="727" spans="2:8" x14ac:dyDescent="0.25">
      <c r="B727" s="367">
        <f>FCS!G733</f>
        <v>0</v>
      </c>
      <c r="C727">
        <f t="shared" ca="1" si="36"/>
        <v>0</v>
      </c>
      <c r="D727">
        <f>FCS!R733</f>
        <v>0</v>
      </c>
      <c r="E727">
        <f>FCS!AM733</f>
        <v>0</v>
      </c>
      <c r="F727">
        <f t="shared" ca="1" si="37"/>
        <v>0</v>
      </c>
      <c r="G727">
        <f t="shared" ca="1" si="38"/>
        <v>0</v>
      </c>
      <c r="H727">
        <f>FCS!AO733</f>
        <v>0</v>
      </c>
    </row>
    <row r="728" spans="2:8" x14ac:dyDescent="0.25">
      <c r="B728" s="367">
        <f>FCS!G734</f>
        <v>0</v>
      </c>
      <c r="C728">
        <f t="shared" ca="1" si="36"/>
        <v>0</v>
      </c>
      <c r="D728">
        <f>FCS!R734</f>
        <v>0</v>
      </c>
      <c r="E728">
        <f>FCS!AM734</f>
        <v>0</v>
      </c>
      <c r="F728">
        <f t="shared" ca="1" si="37"/>
        <v>0</v>
      </c>
      <c r="G728">
        <f t="shared" ca="1" si="38"/>
        <v>0</v>
      </c>
      <c r="H728">
        <f>FCS!AO734</f>
        <v>0</v>
      </c>
    </row>
    <row r="729" spans="2:8" x14ac:dyDescent="0.25">
      <c r="B729" s="367">
        <f>FCS!G735</f>
        <v>0</v>
      </c>
      <c r="C729">
        <f t="shared" ca="1" si="36"/>
        <v>0</v>
      </c>
      <c r="D729">
        <f>FCS!R735</f>
        <v>0</v>
      </c>
      <c r="E729">
        <f>FCS!AM735</f>
        <v>0</v>
      </c>
      <c r="F729">
        <f t="shared" ca="1" si="37"/>
        <v>0</v>
      </c>
      <c r="G729">
        <f t="shared" ca="1" si="38"/>
        <v>0</v>
      </c>
      <c r="H729">
        <f>FCS!AO735</f>
        <v>0</v>
      </c>
    </row>
    <row r="730" spans="2:8" x14ac:dyDescent="0.25">
      <c r="B730" s="367">
        <f>FCS!G736</f>
        <v>0</v>
      </c>
      <c r="C730">
        <f t="shared" ca="1" si="36"/>
        <v>0</v>
      </c>
      <c r="D730">
        <f>FCS!R736</f>
        <v>0</v>
      </c>
      <c r="E730">
        <f>FCS!AM736</f>
        <v>0</v>
      </c>
      <c r="F730">
        <f t="shared" ca="1" si="37"/>
        <v>0</v>
      </c>
      <c r="G730">
        <f t="shared" ca="1" si="38"/>
        <v>0</v>
      </c>
      <c r="H730">
        <f>FCS!AO736</f>
        <v>0</v>
      </c>
    </row>
    <row r="731" spans="2:8" x14ac:dyDescent="0.25">
      <c r="B731" s="367">
        <f>FCS!G737</f>
        <v>0</v>
      </c>
      <c r="C731">
        <f t="shared" ca="1" si="36"/>
        <v>0</v>
      </c>
      <c r="D731">
        <f>FCS!R737</f>
        <v>0</v>
      </c>
      <c r="E731">
        <f>FCS!AM737</f>
        <v>0</v>
      </c>
      <c r="F731">
        <f t="shared" ca="1" si="37"/>
        <v>0</v>
      </c>
      <c r="G731">
        <f t="shared" ca="1" si="38"/>
        <v>0</v>
      </c>
      <c r="H731">
        <f>FCS!AO737</f>
        <v>0</v>
      </c>
    </row>
    <row r="732" spans="2:8" x14ac:dyDescent="0.25">
      <c r="B732" s="367">
        <f>FCS!G738</f>
        <v>0</v>
      </c>
      <c r="C732">
        <f t="shared" ca="1" si="36"/>
        <v>0</v>
      </c>
      <c r="D732">
        <f>FCS!R738</f>
        <v>0</v>
      </c>
      <c r="E732">
        <f>FCS!AM738</f>
        <v>0</v>
      </c>
      <c r="F732">
        <f t="shared" ca="1" si="37"/>
        <v>0</v>
      </c>
      <c r="G732">
        <f t="shared" ca="1" si="38"/>
        <v>0</v>
      </c>
      <c r="H732">
        <f>FCS!AO738</f>
        <v>0</v>
      </c>
    </row>
    <row r="733" spans="2:8" x14ac:dyDescent="0.25">
      <c r="B733" s="367">
        <f>FCS!G739</f>
        <v>0</v>
      </c>
      <c r="C733">
        <f t="shared" ca="1" si="36"/>
        <v>0</v>
      </c>
      <c r="D733">
        <f>FCS!R739</f>
        <v>0</v>
      </c>
      <c r="E733">
        <f>FCS!AM739</f>
        <v>0</v>
      </c>
      <c r="F733">
        <f t="shared" ca="1" si="37"/>
        <v>0</v>
      </c>
      <c r="G733">
        <f t="shared" ca="1" si="38"/>
        <v>0</v>
      </c>
      <c r="H733">
        <f>FCS!AO739</f>
        <v>0</v>
      </c>
    </row>
    <row r="734" spans="2:8" x14ac:dyDescent="0.25">
      <c r="B734" s="367">
        <f>FCS!G740</f>
        <v>0</v>
      </c>
      <c r="C734">
        <f t="shared" ca="1" si="36"/>
        <v>0</v>
      </c>
      <c r="D734">
        <f>FCS!R740</f>
        <v>0</v>
      </c>
      <c r="E734">
        <f>FCS!AM740</f>
        <v>0</v>
      </c>
      <c r="F734">
        <f t="shared" ca="1" si="37"/>
        <v>0</v>
      </c>
      <c r="G734">
        <f t="shared" ca="1" si="38"/>
        <v>0</v>
      </c>
      <c r="H734">
        <f>FCS!AO740</f>
        <v>0</v>
      </c>
    </row>
    <row r="735" spans="2:8" x14ac:dyDescent="0.25">
      <c r="B735" s="367">
        <f>FCS!G741</f>
        <v>0</v>
      </c>
      <c r="C735">
        <f t="shared" ca="1" si="36"/>
        <v>0</v>
      </c>
      <c r="D735">
        <f>FCS!R741</f>
        <v>0</v>
      </c>
      <c r="E735">
        <f>FCS!AM741</f>
        <v>0</v>
      </c>
      <c r="F735">
        <f t="shared" ca="1" si="37"/>
        <v>0</v>
      </c>
      <c r="G735">
        <f t="shared" ca="1" si="38"/>
        <v>0</v>
      </c>
      <c r="H735">
        <f>FCS!AO741</f>
        <v>0</v>
      </c>
    </row>
    <row r="736" spans="2:8" x14ac:dyDescent="0.25">
      <c r="B736" s="367">
        <f>FCS!G742</f>
        <v>0</v>
      </c>
      <c r="C736">
        <f t="shared" ca="1" si="36"/>
        <v>0</v>
      </c>
      <c r="D736">
        <f>FCS!R742</f>
        <v>0</v>
      </c>
      <c r="E736">
        <f>FCS!AM742</f>
        <v>0</v>
      </c>
      <c r="F736">
        <f t="shared" ca="1" si="37"/>
        <v>0</v>
      </c>
      <c r="G736">
        <f t="shared" ca="1" si="38"/>
        <v>0</v>
      </c>
      <c r="H736">
        <f>FCS!AO742</f>
        <v>0</v>
      </c>
    </row>
    <row r="737" spans="2:8" x14ac:dyDescent="0.25">
      <c r="B737" s="367">
        <f>FCS!G743</f>
        <v>0</v>
      </c>
      <c r="C737">
        <f t="shared" ca="1" si="36"/>
        <v>0</v>
      </c>
      <c r="D737">
        <f>FCS!R743</f>
        <v>0</v>
      </c>
      <c r="E737">
        <f>FCS!AM743</f>
        <v>0</v>
      </c>
      <c r="F737">
        <f t="shared" ca="1" si="37"/>
        <v>0</v>
      </c>
      <c r="G737">
        <f t="shared" ca="1" si="38"/>
        <v>0</v>
      </c>
      <c r="H737">
        <f>FCS!AO743</f>
        <v>0</v>
      </c>
    </row>
    <row r="738" spans="2:8" x14ac:dyDescent="0.25">
      <c r="B738" s="367">
        <f>FCS!G744</f>
        <v>0</v>
      </c>
      <c r="C738">
        <f t="shared" ca="1" si="36"/>
        <v>0</v>
      </c>
      <c r="D738">
        <f>FCS!R744</f>
        <v>0</v>
      </c>
      <c r="E738">
        <f>FCS!AM744</f>
        <v>0</v>
      </c>
      <c r="F738">
        <f t="shared" ca="1" si="37"/>
        <v>0</v>
      </c>
      <c r="G738">
        <f t="shared" ca="1" si="38"/>
        <v>0</v>
      </c>
      <c r="H738">
        <f>FCS!AO744</f>
        <v>0</v>
      </c>
    </row>
    <row r="739" spans="2:8" x14ac:dyDescent="0.25">
      <c r="B739" s="367">
        <f>FCS!G745</f>
        <v>0</v>
      </c>
      <c r="C739">
        <f t="shared" ca="1" si="36"/>
        <v>0</v>
      </c>
      <c r="D739">
        <f>FCS!R745</f>
        <v>0</v>
      </c>
      <c r="E739">
        <f>FCS!AM745</f>
        <v>0</v>
      </c>
      <c r="F739">
        <f t="shared" ca="1" si="37"/>
        <v>0</v>
      </c>
      <c r="G739">
        <f t="shared" ca="1" si="38"/>
        <v>0</v>
      </c>
      <c r="H739">
        <f>FCS!AO745</f>
        <v>0</v>
      </c>
    </row>
    <row r="740" spans="2:8" x14ac:dyDescent="0.25">
      <c r="B740" s="367">
        <f>FCS!G746</f>
        <v>0</v>
      </c>
      <c r="C740">
        <f t="shared" ca="1" si="36"/>
        <v>0</v>
      </c>
      <c r="D740">
        <f>FCS!R746</f>
        <v>0</v>
      </c>
      <c r="E740">
        <f>FCS!AM746</f>
        <v>0</v>
      </c>
      <c r="F740">
        <f t="shared" ca="1" si="37"/>
        <v>0</v>
      </c>
      <c r="G740">
        <f t="shared" ca="1" si="38"/>
        <v>0</v>
      </c>
      <c r="H740">
        <f>FCS!AO746</f>
        <v>0</v>
      </c>
    </row>
    <row r="741" spans="2:8" x14ac:dyDescent="0.25">
      <c r="B741" s="367">
        <f>FCS!G747</f>
        <v>0</v>
      </c>
      <c r="C741">
        <f t="shared" ca="1" si="36"/>
        <v>0</v>
      </c>
      <c r="D741">
        <f>FCS!R747</f>
        <v>0</v>
      </c>
      <c r="E741">
        <f>FCS!AM747</f>
        <v>0</v>
      </c>
      <c r="F741">
        <f t="shared" ca="1" si="37"/>
        <v>0</v>
      </c>
      <c r="G741">
        <f t="shared" ca="1" si="38"/>
        <v>0</v>
      </c>
      <c r="H741">
        <f>FCS!AO747</f>
        <v>0</v>
      </c>
    </row>
    <row r="742" spans="2:8" x14ac:dyDescent="0.25">
      <c r="B742" s="367">
        <f>FCS!G748</f>
        <v>0</v>
      </c>
      <c r="C742">
        <f t="shared" ca="1" si="36"/>
        <v>0</v>
      </c>
      <c r="D742">
        <f>FCS!R748</f>
        <v>0</v>
      </c>
      <c r="E742">
        <f>FCS!AM748</f>
        <v>0</v>
      </c>
      <c r="F742">
        <f t="shared" ca="1" si="37"/>
        <v>0</v>
      </c>
      <c r="G742">
        <f t="shared" ca="1" si="38"/>
        <v>0</v>
      </c>
      <c r="H742">
        <f>FCS!AO748</f>
        <v>0</v>
      </c>
    </row>
    <row r="743" spans="2:8" x14ac:dyDescent="0.25">
      <c r="B743" s="367">
        <f>FCS!G749</f>
        <v>0</v>
      </c>
      <c r="C743">
        <f t="shared" ca="1" si="36"/>
        <v>0</v>
      </c>
      <c r="D743">
        <f>FCS!R749</f>
        <v>0</v>
      </c>
      <c r="E743">
        <f>FCS!AM749</f>
        <v>0</v>
      </c>
      <c r="F743">
        <f t="shared" ca="1" si="37"/>
        <v>0</v>
      </c>
      <c r="G743">
        <f t="shared" ca="1" si="38"/>
        <v>0</v>
      </c>
      <c r="H743">
        <f>FCS!AO749</f>
        <v>0</v>
      </c>
    </row>
    <row r="744" spans="2:8" x14ac:dyDescent="0.25">
      <c r="B744" s="367">
        <f>FCS!G750</f>
        <v>0</v>
      </c>
      <c r="C744">
        <f t="shared" ca="1" si="36"/>
        <v>0</v>
      </c>
      <c r="D744">
        <f>FCS!R750</f>
        <v>0</v>
      </c>
      <c r="E744">
        <f>FCS!AM750</f>
        <v>0</v>
      </c>
      <c r="F744">
        <f t="shared" ca="1" si="37"/>
        <v>0</v>
      </c>
      <c r="G744">
        <f t="shared" ca="1" si="38"/>
        <v>0</v>
      </c>
      <c r="H744">
        <f>FCS!AO750</f>
        <v>0</v>
      </c>
    </row>
    <row r="745" spans="2:8" x14ac:dyDescent="0.25">
      <c r="B745" s="367">
        <f>FCS!G751</f>
        <v>0</v>
      </c>
      <c r="C745">
        <f t="shared" ca="1" si="36"/>
        <v>0</v>
      </c>
      <c r="D745">
        <f>FCS!R751</f>
        <v>0</v>
      </c>
      <c r="E745">
        <f>FCS!AM751</f>
        <v>0</v>
      </c>
      <c r="F745">
        <f t="shared" ca="1" si="37"/>
        <v>0</v>
      </c>
      <c r="G745">
        <f t="shared" ca="1" si="38"/>
        <v>0</v>
      </c>
      <c r="H745">
        <f>FCS!AO751</f>
        <v>0</v>
      </c>
    </row>
    <row r="746" spans="2:8" x14ac:dyDescent="0.25">
      <c r="B746" s="367">
        <f>FCS!G752</f>
        <v>0</v>
      </c>
      <c r="C746">
        <f t="shared" ca="1" si="36"/>
        <v>0</v>
      </c>
      <c r="D746">
        <f>FCS!R752</f>
        <v>0</v>
      </c>
      <c r="E746">
        <f>FCS!AM752</f>
        <v>0</v>
      </c>
      <c r="F746">
        <f t="shared" ca="1" si="37"/>
        <v>0</v>
      </c>
      <c r="G746">
        <f t="shared" ca="1" si="38"/>
        <v>0</v>
      </c>
      <c r="H746">
        <f>FCS!AO752</f>
        <v>0</v>
      </c>
    </row>
    <row r="747" spans="2:8" x14ac:dyDescent="0.25">
      <c r="B747" s="367">
        <f>FCS!G753</f>
        <v>0</v>
      </c>
      <c r="C747">
        <f t="shared" ca="1" si="36"/>
        <v>0</v>
      </c>
      <c r="D747">
        <f>FCS!R753</f>
        <v>0</v>
      </c>
      <c r="E747">
        <f>FCS!AM753</f>
        <v>0</v>
      </c>
      <c r="F747">
        <f t="shared" ca="1" si="37"/>
        <v>0</v>
      </c>
      <c r="G747">
        <f t="shared" ca="1" si="38"/>
        <v>0</v>
      </c>
      <c r="H747">
        <f>FCS!AO753</f>
        <v>0</v>
      </c>
    </row>
    <row r="748" spans="2:8" x14ac:dyDescent="0.25">
      <c r="B748" s="367">
        <f>FCS!G754</f>
        <v>0</v>
      </c>
      <c r="C748">
        <f t="shared" ca="1" si="36"/>
        <v>0</v>
      </c>
      <c r="D748">
        <f>FCS!R754</f>
        <v>0</v>
      </c>
      <c r="E748">
        <f>FCS!AM754</f>
        <v>0</v>
      </c>
      <c r="F748">
        <f t="shared" ca="1" si="37"/>
        <v>0</v>
      </c>
      <c r="G748">
        <f t="shared" ca="1" si="38"/>
        <v>0</v>
      </c>
      <c r="H748">
        <f>FCS!AO754</f>
        <v>0</v>
      </c>
    </row>
    <row r="749" spans="2:8" x14ac:dyDescent="0.25">
      <c r="B749" s="367">
        <f>FCS!G755</f>
        <v>0</v>
      </c>
      <c r="C749">
        <f t="shared" ca="1" si="36"/>
        <v>0</v>
      </c>
      <c r="D749">
        <f>FCS!R755</f>
        <v>0</v>
      </c>
      <c r="E749">
        <f>FCS!AM755</f>
        <v>0</v>
      </c>
      <c r="F749">
        <f t="shared" ca="1" si="37"/>
        <v>0</v>
      </c>
      <c r="G749">
        <f t="shared" ca="1" si="38"/>
        <v>0</v>
      </c>
      <c r="H749">
        <f>FCS!AO755</f>
        <v>0</v>
      </c>
    </row>
    <row r="750" spans="2:8" x14ac:dyDescent="0.25">
      <c r="B750" s="367">
        <f>FCS!G756</f>
        <v>0</v>
      </c>
      <c r="C750">
        <f t="shared" ca="1" si="36"/>
        <v>0</v>
      </c>
      <c r="D750">
        <f>FCS!R756</f>
        <v>0</v>
      </c>
      <c r="E750">
        <f>FCS!AM756</f>
        <v>0</v>
      </c>
      <c r="F750">
        <f t="shared" ca="1" si="37"/>
        <v>0</v>
      </c>
      <c r="G750">
        <f t="shared" ca="1" si="38"/>
        <v>0</v>
      </c>
      <c r="H750">
        <f>FCS!AO756</f>
        <v>0</v>
      </c>
    </row>
    <row r="751" spans="2:8" x14ac:dyDescent="0.25">
      <c r="B751" s="367">
        <f>FCS!G757</f>
        <v>0</v>
      </c>
      <c r="C751">
        <f t="shared" ca="1" si="36"/>
        <v>0</v>
      </c>
      <c r="D751">
        <f>FCS!R757</f>
        <v>0</v>
      </c>
      <c r="E751">
        <f>FCS!AM757</f>
        <v>0</v>
      </c>
      <c r="F751">
        <f t="shared" ca="1" si="37"/>
        <v>0</v>
      </c>
      <c r="G751">
        <f t="shared" ca="1" si="38"/>
        <v>0</v>
      </c>
      <c r="H751">
        <f>FCS!AO757</f>
        <v>0</v>
      </c>
    </row>
    <row r="752" spans="2:8" x14ac:dyDescent="0.25">
      <c r="B752" s="367">
        <f>FCS!G758</f>
        <v>0</v>
      </c>
      <c r="C752">
        <f t="shared" ca="1" si="36"/>
        <v>0</v>
      </c>
      <c r="D752">
        <f>FCS!R758</f>
        <v>0</v>
      </c>
      <c r="E752">
        <f>FCS!AM758</f>
        <v>0</v>
      </c>
      <c r="F752">
        <f t="shared" ca="1" si="37"/>
        <v>0</v>
      </c>
      <c r="G752">
        <f t="shared" ca="1" si="38"/>
        <v>0</v>
      </c>
      <c r="H752">
        <f>FCS!AO758</f>
        <v>0</v>
      </c>
    </row>
    <row r="753" spans="2:8" x14ac:dyDescent="0.25">
      <c r="B753" s="367">
        <f>FCS!G759</f>
        <v>0</v>
      </c>
      <c r="C753">
        <f t="shared" ca="1" si="36"/>
        <v>0</v>
      </c>
      <c r="D753">
        <f>FCS!R759</f>
        <v>0</v>
      </c>
      <c r="E753">
        <f>FCS!AM759</f>
        <v>0</v>
      </c>
      <c r="F753">
        <f t="shared" ca="1" si="37"/>
        <v>0</v>
      </c>
      <c r="G753">
        <f t="shared" ca="1" si="38"/>
        <v>0</v>
      </c>
      <c r="H753">
        <f>FCS!AO759</f>
        <v>0</v>
      </c>
    </row>
    <row r="754" spans="2:8" x14ac:dyDescent="0.25">
      <c r="B754" s="367">
        <f>FCS!G760</f>
        <v>0</v>
      </c>
      <c r="C754">
        <f t="shared" ca="1" si="36"/>
        <v>0</v>
      </c>
      <c r="D754">
        <f>FCS!R760</f>
        <v>0</v>
      </c>
      <c r="E754">
        <f>FCS!AM760</f>
        <v>0</v>
      </c>
      <c r="F754">
        <f t="shared" ca="1" si="37"/>
        <v>0</v>
      </c>
      <c r="G754">
        <f t="shared" ca="1" si="38"/>
        <v>0</v>
      </c>
      <c r="H754">
        <f>FCS!AO760</f>
        <v>0</v>
      </c>
    </row>
    <row r="755" spans="2:8" x14ac:dyDescent="0.25">
      <c r="B755" s="367">
        <f>FCS!G761</f>
        <v>0</v>
      </c>
      <c r="C755">
        <f t="shared" ca="1" si="36"/>
        <v>0</v>
      </c>
      <c r="D755">
        <f>FCS!R761</f>
        <v>0</v>
      </c>
      <c r="E755">
        <f>FCS!AM761</f>
        <v>0</v>
      </c>
      <c r="F755">
        <f t="shared" ca="1" si="37"/>
        <v>0</v>
      </c>
      <c r="G755">
        <f t="shared" ca="1" si="38"/>
        <v>0</v>
      </c>
      <c r="H755">
        <f>FCS!AO761</f>
        <v>0</v>
      </c>
    </row>
    <row r="756" spans="2:8" x14ac:dyDescent="0.25">
      <c r="B756" s="367">
        <f>FCS!G762</f>
        <v>0</v>
      </c>
      <c r="C756">
        <f t="shared" ca="1" si="36"/>
        <v>0</v>
      </c>
      <c r="D756">
        <f>FCS!R762</f>
        <v>0</v>
      </c>
      <c r="E756">
        <f>FCS!AM762</f>
        <v>0</v>
      </c>
      <c r="F756">
        <f t="shared" ca="1" si="37"/>
        <v>0</v>
      </c>
      <c r="G756">
        <f t="shared" ca="1" si="38"/>
        <v>0</v>
      </c>
      <c r="H756">
        <f>FCS!AO762</f>
        <v>0</v>
      </c>
    </row>
    <row r="757" spans="2:8" x14ac:dyDescent="0.25">
      <c r="B757" s="367">
        <f>FCS!G763</f>
        <v>0</v>
      </c>
      <c r="C757">
        <f t="shared" ca="1" si="36"/>
        <v>0</v>
      </c>
      <c r="D757">
        <f>FCS!R763</f>
        <v>0</v>
      </c>
      <c r="E757">
        <f>FCS!AM763</f>
        <v>0</v>
      </c>
      <c r="F757">
        <f t="shared" ca="1" si="37"/>
        <v>0</v>
      </c>
      <c r="G757">
        <f t="shared" ca="1" si="38"/>
        <v>0</v>
      </c>
      <c r="H757">
        <f>FCS!AO763</f>
        <v>0</v>
      </c>
    </row>
    <row r="758" spans="2:8" x14ac:dyDescent="0.25">
      <c r="B758" s="367">
        <f>FCS!G764</f>
        <v>0</v>
      </c>
      <c r="C758">
        <f t="shared" ca="1" si="36"/>
        <v>0</v>
      </c>
      <c r="D758">
        <f>FCS!R764</f>
        <v>0</v>
      </c>
      <c r="E758">
        <f>FCS!AM764</f>
        <v>0</v>
      </c>
      <c r="F758">
        <f t="shared" ca="1" si="37"/>
        <v>0</v>
      </c>
      <c r="G758">
        <f t="shared" ca="1" si="38"/>
        <v>0</v>
      </c>
      <c r="H758">
        <f>FCS!AO764</f>
        <v>0</v>
      </c>
    </row>
    <row r="759" spans="2:8" x14ac:dyDescent="0.25">
      <c r="B759" s="367">
        <f>FCS!G765</f>
        <v>0</v>
      </c>
      <c r="C759">
        <f t="shared" ca="1" si="36"/>
        <v>0</v>
      </c>
      <c r="D759">
        <f>FCS!R765</f>
        <v>0</v>
      </c>
      <c r="E759">
        <f>FCS!AM765</f>
        <v>0</v>
      </c>
      <c r="F759">
        <f t="shared" ca="1" si="37"/>
        <v>0</v>
      </c>
      <c r="G759">
        <f t="shared" ca="1" si="38"/>
        <v>0</v>
      </c>
      <c r="H759">
        <f>FCS!AO765</f>
        <v>0</v>
      </c>
    </row>
    <row r="760" spans="2:8" x14ac:dyDescent="0.25">
      <c r="B760" s="367">
        <f>FCS!G766</f>
        <v>0</v>
      </c>
      <c r="C760">
        <f t="shared" ca="1" si="36"/>
        <v>0</v>
      </c>
      <c r="D760">
        <f>FCS!R766</f>
        <v>0</v>
      </c>
      <c r="E760">
        <f>FCS!AM766</f>
        <v>0</v>
      </c>
      <c r="F760">
        <f t="shared" ca="1" si="37"/>
        <v>0</v>
      </c>
      <c r="G760">
        <f t="shared" ca="1" si="38"/>
        <v>0</v>
      </c>
      <c r="H760">
        <f>FCS!AO766</f>
        <v>0</v>
      </c>
    </row>
    <row r="761" spans="2:8" x14ac:dyDescent="0.25">
      <c r="B761" s="367">
        <f>FCS!G767</f>
        <v>0</v>
      </c>
      <c r="C761">
        <f t="shared" ca="1" si="36"/>
        <v>0</v>
      </c>
      <c r="D761">
        <f>FCS!R767</f>
        <v>0</v>
      </c>
      <c r="E761">
        <f>FCS!AM767</f>
        <v>0</v>
      </c>
      <c r="F761">
        <f t="shared" ca="1" si="37"/>
        <v>0</v>
      </c>
      <c r="G761">
        <f t="shared" ca="1" si="38"/>
        <v>0</v>
      </c>
      <c r="H761">
        <f>FCS!AO767</f>
        <v>0</v>
      </c>
    </row>
    <row r="762" spans="2:8" x14ac:dyDescent="0.25">
      <c r="B762" s="367">
        <f>FCS!G768</f>
        <v>0</v>
      </c>
      <c r="C762">
        <f t="shared" ca="1" si="36"/>
        <v>0</v>
      </c>
      <c r="D762">
        <f>FCS!R768</f>
        <v>0</v>
      </c>
      <c r="E762">
        <f>FCS!AM768</f>
        <v>0</v>
      </c>
      <c r="F762">
        <f t="shared" ca="1" si="37"/>
        <v>0</v>
      </c>
      <c r="G762">
        <f t="shared" ca="1" si="38"/>
        <v>0</v>
      </c>
      <c r="H762">
        <f>FCS!AO768</f>
        <v>0</v>
      </c>
    </row>
    <row r="763" spans="2:8" x14ac:dyDescent="0.25">
      <c r="B763" s="367">
        <f>FCS!G769</f>
        <v>0</v>
      </c>
      <c r="C763">
        <f t="shared" ca="1" si="36"/>
        <v>0</v>
      </c>
      <c r="D763">
        <f>FCS!R769</f>
        <v>0</v>
      </c>
      <c r="E763">
        <f>FCS!AM769</f>
        <v>0</v>
      </c>
      <c r="F763">
        <f t="shared" ca="1" si="37"/>
        <v>0</v>
      </c>
      <c r="G763">
        <f t="shared" ca="1" si="38"/>
        <v>0</v>
      </c>
      <c r="H763">
        <f>FCS!AO769</f>
        <v>0</v>
      </c>
    </row>
    <row r="764" spans="2:8" x14ac:dyDescent="0.25">
      <c r="B764" s="367">
        <f>FCS!G770</f>
        <v>0</v>
      </c>
      <c r="C764">
        <f t="shared" ca="1" si="36"/>
        <v>0</v>
      </c>
      <c r="D764">
        <f>FCS!R770</f>
        <v>0</v>
      </c>
      <c r="E764">
        <f>FCS!AM770</f>
        <v>0</v>
      </c>
      <c r="F764">
        <f t="shared" ca="1" si="37"/>
        <v>0</v>
      </c>
      <c r="G764">
        <f t="shared" ca="1" si="38"/>
        <v>0</v>
      </c>
      <c r="H764">
        <f>FCS!AO770</f>
        <v>0</v>
      </c>
    </row>
    <row r="765" spans="2:8" x14ac:dyDescent="0.25">
      <c r="B765" s="367">
        <f>FCS!G771</f>
        <v>0</v>
      </c>
      <c r="C765">
        <f t="shared" ca="1" si="36"/>
        <v>0</v>
      </c>
      <c r="D765">
        <f>FCS!R771</f>
        <v>0</v>
      </c>
      <c r="E765">
        <f>FCS!AM771</f>
        <v>0</v>
      </c>
      <c r="F765">
        <f t="shared" ca="1" si="37"/>
        <v>0</v>
      </c>
      <c r="G765">
        <f t="shared" ca="1" si="38"/>
        <v>0</v>
      </c>
      <c r="H765">
        <f>FCS!AO771</f>
        <v>0</v>
      </c>
    </row>
    <row r="766" spans="2:8" x14ac:dyDescent="0.25">
      <c r="B766" s="367">
        <f>FCS!G772</f>
        <v>0</v>
      </c>
      <c r="C766">
        <f t="shared" ca="1" si="36"/>
        <v>0</v>
      </c>
      <c r="D766">
        <f>FCS!R772</f>
        <v>0</v>
      </c>
      <c r="E766">
        <f>FCS!AM772</f>
        <v>0</v>
      </c>
      <c r="F766">
        <f t="shared" ca="1" si="37"/>
        <v>0</v>
      </c>
      <c r="G766">
        <f t="shared" ca="1" si="38"/>
        <v>0</v>
      </c>
      <c r="H766">
        <f>FCS!AO772</f>
        <v>0</v>
      </c>
    </row>
    <row r="767" spans="2:8" x14ac:dyDescent="0.25">
      <c r="B767" s="367">
        <f>FCS!G773</f>
        <v>0</v>
      </c>
      <c r="C767">
        <f t="shared" ca="1" si="36"/>
        <v>0</v>
      </c>
      <c r="D767">
        <f>FCS!R773</f>
        <v>0</v>
      </c>
      <c r="E767">
        <f>FCS!AM773</f>
        <v>0</v>
      </c>
      <c r="F767">
        <f t="shared" ca="1" si="37"/>
        <v>0</v>
      </c>
      <c r="G767">
        <f t="shared" ca="1" si="38"/>
        <v>0</v>
      </c>
      <c r="H767">
        <f>FCS!AO773</f>
        <v>0</v>
      </c>
    </row>
    <row r="768" spans="2:8" x14ac:dyDescent="0.25">
      <c r="B768" s="367">
        <f>FCS!G774</f>
        <v>0</v>
      </c>
      <c r="C768">
        <f t="shared" ca="1" si="36"/>
        <v>0</v>
      </c>
      <c r="D768">
        <f>FCS!R774</f>
        <v>0</v>
      </c>
      <c r="E768">
        <f>FCS!AM774</f>
        <v>0</v>
      </c>
      <c r="F768">
        <f t="shared" ca="1" si="37"/>
        <v>0</v>
      </c>
      <c r="G768">
        <f t="shared" ca="1" si="38"/>
        <v>0</v>
      </c>
      <c r="H768">
        <f>FCS!AO774</f>
        <v>0</v>
      </c>
    </row>
    <row r="769" spans="2:8" x14ac:dyDescent="0.25">
      <c r="B769" s="367">
        <f>FCS!G775</f>
        <v>0</v>
      </c>
      <c r="C769">
        <f t="shared" ca="1" si="36"/>
        <v>0</v>
      </c>
      <c r="D769">
        <f>FCS!R775</f>
        <v>0</v>
      </c>
      <c r="E769">
        <f>FCS!AM775</f>
        <v>0</v>
      </c>
      <c r="F769">
        <f t="shared" ca="1" si="37"/>
        <v>0</v>
      </c>
      <c r="G769">
        <f t="shared" ca="1" si="38"/>
        <v>0</v>
      </c>
      <c r="H769">
        <f>FCS!AO775</f>
        <v>0</v>
      </c>
    </row>
    <row r="770" spans="2:8" x14ac:dyDescent="0.25">
      <c r="B770" s="367">
        <f>FCS!G776</f>
        <v>0</v>
      </c>
      <c r="C770">
        <f t="shared" ca="1" si="36"/>
        <v>0</v>
      </c>
      <c r="D770">
        <f>FCS!R776</f>
        <v>0</v>
      </c>
      <c r="E770">
        <f>FCS!AM776</f>
        <v>0</v>
      </c>
      <c r="F770">
        <f t="shared" ca="1" si="37"/>
        <v>0</v>
      </c>
      <c r="G770">
        <f t="shared" ca="1" si="38"/>
        <v>0</v>
      </c>
      <c r="H770">
        <f>FCS!AO776</f>
        <v>0</v>
      </c>
    </row>
    <row r="771" spans="2:8" x14ac:dyDescent="0.25">
      <c r="B771" s="367">
        <f>FCS!G777</f>
        <v>0</v>
      </c>
      <c r="C771">
        <f t="shared" ca="1" si="36"/>
        <v>0</v>
      </c>
      <c r="D771">
        <f>FCS!R777</f>
        <v>0</v>
      </c>
      <c r="E771">
        <f>FCS!AM777</f>
        <v>0</v>
      </c>
      <c r="F771">
        <f t="shared" ca="1" si="37"/>
        <v>0</v>
      </c>
      <c r="G771">
        <f t="shared" ca="1" si="38"/>
        <v>0</v>
      </c>
      <c r="H771">
        <f>FCS!AO777</f>
        <v>0</v>
      </c>
    </row>
    <row r="772" spans="2:8" x14ac:dyDescent="0.25">
      <c r="B772" s="367">
        <f>FCS!G778</f>
        <v>0</v>
      </c>
      <c r="C772">
        <f t="shared" ca="1" si="36"/>
        <v>0</v>
      </c>
      <c r="D772">
        <f>FCS!R778</f>
        <v>0</v>
      </c>
      <c r="E772">
        <f>FCS!AM778</f>
        <v>0</v>
      </c>
      <c r="F772">
        <f t="shared" ca="1" si="37"/>
        <v>0</v>
      </c>
      <c r="G772">
        <f t="shared" ca="1" si="38"/>
        <v>0</v>
      </c>
      <c r="H772">
        <f>FCS!AO778</f>
        <v>0</v>
      </c>
    </row>
    <row r="773" spans="2:8" x14ac:dyDescent="0.25">
      <c r="B773" s="367">
        <f>FCS!G779</f>
        <v>0</v>
      </c>
      <c r="C773">
        <f t="shared" ca="1" si="36"/>
        <v>0</v>
      </c>
      <c r="D773">
        <f>FCS!R779</f>
        <v>0</v>
      </c>
      <c r="E773">
        <f>FCS!AM779</f>
        <v>0</v>
      </c>
      <c r="F773">
        <f t="shared" ca="1" si="37"/>
        <v>0</v>
      </c>
      <c r="G773">
        <f t="shared" ca="1" si="38"/>
        <v>0</v>
      </c>
      <c r="H773">
        <f>FCS!AO779</f>
        <v>0</v>
      </c>
    </row>
    <row r="774" spans="2:8" x14ac:dyDescent="0.25">
      <c r="B774" s="367">
        <f>FCS!G780</f>
        <v>0</v>
      </c>
      <c r="C774">
        <f t="shared" ca="1" si="36"/>
        <v>0</v>
      </c>
      <c r="D774">
        <f>FCS!R780</f>
        <v>0</v>
      </c>
      <c r="E774">
        <f>FCS!AM780</f>
        <v>0</v>
      </c>
      <c r="F774">
        <f t="shared" ca="1" si="37"/>
        <v>0</v>
      </c>
      <c r="G774">
        <f t="shared" ca="1" si="38"/>
        <v>0</v>
      </c>
      <c r="H774">
        <f>FCS!AO780</f>
        <v>0</v>
      </c>
    </row>
    <row r="775" spans="2:8" x14ac:dyDescent="0.25">
      <c r="B775" s="367">
        <f>FCS!G781</f>
        <v>0</v>
      </c>
      <c r="C775">
        <f t="shared" ca="1" si="36"/>
        <v>0</v>
      </c>
      <c r="D775">
        <f>FCS!R781</f>
        <v>0</v>
      </c>
      <c r="E775">
        <f>FCS!AM781</f>
        <v>0</v>
      </c>
      <c r="F775">
        <f t="shared" ca="1" si="37"/>
        <v>0</v>
      </c>
      <c r="G775">
        <f t="shared" ca="1" si="38"/>
        <v>0</v>
      </c>
      <c r="H775">
        <f>FCS!AO781</f>
        <v>0</v>
      </c>
    </row>
    <row r="776" spans="2:8" x14ac:dyDescent="0.25">
      <c r="B776" s="367">
        <f>FCS!G782</f>
        <v>0</v>
      </c>
      <c r="C776">
        <f t="shared" ca="1" si="36"/>
        <v>0</v>
      </c>
      <c r="D776">
        <f>FCS!R782</f>
        <v>0</v>
      </c>
      <c r="E776">
        <f>FCS!AM782</f>
        <v>0</v>
      </c>
      <c r="F776">
        <f t="shared" ca="1" si="37"/>
        <v>0</v>
      </c>
      <c r="G776">
        <f t="shared" ca="1" si="38"/>
        <v>0</v>
      </c>
      <c r="H776">
        <f>FCS!AO782</f>
        <v>0</v>
      </c>
    </row>
    <row r="777" spans="2:8" x14ac:dyDescent="0.25">
      <c r="B777" s="367">
        <f>FCS!G783</f>
        <v>0</v>
      </c>
      <c r="C777">
        <f t="shared" ca="1" si="36"/>
        <v>0</v>
      </c>
      <c r="D777">
        <f>FCS!R783</f>
        <v>0</v>
      </c>
      <c r="E777">
        <f>FCS!AM783</f>
        <v>0</v>
      </c>
      <c r="F777">
        <f t="shared" ca="1" si="37"/>
        <v>0</v>
      </c>
      <c r="G777">
        <f t="shared" ca="1" si="38"/>
        <v>0</v>
      </c>
      <c r="H777">
        <f>FCS!AO783</f>
        <v>0</v>
      </c>
    </row>
    <row r="778" spans="2:8" x14ac:dyDescent="0.25">
      <c r="B778" s="367">
        <f>FCS!G784</f>
        <v>0</v>
      </c>
      <c r="C778">
        <f t="shared" ca="1" si="36"/>
        <v>0</v>
      </c>
      <c r="D778">
        <f>FCS!R784</f>
        <v>0</v>
      </c>
      <c r="E778">
        <f>FCS!AM784</f>
        <v>0</v>
      </c>
      <c r="F778">
        <f t="shared" ca="1" si="37"/>
        <v>0</v>
      </c>
      <c r="G778">
        <f t="shared" ca="1" si="38"/>
        <v>0</v>
      </c>
      <c r="H778">
        <f>FCS!AO784</f>
        <v>0</v>
      </c>
    </row>
    <row r="779" spans="2:8" x14ac:dyDescent="0.25">
      <c r="B779" s="367">
        <f>FCS!G785</f>
        <v>0</v>
      </c>
      <c r="C779">
        <f t="shared" ca="1" si="36"/>
        <v>0</v>
      </c>
      <c r="D779">
        <f>FCS!R785</f>
        <v>0</v>
      </c>
      <c r="E779">
        <f>FCS!AM785</f>
        <v>0</v>
      </c>
      <c r="F779">
        <f t="shared" ca="1" si="37"/>
        <v>0</v>
      </c>
      <c r="G779">
        <f t="shared" ca="1" si="38"/>
        <v>0</v>
      </c>
      <c r="H779">
        <f>FCS!AO785</f>
        <v>0</v>
      </c>
    </row>
    <row r="780" spans="2:8" x14ac:dyDescent="0.25">
      <c r="B780" s="367">
        <f>FCS!G786</f>
        <v>0</v>
      </c>
      <c r="C780">
        <f t="shared" ca="1" si="36"/>
        <v>0</v>
      </c>
      <c r="D780">
        <f>FCS!R786</f>
        <v>0</v>
      </c>
      <c r="E780">
        <f>FCS!AM786</f>
        <v>0</v>
      </c>
      <c r="F780">
        <f t="shared" ca="1" si="37"/>
        <v>0</v>
      </c>
      <c r="G780">
        <f t="shared" ca="1" si="38"/>
        <v>0</v>
      </c>
      <c r="H780">
        <f>FCS!AO786</f>
        <v>0</v>
      </c>
    </row>
    <row r="781" spans="2:8" x14ac:dyDescent="0.25">
      <c r="B781" s="367">
        <f>FCS!G787</f>
        <v>0</v>
      </c>
      <c r="C781">
        <f t="shared" ca="1" si="36"/>
        <v>0</v>
      </c>
      <c r="D781">
        <f>FCS!R787</f>
        <v>0</v>
      </c>
      <c r="E781">
        <f>FCS!AM787</f>
        <v>0</v>
      </c>
      <c r="F781">
        <f t="shared" ca="1" si="37"/>
        <v>0</v>
      </c>
      <c r="G781">
        <f t="shared" ca="1" si="38"/>
        <v>0</v>
      </c>
      <c r="H781">
        <f>FCS!AO787</f>
        <v>0</v>
      </c>
    </row>
    <row r="782" spans="2:8" x14ac:dyDescent="0.25">
      <c r="B782" s="367">
        <f>FCS!G788</f>
        <v>0</v>
      </c>
      <c r="C782">
        <f t="shared" ca="1" si="36"/>
        <v>0</v>
      </c>
      <c r="D782">
        <f>FCS!R788</f>
        <v>0</v>
      </c>
      <c r="E782">
        <f>FCS!AM788</f>
        <v>0</v>
      </c>
      <c r="F782">
        <f t="shared" ca="1" si="37"/>
        <v>0</v>
      </c>
      <c r="G782">
        <f t="shared" ca="1" si="38"/>
        <v>0</v>
      </c>
      <c r="H782">
        <f>FCS!AO788</f>
        <v>0</v>
      </c>
    </row>
    <row r="783" spans="2:8" x14ac:dyDescent="0.25">
      <c r="B783" s="367">
        <f>FCS!G789</f>
        <v>0</v>
      </c>
      <c r="C783">
        <f t="shared" ca="1" si="36"/>
        <v>0</v>
      </c>
      <c r="D783">
        <f>FCS!R789</f>
        <v>0</v>
      </c>
      <c r="E783">
        <f>FCS!AM789</f>
        <v>0</v>
      </c>
      <c r="F783">
        <f t="shared" ca="1" si="37"/>
        <v>0</v>
      </c>
      <c r="G783">
        <f t="shared" ca="1" si="38"/>
        <v>0</v>
      </c>
      <c r="H783">
        <f>FCS!AO789</f>
        <v>0</v>
      </c>
    </row>
    <row r="784" spans="2:8" x14ac:dyDescent="0.25">
      <c r="B784" s="367">
        <f>FCS!G790</f>
        <v>0</v>
      </c>
      <c r="C784">
        <f t="shared" ca="1" si="36"/>
        <v>0</v>
      </c>
      <c r="D784">
        <f>FCS!R790</f>
        <v>0</v>
      </c>
      <c r="E784">
        <f>FCS!AM790</f>
        <v>0</v>
      </c>
      <c r="F784">
        <f t="shared" ca="1" si="37"/>
        <v>0</v>
      </c>
      <c r="G784">
        <f t="shared" ca="1" si="38"/>
        <v>0</v>
      </c>
      <c r="H784">
        <f>FCS!AO790</f>
        <v>0</v>
      </c>
    </row>
    <row r="785" spans="2:8" x14ac:dyDescent="0.25">
      <c r="B785" s="367">
        <f>FCS!G791</f>
        <v>0</v>
      </c>
      <c r="C785">
        <f t="shared" ca="1" si="36"/>
        <v>0</v>
      </c>
      <c r="D785">
        <f>FCS!R791</f>
        <v>0</v>
      </c>
      <c r="E785">
        <f>FCS!AM791</f>
        <v>0</v>
      </c>
      <c r="F785">
        <f t="shared" ca="1" si="37"/>
        <v>0</v>
      </c>
      <c r="G785">
        <f t="shared" ca="1" si="38"/>
        <v>0</v>
      </c>
      <c r="H785">
        <f>FCS!AO791</f>
        <v>0</v>
      </c>
    </row>
    <row r="786" spans="2:8" x14ac:dyDescent="0.25">
      <c r="B786" s="367">
        <f>FCS!G792</f>
        <v>0</v>
      </c>
      <c r="C786">
        <f t="shared" ca="1" si="36"/>
        <v>0</v>
      </c>
      <c r="D786">
        <f>FCS!R792</f>
        <v>0</v>
      </c>
      <c r="E786">
        <f>FCS!AM792</f>
        <v>0</v>
      </c>
      <c r="F786">
        <f t="shared" ca="1" si="37"/>
        <v>0</v>
      </c>
      <c r="G786">
        <f t="shared" ca="1" si="38"/>
        <v>0</v>
      </c>
      <c r="H786">
        <f>FCS!AO792</f>
        <v>0</v>
      </c>
    </row>
    <row r="787" spans="2:8" x14ac:dyDescent="0.25">
      <c r="B787" s="367">
        <f>FCS!G793</f>
        <v>0</v>
      </c>
      <c r="C787">
        <f t="shared" ref="C787:C815" ca="1" si="39">IF(AND(B787&gt;$C$5,B787&lt;$D$4,H787="OK"),1,0)</f>
        <v>0</v>
      </c>
      <c r="D787">
        <f>FCS!R793</f>
        <v>0</v>
      </c>
      <c r="E787">
        <f>FCS!AM793</f>
        <v>0</v>
      </c>
      <c r="F787">
        <f t="shared" ref="F787:F815" ca="1" si="40">IFERROR(D787*C787,0)</f>
        <v>0</v>
      </c>
      <c r="G787">
        <f t="shared" ref="G787:G815" ca="1" si="41">IFERROR(E787*C787,0)</f>
        <v>0</v>
      </c>
      <c r="H787">
        <f>FCS!AO793</f>
        <v>0</v>
      </c>
    </row>
    <row r="788" spans="2:8" x14ac:dyDescent="0.25">
      <c r="B788" s="367">
        <f>FCS!G794</f>
        <v>0</v>
      </c>
      <c r="C788">
        <f t="shared" ca="1" si="39"/>
        <v>0</v>
      </c>
      <c r="D788">
        <f>FCS!R794</f>
        <v>0</v>
      </c>
      <c r="E788">
        <f>FCS!AM794</f>
        <v>0</v>
      </c>
      <c r="F788">
        <f t="shared" ca="1" si="40"/>
        <v>0</v>
      </c>
      <c r="G788">
        <f t="shared" ca="1" si="41"/>
        <v>0</v>
      </c>
      <c r="H788">
        <f>FCS!AO794</f>
        <v>0</v>
      </c>
    </row>
    <row r="789" spans="2:8" x14ac:dyDescent="0.25">
      <c r="B789" s="367">
        <f>FCS!G795</f>
        <v>0</v>
      </c>
      <c r="C789">
        <f t="shared" ca="1" si="39"/>
        <v>0</v>
      </c>
      <c r="D789">
        <f>FCS!R795</f>
        <v>0</v>
      </c>
      <c r="E789">
        <f>FCS!AM795</f>
        <v>0</v>
      </c>
      <c r="F789">
        <f t="shared" ca="1" si="40"/>
        <v>0</v>
      </c>
      <c r="G789">
        <f t="shared" ca="1" si="41"/>
        <v>0</v>
      </c>
      <c r="H789">
        <f>FCS!AO795</f>
        <v>0</v>
      </c>
    </row>
    <row r="790" spans="2:8" x14ac:dyDescent="0.25">
      <c r="B790" s="367">
        <f>FCS!G796</f>
        <v>0</v>
      </c>
      <c r="C790">
        <f t="shared" ca="1" si="39"/>
        <v>0</v>
      </c>
      <c r="D790">
        <f>FCS!R796</f>
        <v>0</v>
      </c>
      <c r="E790">
        <f>FCS!AM796</f>
        <v>0</v>
      </c>
      <c r="F790">
        <f t="shared" ca="1" si="40"/>
        <v>0</v>
      </c>
      <c r="G790">
        <f t="shared" ca="1" si="41"/>
        <v>0</v>
      </c>
      <c r="H790">
        <f>FCS!AO796</f>
        <v>0</v>
      </c>
    </row>
    <row r="791" spans="2:8" x14ac:dyDescent="0.25">
      <c r="B791" s="367">
        <f>FCS!G797</f>
        <v>0</v>
      </c>
      <c r="C791">
        <f t="shared" ca="1" si="39"/>
        <v>0</v>
      </c>
      <c r="D791">
        <f>FCS!R797</f>
        <v>0</v>
      </c>
      <c r="E791">
        <f>FCS!AM797</f>
        <v>0</v>
      </c>
      <c r="F791">
        <f t="shared" ca="1" si="40"/>
        <v>0</v>
      </c>
      <c r="G791">
        <f t="shared" ca="1" si="41"/>
        <v>0</v>
      </c>
      <c r="H791">
        <f>FCS!AO797</f>
        <v>0</v>
      </c>
    </row>
    <row r="792" spans="2:8" x14ac:dyDescent="0.25">
      <c r="B792" s="367">
        <f>FCS!G798</f>
        <v>0</v>
      </c>
      <c r="C792">
        <f t="shared" ca="1" si="39"/>
        <v>0</v>
      </c>
      <c r="D792">
        <f>FCS!R798</f>
        <v>0</v>
      </c>
      <c r="E792">
        <f>FCS!AM798</f>
        <v>0</v>
      </c>
      <c r="F792">
        <f t="shared" ca="1" si="40"/>
        <v>0</v>
      </c>
      <c r="G792">
        <f t="shared" ca="1" si="41"/>
        <v>0</v>
      </c>
      <c r="H792">
        <f>FCS!AO798</f>
        <v>0</v>
      </c>
    </row>
    <row r="793" spans="2:8" x14ac:dyDescent="0.25">
      <c r="B793" s="367">
        <f>FCS!G799</f>
        <v>0</v>
      </c>
      <c r="C793">
        <f t="shared" ca="1" si="39"/>
        <v>0</v>
      </c>
      <c r="D793">
        <f>FCS!R799</f>
        <v>0</v>
      </c>
      <c r="E793">
        <f>FCS!AM799</f>
        <v>0</v>
      </c>
      <c r="F793">
        <f t="shared" ca="1" si="40"/>
        <v>0</v>
      </c>
      <c r="G793">
        <f t="shared" ca="1" si="41"/>
        <v>0</v>
      </c>
      <c r="H793">
        <f>FCS!AO799</f>
        <v>0</v>
      </c>
    </row>
    <row r="794" spans="2:8" x14ac:dyDescent="0.25">
      <c r="B794" s="367">
        <f>FCS!G800</f>
        <v>0</v>
      </c>
      <c r="C794">
        <f t="shared" ca="1" si="39"/>
        <v>0</v>
      </c>
      <c r="D794">
        <f>FCS!R800</f>
        <v>0</v>
      </c>
      <c r="E794">
        <f>FCS!AM800</f>
        <v>0</v>
      </c>
      <c r="F794">
        <f t="shared" ca="1" si="40"/>
        <v>0</v>
      </c>
      <c r="G794">
        <f t="shared" ca="1" si="41"/>
        <v>0</v>
      </c>
      <c r="H794">
        <f>FCS!AO800</f>
        <v>0</v>
      </c>
    </row>
    <row r="795" spans="2:8" x14ac:dyDescent="0.25">
      <c r="B795" s="367">
        <f>FCS!G801</f>
        <v>0</v>
      </c>
      <c r="C795">
        <f t="shared" ca="1" si="39"/>
        <v>0</v>
      </c>
      <c r="D795">
        <f>FCS!R801</f>
        <v>0</v>
      </c>
      <c r="E795">
        <f>FCS!AM801</f>
        <v>0</v>
      </c>
      <c r="F795">
        <f t="shared" ca="1" si="40"/>
        <v>0</v>
      </c>
      <c r="G795">
        <f t="shared" ca="1" si="41"/>
        <v>0</v>
      </c>
      <c r="H795">
        <f>FCS!AO801</f>
        <v>0</v>
      </c>
    </row>
    <row r="796" spans="2:8" x14ac:dyDescent="0.25">
      <c r="B796" s="367">
        <f>FCS!G802</f>
        <v>0</v>
      </c>
      <c r="C796">
        <f t="shared" ca="1" si="39"/>
        <v>0</v>
      </c>
      <c r="D796">
        <f>FCS!R802</f>
        <v>0</v>
      </c>
      <c r="E796">
        <f>FCS!AM802</f>
        <v>0</v>
      </c>
      <c r="F796">
        <f t="shared" ca="1" si="40"/>
        <v>0</v>
      </c>
      <c r="G796">
        <f t="shared" ca="1" si="41"/>
        <v>0</v>
      </c>
      <c r="H796">
        <f>FCS!AO802</f>
        <v>0</v>
      </c>
    </row>
    <row r="797" spans="2:8" x14ac:dyDescent="0.25">
      <c r="B797" s="367">
        <f>FCS!G803</f>
        <v>0</v>
      </c>
      <c r="C797">
        <f t="shared" ca="1" si="39"/>
        <v>0</v>
      </c>
      <c r="D797">
        <f>FCS!R803</f>
        <v>0</v>
      </c>
      <c r="E797">
        <f>FCS!AM803</f>
        <v>0</v>
      </c>
      <c r="F797">
        <f t="shared" ca="1" si="40"/>
        <v>0</v>
      </c>
      <c r="G797">
        <f t="shared" ca="1" si="41"/>
        <v>0</v>
      </c>
      <c r="H797">
        <f>FCS!AO803</f>
        <v>0</v>
      </c>
    </row>
    <row r="798" spans="2:8" x14ac:dyDescent="0.25">
      <c r="B798" s="367">
        <f>FCS!G804</f>
        <v>0</v>
      </c>
      <c r="C798">
        <f t="shared" ca="1" si="39"/>
        <v>0</v>
      </c>
      <c r="D798">
        <f>FCS!R804</f>
        <v>0</v>
      </c>
      <c r="E798">
        <f>FCS!AM804</f>
        <v>0</v>
      </c>
      <c r="F798">
        <f t="shared" ca="1" si="40"/>
        <v>0</v>
      </c>
      <c r="G798">
        <f t="shared" ca="1" si="41"/>
        <v>0</v>
      </c>
      <c r="H798">
        <f>FCS!AO804</f>
        <v>0</v>
      </c>
    </row>
    <row r="799" spans="2:8" x14ac:dyDescent="0.25">
      <c r="B799" s="367">
        <f>FCS!G805</f>
        <v>0</v>
      </c>
      <c r="C799">
        <f t="shared" ca="1" si="39"/>
        <v>0</v>
      </c>
      <c r="D799">
        <f>FCS!R805</f>
        <v>0</v>
      </c>
      <c r="E799">
        <f>FCS!AM805</f>
        <v>0</v>
      </c>
      <c r="F799">
        <f t="shared" ca="1" si="40"/>
        <v>0</v>
      </c>
      <c r="G799">
        <f t="shared" ca="1" si="41"/>
        <v>0</v>
      </c>
      <c r="H799">
        <f>FCS!AO805</f>
        <v>0</v>
      </c>
    </row>
    <row r="800" spans="2:8" x14ac:dyDescent="0.25">
      <c r="B800" s="367">
        <f>FCS!G806</f>
        <v>0</v>
      </c>
      <c r="C800">
        <f t="shared" ca="1" si="39"/>
        <v>0</v>
      </c>
      <c r="D800">
        <f>FCS!R806</f>
        <v>0</v>
      </c>
      <c r="E800">
        <f>FCS!AM806</f>
        <v>0</v>
      </c>
      <c r="F800">
        <f t="shared" ca="1" si="40"/>
        <v>0</v>
      </c>
      <c r="G800">
        <f t="shared" ca="1" si="41"/>
        <v>0</v>
      </c>
      <c r="H800">
        <f>FCS!AO806</f>
        <v>0</v>
      </c>
    </row>
    <row r="801" spans="2:8" x14ac:dyDescent="0.25">
      <c r="B801" s="367">
        <f>FCS!G807</f>
        <v>0</v>
      </c>
      <c r="C801">
        <f t="shared" ca="1" si="39"/>
        <v>0</v>
      </c>
      <c r="D801">
        <f>FCS!R807</f>
        <v>0</v>
      </c>
      <c r="E801">
        <f>FCS!AM807</f>
        <v>0</v>
      </c>
      <c r="F801">
        <f t="shared" ca="1" si="40"/>
        <v>0</v>
      </c>
      <c r="G801">
        <f t="shared" ca="1" si="41"/>
        <v>0</v>
      </c>
      <c r="H801">
        <f>FCS!AO807</f>
        <v>0</v>
      </c>
    </row>
    <row r="802" spans="2:8" x14ac:dyDescent="0.25">
      <c r="B802" s="367">
        <f>FCS!G808</f>
        <v>0</v>
      </c>
      <c r="C802">
        <f t="shared" ca="1" si="39"/>
        <v>0</v>
      </c>
      <c r="D802">
        <f>FCS!R808</f>
        <v>0</v>
      </c>
      <c r="E802">
        <f>FCS!AM808</f>
        <v>0</v>
      </c>
      <c r="F802">
        <f t="shared" ca="1" si="40"/>
        <v>0</v>
      </c>
      <c r="G802">
        <f t="shared" ca="1" si="41"/>
        <v>0</v>
      </c>
      <c r="H802">
        <f>FCS!AO808</f>
        <v>0</v>
      </c>
    </row>
    <row r="803" spans="2:8" x14ac:dyDescent="0.25">
      <c r="B803" s="367">
        <f>FCS!G809</f>
        <v>0</v>
      </c>
      <c r="C803">
        <f t="shared" ca="1" si="39"/>
        <v>0</v>
      </c>
      <c r="D803">
        <f>FCS!R809</f>
        <v>0</v>
      </c>
      <c r="E803">
        <f>FCS!AM809</f>
        <v>0</v>
      </c>
      <c r="F803">
        <f t="shared" ca="1" si="40"/>
        <v>0</v>
      </c>
      <c r="G803">
        <f t="shared" ca="1" si="41"/>
        <v>0</v>
      </c>
      <c r="H803">
        <f>FCS!AO809</f>
        <v>0</v>
      </c>
    </row>
    <row r="804" spans="2:8" x14ac:dyDescent="0.25">
      <c r="B804" s="367">
        <f>FCS!G810</f>
        <v>0</v>
      </c>
      <c r="C804">
        <f t="shared" ca="1" si="39"/>
        <v>0</v>
      </c>
      <c r="D804">
        <f>FCS!R810</f>
        <v>0</v>
      </c>
      <c r="E804">
        <f>FCS!AM810</f>
        <v>0</v>
      </c>
      <c r="F804">
        <f t="shared" ca="1" si="40"/>
        <v>0</v>
      </c>
      <c r="G804">
        <f t="shared" ca="1" si="41"/>
        <v>0</v>
      </c>
      <c r="H804">
        <f>FCS!AO810</f>
        <v>0</v>
      </c>
    </row>
    <row r="805" spans="2:8" x14ac:dyDescent="0.25">
      <c r="B805" s="367">
        <f>FCS!G811</f>
        <v>0</v>
      </c>
      <c r="C805">
        <f t="shared" ca="1" si="39"/>
        <v>0</v>
      </c>
      <c r="D805">
        <f>FCS!R811</f>
        <v>0</v>
      </c>
      <c r="E805">
        <f>FCS!AM811</f>
        <v>0</v>
      </c>
      <c r="F805">
        <f t="shared" ca="1" si="40"/>
        <v>0</v>
      </c>
      <c r="G805">
        <f t="shared" ca="1" si="41"/>
        <v>0</v>
      </c>
      <c r="H805">
        <f>FCS!AO811</f>
        <v>0</v>
      </c>
    </row>
    <row r="806" spans="2:8" x14ac:dyDescent="0.25">
      <c r="B806" s="367">
        <f>FCS!G812</f>
        <v>0</v>
      </c>
      <c r="C806">
        <f t="shared" ca="1" si="39"/>
        <v>0</v>
      </c>
      <c r="D806">
        <f>FCS!R812</f>
        <v>0</v>
      </c>
      <c r="E806">
        <f>FCS!AM812</f>
        <v>0</v>
      </c>
      <c r="F806">
        <f t="shared" ca="1" si="40"/>
        <v>0</v>
      </c>
      <c r="G806">
        <f t="shared" ca="1" si="41"/>
        <v>0</v>
      </c>
      <c r="H806">
        <f>FCS!AO812</f>
        <v>0</v>
      </c>
    </row>
    <row r="807" spans="2:8" x14ac:dyDescent="0.25">
      <c r="B807" s="367">
        <f>FCS!G813</f>
        <v>0</v>
      </c>
      <c r="C807">
        <f t="shared" ca="1" si="39"/>
        <v>0</v>
      </c>
      <c r="D807">
        <f>FCS!R813</f>
        <v>0</v>
      </c>
      <c r="E807">
        <f>FCS!AM813</f>
        <v>0</v>
      </c>
      <c r="F807">
        <f t="shared" ca="1" si="40"/>
        <v>0</v>
      </c>
      <c r="G807">
        <f t="shared" ca="1" si="41"/>
        <v>0</v>
      </c>
      <c r="H807">
        <f>FCS!AO813</f>
        <v>0</v>
      </c>
    </row>
    <row r="808" spans="2:8" x14ac:dyDescent="0.25">
      <c r="B808" s="367">
        <f>FCS!G814</f>
        <v>0</v>
      </c>
      <c r="C808">
        <f t="shared" ca="1" si="39"/>
        <v>0</v>
      </c>
      <c r="D808">
        <f>FCS!R814</f>
        <v>0</v>
      </c>
      <c r="E808">
        <f>FCS!AM814</f>
        <v>0</v>
      </c>
      <c r="F808">
        <f t="shared" ca="1" si="40"/>
        <v>0</v>
      </c>
      <c r="G808">
        <f t="shared" ca="1" si="41"/>
        <v>0</v>
      </c>
      <c r="H808">
        <f>FCS!AO814</f>
        <v>0</v>
      </c>
    </row>
    <row r="809" spans="2:8" x14ac:dyDescent="0.25">
      <c r="B809" s="367">
        <f>FCS!G815</f>
        <v>0</v>
      </c>
      <c r="C809">
        <f t="shared" ca="1" si="39"/>
        <v>0</v>
      </c>
      <c r="D809">
        <f>FCS!R815</f>
        <v>0</v>
      </c>
      <c r="E809">
        <f>FCS!AM815</f>
        <v>0</v>
      </c>
      <c r="F809">
        <f t="shared" ca="1" si="40"/>
        <v>0</v>
      </c>
      <c r="G809">
        <f t="shared" ca="1" si="41"/>
        <v>0</v>
      </c>
      <c r="H809">
        <f>FCS!AO815</f>
        <v>0</v>
      </c>
    </row>
    <row r="810" spans="2:8" x14ac:dyDescent="0.25">
      <c r="B810" s="367">
        <f>FCS!G816</f>
        <v>0</v>
      </c>
      <c r="C810">
        <f t="shared" ca="1" si="39"/>
        <v>0</v>
      </c>
      <c r="D810">
        <f>FCS!R816</f>
        <v>0</v>
      </c>
      <c r="E810">
        <f>FCS!AM816</f>
        <v>0</v>
      </c>
      <c r="F810">
        <f t="shared" ca="1" si="40"/>
        <v>0</v>
      </c>
      <c r="G810">
        <f t="shared" ca="1" si="41"/>
        <v>0</v>
      </c>
      <c r="H810">
        <f>FCS!AO816</f>
        <v>0</v>
      </c>
    </row>
    <row r="811" spans="2:8" x14ac:dyDescent="0.25">
      <c r="B811" s="367">
        <f>FCS!G817</f>
        <v>0</v>
      </c>
      <c r="C811">
        <f t="shared" ca="1" si="39"/>
        <v>0</v>
      </c>
      <c r="D811">
        <f>FCS!R817</f>
        <v>0</v>
      </c>
      <c r="E811">
        <f>FCS!AM817</f>
        <v>0</v>
      </c>
      <c r="F811">
        <f t="shared" ca="1" si="40"/>
        <v>0</v>
      </c>
      <c r="G811">
        <f t="shared" ca="1" si="41"/>
        <v>0</v>
      </c>
      <c r="H811">
        <f>FCS!AO817</f>
        <v>0</v>
      </c>
    </row>
    <row r="812" spans="2:8" x14ac:dyDescent="0.25">
      <c r="B812" s="367">
        <f>FCS!G818</f>
        <v>0</v>
      </c>
      <c r="C812">
        <f t="shared" ca="1" si="39"/>
        <v>0</v>
      </c>
      <c r="D812">
        <f>FCS!R818</f>
        <v>0</v>
      </c>
      <c r="E812">
        <f>FCS!AM818</f>
        <v>0</v>
      </c>
      <c r="F812">
        <f t="shared" ca="1" si="40"/>
        <v>0</v>
      </c>
      <c r="G812">
        <f t="shared" ca="1" si="41"/>
        <v>0</v>
      </c>
      <c r="H812">
        <f>FCS!AO818</f>
        <v>0</v>
      </c>
    </row>
    <row r="813" spans="2:8" x14ac:dyDescent="0.25">
      <c r="B813" s="367">
        <f>FCS!G819</f>
        <v>0</v>
      </c>
      <c r="C813">
        <f t="shared" ca="1" si="39"/>
        <v>0</v>
      </c>
      <c r="D813">
        <f>FCS!R819</f>
        <v>0</v>
      </c>
      <c r="E813">
        <f>FCS!AM819</f>
        <v>0</v>
      </c>
      <c r="F813">
        <f t="shared" ca="1" si="40"/>
        <v>0</v>
      </c>
      <c r="G813">
        <f t="shared" ca="1" si="41"/>
        <v>0</v>
      </c>
      <c r="H813">
        <f>FCS!AO819</f>
        <v>0</v>
      </c>
    </row>
    <row r="814" spans="2:8" x14ac:dyDescent="0.25">
      <c r="B814" s="367">
        <f>FCS!G820</f>
        <v>0</v>
      </c>
      <c r="C814">
        <f t="shared" ca="1" si="39"/>
        <v>0</v>
      </c>
      <c r="D814">
        <f>FCS!R820</f>
        <v>0</v>
      </c>
      <c r="E814">
        <f>FCS!AM820</f>
        <v>0</v>
      </c>
      <c r="F814">
        <f t="shared" ca="1" si="40"/>
        <v>0</v>
      </c>
      <c r="G814">
        <f t="shared" ca="1" si="41"/>
        <v>0</v>
      </c>
      <c r="H814">
        <f>FCS!AO820</f>
        <v>0</v>
      </c>
    </row>
    <row r="815" spans="2:8" x14ac:dyDescent="0.25">
      <c r="B815" s="367">
        <f>FCS!G821</f>
        <v>0</v>
      </c>
      <c r="C815">
        <f t="shared" ca="1" si="39"/>
        <v>0</v>
      </c>
      <c r="D815">
        <f>FCS!R821</f>
        <v>0</v>
      </c>
      <c r="E815">
        <f>FCS!AM821</f>
        <v>0</v>
      </c>
      <c r="F815">
        <f t="shared" ca="1" si="40"/>
        <v>0</v>
      </c>
      <c r="G815">
        <f t="shared" ca="1" si="41"/>
        <v>0</v>
      </c>
      <c r="H815">
        <f>FCS!AO821</f>
        <v>0</v>
      </c>
    </row>
    <row r="816" spans="2:8" x14ac:dyDescent="0.25">
      <c r="B816" s="367"/>
    </row>
    <row r="817" spans="2:2" x14ac:dyDescent="0.25">
      <c r="B817" s="367"/>
    </row>
    <row r="818" spans="2:2" x14ac:dyDescent="0.25">
      <c r="B818" s="367"/>
    </row>
    <row r="819" spans="2:2" x14ac:dyDescent="0.25">
      <c r="B819" s="367"/>
    </row>
    <row r="820" spans="2:2" x14ac:dyDescent="0.25">
      <c r="B820" s="367"/>
    </row>
    <row r="821" spans="2:2" x14ac:dyDescent="0.25">
      <c r="B821" s="367"/>
    </row>
    <row r="822" spans="2:2" x14ac:dyDescent="0.25">
      <c r="B822" s="367"/>
    </row>
    <row r="823" spans="2:2" x14ac:dyDescent="0.25">
      <c r="B823" s="367"/>
    </row>
    <row r="824" spans="2:2" x14ac:dyDescent="0.25">
      <c r="B824" s="367"/>
    </row>
    <row r="825" spans="2:2" x14ac:dyDescent="0.25">
      <c r="B825" s="367"/>
    </row>
    <row r="826" spans="2:2" x14ac:dyDescent="0.25">
      <c r="B826" s="367"/>
    </row>
    <row r="827" spans="2:2" x14ac:dyDescent="0.25">
      <c r="B827" s="367"/>
    </row>
    <row r="828" spans="2:2" x14ac:dyDescent="0.25">
      <c r="B828" s="367"/>
    </row>
    <row r="829" spans="2:2" x14ac:dyDescent="0.25">
      <c r="B829" s="367"/>
    </row>
    <row r="830" spans="2:2" x14ac:dyDescent="0.25">
      <c r="B830" s="367"/>
    </row>
    <row r="831" spans="2:2" x14ac:dyDescent="0.25">
      <c r="B831" s="367"/>
    </row>
    <row r="832" spans="2:2" x14ac:dyDescent="0.25">
      <c r="B832" s="367"/>
    </row>
    <row r="833" spans="2:2" x14ac:dyDescent="0.25">
      <c r="B833" s="367"/>
    </row>
    <row r="834" spans="2:2" x14ac:dyDescent="0.25">
      <c r="B834" s="367"/>
    </row>
    <row r="835" spans="2:2" x14ac:dyDescent="0.25">
      <c r="B835" s="367"/>
    </row>
    <row r="836" spans="2:2" x14ac:dyDescent="0.25">
      <c r="B836" s="367"/>
    </row>
    <row r="837" spans="2:2" x14ac:dyDescent="0.25">
      <c r="B837" s="367"/>
    </row>
    <row r="838" spans="2:2" x14ac:dyDescent="0.25">
      <c r="B838" s="367"/>
    </row>
    <row r="839" spans="2:2" x14ac:dyDescent="0.25">
      <c r="B839" s="367"/>
    </row>
    <row r="840" spans="2:2" x14ac:dyDescent="0.25">
      <c r="B840" s="367"/>
    </row>
    <row r="841" spans="2:2" x14ac:dyDescent="0.25">
      <c r="B841" s="367"/>
    </row>
    <row r="842" spans="2:2" x14ac:dyDescent="0.25">
      <c r="B842" s="367"/>
    </row>
    <row r="843" spans="2:2" x14ac:dyDescent="0.25">
      <c r="B843" s="367"/>
    </row>
    <row r="844" spans="2:2" x14ac:dyDescent="0.25">
      <c r="B844" s="367"/>
    </row>
    <row r="845" spans="2:2" x14ac:dyDescent="0.25">
      <c r="B845" s="367"/>
    </row>
    <row r="846" spans="2:2" x14ac:dyDescent="0.25">
      <c r="B846" s="367"/>
    </row>
    <row r="847" spans="2:2" x14ac:dyDescent="0.25">
      <c r="B847" s="367"/>
    </row>
    <row r="848" spans="2:2" x14ac:dyDescent="0.25">
      <c r="B848" s="367"/>
    </row>
    <row r="849" spans="2:2" x14ac:dyDescent="0.25">
      <c r="B849" s="367"/>
    </row>
    <row r="850" spans="2:2" x14ac:dyDescent="0.25">
      <c r="B850" s="367"/>
    </row>
    <row r="851" spans="2:2" x14ac:dyDescent="0.25">
      <c r="B851" s="367"/>
    </row>
    <row r="852" spans="2:2" x14ac:dyDescent="0.25">
      <c r="B852" s="367"/>
    </row>
    <row r="853" spans="2:2" x14ac:dyDescent="0.25">
      <c r="B853" s="367"/>
    </row>
    <row r="854" spans="2:2" x14ac:dyDescent="0.25">
      <c r="B854" s="367"/>
    </row>
    <row r="855" spans="2:2" x14ac:dyDescent="0.25">
      <c r="B855" s="367"/>
    </row>
    <row r="856" spans="2:2" x14ac:dyDescent="0.25">
      <c r="B856" s="367"/>
    </row>
    <row r="857" spans="2:2" x14ac:dyDescent="0.25">
      <c r="B857" s="367"/>
    </row>
    <row r="858" spans="2:2" x14ac:dyDescent="0.25">
      <c r="B858" s="367"/>
    </row>
    <row r="859" spans="2:2" x14ac:dyDescent="0.25">
      <c r="B859" s="367"/>
    </row>
    <row r="860" spans="2:2" x14ac:dyDescent="0.25">
      <c r="B860" s="367"/>
    </row>
    <row r="861" spans="2:2" x14ac:dyDescent="0.25">
      <c r="B861" s="367"/>
    </row>
    <row r="862" spans="2:2" x14ac:dyDescent="0.25">
      <c r="B862" s="367"/>
    </row>
    <row r="863" spans="2:2" x14ac:dyDescent="0.25">
      <c r="B863" s="367"/>
    </row>
    <row r="864" spans="2:2" x14ac:dyDescent="0.25">
      <c r="B864" s="367"/>
    </row>
    <row r="865" spans="2:2" x14ac:dyDescent="0.25">
      <c r="B865" s="367"/>
    </row>
    <row r="866" spans="2:2" x14ac:dyDescent="0.25">
      <c r="B866" s="367"/>
    </row>
    <row r="867" spans="2:2" x14ac:dyDescent="0.25">
      <c r="B867" s="367"/>
    </row>
  </sheetData>
  <autoFilter ref="B15:G815" xr:uid="{327FA072-E5F2-4765-B8E3-5C2D7D9A916E}"/>
  <mergeCells count="1">
    <mergeCell ref="I3:J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AV119"/>
  <sheetViews>
    <sheetView zoomScale="80" zoomScaleNormal="80" workbookViewId="0">
      <selection activeCell="F14" sqref="F14"/>
    </sheetView>
  </sheetViews>
  <sheetFormatPr baseColWidth="10" defaultColWidth="9.140625" defaultRowHeight="13.5" x14ac:dyDescent="0.25"/>
  <cols>
    <col min="7" max="7" width="12.7109375" customWidth="1"/>
    <col min="46" max="46" width="11.5703125" bestFit="1" customWidth="1"/>
  </cols>
  <sheetData>
    <row r="1" spans="1:48" s="7" customFormat="1" ht="20.25" x14ac:dyDescent="0.25">
      <c r="A1" s="8" t="s">
        <v>0</v>
      </c>
      <c r="B1" s="8"/>
      <c r="C1" s="8"/>
      <c r="D1" s="8"/>
      <c r="E1" s="8"/>
      <c r="F1" s="8"/>
      <c r="G1" s="91"/>
      <c r="H1" s="8"/>
      <c r="I1" s="8"/>
      <c r="J1" s="8"/>
      <c r="K1" s="8"/>
      <c r="L1" s="8"/>
      <c r="M1" s="140"/>
      <c r="N1" s="183"/>
      <c r="O1" s="8"/>
      <c r="P1" s="19"/>
      <c r="Q1" s="19"/>
      <c r="R1" s="8"/>
      <c r="S1" s="8"/>
      <c r="T1" s="8"/>
      <c r="U1" s="8"/>
      <c r="V1" s="20"/>
      <c r="W1" s="21"/>
      <c r="X1" s="22"/>
      <c r="Y1" s="23"/>
      <c r="Z1" s="19"/>
      <c r="AA1" s="19"/>
      <c r="AB1" s="19"/>
      <c r="AC1" s="19"/>
      <c r="AD1" s="19"/>
      <c r="AE1" s="151"/>
      <c r="AF1" s="155"/>
      <c r="AG1" s="8"/>
      <c r="AH1" s="23"/>
      <c r="AI1" s="23"/>
      <c r="AJ1" s="19"/>
      <c r="AK1" s="8"/>
      <c r="AL1" s="155"/>
      <c r="AM1" s="19"/>
      <c r="AN1" s="134"/>
      <c r="AO1" s="8"/>
      <c r="AP1" s="24"/>
      <c r="AQ1" s="25"/>
      <c r="AR1" s="25"/>
    </row>
    <row r="2" spans="1:48" s="7" customFormat="1" ht="14.25" x14ac:dyDescent="0.3">
      <c r="A2" s="16"/>
      <c r="B2" s="16"/>
      <c r="C2" s="16"/>
      <c r="D2" s="132"/>
      <c r="E2" s="16"/>
      <c r="G2" s="92"/>
      <c r="M2" s="141"/>
      <c r="N2" s="16"/>
      <c r="P2" s="26"/>
      <c r="Q2" s="26"/>
      <c r="V2" s="27"/>
      <c r="W2" s="28"/>
      <c r="X2" s="29"/>
      <c r="Y2" s="18"/>
      <c r="Z2" s="26"/>
      <c r="AA2" s="26"/>
      <c r="AB2" s="26"/>
      <c r="AC2" s="26"/>
      <c r="AD2" s="26"/>
      <c r="AE2" s="152"/>
      <c r="AF2" s="156"/>
      <c r="AH2" s="18"/>
      <c r="AI2" s="18"/>
      <c r="AJ2" s="26"/>
      <c r="AL2" s="156"/>
      <c r="AM2" s="26"/>
      <c r="AN2" s="135"/>
      <c r="AP2" s="30"/>
      <c r="AQ2" s="27"/>
      <c r="AR2" s="27"/>
    </row>
    <row r="3" spans="1:48" s="7" customFormat="1" ht="14.25" x14ac:dyDescent="0.3">
      <c r="A3" s="31"/>
      <c r="B3" s="319"/>
      <c r="C3" s="319"/>
      <c r="D3" s="320"/>
      <c r="E3" s="319"/>
      <c r="F3" s="321"/>
      <c r="G3" s="322"/>
      <c r="H3" s="321"/>
      <c r="I3" s="321"/>
      <c r="J3" s="321"/>
      <c r="K3" s="321"/>
      <c r="L3" s="321"/>
      <c r="M3" s="323"/>
      <c r="N3" s="319"/>
      <c r="O3" s="321"/>
      <c r="P3" s="313"/>
      <c r="Q3" s="313"/>
      <c r="R3" s="321"/>
      <c r="S3" s="321"/>
      <c r="T3" s="321"/>
      <c r="U3" s="321"/>
      <c r="V3" s="310"/>
      <c r="W3" s="324"/>
      <c r="X3" s="311"/>
      <c r="Y3" s="312"/>
      <c r="Z3" s="313"/>
      <c r="AA3" s="313"/>
      <c r="AB3" s="313"/>
      <c r="AC3" s="313"/>
      <c r="AD3" s="313"/>
      <c r="AE3" s="314"/>
      <c r="AF3" s="315"/>
      <c r="AG3" s="321"/>
      <c r="AH3" s="312"/>
      <c r="AI3" s="312"/>
      <c r="AJ3" s="313"/>
      <c r="AK3" s="321"/>
      <c r="AL3" s="315"/>
      <c r="AM3" s="313"/>
      <c r="AN3" s="325"/>
      <c r="AO3" s="321"/>
      <c r="AP3" s="326"/>
      <c r="AQ3" s="647"/>
      <c r="AR3" s="648"/>
    </row>
    <row r="4" spans="1:48" s="7" customFormat="1" x14ac:dyDescent="0.25">
      <c r="A4" s="209" t="s">
        <v>8</v>
      </c>
      <c r="B4" s="299"/>
      <c r="C4" s="299"/>
      <c r="D4" s="299"/>
      <c r="E4" s="299"/>
      <c r="F4" s="299"/>
      <c r="G4" s="327"/>
      <c r="H4" s="299"/>
      <c r="I4" s="299"/>
      <c r="J4" s="299"/>
      <c r="K4" s="299"/>
      <c r="L4" s="299"/>
      <c r="M4" s="300"/>
      <c r="N4" s="184" t="s">
        <v>9</v>
      </c>
      <c r="O4" s="299"/>
      <c r="P4" s="301"/>
      <c r="Q4" s="301"/>
      <c r="R4" s="299"/>
      <c r="S4" s="299"/>
      <c r="T4" s="299"/>
      <c r="U4" s="299"/>
      <c r="V4" s="302"/>
      <c r="W4" s="303"/>
      <c r="X4" s="304"/>
      <c r="Y4" s="75" t="s">
        <v>10</v>
      </c>
      <c r="Z4" s="301"/>
      <c r="AA4" s="301"/>
      <c r="AB4" s="301"/>
      <c r="AC4" s="301"/>
      <c r="AD4" s="301"/>
      <c r="AE4" s="305"/>
      <c r="AF4" s="301"/>
      <c r="AG4" s="306"/>
      <c r="AH4" s="75" t="s">
        <v>11</v>
      </c>
      <c r="AI4" s="305"/>
      <c r="AJ4" s="301"/>
      <c r="AK4" s="299"/>
      <c r="AL4" s="301"/>
      <c r="AM4" s="301"/>
      <c r="AN4" s="307"/>
      <c r="AO4" s="444" t="s">
        <v>12</v>
      </c>
      <c r="AP4" s="445"/>
      <c r="AQ4" s="445"/>
      <c r="AR4" s="446"/>
    </row>
    <row r="5" spans="1:48" s="7" customFormat="1" ht="14.25" x14ac:dyDescent="0.3">
      <c r="A5" s="32" t="s">
        <v>13</v>
      </c>
      <c r="B5" s="9"/>
      <c r="C5" s="9"/>
      <c r="D5" s="9"/>
      <c r="E5" s="9"/>
      <c r="G5" s="92"/>
      <c r="M5" s="142"/>
      <c r="N5" s="185"/>
      <c r="P5" s="26"/>
      <c r="Q5" s="26"/>
      <c r="V5" s="27"/>
      <c r="W5" s="28"/>
      <c r="X5" s="29"/>
      <c r="Y5" s="35"/>
      <c r="Z5" s="34"/>
      <c r="AA5" s="26"/>
      <c r="AB5" s="26"/>
      <c r="AC5" s="26"/>
      <c r="AD5" s="26"/>
      <c r="AE5" s="152"/>
      <c r="AF5" s="156"/>
      <c r="AG5" s="33"/>
      <c r="AH5" s="35"/>
      <c r="AI5" s="18"/>
      <c r="AJ5" s="26"/>
      <c r="AL5" s="156"/>
      <c r="AM5" s="26"/>
      <c r="AN5" s="136"/>
      <c r="AO5" s="447"/>
      <c r="AP5" s="448"/>
      <c r="AQ5" s="448"/>
      <c r="AR5" s="449"/>
    </row>
    <row r="6" spans="1:48" s="7" customFormat="1" ht="14.25" x14ac:dyDescent="0.3">
      <c r="A6" s="36" t="s">
        <v>14</v>
      </c>
      <c r="B6" s="10"/>
      <c r="C6" s="10"/>
      <c r="D6" s="10"/>
      <c r="E6" s="10"/>
      <c r="F6" s="37"/>
      <c r="G6" s="93"/>
      <c r="H6" s="37"/>
      <c r="I6" s="38"/>
      <c r="J6" s="38"/>
      <c r="K6" s="38"/>
      <c r="L6" s="38"/>
      <c r="M6" s="143"/>
      <c r="N6" s="32"/>
      <c r="O6" s="39"/>
      <c r="P6" s="40" t="s">
        <v>15</v>
      </c>
      <c r="Q6" s="40"/>
      <c r="R6" s="39"/>
      <c r="S6" s="39"/>
      <c r="T6" s="39"/>
      <c r="U6" s="41" t="s">
        <v>16</v>
      </c>
      <c r="V6" s="27"/>
      <c r="W6" s="28"/>
      <c r="X6" s="29"/>
      <c r="Y6" s="66" t="s">
        <v>17</v>
      </c>
      <c r="Z6" s="26"/>
      <c r="AA6" s="26"/>
      <c r="AB6" s="26"/>
      <c r="AC6" s="26"/>
      <c r="AD6" s="26"/>
      <c r="AE6" s="152"/>
      <c r="AF6" s="156"/>
      <c r="AG6" s="33"/>
      <c r="AH6" s="35"/>
      <c r="AI6" s="18"/>
      <c r="AJ6" s="26"/>
      <c r="AL6" s="156"/>
      <c r="AM6" s="26"/>
      <c r="AN6" s="136"/>
      <c r="AO6" s="447"/>
      <c r="AP6" s="448"/>
      <c r="AQ6" s="448"/>
      <c r="AR6" s="449"/>
    </row>
    <row r="7" spans="1:48" s="7" customFormat="1" ht="14.25" customHeight="1" x14ac:dyDescent="0.3">
      <c r="A7" s="475" t="s">
        <v>18</v>
      </c>
      <c r="B7" s="476"/>
      <c r="C7" s="472" t="s">
        <v>19</v>
      </c>
      <c r="D7" s="472" t="s">
        <v>20</v>
      </c>
      <c r="E7" s="472" t="s">
        <v>21</v>
      </c>
      <c r="F7" s="457" t="s">
        <v>22</v>
      </c>
      <c r="G7" s="483" t="s">
        <v>23</v>
      </c>
      <c r="H7" s="76" t="s">
        <v>24</v>
      </c>
      <c r="I7" s="77"/>
      <c r="J7" s="77"/>
      <c r="K7" s="77"/>
      <c r="L7" s="77"/>
      <c r="M7" s="144"/>
      <c r="N7" s="185"/>
      <c r="P7" s="26"/>
      <c r="Q7" s="26"/>
      <c r="V7" s="27"/>
      <c r="W7" s="28"/>
      <c r="X7" s="29"/>
      <c r="Y7" s="67" t="s">
        <v>25</v>
      </c>
      <c r="Z7" s="26"/>
      <c r="AA7" s="42"/>
      <c r="AB7" s="42"/>
      <c r="AC7" s="43">
        <v>98</v>
      </c>
      <c r="AD7" s="43" t="s">
        <v>26</v>
      </c>
      <c r="AE7" s="192" t="s">
        <v>27</v>
      </c>
      <c r="AF7" s="78"/>
      <c r="AG7" s="79"/>
      <c r="AH7" s="80" t="s">
        <v>28</v>
      </c>
      <c r="AI7" s="81"/>
      <c r="AJ7" s="82"/>
      <c r="AK7" s="1"/>
      <c r="AL7" s="156"/>
      <c r="AM7" s="26"/>
      <c r="AN7" s="136"/>
      <c r="AO7" s="450"/>
      <c r="AP7" s="451"/>
      <c r="AQ7" s="451"/>
      <c r="AR7" s="452"/>
    </row>
    <row r="8" spans="1:48" s="7" customFormat="1" ht="38.25" x14ac:dyDescent="0.25">
      <c r="A8" s="477"/>
      <c r="B8" s="478"/>
      <c r="C8" s="473"/>
      <c r="D8" s="473"/>
      <c r="E8" s="473"/>
      <c r="F8" s="486"/>
      <c r="G8" s="484"/>
      <c r="H8" s="481" t="s">
        <v>30</v>
      </c>
      <c r="I8" s="479" t="s">
        <v>31</v>
      </c>
      <c r="J8" s="479" t="s">
        <v>32</v>
      </c>
      <c r="K8" s="479" t="s">
        <v>33</v>
      </c>
      <c r="L8" s="479" t="s">
        <v>34</v>
      </c>
      <c r="M8" s="145" t="s">
        <v>35</v>
      </c>
      <c r="N8" s="488" t="s">
        <v>36</v>
      </c>
      <c r="O8" s="72" t="s">
        <v>37</v>
      </c>
      <c r="P8" s="83" t="s">
        <v>38</v>
      </c>
      <c r="Q8" s="84"/>
      <c r="R8" s="210" t="s">
        <v>39</v>
      </c>
      <c r="S8" s="85"/>
      <c r="T8" s="462" t="s">
        <v>40</v>
      </c>
      <c r="U8" s="44" t="s">
        <v>41</v>
      </c>
      <c r="V8" s="457" t="s">
        <v>42</v>
      </c>
      <c r="W8" s="45" t="s">
        <v>43</v>
      </c>
      <c r="X8" s="46" t="s">
        <v>44</v>
      </c>
      <c r="Y8" s="68" t="s">
        <v>45</v>
      </c>
      <c r="Z8" s="461" t="s">
        <v>46</v>
      </c>
      <c r="AA8" s="83" t="s">
        <v>47</v>
      </c>
      <c r="AB8" s="86"/>
      <c r="AC8" s="86"/>
      <c r="AD8" s="87"/>
      <c r="AE8" s="47" t="s">
        <v>48</v>
      </c>
      <c r="AF8" s="48" t="s">
        <v>49</v>
      </c>
      <c r="AG8" s="73" t="s">
        <v>50</v>
      </c>
      <c r="AH8" s="47" t="s">
        <v>51</v>
      </c>
      <c r="AI8" s="49" t="s">
        <v>52</v>
      </c>
      <c r="AJ8" s="50" t="s">
        <v>53</v>
      </c>
      <c r="AK8" s="74" t="s">
        <v>54</v>
      </c>
      <c r="AL8" s="71" t="s">
        <v>55</v>
      </c>
      <c r="AM8" s="459" t="s">
        <v>56</v>
      </c>
      <c r="AN8" s="460"/>
      <c r="AO8" s="453" t="s">
        <v>57</v>
      </c>
      <c r="AP8" s="455" t="s">
        <v>58</v>
      </c>
      <c r="AQ8" s="127" t="s">
        <v>59</v>
      </c>
      <c r="AR8" s="128" t="s">
        <v>60</v>
      </c>
    </row>
    <row r="9" spans="1:48" s="7" customFormat="1" ht="27" x14ac:dyDescent="0.25">
      <c r="A9" s="51" t="s">
        <v>63</v>
      </c>
      <c r="B9" s="104" t="s">
        <v>64</v>
      </c>
      <c r="C9" s="474"/>
      <c r="D9" s="474"/>
      <c r="E9" s="474"/>
      <c r="F9" s="487"/>
      <c r="G9" s="485"/>
      <c r="H9" s="482"/>
      <c r="I9" s="480"/>
      <c r="J9" s="480"/>
      <c r="K9" s="458"/>
      <c r="L9" s="480"/>
      <c r="M9" s="146"/>
      <c r="N9" s="489"/>
      <c r="O9" s="105" t="s">
        <v>65</v>
      </c>
      <c r="P9" s="106" t="s">
        <v>66</v>
      </c>
      <c r="Q9" s="106" t="s">
        <v>67</v>
      </c>
      <c r="R9" s="107" t="s">
        <v>68</v>
      </c>
      <c r="S9" s="107" t="s">
        <v>67</v>
      </c>
      <c r="T9" s="458"/>
      <c r="U9" s="108" t="s">
        <v>69</v>
      </c>
      <c r="V9" s="458"/>
      <c r="W9" s="88" t="s">
        <v>70</v>
      </c>
      <c r="X9" s="89" t="s">
        <v>70</v>
      </c>
      <c r="Y9" s="90" t="s">
        <v>71</v>
      </c>
      <c r="Z9" s="458"/>
      <c r="AA9" s="97" t="s">
        <v>72</v>
      </c>
      <c r="AB9" s="97" t="s">
        <v>73</v>
      </c>
      <c r="AC9" s="97" t="s">
        <v>74</v>
      </c>
      <c r="AD9" s="98" t="s">
        <v>75</v>
      </c>
      <c r="AE9" s="99" t="s">
        <v>71</v>
      </c>
      <c r="AF9" s="97" t="s">
        <v>26</v>
      </c>
      <c r="AG9" s="100"/>
      <c r="AH9" s="99" t="s">
        <v>71</v>
      </c>
      <c r="AI9" s="101" t="s">
        <v>71</v>
      </c>
      <c r="AJ9" s="98" t="s">
        <v>26</v>
      </c>
      <c r="AK9" s="102" t="s">
        <v>76</v>
      </c>
      <c r="AL9" s="103" t="s">
        <v>77</v>
      </c>
      <c r="AM9" s="97" t="s">
        <v>78</v>
      </c>
      <c r="AN9" s="98" t="s">
        <v>79</v>
      </c>
      <c r="AO9" s="454"/>
      <c r="AP9" s="456"/>
      <c r="AQ9" s="126"/>
      <c r="AR9" s="129"/>
      <c r="AT9" s="92"/>
      <c r="AU9" s="224" t="s">
        <v>133</v>
      </c>
      <c r="AV9" s="224" t="s">
        <v>176</v>
      </c>
    </row>
    <row r="10" spans="1:48" s="7" customFormat="1" ht="18" customHeight="1" x14ac:dyDescent="0.25">
      <c r="B10" s="109"/>
      <c r="C10" s="193"/>
      <c r="D10" s="110"/>
      <c r="E10" s="110"/>
      <c r="F10" s="191"/>
      <c r="G10" s="124"/>
      <c r="H10" s="111"/>
      <c r="I10" s="112"/>
      <c r="J10" s="113"/>
      <c r="K10" s="69"/>
      <c r="L10" s="70"/>
      <c r="M10" s="194"/>
      <c r="N10" s="182"/>
      <c r="O10" s="110"/>
      <c r="P10" s="115"/>
      <c r="Q10" s="116"/>
      <c r="R10" s="117"/>
      <c r="S10" s="117"/>
      <c r="T10" s="117"/>
      <c r="U10" s="117"/>
      <c r="V10" s="110"/>
      <c r="W10" s="190"/>
      <c r="X10" s="114"/>
      <c r="Y10" s="208"/>
      <c r="Z10" s="110"/>
      <c r="AA10" s="115"/>
      <c r="AB10" s="115"/>
      <c r="AC10" s="115"/>
      <c r="AD10" s="199"/>
      <c r="AE10" s="196"/>
      <c r="AF10" s="197"/>
      <c r="AG10" s="200"/>
      <c r="AH10" s="201"/>
      <c r="AI10" s="202"/>
      <c r="AJ10" s="198"/>
      <c r="AK10" s="203"/>
      <c r="AL10" s="198"/>
      <c r="AM10" s="197"/>
      <c r="AN10" s="204"/>
      <c r="AO10" s="205"/>
      <c r="AP10" s="206"/>
      <c r="AQ10" s="207"/>
      <c r="AR10" s="130"/>
      <c r="AT10" s="225" t="e">
        <f>DATE(YEAR(FCS!#REF!),MONTH(FCS!#REF!),1)</f>
        <v>#REF!</v>
      </c>
      <c r="AU10" s="224" t="str">
        <f>IFERROR(ROUND(IFERROR(((IFERROR(SUMIFS(FCS!$AM$11:$AM$9931,FCS!$G$11:$G$9931,AT10,FCS!$E$11:$E$9931,$AU$9),""))+(IFERROR(SUMIFS(FCS!$AN$11:$AN$9931,FCS!$G$11:$G$9931,AT10,FCS!$E$11:$E$9931,$AU$9),"")))/((IFERROR((IFERROR(SUMIFS(FCS!$AM$11:$AM$9931,FCS!$G$11:$G$9931,AT10,FCS!$E$11:$E$9931,$AU$9),""))/(IFERROR(AVERAGEIFS(FCS!$AM$11:$AM$9931,FCS!$G$11:$G$9931,AT10,FCS!$E$11:$E$9931,$AU$9),"")),0))+(IFERROR((IFERROR(SUMIFS(FCS!$AN$11:$AN$9931,FCS!$G$11:$G$9931,AT10,FCS!$E$11:$E$9931,$AU$9),""))/(IFERROR(AVERAGEIFS(FCS!$AN$11:$AN$9931,FCS!$G$11:$G$9931,AT10,FCS!$E$11:$E$9931,$AU$9),"")),0))),""),2),"")</f>
        <v/>
      </c>
      <c r="AV10" s="224" t="str">
        <f>IFERROR(ROUND(IFERROR(((IFERROR(SUMIFS(FCS!$AM$11:$AM$9931,FCS!$G$11:$G$9931,AT10,FCS!$E$11:$E$9931,$AV$9),""))+(IFERROR(SUMIFS(FCS!$AN$11:$AN$9931,FCS!$G$11:$G$9931,AT10,FCS!$E$11:$E$9931,$AV$9),"")))/((IFERROR((IFERROR(SUMIFS(FCS!$AM$11:$AM$9931,FCS!$G$11:$G$9931,AT10,FCS!$E$11:$E$9931,$AV$9),""))/(IFERROR(AVERAGEIFS(FCS!$AM$11:$AM$9931,FCS!$G$11:$G$9931,AT10,FCS!$E$11:$E$9931,$AV$9),"")),0))+(IFERROR((IFERROR(SUMIFS(FCS!$AN$11:$AN$9931,FCS!$G$11:$G$9931,AT10,FCS!$E$11:$E$9931,$AV$9),""))/(IFERROR(AVERAGEIFS(FCS!$AN$11:$AN$9931,FCS!$G$11:$G$9931,AT10,FCS!$E$11:$E$9931,$AV$9),"")),0))),""),2),"")</f>
        <v/>
      </c>
    </row>
    <row r="11" spans="1:48" s="7" customFormat="1" ht="18" customHeight="1" x14ac:dyDescent="0.25">
      <c r="B11" s="109"/>
      <c r="C11" s="193"/>
      <c r="D11" s="110"/>
      <c r="E11" s="110"/>
      <c r="F11" s="191"/>
      <c r="G11" s="124"/>
      <c r="H11" s="111"/>
      <c r="I11" s="112"/>
      <c r="J11" s="113"/>
      <c r="K11" s="69"/>
      <c r="L11" s="70"/>
      <c r="M11" s="194"/>
      <c r="N11" s="182"/>
      <c r="O11" s="110"/>
      <c r="P11" s="115"/>
      <c r="Q11" s="116"/>
      <c r="R11" s="117"/>
      <c r="S11" s="117"/>
      <c r="T11" s="117"/>
      <c r="U11" s="117"/>
      <c r="V11" s="110"/>
      <c r="W11" s="190"/>
      <c r="X11" s="114"/>
      <c r="Y11" s="208"/>
      <c r="Z11" s="110"/>
      <c r="AA11" s="115"/>
      <c r="AB11" s="115"/>
      <c r="AC11" s="115"/>
      <c r="AD11" s="118"/>
      <c r="AE11" s="119"/>
      <c r="AF11" s="116"/>
      <c r="AG11" s="179"/>
      <c r="AH11" s="120"/>
      <c r="AI11" s="121"/>
      <c r="AJ11" s="113"/>
      <c r="AK11" s="125"/>
      <c r="AL11" s="115"/>
      <c r="AM11" s="116"/>
      <c r="AN11" s="195"/>
      <c r="AO11" s="122"/>
      <c r="AP11" s="123"/>
      <c r="AQ11" s="96"/>
      <c r="AR11" s="130"/>
      <c r="AT11" s="225" t="e">
        <f>AT10+1</f>
        <v>#REF!</v>
      </c>
      <c r="AU11" s="224" t="str">
        <f>IFERROR(ROUND(IFERROR(((IFERROR(SUMIFS(FCS!$AM$11:$AM$9931,FCS!$G$11:$G$9931,AT11,FCS!$E$11:$E$9931,$AU$9),""))+(IFERROR(SUMIFS(FCS!$AN$11:$AN$9931,FCS!$G$11:$G$9931,AT11,FCS!$E$11:$E$9931,$AU$9),"")))/((IFERROR((IFERROR(SUMIFS(FCS!$AM$11:$AM$9931,FCS!$G$11:$G$9931,AT11,FCS!$E$11:$E$9931,$AU$9),""))/(IFERROR(AVERAGEIFS(FCS!$AM$11:$AM$9931,FCS!$G$11:$G$9931,AT11,FCS!$E$11:$E$9931,$AU$9),"")),0))+(IFERROR((IFERROR(SUMIFS(FCS!$AN$11:$AN$9931,FCS!$G$11:$G$9931,AT11,FCS!$E$11:$E$9931,$AU$9),""))/(IFERROR(AVERAGEIFS(FCS!$AN$11:$AN$9931,FCS!$G$11:$G$9931,AT11,FCS!$E$11:$E$9931,$AU$9),"")),0))),""),2),"")</f>
        <v/>
      </c>
      <c r="AV11" s="224" t="str">
        <f>IFERROR(ROUND(IFERROR(((IFERROR(SUMIFS(FCS!$AM$11:$AM$9931,FCS!$G$11:$G$9931,AT11,FCS!$E$11:$E$9931,$AV$9),""))+(IFERROR(SUMIFS(FCS!$AN$11:$AN$9931,FCS!$G$11:$G$9931,AT11,FCS!$E$11:$E$9931,$AV$9),"")))/((IFERROR((IFERROR(SUMIFS(FCS!$AM$11:$AM$9931,FCS!$G$11:$G$9931,AT11,FCS!$E$11:$E$9931,$AV$9),""))/(IFERROR(AVERAGEIFS(FCS!$AM$11:$AM$9931,FCS!$G$11:$G$9931,AT11,FCS!$E$11:$E$9931,$AV$9),"")),0))+(IFERROR((IFERROR(SUMIFS(FCS!$AN$11:$AN$9931,FCS!$G$11:$G$9931,AT11,FCS!$E$11:$E$9931,$AV$9),""))/(IFERROR(AVERAGEIFS(FCS!$AN$11:$AN$9931,FCS!$G$11:$G$9931,AT11,FCS!$E$11:$E$9931,$AV$9),"")),0))),""),2),"")</f>
        <v/>
      </c>
    </row>
    <row r="12" spans="1:48" s="7" customFormat="1" ht="18" customHeight="1" x14ac:dyDescent="0.25">
      <c r="B12" s="109"/>
      <c r="C12" s="193"/>
      <c r="D12" s="110"/>
      <c r="E12" s="110"/>
      <c r="F12" s="191"/>
      <c r="G12" s="124"/>
      <c r="H12" s="111"/>
      <c r="I12" s="112"/>
      <c r="J12" s="113"/>
      <c r="K12" s="69"/>
      <c r="L12" s="70"/>
      <c r="M12" s="194"/>
      <c r="N12" s="182"/>
      <c r="O12" s="110"/>
      <c r="P12" s="115"/>
      <c r="Q12" s="116"/>
      <c r="R12" s="117"/>
      <c r="S12" s="117"/>
      <c r="T12" s="117"/>
      <c r="U12" s="117"/>
      <c r="V12" s="110"/>
      <c r="W12" s="190"/>
      <c r="X12" s="114"/>
      <c r="Y12" s="208"/>
      <c r="Z12" s="110"/>
      <c r="AA12" s="115"/>
      <c r="AB12" s="115"/>
      <c r="AC12" s="115"/>
      <c r="AD12" s="118"/>
      <c r="AE12" s="119"/>
      <c r="AF12" s="116"/>
      <c r="AG12" s="179"/>
      <c r="AH12" s="120"/>
      <c r="AI12" s="121"/>
      <c r="AJ12" s="113"/>
      <c r="AK12" s="125"/>
      <c r="AL12" s="115"/>
      <c r="AM12" s="116"/>
      <c r="AN12" s="195"/>
      <c r="AO12" s="122"/>
      <c r="AP12" s="123"/>
      <c r="AQ12" s="96"/>
      <c r="AR12" s="130"/>
      <c r="AT12" s="225" t="e">
        <f t="shared" ref="AT12:AT40" si="0">AT11+1</f>
        <v>#REF!</v>
      </c>
      <c r="AU12" s="224" t="str">
        <f>IFERROR(ROUND(IFERROR(((IFERROR(SUMIFS(FCS!$AM$11:$AM$9931,FCS!$G$11:$G$9931,AT12,FCS!$E$11:$E$9931,$AU$9),""))+(IFERROR(SUMIFS(FCS!$AN$11:$AN$9931,FCS!$G$11:$G$9931,AT12,FCS!$E$11:$E$9931,$AU$9),"")))/((IFERROR((IFERROR(SUMIFS(FCS!$AM$11:$AM$9931,FCS!$G$11:$G$9931,AT12,FCS!$E$11:$E$9931,$AU$9),""))/(IFERROR(AVERAGEIFS(FCS!$AM$11:$AM$9931,FCS!$G$11:$G$9931,AT12,FCS!$E$11:$E$9931,$AU$9),"")),0))+(IFERROR((IFERROR(SUMIFS(FCS!$AN$11:$AN$9931,FCS!$G$11:$G$9931,AT12,FCS!$E$11:$E$9931,$AU$9),""))/(IFERROR(AVERAGEIFS(FCS!$AN$11:$AN$9931,FCS!$G$11:$G$9931,AT12,FCS!$E$11:$E$9931,$AU$9),"")),0))),""),2),"")</f>
        <v/>
      </c>
      <c r="AV12" s="224" t="str">
        <f>IFERROR(ROUND(IFERROR(((IFERROR(SUMIFS(FCS!$AM$11:$AM$9931,FCS!$G$11:$G$9931,AT12,FCS!$E$11:$E$9931,$AV$9),""))+(IFERROR(SUMIFS(FCS!$AN$11:$AN$9931,FCS!$G$11:$G$9931,AT12,FCS!$E$11:$E$9931,$AV$9),"")))/((IFERROR((IFERROR(SUMIFS(FCS!$AM$11:$AM$9931,FCS!$G$11:$G$9931,AT12,FCS!$E$11:$E$9931,$AV$9),""))/(IFERROR(AVERAGEIFS(FCS!$AM$11:$AM$9931,FCS!$G$11:$G$9931,AT12,FCS!$E$11:$E$9931,$AV$9),"")),0))+(IFERROR((IFERROR(SUMIFS(FCS!$AN$11:$AN$9931,FCS!$G$11:$G$9931,AT12,FCS!$E$11:$E$9931,$AV$9),""))/(IFERROR(AVERAGEIFS(FCS!$AN$11:$AN$9931,FCS!$G$11:$G$9931,AT12,FCS!$E$11:$E$9931,$AV$9),"")),0))),""),2),"")</f>
        <v/>
      </c>
    </row>
    <row r="13" spans="1:48" s="7" customFormat="1" ht="18" customHeight="1" x14ac:dyDescent="0.25">
      <c r="B13" s="109"/>
      <c r="C13" s="193"/>
      <c r="D13" s="110"/>
      <c r="E13" s="110"/>
      <c r="F13" s="191"/>
      <c r="G13" s="124"/>
      <c r="H13" s="111"/>
      <c r="I13" s="112"/>
      <c r="J13" s="113"/>
      <c r="K13" s="69"/>
      <c r="L13" s="70"/>
      <c r="M13" s="194"/>
      <c r="N13" s="182"/>
      <c r="O13" s="110"/>
      <c r="P13" s="115"/>
      <c r="Q13" s="116"/>
      <c r="R13" s="117"/>
      <c r="S13" s="117"/>
      <c r="T13" s="117"/>
      <c r="U13" s="117"/>
      <c r="V13" s="110"/>
      <c r="W13" s="190"/>
      <c r="X13" s="114"/>
      <c r="Y13" s="208"/>
      <c r="Z13" s="110"/>
      <c r="AA13" s="115"/>
      <c r="AB13" s="115"/>
      <c r="AC13" s="115"/>
      <c r="AD13" s="199"/>
      <c r="AE13" s="196"/>
      <c r="AF13" s="197"/>
      <c r="AG13" s="200"/>
      <c r="AH13" s="201"/>
      <c r="AI13" s="202"/>
      <c r="AJ13" s="198"/>
      <c r="AK13" s="203"/>
      <c r="AL13" s="198"/>
      <c r="AM13" s="197"/>
      <c r="AN13" s="204"/>
      <c r="AO13" s="205"/>
      <c r="AP13" s="206"/>
      <c r="AQ13" s="207"/>
      <c r="AR13" s="130"/>
      <c r="AT13" s="225" t="e">
        <f t="shared" si="0"/>
        <v>#REF!</v>
      </c>
      <c r="AU13" s="224" t="str">
        <f>IFERROR(ROUND(IFERROR(((IFERROR(SUMIFS(FCS!$AM$11:$AM$9931,FCS!$G$11:$G$9931,AT13,FCS!$E$11:$E$9931,$AU$9),""))+(IFERROR(SUMIFS(FCS!$AN$11:$AN$9931,FCS!$G$11:$G$9931,AT13,FCS!$E$11:$E$9931,$AU$9),"")))/((IFERROR((IFERROR(SUMIFS(FCS!$AM$11:$AM$9931,FCS!$G$11:$G$9931,AT13,FCS!$E$11:$E$9931,$AU$9),""))/(IFERROR(AVERAGEIFS(FCS!$AM$11:$AM$9931,FCS!$G$11:$G$9931,AT13,FCS!$E$11:$E$9931,$AU$9),"")),0))+(IFERROR((IFERROR(SUMIFS(FCS!$AN$11:$AN$9931,FCS!$G$11:$G$9931,AT13,FCS!$E$11:$E$9931,$AU$9),""))/(IFERROR(AVERAGEIFS(FCS!$AN$11:$AN$9931,FCS!$G$11:$G$9931,AT13,FCS!$E$11:$E$9931,$AU$9),"")),0))),""),2),"")</f>
        <v/>
      </c>
      <c r="AV13" s="224" t="str">
        <f>IFERROR(ROUND(IFERROR(((IFERROR(SUMIFS(FCS!$AM$11:$AM$9931,FCS!$G$11:$G$9931,AT13,FCS!$E$11:$E$9931,$AV$9),""))+(IFERROR(SUMIFS(FCS!$AN$11:$AN$9931,FCS!$G$11:$G$9931,AT13,FCS!$E$11:$E$9931,$AV$9),"")))/((IFERROR((IFERROR(SUMIFS(FCS!$AM$11:$AM$9931,FCS!$G$11:$G$9931,AT13,FCS!$E$11:$E$9931,$AV$9),""))/(IFERROR(AVERAGEIFS(FCS!$AM$11:$AM$9931,FCS!$G$11:$G$9931,AT13,FCS!$E$11:$E$9931,$AV$9),"")),0))+(IFERROR((IFERROR(SUMIFS(FCS!$AN$11:$AN$9931,FCS!$G$11:$G$9931,AT13,FCS!$E$11:$E$9931,$AV$9),""))/(IFERROR(AVERAGEIFS(FCS!$AN$11:$AN$9931,FCS!$G$11:$G$9931,AT13,FCS!$E$11:$E$9931,$AV$9),"")),0))),""),2),"")</f>
        <v/>
      </c>
    </row>
    <row r="14" spans="1:48" s="7" customFormat="1" ht="18" customHeight="1" x14ac:dyDescent="0.25">
      <c r="B14" s="109"/>
      <c r="C14" s="193"/>
      <c r="D14" s="110"/>
      <c r="E14" s="110"/>
      <c r="F14" s="191"/>
      <c r="G14" s="124"/>
      <c r="H14" s="111"/>
      <c r="I14" s="112"/>
      <c r="J14" s="113"/>
      <c r="K14" s="69"/>
      <c r="L14" s="70"/>
      <c r="M14" s="194"/>
      <c r="N14" s="182"/>
      <c r="O14" s="110"/>
      <c r="P14" s="115"/>
      <c r="Q14" s="116"/>
      <c r="R14" s="117"/>
      <c r="S14" s="117"/>
      <c r="T14" s="117"/>
      <c r="U14" s="117"/>
      <c r="V14" s="110"/>
      <c r="W14" s="190"/>
      <c r="X14" s="114"/>
      <c r="Y14" s="208"/>
      <c r="Z14" s="110"/>
      <c r="AA14" s="115"/>
      <c r="AB14" s="115"/>
      <c r="AC14" s="115"/>
      <c r="AD14" s="118"/>
      <c r="AE14" s="119"/>
      <c r="AF14" s="116"/>
      <c r="AG14" s="179"/>
      <c r="AH14" s="120"/>
      <c r="AI14" s="121"/>
      <c r="AJ14" s="113"/>
      <c r="AK14" s="125"/>
      <c r="AL14" s="115"/>
      <c r="AM14" s="116"/>
      <c r="AN14" s="195"/>
      <c r="AO14" s="122"/>
      <c r="AP14" s="123"/>
      <c r="AQ14" s="96"/>
      <c r="AR14" s="130"/>
      <c r="AT14" s="225" t="e">
        <f t="shared" si="0"/>
        <v>#REF!</v>
      </c>
      <c r="AU14" s="224" t="str">
        <f>IFERROR(ROUND(IFERROR(((IFERROR(SUMIFS(FCS!$AM$11:$AM$9931,FCS!$G$11:$G$9931,AT14,FCS!$E$11:$E$9931,$AU$9),""))+(IFERROR(SUMIFS(FCS!$AN$11:$AN$9931,FCS!$G$11:$G$9931,AT14,FCS!$E$11:$E$9931,$AU$9),"")))/((IFERROR((IFERROR(SUMIFS(FCS!$AM$11:$AM$9931,FCS!$G$11:$G$9931,AT14,FCS!$E$11:$E$9931,$AU$9),""))/(IFERROR(AVERAGEIFS(FCS!$AM$11:$AM$9931,FCS!$G$11:$G$9931,AT14,FCS!$E$11:$E$9931,$AU$9),"")),0))+(IFERROR((IFERROR(SUMIFS(FCS!$AN$11:$AN$9931,FCS!$G$11:$G$9931,AT14,FCS!$E$11:$E$9931,$AU$9),""))/(IFERROR(AVERAGEIFS(FCS!$AN$11:$AN$9931,FCS!$G$11:$G$9931,AT14,FCS!$E$11:$E$9931,$AU$9),"")),0))),""),2),"")</f>
        <v/>
      </c>
      <c r="AV14" s="224" t="str">
        <f>IFERROR(ROUND(IFERROR(((IFERROR(SUMIFS(FCS!$AM$11:$AM$9931,FCS!$G$11:$G$9931,AT14,FCS!$E$11:$E$9931,$AV$9),""))+(IFERROR(SUMIFS(FCS!$AN$11:$AN$9931,FCS!$G$11:$G$9931,AT14,FCS!$E$11:$E$9931,$AV$9),"")))/((IFERROR((IFERROR(SUMIFS(FCS!$AM$11:$AM$9931,FCS!$G$11:$G$9931,AT14,FCS!$E$11:$E$9931,$AV$9),""))/(IFERROR(AVERAGEIFS(FCS!$AM$11:$AM$9931,FCS!$G$11:$G$9931,AT14,FCS!$E$11:$E$9931,$AV$9),"")),0))+(IFERROR((IFERROR(SUMIFS(FCS!$AN$11:$AN$9931,FCS!$G$11:$G$9931,AT14,FCS!$E$11:$E$9931,$AV$9),""))/(IFERROR(AVERAGEIFS(FCS!$AN$11:$AN$9931,FCS!$G$11:$G$9931,AT14,FCS!$E$11:$E$9931,$AV$9),"")),0))),""),2),"")</f>
        <v/>
      </c>
    </row>
    <row r="15" spans="1:48" s="7" customFormat="1" ht="18" customHeight="1" x14ac:dyDescent="0.25">
      <c r="B15" s="109"/>
      <c r="C15" s="193"/>
      <c r="D15" s="110"/>
      <c r="E15" s="110"/>
      <c r="F15" s="191"/>
      <c r="G15" s="124"/>
      <c r="H15" s="111"/>
      <c r="I15" s="112"/>
      <c r="J15" s="113"/>
      <c r="K15" s="69"/>
      <c r="L15" s="70"/>
      <c r="M15" s="194"/>
      <c r="N15" s="182"/>
      <c r="O15" s="110"/>
      <c r="P15" s="115"/>
      <c r="Q15" s="116"/>
      <c r="R15" s="117"/>
      <c r="S15" s="117"/>
      <c r="T15" s="117"/>
      <c r="U15" s="117"/>
      <c r="V15" s="110"/>
      <c r="W15" s="190"/>
      <c r="X15" s="114"/>
      <c r="Y15" s="208"/>
      <c r="Z15" s="110"/>
      <c r="AA15" s="115"/>
      <c r="AB15" s="115"/>
      <c r="AC15" s="115"/>
      <c r="AD15" s="199"/>
      <c r="AE15" s="196"/>
      <c r="AF15" s="197"/>
      <c r="AG15" s="200"/>
      <c r="AH15" s="201"/>
      <c r="AI15" s="202"/>
      <c r="AJ15" s="198"/>
      <c r="AK15" s="203"/>
      <c r="AL15" s="198"/>
      <c r="AM15" s="197"/>
      <c r="AN15" s="204"/>
      <c r="AO15" s="205"/>
      <c r="AP15" s="206"/>
      <c r="AQ15" s="207"/>
      <c r="AR15" s="130"/>
      <c r="AT15" s="225" t="e">
        <f t="shared" si="0"/>
        <v>#REF!</v>
      </c>
      <c r="AU15" s="224" t="str">
        <f>IFERROR(ROUND(IFERROR(((IFERROR(SUMIFS(FCS!$AM$11:$AM$9931,FCS!$G$11:$G$9931,AT15,FCS!$E$11:$E$9931,$AU$9),""))+(IFERROR(SUMIFS(FCS!$AN$11:$AN$9931,FCS!$G$11:$G$9931,AT15,FCS!$E$11:$E$9931,$AU$9),"")))/((IFERROR((IFERROR(SUMIFS(FCS!$AM$11:$AM$9931,FCS!$G$11:$G$9931,AT15,FCS!$E$11:$E$9931,$AU$9),""))/(IFERROR(AVERAGEIFS(FCS!$AM$11:$AM$9931,FCS!$G$11:$G$9931,AT15,FCS!$E$11:$E$9931,$AU$9),"")),0))+(IFERROR((IFERROR(SUMIFS(FCS!$AN$11:$AN$9931,FCS!$G$11:$G$9931,AT15,FCS!$E$11:$E$9931,$AU$9),""))/(IFERROR(AVERAGEIFS(FCS!$AN$11:$AN$9931,FCS!$G$11:$G$9931,AT15,FCS!$E$11:$E$9931,$AU$9),"")),0))),""),2),"")</f>
        <v/>
      </c>
      <c r="AV15" s="224" t="str">
        <f>IFERROR(ROUND(IFERROR(((IFERROR(SUMIFS(FCS!$AM$11:$AM$9931,FCS!$G$11:$G$9931,AT15,FCS!$E$11:$E$9931,$AV$9),""))+(IFERROR(SUMIFS(FCS!$AN$11:$AN$9931,FCS!$G$11:$G$9931,AT15,FCS!$E$11:$E$9931,$AV$9),"")))/((IFERROR((IFERROR(SUMIFS(FCS!$AM$11:$AM$9931,FCS!$G$11:$G$9931,AT15,FCS!$E$11:$E$9931,$AV$9),""))/(IFERROR(AVERAGEIFS(FCS!$AM$11:$AM$9931,FCS!$G$11:$G$9931,AT15,FCS!$E$11:$E$9931,$AV$9),"")),0))+(IFERROR((IFERROR(SUMIFS(FCS!$AN$11:$AN$9931,FCS!$G$11:$G$9931,AT15,FCS!$E$11:$E$9931,$AV$9),""))/(IFERROR(AVERAGEIFS(FCS!$AN$11:$AN$9931,FCS!$G$11:$G$9931,AT15,FCS!$E$11:$E$9931,$AV$9),"")),0))),""),2),"")</f>
        <v/>
      </c>
    </row>
    <row r="16" spans="1:48" s="7" customFormat="1" ht="18" customHeight="1" x14ac:dyDescent="0.25">
      <c r="B16" s="109"/>
      <c r="C16" s="193"/>
      <c r="D16" s="110"/>
      <c r="E16" s="110"/>
      <c r="F16" s="191"/>
      <c r="G16" s="124"/>
      <c r="H16" s="111"/>
      <c r="I16" s="112"/>
      <c r="J16" s="113"/>
      <c r="K16" s="69"/>
      <c r="L16" s="70"/>
      <c r="M16" s="194"/>
      <c r="N16" s="182"/>
      <c r="O16" s="110"/>
      <c r="P16" s="115"/>
      <c r="Q16" s="116"/>
      <c r="R16" s="117"/>
      <c r="S16" s="117"/>
      <c r="T16" s="117"/>
      <c r="U16" s="117"/>
      <c r="V16" s="110"/>
      <c r="W16" s="190"/>
      <c r="X16" s="114"/>
      <c r="Y16" s="208"/>
      <c r="Z16" s="110"/>
      <c r="AA16" s="115"/>
      <c r="AB16" s="115"/>
      <c r="AC16" s="115"/>
      <c r="AD16" s="118"/>
      <c r="AE16" s="119"/>
      <c r="AF16" s="116"/>
      <c r="AG16" s="179"/>
      <c r="AH16" s="120"/>
      <c r="AI16" s="121"/>
      <c r="AJ16" s="113"/>
      <c r="AK16" s="125"/>
      <c r="AL16" s="115"/>
      <c r="AM16" s="116"/>
      <c r="AN16" s="195"/>
      <c r="AO16" s="122"/>
      <c r="AP16" s="123"/>
      <c r="AQ16" s="96"/>
      <c r="AR16" s="130"/>
      <c r="AT16" s="225" t="e">
        <f t="shared" si="0"/>
        <v>#REF!</v>
      </c>
      <c r="AU16" s="224" t="str">
        <f>IFERROR(ROUND(IFERROR(((IFERROR(SUMIFS(FCS!$AM$11:$AM$9931,FCS!$G$11:$G$9931,AT16,FCS!$E$11:$E$9931,$AU$9),""))+(IFERROR(SUMIFS(FCS!$AN$11:$AN$9931,FCS!$G$11:$G$9931,AT16,FCS!$E$11:$E$9931,$AU$9),"")))/((IFERROR((IFERROR(SUMIFS(FCS!$AM$11:$AM$9931,FCS!$G$11:$G$9931,AT16,FCS!$E$11:$E$9931,$AU$9),""))/(IFERROR(AVERAGEIFS(FCS!$AM$11:$AM$9931,FCS!$G$11:$G$9931,AT16,FCS!$E$11:$E$9931,$AU$9),"")),0))+(IFERROR((IFERROR(SUMIFS(FCS!$AN$11:$AN$9931,FCS!$G$11:$G$9931,AT16,FCS!$E$11:$E$9931,$AU$9),""))/(IFERROR(AVERAGEIFS(FCS!$AN$11:$AN$9931,FCS!$G$11:$G$9931,AT16,FCS!$E$11:$E$9931,$AU$9),"")),0))),""),2),"")</f>
        <v/>
      </c>
      <c r="AV16" s="224" t="str">
        <f>IFERROR(ROUND(IFERROR(((IFERROR(SUMIFS(FCS!$AM$11:$AM$9931,FCS!$G$11:$G$9931,AT16,FCS!$E$11:$E$9931,$AV$9),""))+(IFERROR(SUMIFS(FCS!$AN$11:$AN$9931,FCS!$G$11:$G$9931,AT16,FCS!$E$11:$E$9931,$AV$9),"")))/((IFERROR((IFERROR(SUMIFS(FCS!$AM$11:$AM$9931,FCS!$G$11:$G$9931,AT16,FCS!$E$11:$E$9931,$AV$9),""))/(IFERROR(AVERAGEIFS(FCS!$AM$11:$AM$9931,FCS!$G$11:$G$9931,AT16,FCS!$E$11:$E$9931,$AV$9),"")),0))+(IFERROR((IFERROR(SUMIFS(FCS!$AN$11:$AN$9931,FCS!$G$11:$G$9931,AT16,FCS!$E$11:$E$9931,$AV$9),""))/(IFERROR(AVERAGEIFS(FCS!$AN$11:$AN$9931,FCS!$G$11:$G$9931,AT16,FCS!$E$11:$E$9931,$AV$9),"")),0))),""),2),"")</f>
        <v/>
      </c>
    </row>
    <row r="17" spans="2:48" s="7" customFormat="1" ht="18" customHeight="1" x14ac:dyDescent="0.25">
      <c r="B17" s="109"/>
      <c r="C17" s="193"/>
      <c r="D17" s="110"/>
      <c r="E17" s="110"/>
      <c r="F17" s="191"/>
      <c r="G17" s="124"/>
      <c r="H17" s="111"/>
      <c r="I17" s="112"/>
      <c r="J17" s="113"/>
      <c r="K17" s="69"/>
      <c r="L17" s="70"/>
      <c r="M17" s="194"/>
      <c r="N17" s="182"/>
      <c r="O17" s="110"/>
      <c r="P17" s="115"/>
      <c r="Q17" s="116"/>
      <c r="R17" s="117"/>
      <c r="S17" s="117"/>
      <c r="T17" s="117"/>
      <c r="U17" s="117"/>
      <c r="V17" s="110"/>
      <c r="W17" s="190"/>
      <c r="X17" s="114"/>
      <c r="Y17" s="208"/>
      <c r="Z17" s="110"/>
      <c r="AA17" s="115"/>
      <c r="AB17" s="115"/>
      <c r="AC17" s="115"/>
      <c r="AD17" s="199"/>
      <c r="AE17" s="196"/>
      <c r="AF17" s="197"/>
      <c r="AG17" s="200"/>
      <c r="AH17" s="201"/>
      <c r="AI17" s="202"/>
      <c r="AJ17" s="198"/>
      <c r="AK17" s="203"/>
      <c r="AL17" s="198"/>
      <c r="AM17" s="197"/>
      <c r="AN17" s="204"/>
      <c r="AO17" s="205"/>
      <c r="AP17" s="206"/>
      <c r="AQ17" s="207"/>
      <c r="AR17" s="130"/>
      <c r="AT17" s="225" t="e">
        <f t="shared" si="0"/>
        <v>#REF!</v>
      </c>
      <c r="AU17" s="224" t="str">
        <f>IFERROR(ROUND(IFERROR(((IFERROR(SUMIFS(FCS!$AM$11:$AM$9931,FCS!$G$11:$G$9931,AT17,FCS!$E$11:$E$9931,$AU$9),""))+(IFERROR(SUMIFS(FCS!$AN$11:$AN$9931,FCS!$G$11:$G$9931,AT17,FCS!$E$11:$E$9931,$AU$9),"")))/((IFERROR((IFERROR(SUMIFS(FCS!$AM$11:$AM$9931,FCS!$G$11:$G$9931,AT17,FCS!$E$11:$E$9931,$AU$9),""))/(IFERROR(AVERAGEIFS(FCS!$AM$11:$AM$9931,FCS!$G$11:$G$9931,AT17,FCS!$E$11:$E$9931,$AU$9),"")),0))+(IFERROR((IFERROR(SUMIFS(FCS!$AN$11:$AN$9931,FCS!$G$11:$G$9931,AT17,FCS!$E$11:$E$9931,$AU$9),""))/(IFERROR(AVERAGEIFS(FCS!$AN$11:$AN$9931,FCS!$G$11:$G$9931,AT17,FCS!$E$11:$E$9931,$AU$9),"")),0))),""),2),"")</f>
        <v/>
      </c>
      <c r="AV17" s="224" t="str">
        <f>IFERROR(ROUND(IFERROR(((IFERROR(SUMIFS(FCS!$AM$11:$AM$9931,FCS!$G$11:$G$9931,AT17,FCS!$E$11:$E$9931,$AV$9),""))+(IFERROR(SUMIFS(FCS!$AN$11:$AN$9931,FCS!$G$11:$G$9931,AT17,FCS!$E$11:$E$9931,$AV$9),"")))/((IFERROR((IFERROR(SUMIFS(FCS!$AM$11:$AM$9931,FCS!$G$11:$G$9931,AT17,FCS!$E$11:$E$9931,$AV$9),""))/(IFERROR(AVERAGEIFS(FCS!$AM$11:$AM$9931,FCS!$G$11:$G$9931,AT17,FCS!$E$11:$E$9931,$AV$9),"")),0))+(IFERROR((IFERROR(SUMIFS(FCS!$AN$11:$AN$9931,FCS!$G$11:$G$9931,AT17,FCS!$E$11:$E$9931,$AV$9),""))/(IFERROR(AVERAGEIFS(FCS!$AN$11:$AN$9931,FCS!$G$11:$G$9931,AT17,FCS!$E$11:$E$9931,$AV$9),"")),0))),""),2),"")</f>
        <v/>
      </c>
    </row>
    <row r="18" spans="2:48" s="7" customFormat="1" ht="18" customHeight="1" x14ac:dyDescent="0.25">
      <c r="B18" s="109"/>
      <c r="C18" s="193"/>
      <c r="D18" s="110"/>
      <c r="E18" s="110"/>
      <c r="F18" s="191"/>
      <c r="G18" s="124"/>
      <c r="H18" s="111"/>
      <c r="I18" s="112"/>
      <c r="J18" s="113"/>
      <c r="K18" s="69"/>
      <c r="L18" s="70"/>
      <c r="M18" s="194"/>
      <c r="N18" s="182"/>
      <c r="O18" s="110"/>
      <c r="P18" s="115"/>
      <c r="Q18" s="116"/>
      <c r="R18" s="117"/>
      <c r="S18" s="117"/>
      <c r="T18" s="117"/>
      <c r="U18" s="117"/>
      <c r="V18" s="110"/>
      <c r="W18" s="190"/>
      <c r="X18" s="114"/>
      <c r="Y18" s="208"/>
      <c r="Z18" s="110"/>
      <c r="AA18" s="115"/>
      <c r="AB18" s="115"/>
      <c r="AC18" s="115"/>
      <c r="AD18" s="118"/>
      <c r="AE18" s="119"/>
      <c r="AF18" s="116"/>
      <c r="AG18" s="179"/>
      <c r="AH18" s="120"/>
      <c r="AI18" s="121"/>
      <c r="AJ18" s="113"/>
      <c r="AK18" s="125"/>
      <c r="AL18" s="115"/>
      <c r="AM18" s="116"/>
      <c r="AN18" s="195"/>
      <c r="AO18" s="122"/>
      <c r="AP18" s="123"/>
      <c r="AQ18" s="96"/>
      <c r="AR18" s="130"/>
      <c r="AT18" s="225" t="e">
        <f t="shared" si="0"/>
        <v>#REF!</v>
      </c>
      <c r="AU18" s="224" t="str">
        <f>IFERROR(ROUND(IFERROR(((IFERROR(SUMIFS(FCS!$AM$11:$AM$9931,FCS!$G$11:$G$9931,AT18,FCS!$E$11:$E$9931,$AU$9),""))+(IFERROR(SUMIFS(FCS!$AN$11:$AN$9931,FCS!$G$11:$G$9931,AT18,FCS!$E$11:$E$9931,$AU$9),"")))/((IFERROR((IFERROR(SUMIFS(FCS!$AM$11:$AM$9931,FCS!$G$11:$G$9931,AT18,FCS!$E$11:$E$9931,$AU$9),""))/(IFERROR(AVERAGEIFS(FCS!$AM$11:$AM$9931,FCS!$G$11:$G$9931,AT18,FCS!$E$11:$E$9931,$AU$9),"")),0))+(IFERROR((IFERROR(SUMIFS(FCS!$AN$11:$AN$9931,FCS!$G$11:$G$9931,AT18,FCS!$E$11:$E$9931,$AU$9),""))/(IFERROR(AVERAGEIFS(FCS!$AN$11:$AN$9931,FCS!$G$11:$G$9931,AT18,FCS!$E$11:$E$9931,$AU$9),"")),0))),""),2),"")</f>
        <v/>
      </c>
      <c r="AV18" s="224" t="str">
        <f>IFERROR(ROUND(IFERROR(((IFERROR(SUMIFS(FCS!$AM$11:$AM$9931,FCS!$G$11:$G$9931,AT18,FCS!$E$11:$E$9931,$AV$9),""))+(IFERROR(SUMIFS(FCS!$AN$11:$AN$9931,FCS!$G$11:$G$9931,AT18,FCS!$E$11:$E$9931,$AV$9),"")))/((IFERROR((IFERROR(SUMIFS(FCS!$AM$11:$AM$9931,FCS!$G$11:$G$9931,AT18,FCS!$E$11:$E$9931,$AV$9),""))/(IFERROR(AVERAGEIFS(FCS!$AM$11:$AM$9931,FCS!$G$11:$G$9931,AT18,FCS!$E$11:$E$9931,$AV$9),"")),0))+(IFERROR((IFERROR(SUMIFS(FCS!$AN$11:$AN$9931,FCS!$G$11:$G$9931,AT18,FCS!$E$11:$E$9931,$AV$9),""))/(IFERROR(AVERAGEIFS(FCS!$AN$11:$AN$9931,FCS!$G$11:$G$9931,AT18,FCS!$E$11:$E$9931,$AV$9),"")),0))),""),2),"")</f>
        <v/>
      </c>
    </row>
    <row r="19" spans="2:48" s="7" customFormat="1" ht="18" customHeight="1" x14ac:dyDescent="0.25">
      <c r="B19" s="109"/>
      <c r="C19" s="193"/>
      <c r="D19" s="110"/>
      <c r="E19" s="110"/>
      <c r="F19" s="191"/>
      <c r="G19" s="124"/>
      <c r="H19" s="111"/>
      <c r="I19" s="112"/>
      <c r="J19" s="113"/>
      <c r="K19" s="69"/>
      <c r="L19" s="70"/>
      <c r="M19" s="194"/>
      <c r="N19" s="182"/>
      <c r="O19" s="110"/>
      <c r="P19" s="115"/>
      <c r="Q19" s="116"/>
      <c r="R19" s="117"/>
      <c r="S19" s="117"/>
      <c r="T19" s="117"/>
      <c r="U19" s="117"/>
      <c r="V19" s="110"/>
      <c r="W19" s="190"/>
      <c r="X19" s="114"/>
      <c r="Y19" s="208"/>
      <c r="Z19" s="110"/>
      <c r="AA19" s="115"/>
      <c r="AB19" s="115"/>
      <c r="AC19" s="115"/>
      <c r="AD19" s="199"/>
      <c r="AE19" s="196"/>
      <c r="AF19" s="197"/>
      <c r="AG19" s="200"/>
      <c r="AH19" s="201"/>
      <c r="AI19" s="202"/>
      <c r="AJ19" s="198"/>
      <c r="AK19" s="203"/>
      <c r="AL19" s="198"/>
      <c r="AM19" s="197"/>
      <c r="AN19" s="204"/>
      <c r="AO19" s="205"/>
      <c r="AP19" s="206"/>
      <c r="AQ19" s="207"/>
      <c r="AR19" s="130"/>
      <c r="AT19" s="225" t="e">
        <f t="shared" si="0"/>
        <v>#REF!</v>
      </c>
      <c r="AU19" s="224" t="str">
        <f>IFERROR(ROUND(IFERROR(((IFERROR(SUMIFS(FCS!$AM$11:$AM$9931,FCS!$G$11:$G$9931,AT19,FCS!$E$11:$E$9931,$AU$9),""))+(IFERROR(SUMIFS(FCS!$AN$11:$AN$9931,FCS!$G$11:$G$9931,AT19,FCS!$E$11:$E$9931,$AU$9),"")))/((IFERROR((IFERROR(SUMIFS(FCS!$AM$11:$AM$9931,FCS!$G$11:$G$9931,AT19,FCS!$E$11:$E$9931,$AU$9),""))/(IFERROR(AVERAGEIFS(FCS!$AM$11:$AM$9931,FCS!$G$11:$G$9931,AT19,FCS!$E$11:$E$9931,$AU$9),"")),0))+(IFERROR((IFERROR(SUMIFS(FCS!$AN$11:$AN$9931,FCS!$G$11:$G$9931,AT19,FCS!$E$11:$E$9931,$AU$9),""))/(IFERROR(AVERAGEIFS(FCS!$AN$11:$AN$9931,FCS!$G$11:$G$9931,AT19,FCS!$E$11:$E$9931,$AU$9),"")),0))),""),2),"")</f>
        <v/>
      </c>
      <c r="AV19" s="224" t="str">
        <f>IFERROR(ROUND(IFERROR(((IFERROR(SUMIFS(FCS!$AM$11:$AM$9931,FCS!$G$11:$G$9931,AT19,FCS!$E$11:$E$9931,$AV$9),""))+(IFERROR(SUMIFS(FCS!$AN$11:$AN$9931,FCS!$G$11:$G$9931,AT19,FCS!$E$11:$E$9931,$AV$9),"")))/((IFERROR((IFERROR(SUMIFS(FCS!$AM$11:$AM$9931,FCS!$G$11:$G$9931,AT19,FCS!$E$11:$E$9931,$AV$9),""))/(IFERROR(AVERAGEIFS(FCS!$AM$11:$AM$9931,FCS!$G$11:$G$9931,AT19,FCS!$E$11:$E$9931,$AV$9),"")),0))+(IFERROR((IFERROR(SUMIFS(FCS!$AN$11:$AN$9931,FCS!$G$11:$G$9931,AT19,FCS!$E$11:$E$9931,$AV$9),""))/(IFERROR(AVERAGEIFS(FCS!$AN$11:$AN$9931,FCS!$G$11:$G$9931,AT19,FCS!$E$11:$E$9931,$AV$9),"")),0))),""),2),"")</f>
        <v/>
      </c>
    </row>
    <row r="20" spans="2:48" s="7" customFormat="1" ht="18" customHeight="1" x14ac:dyDescent="0.25">
      <c r="B20" s="109"/>
      <c r="C20" s="193"/>
      <c r="D20" s="110"/>
      <c r="E20" s="110"/>
      <c r="F20" s="191"/>
      <c r="G20" s="124"/>
      <c r="H20" s="111"/>
      <c r="I20" s="112"/>
      <c r="J20" s="113"/>
      <c r="K20" s="69"/>
      <c r="L20" s="70"/>
      <c r="M20" s="194"/>
      <c r="N20" s="182"/>
      <c r="O20" s="110"/>
      <c r="P20" s="115"/>
      <c r="Q20" s="116"/>
      <c r="R20" s="117"/>
      <c r="S20" s="117"/>
      <c r="T20" s="117"/>
      <c r="U20" s="117"/>
      <c r="V20" s="110"/>
      <c r="W20" s="190"/>
      <c r="X20" s="114"/>
      <c r="Y20" s="208"/>
      <c r="Z20" s="110"/>
      <c r="AA20" s="115"/>
      <c r="AB20" s="115"/>
      <c r="AC20" s="115"/>
      <c r="AD20" s="118"/>
      <c r="AE20" s="119"/>
      <c r="AF20" s="116"/>
      <c r="AG20" s="179"/>
      <c r="AH20" s="120"/>
      <c r="AI20" s="121"/>
      <c r="AJ20" s="113"/>
      <c r="AK20" s="125"/>
      <c r="AL20" s="115"/>
      <c r="AM20" s="116"/>
      <c r="AN20" s="195"/>
      <c r="AO20" s="122"/>
      <c r="AP20" s="123"/>
      <c r="AQ20" s="96"/>
      <c r="AR20" s="130"/>
      <c r="AT20" s="225" t="e">
        <f t="shared" si="0"/>
        <v>#REF!</v>
      </c>
      <c r="AU20" s="224" t="str">
        <f>IFERROR(ROUND(IFERROR(((IFERROR(SUMIFS(FCS!$AM$11:$AM$9931,FCS!$G$11:$G$9931,AT20,FCS!$E$11:$E$9931,$AU$9),""))+(IFERROR(SUMIFS(FCS!$AN$11:$AN$9931,FCS!$G$11:$G$9931,AT20,FCS!$E$11:$E$9931,$AU$9),"")))/((IFERROR((IFERROR(SUMIFS(FCS!$AM$11:$AM$9931,FCS!$G$11:$G$9931,AT20,FCS!$E$11:$E$9931,$AU$9),""))/(IFERROR(AVERAGEIFS(FCS!$AM$11:$AM$9931,FCS!$G$11:$G$9931,AT20,FCS!$E$11:$E$9931,$AU$9),"")),0))+(IFERROR((IFERROR(SUMIFS(FCS!$AN$11:$AN$9931,FCS!$G$11:$G$9931,AT20,FCS!$E$11:$E$9931,$AU$9),""))/(IFERROR(AVERAGEIFS(FCS!$AN$11:$AN$9931,FCS!$G$11:$G$9931,AT20,FCS!$E$11:$E$9931,$AU$9),"")),0))),""),2),"")</f>
        <v/>
      </c>
      <c r="AV20" s="224" t="str">
        <f>IFERROR(ROUND(IFERROR(((IFERROR(SUMIFS(FCS!$AM$11:$AM$9931,FCS!$G$11:$G$9931,AT20,FCS!$E$11:$E$9931,$AV$9),""))+(IFERROR(SUMIFS(FCS!$AN$11:$AN$9931,FCS!$G$11:$G$9931,AT20,FCS!$E$11:$E$9931,$AV$9),"")))/((IFERROR((IFERROR(SUMIFS(FCS!$AM$11:$AM$9931,FCS!$G$11:$G$9931,AT20,FCS!$E$11:$E$9931,$AV$9),""))/(IFERROR(AVERAGEIFS(FCS!$AM$11:$AM$9931,FCS!$G$11:$G$9931,AT20,FCS!$E$11:$E$9931,$AV$9),"")),0))+(IFERROR((IFERROR(SUMIFS(FCS!$AN$11:$AN$9931,FCS!$G$11:$G$9931,AT20,FCS!$E$11:$E$9931,$AV$9),""))/(IFERROR(AVERAGEIFS(FCS!$AN$11:$AN$9931,FCS!$G$11:$G$9931,AT20,FCS!$E$11:$E$9931,$AV$9),"")),0))),""),2),"")</f>
        <v/>
      </c>
    </row>
    <row r="21" spans="2:48" s="7" customFormat="1" ht="18" customHeight="1" x14ac:dyDescent="0.25">
      <c r="B21" s="109"/>
      <c r="C21" s="193"/>
      <c r="D21" s="110"/>
      <c r="E21" s="110"/>
      <c r="F21" s="191"/>
      <c r="G21" s="124"/>
      <c r="H21" s="111"/>
      <c r="I21" s="112"/>
      <c r="J21" s="113"/>
      <c r="K21" s="69"/>
      <c r="L21" s="70"/>
      <c r="M21" s="194"/>
      <c r="N21" s="182"/>
      <c r="O21" s="110"/>
      <c r="P21" s="115"/>
      <c r="Q21" s="116"/>
      <c r="R21" s="117"/>
      <c r="S21" s="117"/>
      <c r="T21" s="117"/>
      <c r="U21" s="117"/>
      <c r="V21" s="110"/>
      <c r="W21" s="190"/>
      <c r="X21" s="114"/>
      <c r="Y21" s="208"/>
      <c r="Z21" s="110"/>
      <c r="AA21" s="115"/>
      <c r="AB21" s="115"/>
      <c r="AC21" s="115"/>
      <c r="AD21" s="199"/>
      <c r="AE21" s="196"/>
      <c r="AF21" s="197"/>
      <c r="AG21" s="200"/>
      <c r="AH21" s="201"/>
      <c r="AI21" s="202"/>
      <c r="AJ21" s="198"/>
      <c r="AK21" s="203"/>
      <c r="AL21" s="198"/>
      <c r="AM21" s="197"/>
      <c r="AN21" s="204"/>
      <c r="AO21" s="205"/>
      <c r="AP21" s="206"/>
      <c r="AQ21" s="207"/>
      <c r="AR21" s="130"/>
      <c r="AT21" s="225" t="e">
        <f t="shared" si="0"/>
        <v>#REF!</v>
      </c>
      <c r="AU21" s="224" t="str">
        <f>IFERROR(ROUND(IFERROR(((IFERROR(SUMIFS(FCS!$AM$11:$AM$9931,FCS!$G$11:$G$9931,AT21,FCS!$E$11:$E$9931,$AU$9),""))+(IFERROR(SUMIFS(FCS!$AN$11:$AN$9931,FCS!$G$11:$G$9931,AT21,FCS!$E$11:$E$9931,$AU$9),"")))/((IFERROR((IFERROR(SUMIFS(FCS!$AM$11:$AM$9931,FCS!$G$11:$G$9931,AT21,FCS!$E$11:$E$9931,$AU$9),""))/(IFERROR(AVERAGEIFS(FCS!$AM$11:$AM$9931,FCS!$G$11:$G$9931,AT21,FCS!$E$11:$E$9931,$AU$9),"")),0))+(IFERROR((IFERROR(SUMIFS(FCS!$AN$11:$AN$9931,FCS!$G$11:$G$9931,AT21,FCS!$E$11:$E$9931,$AU$9),""))/(IFERROR(AVERAGEIFS(FCS!$AN$11:$AN$9931,FCS!$G$11:$G$9931,AT21,FCS!$E$11:$E$9931,$AU$9),"")),0))),""),2),"")</f>
        <v/>
      </c>
      <c r="AV21" s="224" t="str">
        <f>IFERROR(ROUND(IFERROR(((IFERROR(SUMIFS(FCS!$AM$11:$AM$9931,FCS!$G$11:$G$9931,AT21,FCS!$E$11:$E$9931,$AV$9),""))+(IFERROR(SUMIFS(FCS!$AN$11:$AN$9931,FCS!$G$11:$G$9931,AT21,FCS!$E$11:$E$9931,$AV$9),"")))/((IFERROR((IFERROR(SUMIFS(FCS!$AM$11:$AM$9931,FCS!$G$11:$G$9931,AT21,FCS!$E$11:$E$9931,$AV$9),""))/(IFERROR(AVERAGEIFS(FCS!$AM$11:$AM$9931,FCS!$G$11:$G$9931,AT21,FCS!$E$11:$E$9931,$AV$9),"")),0))+(IFERROR((IFERROR(SUMIFS(FCS!$AN$11:$AN$9931,FCS!$G$11:$G$9931,AT21,FCS!$E$11:$E$9931,$AV$9),""))/(IFERROR(AVERAGEIFS(FCS!$AN$11:$AN$9931,FCS!$G$11:$G$9931,AT21,FCS!$E$11:$E$9931,$AV$9),"")),0))),""),2),"")</f>
        <v/>
      </c>
    </row>
    <row r="22" spans="2:48" s="7" customFormat="1" ht="18" customHeight="1" x14ac:dyDescent="0.25">
      <c r="B22" s="109"/>
      <c r="C22" s="193"/>
      <c r="D22" s="110"/>
      <c r="E22" s="110"/>
      <c r="F22" s="191"/>
      <c r="G22" s="124"/>
      <c r="H22" s="111"/>
      <c r="I22" s="112"/>
      <c r="J22" s="113"/>
      <c r="K22" s="69"/>
      <c r="L22" s="70"/>
      <c r="M22" s="194"/>
      <c r="N22" s="182"/>
      <c r="O22" s="110"/>
      <c r="P22" s="115"/>
      <c r="Q22" s="116"/>
      <c r="R22" s="117"/>
      <c r="S22" s="117"/>
      <c r="T22" s="117"/>
      <c r="U22" s="117"/>
      <c r="V22" s="110"/>
      <c r="W22" s="190"/>
      <c r="X22" s="114"/>
      <c r="Y22" s="208"/>
      <c r="Z22" s="110"/>
      <c r="AA22" s="115"/>
      <c r="AB22" s="115"/>
      <c r="AC22" s="115"/>
      <c r="AD22" s="118"/>
      <c r="AE22" s="119"/>
      <c r="AF22" s="116"/>
      <c r="AG22" s="179"/>
      <c r="AH22" s="120"/>
      <c r="AI22" s="121"/>
      <c r="AJ22" s="113"/>
      <c r="AK22" s="125"/>
      <c r="AL22" s="115"/>
      <c r="AM22" s="116"/>
      <c r="AN22" s="195"/>
      <c r="AO22" s="122"/>
      <c r="AP22" s="123"/>
      <c r="AQ22" s="96"/>
      <c r="AR22" s="130"/>
      <c r="AT22" s="225" t="e">
        <f t="shared" si="0"/>
        <v>#REF!</v>
      </c>
      <c r="AU22" s="224" t="str">
        <f>IFERROR(ROUND(IFERROR(((IFERROR(SUMIFS(FCS!$AM$11:$AM$9931,FCS!$G$11:$G$9931,AT22,FCS!$E$11:$E$9931,$AU$9),""))+(IFERROR(SUMIFS(FCS!$AN$11:$AN$9931,FCS!$G$11:$G$9931,AT22,FCS!$E$11:$E$9931,$AU$9),"")))/((IFERROR((IFERROR(SUMIFS(FCS!$AM$11:$AM$9931,FCS!$G$11:$G$9931,AT22,FCS!$E$11:$E$9931,$AU$9),""))/(IFERROR(AVERAGEIFS(FCS!$AM$11:$AM$9931,FCS!$G$11:$G$9931,AT22,FCS!$E$11:$E$9931,$AU$9),"")),0))+(IFERROR((IFERROR(SUMIFS(FCS!$AN$11:$AN$9931,FCS!$G$11:$G$9931,AT22,FCS!$E$11:$E$9931,$AU$9),""))/(IFERROR(AVERAGEIFS(FCS!$AN$11:$AN$9931,FCS!$G$11:$G$9931,AT22,FCS!$E$11:$E$9931,$AU$9),"")),0))),""),2),"")</f>
        <v/>
      </c>
      <c r="AV22" s="224" t="str">
        <f>IFERROR(ROUND(IFERROR(((IFERROR(SUMIFS(FCS!$AM$11:$AM$9931,FCS!$G$11:$G$9931,AT22,FCS!$E$11:$E$9931,$AV$9),""))+(IFERROR(SUMIFS(FCS!$AN$11:$AN$9931,FCS!$G$11:$G$9931,AT22,FCS!$E$11:$E$9931,$AV$9),"")))/((IFERROR((IFERROR(SUMIFS(FCS!$AM$11:$AM$9931,FCS!$G$11:$G$9931,AT22,FCS!$E$11:$E$9931,$AV$9),""))/(IFERROR(AVERAGEIFS(FCS!$AM$11:$AM$9931,FCS!$G$11:$G$9931,AT22,FCS!$E$11:$E$9931,$AV$9),"")),0))+(IFERROR((IFERROR(SUMIFS(FCS!$AN$11:$AN$9931,FCS!$G$11:$G$9931,AT22,FCS!$E$11:$E$9931,$AV$9),""))/(IFERROR(AVERAGEIFS(FCS!$AN$11:$AN$9931,FCS!$G$11:$G$9931,AT22,FCS!$E$11:$E$9931,$AV$9),"")),0))),""),2),"")</f>
        <v/>
      </c>
    </row>
    <row r="23" spans="2:48" s="7" customFormat="1" ht="18" customHeight="1" x14ac:dyDescent="0.25">
      <c r="B23" s="109"/>
      <c r="C23" s="193"/>
      <c r="D23" s="110"/>
      <c r="E23" s="110"/>
      <c r="F23" s="191"/>
      <c r="G23" s="124"/>
      <c r="H23" s="111"/>
      <c r="I23" s="112"/>
      <c r="J23" s="113"/>
      <c r="K23" s="69"/>
      <c r="L23" s="70"/>
      <c r="M23" s="194"/>
      <c r="N23" s="182"/>
      <c r="O23" s="110"/>
      <c r="P23" s="115"/>
      <c r="Q23" s="116"/>
      <c r="R23" s="117"/>
      <c r="S23" s="117"/>
      <c r="T23" s="117"/>
      <c r="U23" s="117"/>
      <c r="V23" s="110"/>
      <c r="W23" s="190"/>
      <c r="X23" s="114"/>
      <c r="Y23" s="208"/>
      <c r="Z23" s="110"/>
      <c r="AA23" s="115"/>
      <c r="AB23" s="115"/>
      <c r="AC23" s="115"/>
      <c r="AD23" s="199"/>
      <c r="AE23" s="196"/>
      <c r="AF23" s="197"/>
      <c r="AG23" s="200"/>
      <c r="AH23" s="201"/>
      <c r="AI23" s="202"/>
      <c r="AJ23" s="198"/>
      <c r="AK23" s="203"/>
      <c r="AL23" s="198"/>
      <c r="AM23" s="197"/>
      <c r="AN23" s="204"/>
      <c r="AO23" s="205"/>
      <c r="AP23" s="206"/>
      <c r="AQ23" s="207"/>
      <c r="AR23" s="130"/>
      <c r="AT23" s="225" t="e">
        <f t="shared" si="0"/>
        <v>#REF!</v>
      </c>
      <c r="AU23" s="224" t="str">
        <f>IFERROR(ROUND(IFERROR(((IFERROR(SUMIFS(FCS!$AM$11:$AM$9931,FCS!$G$11:$G$9931,AT23,FCS!$E$11:$E$9931,$AU$9),""))+(IFERROR(SUMIFS(FCS!$AN$11:$AN$9931,FCS!$G$11:$G$9931,AT23,FCS!$E$11:$E$9931,$AU$9),"")))/((IFERROR((IFERROR(SUMIFS(FCS!$AM$11:$AM$9931,FCS!$G$11:$G$9931,AT23,FCS!$E$11:$E$9931,$AU$9),""))/(IFERROR(AVERAGEIFS(FCS!$AM$11:$AM$9931,FCS!$G$11:$G$9931,AT23,FCS!$E$11:$E$9931,$AU$9),"")),0))+(IFERROR((IFERROR(SUMIFS(FCS!$AN$11:$AN$9931,FCS!$G$11:$G$9931,AT23,FCS!$E$11:$E$9931,$AU$9),""))/(IFERROR(AVERAGEIFS(FCS!$AN$11:$AN$9931,FCS!$G$11:$G$9931,AT23,FCS!$E$11:$E$9931,$AU$9),"")),0))),""),2),"")</f>
        <v/>
      </c>
      <c r="AV23" s="224" t="str">
        <f>IFERROR(ROUND(IFERROR(((IFERROR(SUMIFS(FCS!$AM$11:$AM$9931,FCS!$G$11:$G$9931,AT23,FCS!$E$11:$E$9931,$AV$9),""))+(IFERROR(SUMIFS(FCS!$AN$11:$AN$9931,FCS!$G$11:$G$9931,AT23,FCS!$E$11:$E$9931,$AV$9),"")))/((IFERROR((IFERROR(SUMIFS(FCS!$AM$11:$AM$9931,FCS!$G$11:$G$9931,AT23,FCS!$E$11:$E$9931,$AV$9),""))/(IFERROR(AVERAGEIFS(FCS!$AM$11:$AM$9931,FCS!$G$11:$G$9931,AT23,FCS!$E$11:$E$9931,$AV$9),"")),0))+(IFERROR((IFERROR(SUMIFS(FCS!$AN$11:$AN$9931,FCS!$G$11:$G$9931,AT23,FCS!$E$11:$E$9931,$AV$9),""))/(IFERROR(AVERAGEIFS(FCS!$AN$11:$AN$9931,FCS!$G$11:$G$9931,AT23,FCS!$E$11:$E$9931,$AV$9),"")),0))),""),2),"")</f>
        <v/>
      </c>
    </row>
    <row r="24" spans="2:48" s="7" customFormat="1" ht="18" customHeight="1" x14ac:dyDescent="0.25">
      <c r="B24" s="109"/>
      <c r="C24" s="193"/>
      <c r="D24" s="110"/>
      <c r="E24" s="110"/>
      <c r="F24" s="191"/>
      <c r="G24" s="124"/>
      <c r="H24" s="111"/>
      <c r="I24" s="112"/>
      <c r="J24" s="113"/>
      <c r="K24" s="69"/>
      <c r="L24" s="70"/>
      <c r="M24" s="194"/>
      <c r="N24" s="182"/>
      <c r="O24" s="110"/>
      <c r="P24" s="115"/>
      <c r="Q24" s="116"/>
      <c r="R24" s="117"/>
      <c r="S24" s="117"/>
      <c r="T24" s="117"/>
      <c r="U24" s="117"/>
      <c r="V24" s="110"/>
      <c r="W24" s="190"/>
      <c r="X24" s="114"/>
      <c r="Y24" s="208"/>
      <c r="Z24" s="110"/>
      <c r="AA24" s="115"/>
      <c r="AB24" s="115"/>
      <c r="AC24" s="115"/>
      <c r="AD24" s="199"/>
      <c r="AE24" s="196"/>
      <c r="AF24" s="197"/>
      <c r="AG24" s="200"/>
      <c r="AH24" s="201"/>
      <c r="AI24" s="202"/>
      <c r="AJ24" s="198"/>
      <c r="AK24" s="203"/>
      <c r="AL24" s="198"/>
      <c r="AM24" s="197"/>
      <c r="AN24" s="204"/>
      <c r="AO24" s="205"/>
      <c r="AP24" s="206"/>
      <c r="AQ24" s="207"/>
      <c r="AR24" s="130"/>
      <c r="AT24" s="225" t="e">
        <f t="shared" si="0"/>
        <v>#REF!</v>
      </c>
      <c r="AU24" s="224" t="str">
        <f>IFERROR(ROUND(IFERROR(((IFERROR(SUMIFS(FCS!$AM$11:$AM$9931,FCS!$G$11:$G$9931,AT24,FCS!$E$11:$E$9931,$AU$9),""))+(IFERROR(SUMIFS(FCS!$AN$11:$AN$9931,FCS!$G$11:$G$9931,AT24,FCS!$E$11:$E$9931,$AU$9),"")))/((IFERROR((IFERROR(SUMIFS(FCS!$AM$11:$AM$9931,FCS!$G$11:$G$9931,AT24,FCS!$E$11:$E$9931,$AU$9),""))/(IFERROR(AVERAGEIFS(FCS!$AM$11:$AM$9931,FCS!$G$11:$G$9931,AT24,FCS!$E$11:$E$9931,$AU$9),"")),0))+(IFERROR((IFERROR(SUMIFS(FCS!$AN$11:$AN$9931,FCS!$G$11:$G$9931,AT24,FCS!$E$11:$E$9931,$AU$9),""))/(IFERROR(AVERAGEIFS(FCS!$AN$11:$AN$9931,FCS!$G$11:$G$9931,AT24,FCS!$E$11:$E$9931,$AU$9),"")),0))),""),2),"")</f>
        <v/>
      </c>
      <c r="AV24" s="224" t="str">
        <f>IFERROR(ROUND(IFERROR(((IFERROR(SUMIFS(FCS!$AM$11:$AM$9931,FCS!$G$11:$G$9931,AT24,FCS!$E$11:$E$9931,$AV$9),""))+(IFERROR(SUMIFS(FCS!$AN$11:$AN$9931,FCS!$G$11:$G$9931,AT24,FCS!$E$11:$E$9931,$AV$9),"")))/((IFERROR((IFERROR(SUMIFS(FCS!$AM$11:$AM$9931,FCS!$G$11:$G$9931,AT24,FCS!$E$11:$E$9931,$AV$9),""))/(IFERROR(AVERAGEIFS(FCS!$AM$11:$AM$9931,FCS!$G$11:$G$9931,AT24,FCS!$E$11:$E$9931,$AV$9),"")),0))+(IFERROR((IFERROR(SUMIFS(FCS!$AN$11:$AN$9931,FCS!$G$11:$G$9931,AT24,FCS!$E$11:$E$9931,$AV$9),""))/(IFERROR(AVERAGEIFS(FCS!$AN$11:$AN$9931,FCS!$G$11:$G$9931,AT24,FCS!$E$11:$E$9931,$AV$9),"")),0))),""),2),"")</f>
        <v/>
      </c>
    </row>
    <row r="25" spans="2:48" s="7" customFormat="1" ht="18" customHeight="1" x14ac:dyDescent="0.25">
      <c r="B25" s="109"/>
      <c r="C25" s="193"/>
      <c r="D25" s="110"/>
      <c r="E25" s="110"/>
      <c r="F25" s="191"/>
      <c r="G25" s="124"/>
      <c r="H25" s="111"/>
      <c r="I25" s="112"/>
      <c r="J25" s="113"/>
      <c r="K25" s="69"/>
      <c r="L25" s="70"/>
      <c r="M25" s="194"/>
      <c r="N25" s="182"/>
      <c r="O25" s="110"/>
      <c r="P25" s="115"/>
      <c r="Q25" s="116"/>
      <c r="R25" s="117"/>
      <c r="S25" s="117"/>
      <c r="T25" s="117"/>
      <c r="U25" s="117"/>
      <c r="V25" s="110"/>
      <c r="W25" s="190"/>
      <c r="X25" s="114"/>
      <c r="Y25" s="208"/>
      <c r="Z25" s="110"/>
      <c r="AA25" s="115"/>
      <c r="AB25" s="115"/>
      <c r="AC25" s="115"/>
      <c r="AD25" s="118"/>
      <c r="AE25" s="119"/>
      <c r="AF25" s="116"/>
      <c r="AG25" s="179"/>
      <c r="AH25" s="120"/>
      <c r="AI25" s="121"/>
      <c r="AJ25" s="113"/>
      <c r="AK25" s="125"/>
      <c r="AL25" s="115"/>
      <c r="AM25" s="116"/>
      <c r="AN25" s="195"/>
      <c r="AO25" s="122"/>
      <c r="AP25" s="123"/>
      <c r="AQ25" s="96"/>
      <c r="AR25" s="130"/>
      <c r="AT25" s="225" t="e">
        <f t="shared" si="0"/>
        <v>#REF!</v>
      </c>
      <c r="AU25" s="224" t="str">
        <f>IFERROR(ROUND(IFERROR(((IFERROR(SUMIFS(FCS!$AM$11:$AM$9931,FCS!$G$11:$G$9931,AT25,FCS!$E$11:$E$9931,$AU$9),""))+(IFERROR(SUMIFS(FCS!$AN$11:$AN$9931,FCS!$G$11:$G$9931,AT25,FCS!$E$11:$E$9931,$AU$9),"")))/((IFERROR((IFERROR(SUMIFS(FCS!$AM$11:$AM$9931,FCS!$G$11:$G$9931,AT25,FCS!$E$11:$E$9931,$AU$9),""))/(IFERROR(AVERAGEIFS(FCS!$AM$11:$AM$9931,FCS!$G$11:$G$9931,AT25,FCS!$E$11:$E$9931,$AU$9),"")),0))+(IFERROR((IFERROR(SUMIFS(FCS!$AN$11:$AN$9931,FCS!$G$11:$G$9931,AT25,FCS!$E$11:$E$9931,$AU$9),""))/(IFERROR(AVERAGEIFS(FCS!$AN$11:$AN$9931,FCS!$G$11:$G$9931,AT25,FCS!$E$11:$E$9931,$AU$9),"")),0))),""),2),"")</f>
        <v/>
      </c>
      <c r="AV25" s="224" t="str">
        <f>IFERROR(ROUND(IFERROR(((IFERROR(SUMIFS(FCS!$AM$11:$AM$9931,FCS!$G$11:$G$9931,AT25,FCS!$E$11:$E$9931,$AV$9),""))+(IFERROR(SUMIFS(FCS!$AN$11:$AN$9931,FCS!$G$11:$G$9931,AT25,FCS!$E$11:$E$9931,$AV$9),"")))/((IFERROR((IFERROR(SUMIFS(FCS!$AM$11:$AM$9931,FCS!$G$11:$G$9931,AT25,FCS!$E$11:$E$9931,$AV$9),""))/(IFERROR(AVERAGEIFS(FCS!$AM$11:$AM$9931,FCS!$G$11:$G$9931,AT25,FCS!$E$11:$E$9931,$AV$9),"")),0))+(IFERROR((IFERROR(SUMIFS(FCS!$AN$11:$AN$9931,FCS!$G$11:$G$9931,AT25,FCS!$E$11:$E$9931,$AV$9),""))/(IFERROR(AVERAGEIFS(FCS!$AN$11:$AN$9931,FCS!$G$11:$G$9931,AT25,FCS!$E$11:$E$9931,$AV$9),"")),0))),""),2),"")</f>
        <v/>
      </c>
    </row>
    <row r="26" spans="2:48" s="7" customFormat="1" ht="18" customHeight="1" x14ac:dyDescent="0.25">
      <c r="B26" s="109"/>
      <c r="C26" s="193"/>
      <c r="D26" s="110"/>
      <c r="E26" s="110"/>
      <c r="F26" s="191"/>
      <c r="G26" s="124"/>
      <c r="H26" s="111"/>
      <c r="I26" s="112"/>
      <c r="J26" s="113"/>
      <c r="K26" s="69"/>
      <c r="L26" s="70"/>
      <c r="M26" s="194"/>
      <c r="N26" s="182"/>
      <c r="O26" s="110"/>
      <c r="P26" s="115"/>
      <c r="Q26" s="116"/>
      <c r="R26" s="117"/>
      <c r="S26" s="117"/>
      <c r="T26" s="117"/>
      <c r="U26" s="117"/>
      <c r="V26" s="110"/>
      <c r="W26" s="190"/>
      <c r="X26" s="114"/>
      <c r="Y26" s="208"/>
      <c r="Z26" s="110"/>
      <c r="AA26" s="115"/>
      <c r="AB26" s="115"/>
      <c r="AC26" s="115"/>
      <c r="AD26" s="118"/>
      <c r="AE26" s="119"/>
      <c r="AF26" s="116"/>
      <c r="AG26" s="179"/>
      <c r="AH26" s="120"/>
      <c r="AI26" s="121"/>
      <c r="AJ26" s="113"/>
      <c r="AK26" s="125"/>
      <c r="AL26" s="115"/>
      <c r="AM26" s="116"/>
      <c r="AN26" s="195"/>
      <c r="AO26" s="122"/>
      <c r="AP26" s="123"/>
      <c r="AQ26" s="96"/>
      <c r="AR26" s="130"/>
      <c r="AT26" s="225" t="e">
        <f t="shared" si="0"/>
        <v>#REF!</v>
      </c>
      <c r="AU26" s="224" t="str">
        <f>IFERROR(ROUND(IFERROR(((IFERROR(SUMIFS(FCS!$AM$11:$AM$9931,FCS!$G$11:$G$9931,AT26,FCS!$E$11:$E$9931,$AU$9),""))+(IFERROR(SUMIFS(FCS!$AN$11:$AN$9931,FCS!$G$11:$G$9931,AT26,FCS!$E$11:$E$9931,$AU$9),"")))/((IFERROR((IFERROR(SUMIFS(FCS!$AM$11:$AM$9931,FCS!$G$11:$G$9931,AT26,FCS!$E$11:$E$9931,$AU$9),""))/(IFERROR(AVERAGEIFS(FCS!$AM$11:$AM$9931,FCS!$G$11:$G$9931,AT26,FCS!$E$11:$E$9931,$AU$9),"")),0))+(IFERROR((IFERROR(SUMIFS(FCS!$AN$11:$AN$9931,FCS!$G$11:$G$9931,AT26,FCS!$E$11:$E$9931,$AU$9),""))/(IFERROR(AVERAGEIFS(FCS!$AN$11:$AN$9931,FCS!$G$11:$G$9931,AT26,FCS!$E$11:$E$9931,$AU$9),"")),0))),""),2),"")</f>
        <v/>
      </c>
      <c r="AV26" s="224" t="str">
        <f>IFERROR(ROUND(IFERROR(((IFERROR(SUMIFS(FCS!$AM$11:$AM$9931,FCS!$G$11:$G$9931,AT26,FCS!$E$11:$E$9931,$AV$9),""))+(IFERROR(SUMIFS(FCS!$AN$11:$AN$9931,FCS!$G$11:$G$9931,AT26,FCS!$E$11:$E$9931,$AV$9),"")))/((IFERROR((IFERROR(SUMIFS(FCS!$AM$11:$AM$9931,FCS!$G$11:$G$9931,AT26,FCS!$E$11:$E$9931,$AV$9),""))/(IFERROR(AVERAGEIFS(FCS!$AM$11:$AM$9931,FCS!$G$11:$G$9931,AT26,FCS!$E$11:$E$9931,$AV$9),"")),0))+(IFERROR((IFERROR(SUMIFS(FCS!$AN$11:$AN$9931,FCS!$G$11:$G$9931,AT26,FCS!$E$11:$E$9931,$AV$9),""))/(IFERROR(AVERAGEIFS(FCS!$AN$11:$AN$9931,FCS!$G$11:$G$9931,AT26,FCS!$E$11:$E$9931,$AV$9),"")),0))),""),2),"")</f>
        <v/>
      </c>
    </row>
    <row r="27" spans="2:48" s="7" customFormat="1" ht="18" customHeight="1" x14ac:dyDescent="0.25">
      <c r="B27" s="109"/>
      <c r="C27" s="193"/>
      <c r="D27" s="110"/>
      <c r="E27" s="110"/>
      <c r="F27" s="191"/>
      <c r="G27" s="124"/>
      <c r="H27" s="111"/>
      <c r="I27" s="112"/>
      <c r="J27" s="113"/>
      <c r="K27" s="69"/>
      <c r="L27" s="70"/>
      <c r="M27" s="194"/>
      <c r="N27" s="182"/>
      <c r="O27" s="110"/>
      <c r="P27" s="115"/>
      <c r="Q27" s="116"/>
      <c r="R27" s="117"/>
      <c r="S27" s="117"/>
      <c r="T27" s="117"/>
      <c r="U27" s="117"/>
      <c r="V27" s="110"/>
      <c r="W27" s="190"/>
      <c r="X27" s="114"/>
      <c r="Y27" s="208"/>
      <c r="Z27" s="110"/>
      <c r="AA27" s="115"/>
      <c r="AB27" s="115"/>
      <c r="AC27" s="115"/>
      <c r="AD27" s="199"/>
      <c r="AE27" s="196"/>
      <c r="AF27" s="197"/>
      <c r="AG27" s="200"/>
      <c r="AH27" s="201"/>
      <c r="AI27" s="202"/>
      <c r="AJ27" s="198"/>
      <c r="AK27" s="203"/>
      <c r="AL27" s="198"/>
      <c r="AM27" s="197"/>
      <c r="AN27" s="204"/>
      <c r="AO27" s="205"/>
      <c r="AP27" s="206"/>
      <c r="AQ27" s="207"/>
      <c r="AR27" s="130"/>
      <c r="AT27" s="225" t="e">
        <f t="shared" si="0"/>
        <v>#REF!</v>
      </c>
      <c r="AU27" s="224" t="str">
        <f>IFERROR(ROUND(IFERROR(((IFERROR(SUMIFS(FCS!$AM$11:$AM$9931,FCS!$G$11:$G$9931,AT27,FCS!$E$11:$E$9931,$AU$9),""))+(IFERROR(SUMIFS(FCS!$AN$11:$AN$9931,FCS!$G$11:$G$9931,AT27,FCS!$E$11:$E$9931,$AU$9),"")))/((IFERROR((IFERROR(SUMIFS(FCS!$AM$11:$AM$9931,FCS!$G$11:$G$9931,AT27,FCS!$E$11:$E$9931,$AU$9),""))/(IFERROR(AVERAGEIFS(FCS!$AM$11:$AM$9931,FCS!$G$11:$G$9931,AT27,FCS!$E$11:$E$9931,$AU$9),"")),0))+(IFERROR((IFERROR(SUMIFS(FCS!$AN$11:$AN$9931,FCS!$G$11:$G$9931,AT27,FCS!$E$11:$E$9931,$AU$9),""))/(IFERROR(AVERAGEIFS(FCS!$AN$11:$AN$9931,FCS!$G$11:$G$9931,AT27,FCS!$E$11:$E$9931,$AU$9),"")),0))),""),2),"")</f>
        <v/>
      </c>
      <c r="AV27" s="224" t="str">
        <f>IFERROR(ROUND(IFERROR(((IFERROR(SUMIFS(FCS!$AM$11:$AM$9931,FCS!$G$11:$G$9931,AT27,FCS!$E$11:$E$9931,$AV$9),""))+(IFERROR(SUMIFS(FCS!$AN$11:$AN$9931,FCS!$G$11:$G$9931,AT27,FCS!$E$11:$E$9931,$AV$9),"")))/((IFERROR((IFERROR(SUMIFS(FCS!$AM$11:$AM$9931,FCS!$G$11:$G$9931,AT27,FCS!$E$11:$E$9931,$AV$9),""))/(IFERROR(AVERAGEIFS(FCS!$AM$11:$AM$9931,FCS!$G$11:$G$9931,AT27,FCS!$E$11:$E$9931,$AV$9),"")),0))+(IFERROR((IFERROR(SUMIFS(FCS!$AN$11:$AN$9931,FCS!$G$11:$G$9931,AT27,FCS!$E$11:$E$9931,$AV$9),""))/(IFERROR(AVERAGEIFS(FCS!$AN$11:$AN$9931,FCS!$G$11:$G$9931,AT27,FCS!$E$11:$E$9931,$AV$9),"")),0))),""),2),"")</f>
        <v/>
      </c>
    </row>
    <row r="28" spans="2:48" s="7" customFormat="1" ht="18" customHeight="1" x14ac:dyDescent="0.25">
      <c r="B28" s="109"/>
      <c r="C28" s="193"/>
      <c r="D28" s="110"/>
      <c r="E28" s="110"/>
      <c r="F28" s="191"/>
      <c r="G28" s="124"/>
      <c r="H28" s="111"/>
      <c r="I28" s="112"/>
      <c r="J28" s="113"/>
      <c r="K28" s="69"/>
      <c r="L28" s="70"/>
      <c r="M28" s="194"/>
      <c r="N28" s="182"/>
      <c r="O28" s="110"/>
      <c r="P28" s="115"/>
      <c r="Q28" s="116"/>
      <c r="R28" s="117"/>
      <c r="S28" s="117"/>
      <c r="T28" s="117"/>
      <c r="U28" s="117"/>
      <c r="V28" s="110"/>
      <c r="W28" s="190"/>
      <c r="X28" s="114"/>
      <c r="Y28" s="208"/>
      <c r="Z28" s="110"/>
      <c r="AA28" s="115"/>
      <c r="AB28" s="115"/>
      <c r="AC28" s="115"/>
      <c r="AD28" s="118"/>
      <c r="AE28" s="119"/>
      <c r="AF28" s="116"/>
      <c r="AG28" s="179"/>
      <c r="AH28" s="120"/>
      <c r="AI28" s="121"/>
      <c r="AJ28" s="113"/>
      <c r="AK28" s="125"/>
      <c r="AL28" s="115"/>
      <c r="AM28" s="116"/>
      <c r="AN28" s="195"/>
      <c r="AO28" s="122"/>
      <c r="AP28" s="123"/>
      <c r="AQ28" s="96"/>
      <c r="AR28" s="130"/>
      <c r="AT28" s="225" t="e">
        <f t="shared" si="0"/>
        <v>#REF!</v>
      </c>
      <c r="AU28" s="224" t="str">
        <f>IFERROR(ROUND(IFERROR(((IFERROR(SUMIFS(FCS!$AM$11:$AM$9931,FCS!$G$11:$G$9931,AT28,FCS!$E$11:$E$9931,$AU$9),""))+(IFERROR(SUMIFS(FCS!$AN$11:$AN$9931,FCS!$G$11:$G$9931,AT28,FCS!$E$11:$E$9931,$AU$9),"")))/((IFERROR((IFERROR(SUMIFS(FCS!$AM$11:$AM$9931,FCS!$G$11:$G$9931,AT28,FCS!$E$11:$E$9931,$AU$9),""))/(IFERROR(AVERAGEIFS(FCS!$AM$11:$AM$9931,FCS!$G$11:$G$9931,AT28,FCS!$E$11:$E$9931,$AU$9),"")),0))+(IFERROR((IFERROR(SUMIFS(FCS!$AN$11:$AN$9931,FCS!$G$11:$G$9931,AT28,FCS!$E$11:$E$9931,$AU$9),""))/(IFERROR(AVERAGEIFS(FCS!$AN$11:$AN$9931,FCS!$G$11:$G$9931,AT28,FCS!$E$11:$E$9931,$AU$9),"")),0))),""),2),"")</f>
        <v/>
      </c>
      <c r="AV28" s="224" t="str">
        <f>IFERROR(ROUND(IFERROR(((IFERROR(SUMIFS(FCS!$AM$11:$AM$9931,FCS!$G$11:$G$9931,AT28,FCS!$E$11:$E$9931,$AV$9),""))+(IFERROR(SUMIFS(FCS!$AN$11:$AN$9931,FCS!$G$11:$G$9931,AT28,FCS!$E$11:$E$9931,$AV$9),"")))/((IFERROR((IFERROR(SUMIFS(FCS!$AM$11:$AM$9931,FCS!$G$11:$G$9931,AT28,FCS!$E$11:$E$9931,$AV$9),""))/(IFERROR(AVERAGEIFS(FCS!$AM$11:$AM$9931,FCS!$G$11:$G$9931,AT28,FCS!$E$11:$E$9931,$AV$9),"")),0))+(IFERROR((IFERROR(SUMIFS(FCS!$AN$11:$AN$9931,FCS!$G$11:$G$9931,AT28,FCS!$E$11:$E$9931,$AV$9),""))/(IFERROR(AVERAGEIFS(FCS!$AN$11:$AN$9931,FCS!$G$11:$G$9931,AT28,FCS!$E$11:$E$9931,$AV$9),"")),0))),""),2),"")</f>
        <v/>
      </c>
    </row>
    <row r="29" spans="2:48" s="7" customFormat="1" ht="18" customHeight="1" x14ac:dyDescent="0.25">
      <c r="B29" s="109"/>
      <c r="C29" s="193"/>
      <c r="D29" s="110"/>
      <c r="E29" s="110"/>
      <c r="F29" s="191"/>
      <c r="G29" s="124"/>
      <c r="H29" s="111"/>
      <c r="I29" s="112"/>
      <c r="J29" s="113"/>
      <c r="K29" s="69"/>
      <c r="L29" s="70"/>
      <c r="M29" s="194"/>
      <c r="N29" s="182"/>
      <c r="O29" s="110"/>
      <c r="P29" s="115"/>
      <c r="Q29" s="116"/>
      <c r="R29" s="117"/>
      <c r="S29" s="117"/>
      <c r="T29" s="117"/>
      <c r="U29" s="117"/>
      <c r="V29" s="110"/>
      <c r="W29" s="190"/>
      <c r="X29" s="114"/>
      <c r="Y29" s="208"/>
      <c r="Z29" s="110"/>
      <c r="AA29" s="115"/>
      <c r="AB29" s="115"/>
      <c r="AC29" s="115"/>
      <c r="AD29" s="199"/>
      <c r="AE29" s="196"/>
      <c r="AF29" s="197"/>
      <c r="AG29" s="200"/>
      <c r="AH29" s="201"/>
      <c r="AI29" s="202"/>
      <c r="AJ29" s="198"/>
      <c r="AK29" s="203"/>
      <c r="AL29" s="198"/>
      <c r="AM29" s="197"/>
      <c r="AN29" s="204"/>
      <c r="AO29" s="205"/>
      <c r="AP29" s="206"/>
      <c r="AQ29" s="207"/>
      <c r="AR29" s="130"/>
      <c r="AT29" s="225" t="e">
        <f t="shared" si="0"/>
        <v>#REF!</v>
      </c>
      <c r="AU29" s="224" t="str">
        <f>IFERROR(ROUND(IFERROR(((IFERROR(SUMIFS(FCS!$AM$11:$AM$9931,FCS!$G$11:$G$9931,AT29,FCS!$E$11:$E$9931,$AU$9),""))+(IFERROR(SUMIFS(FCS!$AN$11:$AN$9931,FCS!$G$11:$G$9931,AT29,FCS!$E$11:$E$9931,$AU$9),"")))/((IFERROR((IFERROR(SUMIFS(FCS!$AM$11:$AM$9931,FCS!$G$11:$G$9931,AT29,FCS!$E$11:$E$9931,$AU$9),""))/(IFERROR(AVERAGEIFS(FCS!$AM$11:$AM$9931,FCS!$G$11:$G$9931,AT29,FCS!$E$11:$E$9931,$AU$9),"")),0))+(IFERROR((IFERROR(SUMIFS(FCS!$AN$11:$AN$9931,FCS!$G$11:$G$9931,AT29,FCS!$E$11:$E$9931,$AU$9),""))/(IFERROR(AVERAGEIFS(FCS!$AN$11:$AN$9931,FCS!$G$11:$G$9931,AT29,FCS!$E$11:$E$9931,$AU$9),"")),0))),""),2),"")</f>
        <v/>
      </c>
      <c r="AV29" s="224" t="str">
        <f>IFERROR(ROUND(IFERROR(((IFERROR(SUMIFS(FCS!$AM$11:$AM$9931,FCS!$G$11:$G$9931,AT29,FCS!$E$11:$E$9931,$AV$9),""))+(IFERROR(SUMIFS(FCS!$AN$11:$AN$9931,FCS!$G$11:$G$9931,AT29,FCS!$E$11:$E$9931,$AV$9),"")))/((IFERROR((IFERROR(SUMIFS(FCS!$AM$11:$AM$9931,FCS!$G$11:$G$9931,AT29,FCS!$E$11:$E$9931,$AV$9),""))/(IFERROR(AVERAGEIFS(FCS!$AM$11:$AM$9931,FCS!$G$11:$G$9931,AT29,FCS!$E$11:$E$9931,$AV$9),"")),0))+(IFERROR((IFERROR(SUMIFS(FCS!$AN$11:$AN$9931,FCS!$G$11:$G$9931,AT29,FCS!$E$11:$E$9931,$AV$9),""))/(IFERROR(AVERAGEIFS(FCS!$AN$11:$AN$9931,FCS!$G$11:$G$9931,AT29,FCS!$E$11:$E$9931,$AV$9),"")),0))),""),2),"")</f>
        <v/>
      </c>
    </row>
    <row r="30" spans="2:48" s="7" customFormat="1" ht="18" customHeight="1" x14ac:dyDescent="0.25">
      <c r="B30" s="109"/>
      <c r="C30" s="193"/>
      <c r="D30" s="110"/>
      <c r="E30" s="110"/>
      <c r="F30" s="191"/>
      <c r="G30" s="124"/>
      <c r="H30" s="111"/>
      <c r="I30" s="112"/>
      <c r="J30" s="113"/>
      <c r="K30" s="69"/>
      <c r="L30" s="70"/>
      <c r="M30" s="194"/>
      <c r="N30" s="182"/>
      <c r="O30" s="110"/>
      <c r="P30" s="115"/>
      <c r="Q30" s="116"/>
      <c r="R30" s="117"/>
      <c r="S30" s="117"/>
      <c r="T30" s="117"/>
      <c r="U30" s="117"/>
      <c r="V30" s="110"/>
      <c r="W30" s="190"/>
      <c r="X30" s="114"/>
      <c r="Y30" s="208"/>
      <c r="Z30" s="110"/>
      <c r="AA30" s="115"/>
      <c r="AB30" s="115"/>
      <c r="AC30" s="115"/>
      <c r="AD30" s="118"/>
      <c r="AE30" s="119"/>
      <c r="AF30" s="116"/>
      <c r="AG30" s="179"/>
      <c r="AH30" s="120"/>
      <c r="AI30" s="121"/>
      <c r="AJ30" s="113"/>
      <c r="AK30" s="125"/>
      <c r="AL30" s="115"/>
      <c r="AM30" s="116"/>
      <c r="AN30" s="195"/>
      <c r="AO30" s="122"/>
      <c r="AP30" s="123"/>
      <c r="AQ30" s="96"/>
      <c r="AR30" s="130"/>
      <c r="AT30" s="225" t="e">
        <f t="shared" si="0"/>
        <v>#REF!</v>
      </c>
      <c r="AU30" s="224" t="str">
        <f>IFERROR(ROUND(IFERROR(((IFERROR(SUMIFS(FCS!$AM$11:$AM$9931,FCS!$G$11:$G$9931,AT30,FCS!$E$11:$E$9931,$AU$9),""))+(IFERROR(SUMIFS(FCS!$AN$11:$AN$9931,FCS!$G$11:$G$9931,AT30,FCS!$E$11:$E$9931,$AU$9),"")))/((IFERROR((IFERROR(SUMIFS(FCS!$AM$11:$AM$9931,FCS!$G$11:$G$9931,AT30,FCS!$E$11:$E$9931,$AU$9),""))/(IFERROR(AVERAGEIFS(FCS!$AM$11:$AM$9931,FCS!$G$11:$G$9931,AT30,FCS!$E$11:$E$9931,$AU$9),"")),0))+(IFERROR((IFERROR(SUMIFS(FCS!$AN$11:$AN$9931,FCS!$G$11:$G$9931,AT30,FCS!$E$11:$E$9931,$AU$9),""))/(IFERROR(AVERAGEIFS(FCS!$AN$11:$AN$9931,FCS!$G$11:$G$9931,AT30,FCS!$E$11:$E$9931,$AU$9),"")),0))),""),2),"")</f>
        <v/>
      </c>
      <c r="AV30" s="224" t="str">
        <f>IFERROR(ROUND(IFERROR(((IFERROR(SUMIFS(FCS!$AM$11:$AM$9931,FCS!$G$11:$G$9931,AT30,FCS!$E$11:$E$9931,$AV$9),""))+(IFERROR(SUMIFS(FCS!$AN$11:$AN$9931,FCS!$G$11:$G$9931,AT30,FCS!$E$11:$E$9931,$AV$9),"")))/((IFERROR((IFERROR(SUMIFS(FCS!$AM$11:$AM$9931,FCS!$G$11:$G$9931,AT30,FCS!$E$11:$E$9931,$AV$9),""))/(IFERROR(AVERAGEIFS(FCS!$AM$11:$AM$9931,FCS!$G$11:$G$9931,AT30,FCS!$E$11:$E$9931,$AV$9),"")),0))+(IFERROR((IFERROR(SUMIFS(FCS!$AN$11:$AN$9931,FCS!$G$11:$G$9931,AT30,FCS!$E$11:$E$9931,$AV$9),""))/(IFERROR(AVERAGEIFS(FCS!$AN$11:$AN$9931,FCS!$G$11:$G$9931,AT30,FCS!$E$11:$E$9931,$AV$9),"")),0))),""),2),"")</f>
        <v/>
      </c>
    </row>
    <row r="31" spans="2:48" s="7" customFormat="1" ht="18" customHeight="1" x14ac:dyDescent="0.25">
      <c r="B31" s="109"/>
      <c r="C31" s="193"/>
      <c r="D31" s="110"/>
      <c r="E31" s="110"/>
      <c r="F31" s="191"/>
      <c r="G31" s="124"/>
      <c r="H31" s="111"/>
      <c r="I31" s="112"/>
      <c r="J31" s="113"/>
      <c r="K31" s="69"/>
      <c r="L31" s="70"/>
      <c r="M31" s="194"/>
      <c r="N31" s="182"/>
      <c r="O31" s="110"/>
      <c r="P31" s="115"/>
      <c r="Q31" s="116"/>
      <c r="R31" s="117"/>
      <c r="S31" s="117"/>
      <c r="T31" s="117"/>
      <c r="U31" s="117"/>
      <c r="V31" s="110"/>
      <c r="W31" s="190"/>
      <c r="X31" s="114"/>
      <c r="Y31" s="208"/>
      <c r="Z31" s="110"/>
      <c r="AA31" s="115"/>
      <c r="AB31" s="115"/>
      <c r="AC31" s="115"/>
      <c r="AD31" s="199"/>
      <c r="AE31" s="196"/>
      <c r="AF31" s="197"/>
      <c r="AG31" s="200"/>
      <c r="AH31" s="201"/>
      <c r="AI31" s="202"/>
      <c r="AJ31" s="198"/>
      <c r="AK31" s="203"/>
      <c r="AL31" s="198"/>
      <c r="AM31" s="197"/>
      <c r="AN31" s="204"/>
      <c r="AO31" s="205"/>
      <c r="AP31" s="206"/>
      <c r="AQ31" s="207"/>
      <c r="AR31" s="130"/>
      <c r="AT31" s="225" t="e">
        <f t="shared" si="0"/>
        <v>#REF!</v>
      </c>
      <c r="AU31" s="224" t="str">
        <f>IFERROR(ROUND(IFERROR(((IFERROR(SUMIFS(FCS!$AM$11:$AM$9931,FCS!$G$11:$G$9931,AT31,FCS!$E$11:$E$9931,$AU$9),""))+(IFERROR(SUMIFS(FCS!$AN$11:$AN$9931,FCS!$G$11:$G$9931,AT31,FCS!$E$11:$E$9931,$AU$9),"")))/((IFERROR((IFERROR(SUMIFS(FCS!$AM$11:$AM$9931,FCS!$G$11:$G$9931,AT31,FCS!$E$11:$E$9931,$AU$9),""))/(IFERROR(AVERAGEIFS(FCS!$AM$11:$AM$9931,FCS!$G$11:$G$9931,AT31,FCS!$E$11:$E$9931,$AU$9),"")),0))+(IFERROR((IFERROR(SUMIFS(FCS!$AN$11:$AN$9931,FCS!$G$11:$G$9931,AT31,FCS!$E$11:$E$9931,$AU$9),""))/(IFERROR(AVERAGEIFS(FCS!$AN$11:$AN$9931,FCS!$G$11:$G$9931,AT31,FCS!$E$11:$E$9931,$AU$9),"")),0))),""),2),"")</f>
        <v/>
      </c>
      <c r="AV31" s="224" t="str">
        <f>IFERROR(ROUND(IFERROR(((IFERROR(SUMIFS(FCS!$AM$11:$AM$9931,FCS!$G$11:$G$9931,AT31,FCS!$E$11:$E$9931,$AV$9),""))+(IFERROR(SUMIFS(FCS!$AN$11:$AN$9931,FCS!$G$11:$G$9931,AT31,FCS!$E$11:$E$9931,$AV$9),"")))/((IFERROR((IFERROR(SUMIFS(FCS!$AM$11:$AM$9931,FCS!$G$11:$G$9931,AT31,FCS!$E$11:$E$9931,$AV$9),""))/(IFERROR(AVERAGEIFS(FCS!$AM$11:$AM$9931,FCS!$G$11:$G$9931,AT31,FCS!$E$11:$E$9931,$AV$9),"")),0))+(IFERROR((IFERROR(SUMIFS(FCS!$AN$11:$AN$9931,FCS!$G$11:$G$9931,AT31,FCS!$E$11:$E$9931,$AV$9),""))/(IFERROR(AVERAGEIFS(FCS!$AN$11:$AN$9931,FCS!$G$11:$G$9931,AT31,FCS!$E$11:$E$9931,$AV$9),"")),0))),""),2),"")</f>
        <v/>
      </c>
    </row>
    <row r="32" spans="2:48" s="7" customFormat="1" ht="18" customHeight="1" x14ac:dyDescent="0.25">
      <c r="B32" s="109"/>
      <c r="C32" s="193"/>
      <c r="D32" s="110"/>
      <c r="E32" s="110"/>
      <c r="F32" s="191"/>
      <c r="G32" s="124"/>
      <c r="H32" s="111"/>
      <c r="I32" s="112"/>
      <c r="J32" s="113"/>
      <c r="K32" s="69"/>
      <c r="L32" s="70"/>
      <c r="M32" s="194"/>
      <c r="N32" s="182"/>
      <c r="O32" s="110"/>
      <c r="P32" s="115"/>
      <c r="Q32" s="116"/>
      <c r="R32" s="117"/>
      <c r="S32" s="117"/>
      <c r="T32" s="117"/>
      <c r="U32" s="117"/>
      <c r="V32" s="110"/>
      <c r="W32" s="190"/>
      <c r="X32" s="114"/>
      <c r="Y32" s="208"/>
      <c r="Z32" s="110"/>
      <c r="AA32" s="115"/>
      <c r="AB32" s="115"/>
      <c r="AC32" s="115"/>
      <c r="AD32" s="118"/>
      <c r="AE32" s="119"/>
      <c r="AF32" s="116"/>
      <c r="AG32" s="179"/>
      <c r="AH32" s="120"/>
      <c r="AI32" s="121"/>
      <c r="AJ32" s="113"/>
      <c r="AK32" s="125"/>
      <c r="AL32" s="115"/>
      <c r="AM32" s="116"/>
      <c r="AN32" s="195"/>
      <c r="AO32" s="122"/>
      <c r="AP32" s="123"/>
      <c r="AQ32" s="96"/>
      <c r="AR32" s="130"/>
      <c r="AT32" s="225" t="e">
        <f t="shared" si="0"/>
        <v>#REF!</v>
      </c>
      <c r="AU32" s="224" t="str">
        <f>IFERROR(ROUND(IFERROR(((IFERROR(SUMIFS(FCS!$AM$11:$AM$9931,FCS!$G$11:$G$9931,AT32,FCS!$E$11:$E$9931,$AU$9),""))+(IFERROR(SUMIFS(FCS!$AN$11:$AN$9931,FCS!$G$11:$G$9931,AT32,FCS!$E$11:$E$9931,$AU$9),"")))/((IFERROR((IFERROR(SUMIFS(FCS!$AM$11:$AM$9931,FCS!$G$11:$G$9931,AT32,FCS!$E$11:$E$9931,$AU$9),""))/(IFERROR(AVERAGEIFS(FCS!$AM$11:$AM$9931,FCS!$G$11:$G$9931,AT32,FCS!$E$11:$E$9931,$AU$9),"")),0))+(IFERROR((IFERROR(SUMIFS(FCS!$AN$11:$AN$9931,FCS!$G$11:$G$9931,AT32,FCS!$E$11:$E$9931,$AU$9),""))/(IFERROR(AVERAGEIFS(FCS!$AN$11:$AN$9931,FCS!$G$11:$G$9931,AT32,FCS!$E$11:$E$9931,$AU$9),"")),0))),""),2),"")</f>
        <v/>
      </c>
      <c r="AV32" s="224" t="str">
        <f>IFERROR(ROUND(IFERROR(((IFERROR(SUMIFS(FCS!$AM$11:$AM$9931,FCS!$G$11:$G$9931,AT32,FCS!$E$11:$E$9931,$AV$9),""))+(IFERROR(SUMIFS(FCS!$AN$11:$AN$9931,FCS!$G$11:$G$9931,AT32,FCS!$E$11:$E$9931,$AV$9),"")))/((IFERROR((IFERROR(SUMIFS(FCS!$AM$11:$AM$9931,FCS!$G$11:$G$9931,AT32,FCS!$E$11:$E$9931,$AV$9),""))/(IFERROR(AVERAGEIFS(FCS!$AM$11:$AM$9931,FCS!$G$11:$G$9931,AT32,FCS!$E$11:$E$9931,$AV$9),"")),0))+(IFERROR((IFERROR(SUMIFS(FCS!$AN$11:$AN$9931,FCS!$G$11:$G$9931,AT32,FCS!$E$11:$E$9931,$AV$9),""))/(IFERROR(AVERAGEIFS(FCS!$AN$11:$AN$9931,FCS!$G$11:$G$9931,AT32,FCS!$E$11:$E$9931,$AV$9),"")),0))),""),2),"")</f>
        <v/>
      </c>
    </row>
    <row r="33" spans="2:48" s="7" customFormat="1" ht="18" customHeight="1" x14ac:dyDescent="0.25">
      <c r="B33" s="109"/>
      <c r="C33" s="193"/>
      <c r="D33" s="110"/>
      <c r="E33" s="110"/>
      <c r="F33" s="191"/>
      <c r="G33" s="124"/>
      <c r="H33" s="111"/>
      <c r="I33" s="112"/>
      <c r="J33" s="113"/>
      <c r="K33" s="69"/>
      <c r="L33" s="70"/>
      <c r="M33" s="194"/>
      <c r="N33" s="182"/>
      <c r="O33" s="110"/>
      <c r="P33" s="115"/>
      <c r="Q33" s="116"/>
      <c r="R33" s="117"/>
      <c r="S33" s="117"/>
      <c r="T33" s="117"/>
      <c r="U33" s="117"/>
      <c r="V33" s="110"/>
      <c r="W33" s="190"/>
      <c r="X33" s="114"/>
      <c r="Y33" s="208"/>
      <c r="Z33" s="110"/>
      <c r="AA33" s="115"/>
      <c r="AB33" s="115"/>
      <c r="AC33" s="115"/>
      <c r="AD33" s="199"/>
      <c r="AE33" s="196"/>
      <c r="AF33" s="197"/>
      <c r="AG33" s="200"/>
      <c r="AH33" s="201"/>
      <c r="AI33" s="202"/>
      <c r="AJ33" s="198"/>
      <c r="AK33" s="203"/>
      <c r="AL33" s="198"/>
      <c r="AM33" s="197"/>
      <c r="AN33" s="204"/>
      <c r="AO33" s="205"/>
      <c r="AP33" s="206"/>
      <c r="AQ33" s="207"/>
      <c r="AR33" s="130"/>
      <c r="AT33" s="225" t="e">
        <f t="shared" si="0"/>
        <v>#REF!</v>
      </c>
      <c r="AU33" s="224" t="str">
        <f>IFERROR(ROUND(IFERROR(((IFERROR(SUMIFS(FCS!$AM$11:$AM$9931,FCS!$G$11:$G$9931,AT33,FCS!$E$11:$E$9931,$AU$9),""))+(IFERROR(SUMIFS(FCS!$AN$11:$AN$9931,FCS!$G$11:$G$9931,AT33,FCS!$E$11:$E$9931,$AU$9),"")))/((IFERROR((IFERROR(SUMIFS(FCS!$AM$11:$AM$9931,FCS!$G$11:$G$9931,AT33,FCS!$E$11:$E$9931,$AU$9),""))/(IFERROR(AVERAGEIFS(FCS!$AM$11:$AM$9931,FCS!$G$11:$G$9931,AT33,FCS!$E$11:$E$9931,$AU$9),"")),0))+(IFERROR((IFERROR(SUMIFS(FCS!$AN$11:$AN$9931,FCS!$G$11:$G$9931,AT33,FCS!$E$11:$E$9931,$AU$9),""))/(IFERROR(AVERAGEIFS(FCS!$AN$11:$AN$9931,FCS!$G$11:$G$9931,AT33,FCS!$E$11:$E$9931,$AU$9),"")),0))),""),2),"")</f>
        <v/>
      </c>
      <c r="AV33" s="224" t="str">
        <f>IFERROR(ROUND(IFERROR(((IFERROR(SUMIFS(FCS!$AM$11:$AM$9931,FCS!$G$11:$G$9931,AT33,FCS!$E$11:$E$9931,$AV$9),""))+(IFERROR(SUMIFS(FCS!$AN$11:$AN$9931,FCS!$G$11:$G$9931,AT33,FCS!$E$11:$E$9931,$AV$9),"")))/((IFERROR((IFERROR(SUMIFS(FCS!$AM$11:$AM$9931,FCS!$G$11:$G$9931,AT33,FCS!$E$11:$E$9931,$AV$9),""))/(IFERROR(AVERAGEIFS(FCS!$AM$11:$AM$9931,FCS!$G$11:$G$9931,AT33,FCS!$E$11:$E$9931,$AV$9),"")),0))+(IFERROR((IFERROR(SUMIFS(FCS!$AN$11:$AN$9931,FCS!$G$11:$G$9931,AT33,FCS!$E$11:$E$9931,$AV$9),""))/(IFERROR(AVERAGEIFS(FCS!$AN$11:$AN$9931,FCS!$G$11:$G$9931,AT33,FCS!$E$11:$E$9931,$AV$9),"")),0))),""),2),"")</f>
        <v/>
      </c>
    </row>
    <row r="34" spans="2:48" s="7" customFormat="1" ht="18" customHeight="1" x14ac:dyDescent="0.25">
      <c r="B34" s="109"/>
      <c r="C34" s="193"/>
      <c r="D34" s="110"/>
      <c r="E34" s="110"/>
      <c r="F34" s="191"/>
      <c r="G34" s="124"/>
      <c r="H34" s="111"/>
      <c r="I34" s="112"/>
      <c r="J34" s="113"/>
      <c r="K34" s="69"/>
      <c r="L34" s="70"/>
      <c r="M34" s="194"/>
      <c r="N34" s="182"/>
      <c r="O34" s="110"/>
      <c r="P34" s="115"/>
      <c r="Q34" s="116"/>
      <c r="R34" s="117"/>
      <c r="S34" s="117"/>
      <c r="T34" s="117"/>
      <c r="U34" s="117"/>
      <c r="V34" s="110"/>
      <c r="W34" s="190"/>
      <c r="X34" s="114"/>
      <c r="Y34" s="208"/>
      <c r="Z34" s="110"/>
      <c r="AA34" s="115"/>
      <c r="AB34" s="115"/>
      <c r="AC34" s="115"/>
      <c r="AD34" s="199"/>
      <c r="AE34" s="119"/>
      <c r="AF34" s="116"/>
      <c r="AG34" s="179"/>
      <c r="AH34" s="120"/>
      <c r="AI34" s="121"/>
      <c r="AJ34" s="113"/>
      <c r="AK34" s="125"/>
      <c r="AL34" s="115"/>
      <c r="AM34" s="116"/>
      <c r="AN34" s="195"/>
      <c r="AO34" s="122"/>
      <c r="AP34" s="123"/>
      <c r="AQ34" s="96"/>
      <c r="AR34" s="130"/>
      <c r="AT34" s="225" t="e">
        <f t="shared" si="0"/>
        <v>#REF!</v>
      </c>
      <c r="AU34" s="224" t="str">
        <f>IFERROR(ROUND(IFERROR(((IFERROR(SUMIFS(FCS!$AM$11:$AM$9931,FCS!$G$11:$G$9931,AT34,FCS!$E$11:$E$9931,$AU$9),""))+(IFERROR(SUMIFS(FCS!$AN$11:$AN$9931,FCS!$G$11:$G$9931,AT34,FCS!$E$11:$E$9931,$AU$9),"")))/((IFERROR((IFERROR(SUMIFS(FCS!$AM$11:$AM$9931,FCS!$G$11:$G$9931,AT34,FCS!$E$11:$E$9931,$AU$9),""))/(IFERROR(AVERAGEIFS(FCS!$AM$11:$AM$9931,FCS!$G$11:$G$9931,AT34,FCS!$E$11:$E$9931,$AU$9),"")),0))+(IFERROR((IFERROR(SUMIFS(FCS!$AN$11:$AN$9931,FCS!$G$11:$G$9931,AT34,FCS!$E$11:$E$9931,$AU$9),""))/(IFERROR(AVERAGEIFS(FCS!$AN$11:$AN$9931,FCS!$G$11:$G$9931,AT34,FCS!$E$11:$E$9931,$AU$9),"")),0))),""),2),"")</f>
        <v/>
      </c>
      <c r="AV34" s="224" t="str">
        <f>IFERROR(ROUND(IFERROR(((IFERROR(SUMIFS(FCS!$AM$11:$AM$9931,FCS!$G$11:$G$9931,AT34,FCS!$E$11:$E$9931,$AV$9),""))+(IFERROR(SUMIFS(FCS!$AN$11:$AN$9931,FCS!$G$11:$G$9931,AT34,FCS!$E$11:$E$9931,$AV$9),"")))/((IFERROR((IFERROR(SUMIFS(FCS!$AM$11:$AM$9931,FCS!$G$11:$G$9931,AT34,FCS!$E$11:$E$9931,$AV$9),""))/(IFERROR(AVERAGEIFS(FCS!$AM$11:$AM$9931,FCS!$G$11:$G$9931,AT34,FCS!$E$11:$E$9931,$AV$9),"")),0))+(IFERROR((IFERROR(SUMIFS(FCS!$AN$11:$AN$9931,FCS!$G$11:$G$9931,AT34,FCS!$E$11:$E$9931,$AV$9),""))/(IFERROR(AVERAGEIFS(FCS!$AN$11:$AN$9931,FCS!$G$11:$G$9931,AT34,FCS!$E$11:$E$9931,$AV$9),"")),0))),""),2),"")</f>
        <v/>
      </c>
    </row>
    <row r="35" spans="2:48" s="7" customFormat="1" ht="18" customHeight="1" x14ac:dyDescent="0.25">
      <c r="B35" s="109"/>
      <c r="C35" s="193"/>
      <c r="D35" s="110"/>
      <c r="E35" s="110"/>
      <c r="F35" s="191"/>
      <c r="G35" s="124"/>
      <c r="H35" s="111"/>
      <c r="I35" s="112"/>
      <c r="J35" s="113"/>
      <c r="K35" s="69"/>
      <c r="L35" s="70"/>
      <c r="M35" s="194"/>
      <c r="N35" s="182"/>
      <c r="O35" s="110"/>
      <c r="P35" s="115"/>
      <c r="Q35" s="116"/>
      <c r="R35" s="117"/>
      <c r="S35" s="117"/>
      <c r="T35" s="117"/>
      <c r="U35" s="117"/>
      <c r="V35" s="110"/>
      <c r="W35" s="190"/>
      <c r="X35" s="114"/>
      <c r="Y35" s="208"/>
      <c r="Z35" s="110"/>
      <c r="AA35" s="115"/>
      <c r="AB35" s="115"/>
      <c r="AC35" s="115"/>
      <c r="AD35" s="199"/>
      <c r="AE35" s="196"/>
      <c r="AF35" s="197"/>
      <c r="AG35" s="200"/>
      <c r="AH35" s="201"/>
      <c r="AI35" s="202"/>
      <c r="AJ35" s="198"/>
      <c r="AK35" s="203"/>
      <c r="AL35" s="198"/>
      <c r="AM35" s="197"/>
      <c r="AN35" s="204"/>
      <c r="AO35" s="205"/>
      <c r="AP35" s="206"/>
      <c r="AQ35" s="207"/>
      <c r="AR35" s="130"/>
      <c r="AT35" s="225" t="e">
        <f t="shared" si="0"/>
        <v>#REF!</v>
      </c>
      <c r="AU35" s="224" t="str">
        <f>IFERROR(ROUND(IFERROR(((IFERROR(SUMIFS(FCS!$AM$11:$AM$9931,FCS!$G$11:$G$9931,AT35,FCS!$E$11:$E$9931,$AU$9),""))+(IFERROR(SUMIFS(FCS!$AN$11:$AN$9931,FCS!$G$11:$G$9931,AT35,FCS!$E$11:$E$9931,$AU$9),"")))/((IFERROR((IFERROR(SUMIFS(FCS!$AM$11:$AM$9931,FCS!$G$11:$G$9931,AT35,FCS!$E$11:$E$9931,$AU$9),""))/(IFERROR(AVERAGEIFS(FCS!$AM$11:$AM$9931,FCS!$G$11:$G$9931,AT35,FCS!$E$11:$E$9931,$AU$9),"")),0))+(IFERROR((IFERROR(SUMIFS(FCS!$AN$11:$AN$9931,FCS!$G$11:$G$9931,AT35,FCS!$E$11:$E$9931,$AU$9),""))/(IFERROR(AVERAGEIFS(FCS!$AN$11:$AN$9931,FCS!$G$11:$G$9931,AT35,FCS!$E$11:$E$9931,$AU$9),"")),0))),""),2),"")</f>
        <v/>
      </c>
      <c r="AV35" s="224" t="str">
        <f>IFERROR(ROUND(IFERROR(((IFERROR(SUMIFS(FCS!$AM$11:$AM$9931,FCS!$G$11:$G$9931,AT35,FCS!$E$11:$E$9931,$AV$9),""))+(IFERROR(SUMIFS(FCS!$AN$11:$AN$9931,FCS!$G$11:$G$9931,AT35,FCS!$E$11:$E$9931,$AV$9),"")))/((IFERROR((IFERROR(SUMIFS(FCS!$AM$11:$AM$9931,FCS!$G$11:$G$9931,AT35,FCS!$E$11:$E$9931,$AV$9),""))/(IFERROR(AVERAGEIFS(FCS!$AM$11:$AM$9931,FCS!$G$11:$G$9931,AT35,FCS!$E$11:$E$9931,$AV$9),"")),0))+(IFERROR((IFERROR(SUMIFS(FCS!$AN$11:$AN$9931,FCS!$G$11:$G$9931,AT35,FCS!$E$11:$E$9931,$AV$9),""))/(IFERROR(AVERAGEIFS(FCS!$AN$11:$AN$9931,FCS!$G$11:$G$9931,AT35,FCS!$E$11:$E$9931,$AV$9),"")),0))),""),2),"")</f>
        <v/>
      </c>
    </row>
    <row r="36" spans="2:48" s="7" customFormat="1" ht="18" customHeight="1" x14ac:dyDescent="0.25">
      <c r="B36" s="109"/>
      <c r="C36" s="193"/>
      <c r="D36" s="110"/>
      <c r="E36" s="110"/>
      <c r="F36" s="191"/>
      <c r="G36" s="124"/>
      <c r="H36" s="111"/>
      <c r="I36" s="112"/>
      <c r="J36" s="113"/>
      <c r="K36" s="69"/>
      <c r="L36" s="70"/>
      <c r="M36" s="194"/>
      <c r="N36" s="182"/>
      <c r="O36" s="110"/>
      <c r="P36" s="115"/>
      <c r="Q36" s="116"/>
      <c r="R36" s="117"/>
      <c r="S36" s="117"/>
      <c r="T36" s="117"/>
      <c r="U36" s="117"/>
      <c r="V36" s="110"/>
      <c r="W36" s="190"/>
      <c r="X36" s="114"/>
      <c r="Y36" s="208"/>
      <c r="Z36" s="110"/>
      <c r="AA36" s="115"/>
      <c r="AB36" s="115"/>
      <c r="AC36" s="115"/>
      <c r="AD36" s="118"/>
      <c r="AE36" s="119"/>
      <c r="AF36" s="116"/>
      <c r="AG36" s="179"/>
      <c r="AH36" s="120"/>
      <c r="AI36" s="121"/>
      <c r="AJ36" s="113"/>
      <c r="AK36" s="125"/>
      <c r="AL36" s="115"/>
      <c r="AM36" s="116"/>
      <c r="AN36" s="195"/>
      <c r="AO36" s="122"/>
      <c r="AP36" s="123"/>
      <c r="AQ36" s="96"/>
      <c r="AR36" s="130"/>
      <c r="AT36" s="225" t="e">
        <f t="shared" si="0"/>
        <v>#REF!</v>
      </c>
      <c r="AU36" s="224" t="str">
        <f>IFERROR(ROUND(IFERROR(((IFERROR(SUMIFS(FCS!$AM$11:$AM$9931,FCS!$G$11:$G$9931,AT36,FCS!$E$11:$E$9931,$AU$9),""))+(IFERROR(SUMIFS(FCS!$AN$11:$AN$9931,FCS!$G$11:$G$9931,AT36,FCS!$E$11:$E$9931,$AU$9),"")))/((IFERROR((IFERROR(SUMIFS(FCS!$AM$11:$AM$9931,FCS!$G$11:$G$9931,AT36,FCS!$E$11:$E$9931,$AU$9),""))/(IFERROR(AVERAGEIFS(FCS!$AM$11:$AM$9931,FCS!$G$11:$G$9931,AT36,FCS!$E$11:$E$9931,$AU$9),"")),0))+(IFERROR((IFERROR(SUMIFS(FCS!$AN$11:$AN$9931,FCS!$G$11:$G$9931,AT36,FCS!$E$11:$E$9931,$AU$9),""))/(IFERROR(AVERAGEIFS(FCS!$AN$11:$AN$9931,FCS!$G$11:$G$9931,AT36,FCS!$E$11:$E$9931,$AU$9),"")),0))),""),2),"")</f>
        <v/>
      </c>
      <c r="AV36" s="224" t="str">
        <f>IFERROR(ROUND(IFERROR(((IFERROR(SUMIFS(FCS!$AM$11:$AM$9931,FCS!$G$11:$G$9931,AT36,FCS!$E$11:$E$9931,$AV$9),""))+(IFERROR(SUMIFS(FCS!$AN$11:$AN$9931,FCS!$G$11:$G$9931,AT36,FCS!$E$11:$E$9931,$AV$9),"")))/((IFERROR((IFERROR(SUMIFS(FCS!$AM$11:$AM$9931,FCS!$G$11:$G$9931,AT36,FCS!$E$11:$E$9931,$AV$9),""))/(IFERROR(AVERAGEIFS(FCS!$AM$11:$AM$9931,FCS!$G$11:$G$9931,AT36,FCS!$E$11:$E$9931,$AV$9),"")),0))+(IFERROR((IFERROR(SUMIFS(FCS!$AN$11:$AN$9931,FCS!$G$11:$G$9931,AT36,FCS!$E$11:$E$9931,$AV$9),""))/(IFERROR(AVERAGEIFS(FCS!$AN$11:$AN$9931,FCS!$G$11:$G$9931,AT36,FCS!$E$11:$E$9931,$AV$9),"")),0))),""),2),"")</f>
        <v/>
      </c>
    </row>
    <row r="37" spans="2:48" s="7" customFormat="1" ht="18" customHeight="1" x14ac:dyDescent="0.25">
      <c r="B37" s="109"/>
      <c r="C37" s="193"/>
      <c r="D37" s="110"/>
      <c r="E37" s="110"/>
      <c r="F37" s="191"/>
      <c r="G37" s="124"/>
      <c r="H37" s="111"/>
      <c r="I37" s="112"/>
      <c r="J37" s="113"/>
      <c r="K37" s="69"/>
      <c r="L37" s="70"/>
      <c r="M37" s="194"/>
      <c r="N37" s="182"/>
      <c r="O37" s="110"/>
      <c r="P37" s="115"/>
      <c r="Q37" s="116"/>
      <c r="R37" s="117"/>
      <c r="S37" s="117"/>
      <c r="T37" s="117"/>
      <c r="U37" s="117"/>
      <c r="V37" s="110"/>
      <c r="W37" s="190"/>
      <c r="X37" s="114"/>
      <c r="Y37" s="208"/>
      <c r="Z37" s="110"/>
      <c r="AA37" s="115"/>
      <c r="AB37" s="115"/>
      <c r="AC37" s="115"/>
      <c r="AD37" s="199"/>
      <c r="AE37" s="196"/>
      <c r="AF37" s="197"/>
      <c r="AG37" s="200"/>
      <c r="AH37" s="201"/>
      <c r="AI37" s="202"/>
      <c r="AJ37" s="198"/>
      <c r="AK37" s="203"/>
      <c r="AL37" s="198"/>
      <c r="AM37" s="197"/>
      <c r="AN37" s="204"/>
      <c r="AO37" s="205"/>
      <c r="AP37" s="206"/>
      <c r="AQ37" s="207"/>
      <c r="AR37" s="130"/>
      <c r="AT37" s="225" t="e">
        <f t="shared" si="0"/>
        <v>#REF!</v>
      </c>
      <c r="AU37" s="224" t="str">
        <f>IFERROR(ROUND(IFERROR(((IFERROR(SUMIFS(FCS!$AM$11:$AM$9931,FCS!$G$11:$G$9931,AT37,FCS!$E$11:$E$9931,$AU$9),""))+(IFERROR(SUMIFS(FCS!$AN$11:$AN$9931,FCS!$G$11:$G$9931,AT37,FCS!$E$11:$E$9931,$AU$9),"")))/((IFERROR((IFERROR(SUMIFS(FCS!$AM$11:$AM$9931,FCS!$G$11:$G$9931,AT37,FCS!$E$11:$E$9931,$AU$9),""))/(IFERROR(AVERAGEIFS(FCS!$AM$11:$AM$9931,FCS!$G$11:$G$9931,AT37,FCS!$E$11:$E$9931,$AU$9),"")),0))+(IFERROR((IFERROR(SUMIFS(FCS!$AN$11:$AN$9931,FCS!$G$11:$G$9931,AT37,FCS!$E$11:$E$9931,$AU$9),""))/(IFERROR(AVERAGEIFS(FCS!$AN$11:$AN$9931,FCS!$G$11:$G$9931,AT37,FCS!$E$11:$E$9931,$AU$9),"")),0))),""),2),"")</f>
        <v/>
      </c>
      <c r="AV37" s="224" t="str">
        <f>IFERROR(ROUND(IFERROR(((IFERROR(SUMIFS(FCS!$AM$11:$AM$9931,FCS!$G$11:$G$9931,AT37,FCS!$E$11:$E$9931,$AV$9),""))+(IFERROR(SUMIFS(FCS!$AN$11:$AN$9931,FCS!$G$11:$G$9931,AT37,FCS!$E$11:$E$9931,$AV$9),"")))/((IFERROR((IFERROR(SUMIFS(FCS!$AM$11:$AM$9931,FCS!$G$11:$G$9931,AT37,FCS!$E$11:$E$9931,$AV$9),""))/(IFERROR(AVERAGEIFS(FCS!$AM$11:$AM$9931,FCS!$G$11:$G$9931,AT37,FCS!$E$11:$E$9931,$AV$9),"")),0))+(IFERROR((IFERROR(SUMIFS(FCS!$AN$11:$AN$9931,FCS!$G$11:$G$9931,AT37,FCS!$E$11:$E$9931,$AV$9),""))/(IFERROR(AVERAGEIFS(FCS!$AN$11:$AN$9931,FCS!$G$11:$G$9931,AT37,FCS!$E$11:$E$9931,$AV$9),"")),0))),""),2),"")</f>
        <v/>
      </c>
    </row>
    <row r="38" spans="2:48" s="7" customFormat="1" ht="18" customHeight="1" x14ac:dyDescent="0.25">
      <c r="B38" s="109"/>
      <c r="C38" s="193"/>
      <c r="D38" s="110"/>
      <c r="E38" s="110"/>
      <c r="F38" s="191"/>
      <c r="G38" s="124"/>
      <c r="H38" s="111"/>
      <c r="I38" s="112"/>
      <c r="J38" s="113"/>
      <c r="K38" s="69"/>
      <c r="L38" s="70"/>
      <c r="M38" s="194"/>
      <c r="N38" s="182"/>
      <c r="O38" s="110"/>
      <c r="P38" s="115"/>
      <c r="Q38" s="116"/>
      <c r="R38" s="117"/>
      <c r="S38" s="117"/>
      <c r="T38" s="117"/>
      <c r="U38" s="117"/>
      <c r="V38" s="110"/>
      <c r="W38" s="190"/>
      <c r="X38" s="114"/>
      <c r="Y38" s="208"/>
      <c r="Z38" s="110"/>
      <c r="AA38" s="115"/>
      <c r="AB38" s="115"/>
      <c r="AC38" s="115"/>
      <c r="AD38" s="118"/>
      <c r="AE38" s="119"/>
      <c r="AF38" s="116"/>
      <c r="AG38" s="179"/>
      <c r="AH38" s="120"/>
      <c r="AI38" s="121"/>
      <c r="AJ38" s="113"/>
      <c r="AK38" s="125"/>
      <c r="AL38" s="115"/>
      <c r="AM38" s="116"/>
      <c r="AN38" s="195"/>
      <c r="AO38" s="122"/>
      <c r="AP38" s="123"/>
      <c r="AQ38" s="96"/>
      <c r="AR38" s="130"/>
      <c r="AT38" s="225" t="e">
        <f t="shared" si="0"/>
        <v>#REF!</v>
      </c>
      <c r="AU38" s="224" t="str">
        <f>IFERROR(ROUND(IFERROR(((IFERROR(SUMIFS(FCS!$AM$11:$AM$9931,FCS!$G$11:$G$9931,AT38,FCS!$E$11:$E$9931,$AU$9),""))+(IFERROR(SUMIFS(FCS!$AN$11:$AN$9931,FCS!$G$11:$G$9931,AT38,FCS!$E$11:$E$9931,$AU$9),"")))/((IFERROR((IFERROR(SUMIFS(FCS!$AM$11:$AM$9931,FCS!$G$11:$G$9931,AT38,FCS!$E$11:$E$9931,$AU$9),""))/(IFERROR(AVERAGEIFS(FCS!$AM$11:$AM$9931,FCS!$G$11:$G$9931,AT38,FCS!$E$11:$E$9931,$AU$9),"")),0))+(IFERROR((IFERROR(SUMIFS(FCS!$AN$11:$AN$9931,FCS!$G$11:$G$9931,AT38,FCS!$E$11:$E$9931,$AU$9),""))/(IFERROR(AVERAGEIFS(FCS!$AN$11:$AN$9931,FCS!$G$11:$G$9931,AT38,FCS!$E$11:$E$9931,$AU$9),"")),0))),""),2),"")</f>
        <v/>
      </c>
      <c r="AV38" s="224" t="str">
        <f>IFERROR(ROUND(IFERROR(((IFERROR(SUMIFS(FCS!$AM$11:$AM$9931,FCS!$G$11:$G$9931,AT38,FCS!$E$11:$E$9931,$AV$9),""))+(IFERROR(SUMIFS(FCS!$AN$11:$AN$9931,FCS!$G$11:$G$9931,AT38,FCS!$E$11:$E$9931,$AV$9),"")))/((IFERROR((IFERROR(SUMIFS(FCS!$AM$11:$AM$9931,FCS!$G$11:$G$9931,AT38,FCS!$E$11:$E$9931,$AV$9),""))/(IFERROR(AVERAGEIFS(FCS!$AM$11:$AM$9931,FCS!$G$11:$G$9931,AT38,FCS!$E$11:$E$9931,$AV$9),"")),0))+(IFERROR((IFERROR(SUMIFS(FCS!$AN$11:$AN$9931,FCS!$G$11:$G$9931,AT38,FCS!$E$11:$E$9931,$AV$9),""))/(IFERROR(AVERAGEIFS(FCS!$AN$11:$AN$9931,FCS!$G$11:$G$9931,AT38,FCS!$E$11:$E$9931,$AV$9),"")),0))),""),2),"")</f>
        <v/>
      </c>
    </row>
    <row r="39" spans="2:48" s="7" customFormat="1" ht="18" customHeight="1" x14ac:dyDescent="0.25">
      <c r="B39" s="109"/>
      <c r="C39" s="193"/>
      <c r="D39" s="110"/>
      <c r="E39" s="110"/>
      <c r="F39" s="191"/>
      <c r="G39" s="124"/>
      <c r="H39" s="111"/>
      <c r="I39" s="112"/>
      <c r="J39" s="113"/>
      <c r="K39" s="69"/>
      <c r="L39" s="70"/>
      <c r="M39" s="194"/>
      <c r="N39" s="182"/>
      <c r="O39" s="110"/>
      <c r="P39" s="115"/>
      <c r="Q39" s="116"/>
      <c r="R39" s="117"/>
      <c r="S39" s="117"/>
      <c r="T39" s="117"/>
      <c r="U39" s="117"/>
      <c r="V39" s="110"/>
      <c r="W39" s="190"/>
      <c r="X39" s="114"/>
      <c r="Y39" s="208"/>
      <c r="Z39" s="110"/>
      <c r="AA39" s="115"/>
      <c r="AB39" s="115"/>
      <c r="AC39" s="115"/>
      <c r="AD39" s="199"/>
      <c r="AE39" s="196"/>
      <c r="AF39" s="197"/>
      <c r="AG39" s="200"/>
      <c r="AH39" s="201"/>
      <c r="AI39" s="202"/>
      <c r="AJ39" s="198"/>
      <c r="AK39" s="203"/>
      <c r="AL39" s="198"/>
      <c r="AM39" s="197"/>
      <c r="AN39" s="204"/>
      <c r="AO39" s="205"/>
      <c r="AP39" s="206"/>
      <c r="AQ39" s="207"/>
      <c r="AR39" s="130"/>
      <c r="AT39" s="225" t="e">
        <f t="shared" si="0"/>
        <v>#REF!</v>
      </c>
      <c r="AU39" s="224" t="str">
        <f>IFERROR(ROUND(IFERROR(((IFERROR(SUMIFS(FCS!$AM$11:$AM$9931,FCS!$G$11:$G$9931,AT39,FCS!$E$11:$E$9931,$AU$9),""))+(IFERROR(SUMIFS(FCS!$AN$11:$AN$9931,FCS!$G$11:$G$9931,AT39,FCS!$E$11:$E$9931,$AU$9),"")))/((IFERROR((IFERROR(SUMIFS(FCS!$AM$11:$AM$9931,FCS!$G$11:$G$9931,AT39,FCS!$E$11:$E$9931,$AU$9),""))/(IFERROR(AVERAGEIFS(FCS!$AM$11:$AM$9931,FCS!$G$11:$G$9931,AT39,FCS!$E$11:$E$9931,$AU$9),"")),0))+(IFERROR((IFERROR(SUMIFS(FCS!$AN$11:$AN$9931,FCS!$G$11:$G$9931,AT39,FCS!$E$11:$E$9931,$AU$9),""))/(IFERROR(AVERAGEIFS(FCS!$AN$11:$AN$9931,FCS!$G$11:$G$9931,AT39,FCS!$E$11:$E$9931,$AU$9),"")),0))),""),2),"")</f>
        <v/>
      </c>
      <c r="AV39" s="224" t="str">
        <f>IFERROR(ROUND(IFERROR(((IFERROR(SUMIFS(FCS!$AM$11:$AM$9931,FCS!$G$11:$G$9931,AT39,FCS!$E$11:$E$9931,$AV$9),""))+(IFERROR(SUMIFS(FCS!$AN$11:$AN$9931,FCS!$G$11:$G$9931,AT39,FCS!$E$11:$E$9931,$AV$9),"")))/((IFERROR((IFERROR(SUMIFS(FCS!$AM$11:$AM$9931,FCS!$G$11:$G$9931,AT39,FCS!$E$11:$E$9931,$AV$9),""))/(IFERROR(AVERAGEIFS(FCS!$AM$11:$AM$9931,FCS!$G$11:$G$9931,AT39,FCS!$E$11:$E$9931,$AV$9),"")),0))+(IFERROR((IFERROR(SUMIFS(FCS!$AN$11:$AN$9931,FCS!$G$11:$G$9931,AT39,FCS!$E$11:$E$9931,$AV$9),""))/(IFERROR(AVERAGEIFS(FCS!$AN$11:$AN$9931,FCS!$G$11:$G$9931,AT39,FCS!$E$11:$E$9931,$AV$9),"")),0))),""),2),"")</f>
        <v/>
      </c>
    </row>
    <row r="40" spans="2:48" s="7" customFormat="1" ht="18" customHeight="1" x14ac:dyDescent="0.25">
      <c r="B40" s="109"/>
      <c r="C40" s="193"/>
      <c r="D40" s="110"/>
      <c r="E40" s="110"/>
      <c r="F40" s="191"/>
      <c r="G40" s="124"/>
      <c r="H40" s="111"/>
      <c r="I40" s="112"/>
      <c r="J40" s="113"/>
      <c r="K40" s="69"/>
      <c r="L40" s="70"/>
      <c r="M40" s="194"/>
      <c r="N40" s="182"/>
      <c r="O40" s="110"/>
      <c r="P40" s="115"/>
      <c r="Q40" s="116"/>
      <c r="R40" s="117"/>
      <c r="S40" s="117"/>
      <c r="T40" s="117"/>
      <c r="U40" s="117"/>
      <c r="V40" s="110"/>
      <c r="W40" s="190"/>
      <c r="X40" s="114"/>
      <c r="Y40" s="208"/>
      <c r="Z40" s="110"/>
      <c r="AA40" s="115"/>
      <c r="AB40" s="115"/>
      <c r="AC40" s="115"/>
      <c r="AD40" s="118"/>
      <c r="AE40" s="119"/>
      <c r="AF40" s="116"/>
      <c r="AG40" s="179"/>
      <c r="AH40" s="120"/>
      <c r="AI40" s="121"/>
      <c r="AJ40" s="113"/>
      <c r="AK40" s="125"/>
      <c r="AL40" s="115"/>
      <c r="AM40" s="116"/>
      <c r="AN40" s="195"/>
      <c r="AO40" s="122"/>
      <c r="AP40" s="123"/>
      <c r="AQ40" s="96"/>
      <c r="AR40" s="130"/>
      <c r="AT40" s="225" t="e">
        <f t="shared" si="0"/>
        <v>#REF!</v>
      </c>
      <c r="AU40" s="224" t="str">
        <f>IFERROR(ROUND(IFERROR(((IFERROR(SUMIFS(FCS!$AM$11:$AM$9931,FCS!$G$11:$G$9931,AT40,FCS!$E$11:$E$9931,$AU$9),""))+(IFERROR(SUMIFS(FCS!$AN$11:$AN$9931,FCS!$G$11:$G$9931,AT40,FCS!$E$11:$E$9931,$AU$9),"")))/((IFERROR((IFERROR(SUMIFS(FCS!$AM$11:$AM$9931,FCS!$G$11:$G$9931,AT40,FCS!$E$11:$E$9931,$AU$9),""))/(IFERROR(AVERAGEIFS(FCS!$AM$11:$AM$9931,FCS!$G$11:$G$9931,AT40,FCS!$E$11:$E$9931,$AU$9),"")),0))+(IFERROR((IFERROR(SUMIFS(FCS!$AN$11:$AN$9931,FCS!$G$11:$G$9931,AT40,FCS!$E$11:$E$9931,$AU$9),""))/(IFERROR(AVERAGEIFS(FCS!$AN$11:$AN$9931,FCS!$G$11:$G$9931,AT40,FCS!$E$11:$E$9931,$AU$9),"")),0))),""),2),"")</f>
        <v/>
      </c>
      <c r="AV40" s="224" t="str">
        <f>IFERROR(ROUND(IFERROR(((IFERROR(SUMIFS(FCS!$AM$11:$AM$9931,FCS!$G$11:$G$9931,AT40,FCS!$E$11:$E$9931,$AV$9),""))+(IFERROR(SUMIFS(FCS!$AN$11:$AN$9931,FCS!$G$11:$G$9931,AT40,FCS!$E$11:$E$9931,$AV$9),"")))/((IFERROR((IFERROR(SUMIFS(FCS!$AM$11:$AM$9931,FCS!$G$11:$G$9931,AT40,FCS!$E$11:$E$9931,$AV$9),""))/(IFERROR(AVERAGEIFS(FCS!$AM$11:$AM$9931,FCS!$G$11:$G$9931,AT40,FCS!$E$11:$E$9931,$AV$9),"")),0))+(IFERROR((IFERROR(SUMIFS(FCS!$AN$11:$AN$9931,FCS!$G$11:$G$9931,AT40,FCS!$E$11:$E$9931,$AV$9),""))/(IFERROR(AVERAGEIFS(FCS!$AN$11:$AN$9931,FCS!$G$11:$G$9931,AT40,FCS!$E$11:$E$9931,$AV$9),"")),0))),""),2),"")</f>
        <v/>
      </c>
    </row>
    <row r="41" spans="2:48" s="7" customFormat="1" ht="20.25" customHeight="1" x14ac:dyDescent="0.25">
      <c r="B41" s="109"/>
      <c r="C41" s="193"/>
      <c r="D41" s="110"/>
      <c r="E41" s="110"/>
      <c r="F41" s="191"/>
      <c r="G41" s="124"/>
      <c r="H41" s="111"/>
      <c r="I41" s="112"/>
      <c r="J41" s="113"/>
      <c r="K41" s="69"/>
      <c r="L41" s="70"/>
      <c r="M41" s="194"/>
      <c r="N41" s="182"/>
      <c r="O41" s="110"/>
      <c r="P41" s="115"/>
      <c r="Q41" s="116"/>
      <c r="R41" s="117"/>
      <c r="S41" s="117"/>
      <c r="T41" s="117"/>
      <c r="U41" s="117"/>
      <c r="V41" s="110"/>
      <c r="W41" s="190"/>
      <c r="X41" s="114"/>
      <c r="Y41" s="208"/>
      <c r="Z41" s="110"/>
      <c r="AA41" s="115"/>
      <c r="AB41" s="115"/>
      <c r="AC41" s="115"/>
      <c r="AD41" s="199"/>
      <c r="AE41" s="196"/>
      <c r="AF41" s="197"/>
      <c r="AG41" s="200"/>
      <c r="AH41" s="201"/>
      <c r="AI41" s="202"/>
      <c r="AJ41" s="198"/>
      <c r="AK41" s="203"/>
      <c r="AL41" s="198"/>
      <c r="AM41" s="197"/>
      <c r="AN41" s="204"/>
      <c r="AO41" s="205"/>
      <c r="AP41" s="206"/>
      <c r="AQ41" s="207"/>
      <c r="AR41" s="130"/>
    </row>
    <row r="42" spans="2:48" s="7" customFormat="1" ht="20.25" customHeight="1" x14ac:dyDescent="0.25">
      <c r="B42" s="109"/>
      <c r="C42" s="193"/>
      <c r="D42" s="110"/>
      <c r="E42" s="110"/>
      <c r="F42" s="191"/>
      <c r="G42" s="124"/>
      <c r="H42" s="111"/>
      <c r="I42" s="112"/>
      <c r="J42" s="113"/>
      <c r="K42" s="69"/>
      <c r="L42" s="70"/>
      <c r="M42" s="194"/>
      <c r="N42" s="182"/>
      <c r="O42" s="110"/>
      <c r="P42" s="115"/>
      <c r="Q42" s="116"/>
      <c r="R42" s="117"/>
      <c r="S42" s="117"/>
      <c r="T42" s="117"/>
      <c r="U42" s="117"/>
      <c r="V42" s="110"/>
      <c r="W42" s="190"/>
      <c r="X42" s="114"/>
      <c r="Y42" s="208"/>
      <c r="Z42" s="110"/>
      <c r="AA42" s="115"/>
      <c r="AB42" s="115"/>
      <c r="AC42" s="115"/>
      <c r="AD42" s="118"/>
      <c r="AE42" s="119"/>
      <c r="AF42" s="116"/>
      <c r="AG42" s="179"/>
      <c r="AH42" s="120"/>
      <c r="AI42" s="121"/>
      <c r="AJ42" s="113"/>
      <c r="AK42" s="125"/>
      <c r="AL42" s="115"/>
      <c r="AM42" s="116"/>
      <c r="AN42" s="195"/>
      <c r="AO42" s="122"/>
      <c r="AP42" s="123"/>
      <c r="AQ42" s="96"/>
      <c r="AR42" s="130"/>
    </row>
    <row r="43" spans="2:48" s="7" customFormat="1" ht="20.25" customHeight="1" x14ac:dyDescent="0.25">
      <c r="B43" s="109"/>
      <c r="C43" s="193"/>
      <c r="D43" s="110"/>
      <c r="E43" s="110"/>
      <c r="F43" s="191"/>
      <c r="G43" s="124"/>
      <c r="H43" s="111"/>
      <c r="I43" s="112"/>
      <c r="J43" s="113"/>
      <c r="K43" s="69"/>
      <c r="L43" s="70"/>
      <c r="M43" s="194"/>
      <c r="N43" s="182"/>
      <c r="O43" s="110"/>
      <c r="P43" s="115"/>
      <c r="Q43" s="116"/>
      <c r="R43" s="117"/>
      <c r="S43" s="117"/>
      <c r="T43" s="117"/>
      <c r="U43" s="117"/>
      <c r="V43" s="110"/>
      <c r="W43" s="190"/>
      <c r="X43" s="114"/>
      <c r="Y43" s="208"/>
      <c r="Z43" s="110"/>
      <c r="AA43" s="115"/>
      <c r="AB43" s="115"/>
      <c r="AC43" s="115"/>
      <c r="AD43" s="199"/>
      <c r="AE43" s="196"/>
      <c r="AF43" s="197"/>
      <c r="AG43" s="200"/>
      <c r="AH43" s="201"/>
      <c r="AI43" s="202"/>
      <c r="AJ43" s="198"/>
      <c r="AK43" s="203"/>
      <c r="AL43" s="198"/>
      <c r="AM43" s="197"/>
      <c r="AN43" s="204"/>
      <c r="AO43" s="205"/>
      <c r="AP43" s="206"/>
      <c r="AQ43" s="207"/>
      <c r="AR43" s="130"/>
    </row>
    <row r="44" spans="2:48" s="7" customFormat="1" ht="20.25" customHeight="1" x14ac:dyDescent="0.25">
      <c r="B44" s="109"/>
      <c r="C44" s="193"/>
      <c r="D44" s="110"/>
      <c r="E44" s="110"/>
      <c r="F44" s="191"/>
      <c r="G44" s="124"/>
      <c r="H44" s="111"/>
      <c r="I44" s="112"/>
      <c r="J44" s="113"/>
      <c r="K44" s="69"/>
      <c r="L44" s="70"/>
      <c r="M44" s="194"/>
      <c r="N44" s="182"/>
      <c r="O44" s="110"/>
      <c r="P44" s="115"/>
      <c r="Q44" s="116"/>
      <c r="R44" s="117"/>
      <c r="S44" s="117"/>
      <c r="T44" s="117"/>
      <c r="U44" s="117"/>
      <c r="V44" s="110"/>
      <c r="W44" s="190"/>
      <c r="X44" s="114"/>
      <c r="Y44" s="208"/>
      <c r="Z44" s="110"/>
      <c r="AA44" s="115"/>
      <c r="AB44" s="115"/>
      <c r="AC44" s="115"/>
      <c r="AD44" s="118"/>
      <c r="AE44" s="119"/>
      <c r="AF44" s="116"/>
      <c r="AG44" s="179"/>
      <c r="AH44" s="120"/>
      <c r="AI44" s="121"/>
      <c r="AJ44" s="113"/>
      <c r="AK44" s="125"/>
      <c r="AL44" s="115"/>
      <c r="AM44" s="116"/>
      <c r="AN44" s="195"/>
      <c r="AO44" s="122"/>
      <c r="AP44" s="123"/>
      <c r="AQ44" s="96"/>
      <c r="AR44" s="130"/>
    </row>
    <row r="45" spans="2:48" s="7" customFormat="1" ht="20.25" customHeight="1" x14ac:dyDescent="0.25">
      <c r="B45" s="109"/>
      <c r="C45" s="193"/>
      <c r="D45" s="110"/>
      <c r="E45" s="110"/>
      <c r="F45" s="191"/>
      <c r="G45" s="124"/>
      <c r="H45" s="111"/>
      <c r="I45" s="112"/>
      <c r="J45" s="113"/>
      <c r="K45" s="69"/>
      <c r="L45" s="70"/>
      <c r="M45" s="194"/>
      <c r="N45" s="182"/>
      <c r="O45" s="110"/>
      <c r="P45" s="115"/>
      <c r="Q45" s="116"/>
      <c r="R45" s="117"/>
      <c r="S45" s="117"/>
      <c r="T45" s="117"/>
      <c r="U45" s="117"/>
      <c r="V45" s="110"/>
      <c r="W45" s="190"/>
      <c r="X45" s="114"/>
      <c r="Y45" s="208"/>
      <c r="Z45" s="110"/>
      <c r="AA45" s="115"/>
      <c r="AB45" s="115"/>
      <c r="AC45" s="115"/>
      <c r="AD45" s="199"/>
      <c r="AE45" s="196"/>
      <c r="AF45" s="197"/>
      <c r="AG45" s="200"/>
      <c r="AH45" s="201"/>
      <c r="AI45" s="202"/>
      <c r="AJ45" s="198"/>
      <c r="AK45" s="203"/>
      <c r="AL45" s="198"/>
      <c r="AM45" s="197"/>
      <c r="AN45" s="204"/>
      <c r="AO45" s="205"/>
      <c r="AP45" s="206"/>
      <c r="AQ45" s="207"/>
      <c r="AR45" s="130"/>
    </row>
    <row r="46" spans="2:48" s="7" customFormat="1" ht="20.25" customHeight="1" x14ac:dyDescent="0.25">
      <c r="B46" s="109"/>
      <c r="C46" s="193"/>
      <c r="D46" s="110"/>
      <c r="E46" s="110"/>
      <c r="F46" s="191"/>
      <c r="G46" s="124"/>
      <c r="H46" s="111"/>
      <c r="I46" s="112"/>
      <c r="J46" s="113"/>
      <c r="K46" s="69"/>
      <c r="L46" s="70"/>
      <c r="M46" s="194"/>
      <c r="N46" s="182"/>
      <c r="O46" s="110"/>
      <c r="P46" s="115"/>
      <c r="Q46" s="116"/>
      <c r="R46" s="117"/>
      <c r="S46" s="117"/>
      <c r="T46" s="117"/>
      <c r="U46" s="117"/>
      <c r="V46" s="110"/>
      <c r="W46" s="190"/>
      <c r="X46" s="114"/>
      <c r="Y46" s="208"/>
      <c r="Z46" s="110"/>
      <c r="AA46" s="115"/>
      <c r="AB46" s="115"/>
      <c r="AC46" s="115"/>
      <c r="AD46" s="118"/>
      <c r="AE46" s="119"/>
      <c r="AF46" s="116"/>
      <c r="AG46" s="179"/>
      <c r="AH46" s="120"/>
      <c r="AI46" s="121"/>
      <c r="AJ46" s="113"/>
      <c r="AK46" s="125"/>
      <c r="AL46" s="115"/>
      <c r="AM46" s="116"/>
      <c r="AN46" s="195"/>
      <c r="AO46" s="122"/>
      <c r="AP46" s="123"/>
      <c r="AQ46" s="96"/>
      <c r="AR46" s="130"/>
    </row>
    <row r="47" spans="2:48" s="7" customFormat="1" ht="20.25" customHeight="1" x14ac:dyDescent="0.25">
      <c r="B47" s="109"/>
      <c r="C47" s="193"/>
      <c r="D47" s="110"/>
      <c r="E47" s="110"/>
      <c r="F47" s="191"/>
      <c r="G47" s="124"/>
      <c r="H47" s="111"/>
      <c r="I47" s="112"/>
      <c r="J47" s="113"/>
      <c r="K47" s="69"/>
      <c r="L47" s="70"/>
      <c r="M47" s="194"/>
      <c r="N47" s="182"/>
      <c r="O47" s="110"/>
      <c r="P47" s="115"/>
      <c r="Q47" s="116"/>
      <c r="R47" s="117"/>
      <c r="S47" s="117"/>
      <c r="T47" s="117"/>
      <c r="U47" s="117"/>
      <c r="V47" s="110"/>
      <c r="W47" s="190"/>
      <c r="X47" s="114"/>
      <c r="Y47" s="208"/>
      <c r="Z47" s="110"/>
      <c r="AA47" s="115"/>
      <c r="AB47" s="115"/>
      <c r="AC47" s="115"/>
      <c r="AD47" s="118"/>
      <c r="AE47" s="119"/>
      <c r="AF47" s="116"/>
      <c r="AG47" s="179"/>
      <c r="AH47" s="120"/>
      <c r="AI47" s="121"/>
      <c r="AJ47" s="113"/>
      <c r="AK47" s="125"/>
      <c r="AL47" s="115"/>
      <c r="AM47" s="116"/>
      <c r="AN47" s="195"/>
      <c r="AO47" s="122"/>
      <c r="AP47" s="123"/>
      <c r="AQ47" s="96"/>
      <c r="AR47" s="130"/>
    </row>
    <row r="48" spans="2:48" s="7" customFormat="1" ht="20.25" customHeight="1" x14ac:dyDescent="0.25">
      <c r="B48" s="109"/>
      <c r="C48" s="193"/>
      <c r="D48" s="110"/>
      <c r="E48" s="110"/>
      <c r="F48" s="191"/>
      <c r="G48" s="124"/>
      <c r="H48" s="111"/>
      <c r="I48" s="112"/>
      <c r="J48" s="113"/>
      <c r="K48" s="69"/>
      <c r="L48" s="70"/>
      <c r="M48" s="194"/>
      <c r="N48" s="182"/>
      <c r="O48" s="110"/>
      <c r="P48" s="115"/>
      <c r="Q48" s="116"/>
      <c r="R48" s="117"/>
      <c r="S48" s="117"/>
      <c r="T48" s="117"/>
      <c r="U48" s="117"/>
      <c r="V48" s="110"/>
      <c r="W48" s="190"/>
      <c r="X48" s="114"/>
      <c r="Y48" s="208"/>
      <c r="Z48" s="110"/>
      <c r="AA48" s="115"/>
      <c r="AB48" s="115"/>
      <c r="AC48" s="115"/>
      <c r="AD48" s="118"/>
      <c r="AE48" s="119"/>
      <c r="AF48" s="116"/>
      <c r="AG48" s="179"/>
      <c r="AH48" s="120"/>
      <c r="AI48" s="121"/>
      <c r="AJ48" s="113"/>
      <c r="AK48" s="125"/>
      <c r="AL48" s="115"/>
      <c r="AM48" s="116"/>
      <c r="AN48" s="195"/>
      <c r="AO48" s="122"/>
      <c r="AP48" s="123"/>
      <c r="AQ48" s="96"/>
      <c r="AR48" s="130"/>
    </row>
    <row r="49" spans="2:44" s="7" customFormat="1" ht="20.25" customHeight="1" x14ac:dyDescent="0.25">
      <c r="B49" s="109"/>
      <c r="C49" s="193"/>
      <c r="D49" s="110"/>
      <c r="E49" s="110"/>
      <c r="F49" s="191"/>
      <c r="G49" s="124"/>
      <c r="H49" s="111"/>
      <c r="I49" s="112"/>
      <c r="J49" s="113"/>
      <c r="K49" s="69"/>
      <c r="L49" s="70"/>
      <c r="M49" s="194"/>
      <c r="N49" s="182"/>
      <c r="O49" s="110"/>
      <c r="P49" s="115"/>
      <c r="Q49" s="116"/>
      <c r="R49" s="117"/>
      <c r="S49" s="117"/>
      <c r="T49" s="117"/>
      <c r="U49" s="117"/>
      <c r="V49" s="110"/>
      <c r="W49" s="190"/>
      <c r="X49" s="114"/>
      <c r="Y49" s="208"/>
      <c r="Z49" s="110"/>
      <c r="AA49" s="115"/>
      <c r="AB49" s="115"/>
      <c r="AC49" s="115"/>
      <c r="AD49" s="199"/>
      <c r="AE49" s="196"/>
      <c r="AF49" s="197"/>
      <c r="AG49" s="200"/>
      <c r="AH49" s="201"/>
      <c r="AI49" s="202"/>
      <c r="AJ49" s="198"/>
      <c r="AK49" s="203"/>
      <c r="AL49" s="198"/>
      <c r="AM49" s="197"/>
      <c r="AN49" s="204"/>
      <c r="AO49" s="205"/>
      <c r="AP49" s="206"/>
      <c r="AQ49" s="207"/>
      <c r="AR49" s="130"/>
    </row>
    <row r="50" spans="2:44" s="7" customFormat="1" ht="20.25" customHeight="1" x14ac:dyDescent="0.25">
      <c r="B50" s="109"/>
      <c r="C50" s="193"/>
      <c r="D50" s="110"/>
      <c r="E50" s="110"/>
      <c r="F50" s="191"/>
      <c r="G50" s="124"/>
      <c r="H50" s="111"/>
      <c r="I50" s="112"/>
      <c r="J50" s="113"/>
      <c r="K50" s="69"/>
      <c r="L50" s="70"/>
      <c r="M50" s="194"/>
      <c r="N50" s="182"/>
      <c r="O50" s="110"/>
      <c r="P50" s="115"/>
      <c r="Q50" s="116"/>
      <c r="R50" s="117"/>
      <c r="S50" s="117"/>
      <c r="T50" s="117"/>
      <c r="U50" s="117"/>
      <c r="V50" s="110"/>
      <c r="W50" s="190"/>
      <c r="X50" s="114"/>
      <c r="Y50" s="208"/>
      <c r="Z50" s="110"/>
      <c r="AA50" s="115"/>
      <c r="AB50" s="115"/>
      <c r="AC50" s="115"/>
      <c r="AD50" s="118"/>
      <c r="AE50" s="119"/>
      <c r="AF50" s="116"/>
      <c r="AG50" s="179"/>
      <c r="AH50" s="120"/>
      <c r="AI50" s="121"/>
      <c r="AJ50" s="113"/>
      <c r="AK50" s="125"/>
      <c r="AL50" s="115"/>
      <c r="AM50" s="116"/>
      <c r="AN50" s="195"/>
      <c r="AO50" s="122"/>
      <c r="AP50" s="123"/>
      <c r="AQ50" s="96"/>
      <c r="AR50" s="130"/>
    </row>
    <row r="51" spans="2:44" s="7" customFormat="1" ht="20.25" customHeight="1" x14ac:dyDescent="0.25">
      <c r="B51" s="109"/>
      <c r="C51" s="193"/>
      <c r="D51" s="110"/>
      <c r="E51" s="110"/>
      <c r="F51" s="191"/>
      <c r="G51" s="124"/>
      <c r="H51" s="111"/>
      <c r="I51" s="112"/>
      <c r="J51" s="113"/>
      <c r="K51" s="69"/>
      <c r="L51" s="70"/>
      <c r="M51" s="194"/>
      <c r="N51" s="182"/>
      <c r="O51" s="110"/>
      <c r="P51" s="115"/>
      <c r="Q51" s="116"/>
      <c r="R51" s="117"/>
      <c r="S51" s="117"/>
      <c r="T51" s="117"/>
      <c r="U51" s="117"/>
      <c r="V51" s="110"/>
      <c r="W51" s="190"/>
      <c r="X51" s="114"/>
      <c r="Y51" s="208"/>
      <c r="Z51" s="110"/>
      <c r="AA51" s="115"/>
      <c r="AB51" s="115"/>
      <c r="AC51" s="115"/>
      <c r="AD51" s="199"/>
      <c r="AE51" s="196"/>
      <c r="AF51" s="197"/>
      <c r="AG51" s="200"/>
      <c r="AH51" s="201"/>
      <c r="AI51" s="202"/>
      <c r="AJ51" s="198"/>
      <c r="AK51" s="203"/>
      <c r="AL51" s="198"/>
      <c r="AM51" s="197"/>
      <c r="AN51" s="204"/>
      <c r="AO51" s="205"/>
      <c r="AP51" s="206"/>
      <c r="AQ51" s="207"/>
      <c r="AR51" s="130"/>
    </row>
    <row r="52" spans="2:44" s="7" customFormat="1" ht="20.25" customHeight="1" x14ac:dyDescent="0.25">
      <c r="B52" s="109"/>
      <c r="C52" s="193"/>
      <c r="D52" s="110"/>
      <c r="E52" s="110"/>
      <c r="F52" s="191"/>
      <c r="G52" s="124"/>
      <c r="H52" s="111"/>
      <c r="I52" s="112"/>
      <c r="J52" s="113"/>
      <c r="K52" s="69"/>
      <c r="L52" s="70"/>
      <c r="M52" s="194"/>
      <c r="N52" s="182"/>
      <c r="O52" s="110"/>
      <c r="P52" s="115"/>
      <c r="Q52" s="116"/>
      <c r="R52" s="117"/>
      <c r="S52" s="117"/>
      <c r="T52" s="117"/>
      <c r="U52" s="117"/>
      <c r="V52" s="110"/>
      <c r="W52" s="190"/>
      <c r="X52" s="114"/>
      <c r="Y52" s="208"/>
      <c r="Z52" s="110"/>
      <c r="AA52" s="115"/>
      <c r="AB52" s="115"/>
      <c r="AC52" s="115"/>
      <c r="AD52" s="118"/>
      <c r="AE52" s="119"/>
      <c r="AF52" s="116"/>
      <c r="AG52" s="179"/>
      <c r="AH52" s="120"/>
      <c r="AI52" s="121"/>
      <c r="AJ52" s="113"/>
      <c r="AK52" s="125"/>
      <c r="AL52" s="115"/>
      <c r="AM52" s="116"/>
      <c r="AN52" s="195"/>
      <c r="AO52" s="122"/>
      <c r="AP52" s="123"/>
      <c r="AQ52" s="96"/>
      <c r="AR52" s="130"/>
    </row>
    <row r="53" spans="2:44" s="7" customFormat="1" ht="20.25" customHeight="1" x14ac:dyDescent="0.25">
      <c r="B53" s="109"/>
      <c r="C53" s="193"/>
      <c r="D53" s="110"/>
      <c r="E53" s="110"/>
      <c r="F53" s="191"/>
      <c r="G53" s="124"/>
      <c r="H53" s="111"/>
      <c r="I53" s="112"/>
      <c r="J53" s="113"/>
      <c r="K53" s="69"/>
      <c r="L53" s="70"/>
      <c r="M53" s="194"/>
      <c r="N53" s="182"/>
      <c r="O53" s="110"/>
      <c r="P53" s="115"/>
      <c r="Q53" s="116"/>
      <c r="R53" s="117"/>
      <c r="S53" s="117"/>
      <c r="T53" s="117"/>
      <c r="U53" s="117"/>
      <c r="V53" s="110"/>
      <c r="W53" s="190"/>
      <c r="X53" s="114"/>
      <c r="Y53" s="208"/>
      <c r="Z53" s="110"/>
      <c r="AA53" s="115"/>
      <c r="AB53" s="115"/>
      <c r="AC53" s="115"/>
      <c r="AD53" s="199"/>
      <c r="AE53" s="196"/>
      <c r="AF53" s="197"/>
      <c r="AG53" s="200"/>
      <c r="AH53" s="201"/>
      <c r="AI53" s="202"/>
      <c r="AJ53" s="198"/>
      <c r="AK53" s="203"/>
      <c r="AL53" s="198"/>
      <c r="AM53" s="197"/>
      <c r="AN53" s="204"/>
      <c r="AO53" s="205"/>
      <c r="AP53" s="206"/>
      <c r="AQ53" s="207"/>
      <c r="AR53" s="130"/>
    </row>
    <row r="54" spans="2:44" s="7" customFormat="1" ht="20.25" customHeight="1" x14ac:dyDescent="0.25">
      <c r="B54" s="109"/>
      <c r="C54" s="193"/>
      <c r="D54" s="110"/>
      <c r="E54" s="110"/>
      <c r="F54" s="191"/>
      <c r="G54" s="124"/>
      <c r="H54" s="111"/>
      <c r="I54" s="112"/>
      <c r="J54" s="113"/>
      <c r="K54" s="69"/>
      <c r="L54" s="70"/>
      <c r="M54" s="194"/>
      <c r="N54" s="182"/>
      <c r="O54" s="110"/>
      <c r="P54" s="115"/>
      <c r="Q54" s="116"/>
      <c r="R54" s="117"/>
      <c r="S54" s="117"/>
      <c r="T54" s="117"/>
      <c r="U54" s="117"/>
      <c r="V54" s="110"/>
      <c r="W54" s="190"/>
      <c r="X54" s="114"/>
      <c r="Y54" s="208"/>
      <c r="Z54" s="110"/>
      <c r="AA54" s="115"/>
      <c r="AB54" s="115"/>
      <c r="AC54" s="115"/>
      <c r="AD54" s="118"/>
      <c r="AE54" s="119"/>
      <c r="AF54" s="116"/>
      <c r="AG54" s="179"/>
      <c r="AH54" s="120"/>
      <c r="AI54" s="121"/>
      <c r="AJ54" s="113"/>
      <c r="AK54" s="125"/>
      <c r="AL54" s="115"/>
      <c r="AM54" s="116"/>
      <c r="AN54" s="195"/>
      <c r="AO54" s="122"/>
      <c r="AP54" s="123"/>
      <c r="AQ54" s="96"/>
      <c r="AR54" s="130"/>
    </row>
    <row r="55" spans="2:44" s="7" customFormat="1" ht="20.25" customHeight="1" x14ac:dyDescent="0.25">
      <c r="B55" s="109"/>
      <c r="C55" s="193"/>
      <c r="D55" s="110"/>
      <c r="E55" s="110"/>
      <c r="F55" s="191"/>
      <c r="G55" s="124"/>
      <c r="H55" s="111"/>
      <c r="I55" s="112"/>
      <c r="J55" s="113"/>
      <c r="K55" s="69"/>
      <c r="L55" s="70"/>
      <c r="M55" s="194"/>
      <c r="N55" s="182"/>
      <c r="O55" s="110"/>
      <c r="P55" s="115"/>
      <c r="Q55" s="116"/>
      <c r="R55" s="117"/>
      <c r="S55" s="117"/>
      <c r="T55" s="117"/>
      <c r="U55" s="117"/>
      <c r="V55" s="110"/>
      <c r="W55" s="190"/>
      <c r="X55" s="114"/>
      <c r="Y55" s="208"/>
      <c r="Z55" s="110"/>
      <c r="AA55" s="115"/>
      <c r="AB55" s="115"/>
      <c r="AC55" s="115"/>
      <c r="AD55" s="199"/>
      <c r="AE55" s="196"/>
      <c r="AF55" s="197"/>
      <c r="AG55" s="200"/>
      <c r="AH55" s="201"/>
      <c r="AI55" s="202"/>
      <c r="AJ55" s="198"/>
      <c r="AK55" s="203"/>
      <c r="AL55" s="198"/>
      <c r="AM55" s="197"/>
      <c r="AN55" s="204"/>
      <c r="AO55" s="205"/>
      <c r="AP55" s="206"/>
      <c r="AQ55" s="207"/>
      <c r="AR55" s="130"/>
    </row>
    <row r="56" spans="2:44" s="7" customFormat="1" ht="20.25" customHeight="1" x14ac:dyDescent="0.25">
      <c r="B56" s="109"/>
      <c r="C56" s="193"/>
      <c r="D56" s="110"/>
      <c r="E56" s="110"/>
      <c r="F56" s="191"/>
      <c r="G56" s="124"/>
      <c r="H56" s="111"/>
      <c r="I56" s="112"/>
      <c r="J56" s="113"/>
      <c r="K56" s="69"/>
      <c r="L56" s="70"/>
      <c r="M56" s="194"/>
      <c r="N56" s="182"/>
      <c r="O56" s="110"/>
      <c r="P56" s="115"/>
      <c r="Q56" s="116"/>
      <c r="R56" s="117"/>
      <c r="S56" s="117"/>
      <c r="T56" s="117"/>
      <c r="U56" s="117"/>
      <c r="V56" s="110"/>
      <c r="W56" s="190"/>
      <c r="X56" s="114"/>
      <c r="Y56" s="208"/>
      <c r="Z56" s="110"/>
      <c r="AA56" s="115"/>
      <c r="AB56" s="115"/>
      <c r="AC56" s="115"/>
      <c r="AD56" s="118"/>
      <c r="AE56" s="119"/>
      <c r="AF56" s="116"/>
      <c r="AG56" s="179"/>
      <c r="AH56" s="120"/>
      <c r="AI56" s="121"/>
      <c r="AJ56" s="113"/>
      <c r="AK56" s="125"/>
      <c r="AL56" s="115"/>
      <c r="AM56" s="116"/>
      <c r="AN56" s="195"/>
      <c r="AO56" s="122"/>
      <c r="AP56" s="123"/>
      <c r="AQ56" s="96"/>
      <c r="AR56" s="130"/>
    </row>
    <row r="57" spans="2:44" s="7" customFormat="1" ht="20.25" customHeight="1" x14ac:dyDescent="0.25">
      <c r="B57" s="109"/>
      <c r="C57" s="193"/>
      <c r="D57" s="110"/>
      <c r="E57" s="110"/>
      <c r="F57" s="191"/>
      <c r="G57" s="124"/>
      <c r="H57" s="111"/>
      <c r="I57" s="112"/>
      <c r="J57" s="113"/>
      <c r="K57" s="69"/>
      <c r="L57" s="70"/>
      <c r="M57" s="194"/>
      <c r="N57" s="182"/>
      <c r="O57" s="110"/>
      <c r="P57" s="115"/>
      <c r="Q57" s="116"/>
      <c r="R57" s="117"/>
      <c r="S57" s="117"/>
      <c r="T57" s="117"/>
      <c r="U57" s="117"/>
      <c r="V57" s="110"/>
      <c r="W57" s="190"/>
      <c r="X57" s="114"/>
      <c r="Y57" s="208"/>
      <c r="Z57" s="110"/>
      <c r="AA57" s="115"/>
      <c r="AB57" s="115"/>
      <c r="AC57" s="115"/>
      <c r="AD57" s="199"/>
      <c r="AE57" s="196"/>
      <c r="AF57" s="197"/>
      <c r="AG57" s="200"/>
      <c r="AH57" s="201"/>
      <c r="AI57" s="202"/>
      <c r="AJ57" s="198"/>
      <c r="AK57" s="203"/>
      <c r="AL57" s="198"/>
      <c r="AM57" s="197"/>
      <c r="AN57" s="204"/>
      <c r="AO57" s="205"/>
      <c r="AP57" s="206"/>
      <c r="AQ57" s="207"/>
      <c r="AR57" s="130"/>
    </row>
    <row r="58" spans="2:44" s="7" customFormat="1" ht="20.25" customHeight="1" x14ac:dyDescent="0.25">
      <c r="B58" s="109"/>
      <c r="C58" s="193"/>
      <c r="D58" s="110"/>
      <c r="E58" s="110"/>
      <c r="F58" s="191"/>
      <c r="G58" s="124"/>
      <c r="H58" s="111"/>
      <c r="I58" s="112"/>
      <c r="J58" s="113"/>
      <c r="K58" s="69"/>
      <c r="L58" s="70"/>
      <c r="M58" s="194"/>
      <c r="N58" s="182"/>
      <c r="O58" s="110"/>
      <c r="P58" s="115"/>
      <c r="Q58" s="116"/>
      <c r="R58" s="117"/>
      <c r="S58" s="117"/>
      <c r="T58" s="117"/>
      <c r="U58" s="117"/>
      <c r="V58" s="110"/>
      <c r="W58" s="190"/>
      <c r="X58" s="114"/>
      <c r="Y58" s="208"/>
      <c r="Z58" s="110"/>
      <c r="AA58" s="115"/>
      <c r="AB58" s="115"/>
      <c r="AC58" s="115"/>
      <c r="AD58" s="199"/>
      <c r="AE58" s="196"/>
      <c r="AF58" s="197"/>
      <c r="AG58" s="200"/>
      <c r="AH58" s="201"/>
      <c r="AI58" s="202"/>
      <c r="AJ58" s="198"/>
      <c r="AK58" s="203"/>
      <c r="AL58" s="198"/>
      <c r="AM58" s="197"/>
      <c r="AN58" s="204"/>
      <c r="AO58" s="205"/>
      <c r="AP58" s="206"/>
      <c r="AQ58" s="207"/>
      <c r="AR58" s="130"/>
    </row>
    <row r="59" spans="2:44" s="7" customFormat="1" ht="20.25" customHeight="1" x14ac:dyDescent="0.25">
      <c r="B59" s="109"/>
      <c r="C59" s="193"/>
      <c r="D59" s="110"/>
      <c r="E59" s="110"/>
      <c r="F59" s="191"/>
      <c r="G59" s="124"/>
      <c r="H59" s="111"/>
      <c r="I59" s="112"/>
      <c r="J59" s="113"/>
      <c r="K59" s="69"/>
      <c r="L59" s="70"/>
      <c r="M59" s="194"/>
      <c r="N59" s="182"/>
      <c r="O59" s="110"/>
      <c r="P59" s="115"/>
      <c r="Q59" s="116"/>
      <c r="R59" s="117"/>
      <c r="S59" s="117"/>
      <c r="T59" s="117"/>
      <c r="U59" s="117"/>
      <c r="V59" s="110"/>
      <c r="W59" s="190"/>
      <c r="X59" s="114"/>
      <c r="Y59" s="208"/>
      <c r="Z59" s="110"/>
      <c r="AA59" s="115"/>
      <c r="AB59" s="115"/>
      <c r="AC59" s="115"/>
      <c r="AD59" s="199"/>
      <c r="AE59" s="196"/>
      <c r="AF59" s="197"/>
      <c r="AG59" s="200"/>
      <c r="AH59" s="201"/>
      <c r="AI59" s="202"/>
      <c r="AJ59" s="198"/>
      <c r="AK59" s="203"/>
      <c r="AL59" s="198"/>
      <c r="AM59" s="197"/>
      <c r="AN59" s="204"/>
      <c r="AO59" s="205"/>
      <c r="AP59" s="206"/>
      <c r="AQ59" s="207"/>
      <c r="AR59" s="130"/>
    </row>
    <row r="60" spans="2:44" s="7" customFormat="1" ht="20.25" customHeight="1" x14ac:dyDescent="0.25">
      <c r="B60" s="109"/>
      <c r="C60" s="193"/>
      <c r="D60" s="110"/>
      <c r="E60" s="110"/>
      <c r="F60" s="191"/>
      <c r="G60" s="124"/>
      <c r="H60" s="111"/>
      <c r="I60" s="112"/>
      <c r="J60" s="113"/>
      <c r="K60" s="69"/>
      <c r="L60" s="70"/>
      <c r="M60" s="194"/>
      <c r="N60" s="182"/>
      <c r="O60" s="110"/>
      <c r="P60" s="115"/>
      <c r="Q60" s="116"/>
      <c r="R60" s="117"/>
      <c r="S60" s="117"/>
      <c r="T60" s="117"/>
      <c r="U60" s="117"/>
      <c r="V60" s="110"/>
      <c r="W60" s="190"/>
      <c r="X60" s="114"/>
      <c r="Y60" s="208"/>
      <c r="Z60" s="110"/>
      <c r="AA60" s="115"/>
      <c r="AB60" s="115"/>
      <c r="AC60" s="115"/>
      <c r="AD60" s="118"/>
      <c r="AE60" s="119"/>
      <c r="AF60" s="116"/>
      <c r="AG60" s="179"/>
      <c r="AH60" s="120"/>
      <c r="AI60" s="121"/>
      <c r="AJ60" s="113"/>
      <c r="AK60" s="125"/>
      <c r="AL60" s="115"/>
      <c r="AM60" s="116"/>
      <c r="AN60" s="195"/>
      <c r="AO60" s="122"/>
      <c r="AP60" s="123"/>
      <c r="AQ60" s="96"/>
      <c r="AR60" s="130"/>
    </row>
    <row r="61" spans="2:44" s="7" customFormat="1" ht="20.25" customHeight="1" x14ac:dyDescent="0.25">
      <c r="B61" s="109"/>
      <c r="C61" s="193"/>
      <c r="D61" s="110"/>
      <c r="E61" s="110"/>
      <c r="F61" s="191"/>
      <c r="G61" s="124"/>
      <c r="H61" s="111"/>
      <c r="I61" s="112"/>
      <c r="J61" s="113"/>
      <c r="K61" s="69"/>
      <c r="L61" s="70"/>
      <c r="M61" s="194"/>
      <c r="N61" s="182"/>
      <c r="O61" s="110"/>
      <c r="P61" s="115"/>
      <c r="Q61" s="116"/>
      <c r="R61" s="117"/>
      <c r="S61" s="117"/>
      <c r="T61" s="117"/>
      <c r="U61" s="117"/>
      <c r="V61" s="110"/>
      <c r="W61" s="190"/>
      <c r="X61" s="114"/>
      <c r="Y61" s="208"/>
      <c r="Z61" s="110"/>
      <c r="AA61" s="115"/>
      <c r="AB61" s="115"/>
      <c r="AC61" s="115"/>
      <c r="AD61" s="199"/>
      <c r="AE61" s="196"/>
      <c r="AF61" s="197"/>
      <c r="AG61" s="200"/>
      <c r="AH61" s="201"/>
      <c r="AI61" s="202"/>
      <c r="AJ61" s="198"/>
      <c r="AK61" s="203"/>
      <c r="AL61" s="198"/>
      <c r="AM61" s="197"/>
      <c r="AN61" s="204"/>
      <c r="AO61" s="205"/>
      <c r="AP61" s="206"/>
      <c r="AQ61" s="207"/>
      <c r="AR61" s="130"/>
    </row>
    <row r="62" spans="2:44" s="7" customFormat="1" ht="20.25" customHeight="1" x14ac:dyDescent="0.25">
      <c r="B62" s="109"/>
      <c r="C62" s="193"/>
      <c r="D62" s="110"/>
      <c r="E62" s="110"/>
      <c r="F62" s="191"/>
      <c r="G62" s="124"/>
      <c r="H62" s="111"/>
      <c r="I62" s="112"/>
      <c r="J62" s="113"/>
      <c r="K62" s="69"/>
      <c r="L62" s="70"/>
      <c r="M62" s="194"/>
      <c r="N62" s="182"/>
      <c r="O62" s="110"/>
      <c r="P62" s="115"/>
      <c r="Q62" s="116"/>
      <c r="R62" s="117"/>
      <c r="S62" s="117"/>
      <c r="T62" s="117"/>
      <c r="U62" s="117"/>
      <c r="V62" s="110"/>
      <c r="W62" s="190"/>
      <c r="X62" s="114"/>
      <c r="Y62" s="208"/>
      <c r="Z62" s="110"/>
      <c r="AA62" s="115"/>
      <c r="AB62" s="115"/>
      <c r="AC62" s="115"/>
      <c r="AD62" s="118"/>
      <c r="AE62" s="119"/>
      <c r="AF62" s="116"/>
      <c r="AG62" s="179"/>
      <c r="AH62" s="120"/>
      <c r="AI62" s="121"/>
      <c r="AJ62" s="113"/>
      <c r="AK62" s="125"/>
      <c r="AL62" s="115"/>
      <c r="AM62" s="116"/>
      <c r="AN62" s="195"/>
      <c r="AO62" s="122"/>
      <c r="AP62" s="123"/>
      <c r="AQ62" s="96"/>
      <c r="AR62" s="130"/>
    </row>
    <row r="63" spans="2:44" s="7" customFormat="1" ht="20.25" customHeight="1" x14ac:dyDescent="0.25">
      <c r="B63" s="109"/>
      <c r="C63" s="193"/>
      <c r="D63" s="110"/>
      <c r="E63" s="110"/>
      <c r="F63" s="191"/>
      <c r="G63" s="124"/>
      <c r="H63" s="111"/>
      <c r="I63" s="112"/>
      <c r="J63" s="113"/>
      <c r="K63" s="69"/>
      <c r="L63" s="70"/>
      <c r="M63" s="194"/>
      <c r="N63" s="182"/>
      <c r="O63" s="110"/>
      <c r="P63" s="115"/>
      <c r="Q63" s="116"/>
      <c r="R63" s="117"/>
      <c r="S63" s="117"/>
      <c r="T63" s="117"/>
      <c r="U63" s="117"/>
      <c r="V63" s="110"/>
      <c r="W63" s="190"/>
      <c r="X63" s="114"/>
      <c r="Y63" s="208"/>
      <c r="Z63" s="110"/>
      <c r="AA63" s="115"/>
      <c r="AB63" s="115"/>
      <c r="AC63" s="115"/>
      <c r="AD63" s="199"/>
      <c r="AE63" s="196"/>
      <c r="AF63" s="197"/>
      <c r="AG63" s="200"/>
      <c r="AH63" s="201"/>
      <c r="AI63" s="202"/>
      <c r="AJ63" s="198"/>
      <c r="AK63" s="203"/>
      <c r="AL63" s="198"/>
      <c r="AM63" s="197"/>
      <c r="AN63" s="204"/>
      <c r="AO63" s="205"/>
      <c r="AP63" s="206"/>
      <c r="AQ63" s="207"/>
      <c r="AR63" s="130"/>
    </row>
    <row r="64" spans="2:44" s="7" customFormat="1" ht="20.25" customHeight="1" x14ac:dyDescent="0.25">
      <c r="B64" s="109"/>
      <c r="C64" s="193"/>
      <c r="D64" s="110"/>
      <c r="E64" s="110"/>
      <c r="F64" s="191"/>
      <c r="G64" s="124"/>
      <c r="H64" s="111"/>
      <c r="I64" s="112"/>
      <c r="J64" s="113"/>
      <c r="K64" s="69"/>
      <c r="L64" s="70"/>
      <c r="M64" s="194"/>
      <c r="N64" s="182"/>
      <c r="O64" s="110"/>
      <c r="P64" s="115"/>
      <c r="Q64" s="116"/>
      <c r="R64" s="117"/>
      <c r="S64" s="117"/>
      <c r="T64" s="117"/>
      <c r="U64" s="117"/>
      <c r="V64" s="110"/>
      <c r="W64" s="190"/>
      <c r="X64" s="114"/>
      <c r="Y64" s="208"/>
      <c r="Z64" s="110"/>
      <c r="AA64" s="115"/>
      <c r="AB64" s="115"/>
      <c r="AC64" s="115"/>
      <c r="AD64" s="118"/>
      <c r="AE64" s="119"/>
      <c r="AF64" s="116"/>
      <c r="AG64" s="179"/>
      <c r="AH64" s="120"/>
      <c r="AI64" s="121"/>
      <c r="AJ64" s="113"/>
      <c r="AK64" s="125"/>
      <c r="AL64" s="115"/>
      <c r="AM64" s="116"/>
      <c r="AN64" s="195"/>
      <c r="AO64" s="122"/>
      <c r="AP64" s="123"/>
      <c r="AQ64" s="96"/>
      <c r="AR64" s="130"/>
    </row>
    <row r="65" spans="2:44" s="7" customFormat="1" ht="20.25" customHeight="1" x14ac:dyDescent="0.25">
      <c r="B65" s="109"/>
      <c r="C65" s="193"/>
      <c r="D65" s="110"/>
      <c r="E65" s="110"/>
      <c r="F65" s="191"/>
      <c r="G65" s="124"/>
      <c r="H65" s="111"/>
      <c r="I65" s="112"/>
      <c r="J65" s="113"/>
      <c r="K65" s="69"/>
      <c r="L65" s="70"/>
      <c r="M65" s="194"/>
      <c r="N65" s="182"/>
      <c r="O65" s="110"/>
      <c r="P65" s="115"/>
      <c r="Q65" s="116"/>
      <c r="R65" s="117"/>
      <c r="S65" s="117"/>
      <c r="T65" s="117"/>
      <c r="U65" s="117"/>
      <c r="V65" s="110"/>
      <c r="W65" s="190"/>
      <c r="X65" s="114"/>
      <c r="Y65" s="208"/>
      <c r="Z65" s="110"/>
      <c r="AA65" s="115"/>
      <c r="AB65" s="115"/>
      <c r="AC65" s="115"/>
      <c r="AD65" s="199"/>
      <c r="AE65" s="196"/>
      <c r="AF65" s="197"/>
      <c r="AG65" s="200"/>
      <c r="AH65" s="201"/>
      <c r="AI65" s="202"/>
      <c r="AJ65" s="198"/>
      <c r="AK65" s="203"/>
      <c r="AL65" s="198"/>
      <c r="AM65" s="197"/>
      <c r="AN65" s="204"/>
      <c r="AO65" s="205"/>
      <c r="AP65" s="206"/>
      <c r="AQ65" s="207"/>
      <c r="AR65" s="130"/>
    </row>
    <row r="66" spans="2:44" s="7" customFormat="1" ht="20.25" customHeight="1" x14ac:dyDescent="0.25">
      <c r="B66" s="109"/>
      <c r="C66" s="193"/>
      <c r="D66" s="110"/>
      <c r="E66" s="110"/>
      <c r="F66" s="191"/>
      <c r="G66" s="124"/>
      <c r="H66" s="111"/>
      <c r="I66" s="112"/>
      <c r="J66" s="113"/>
      <c r="K66" s="69"/>
      <c r="L66" s="70"/>
      <c r="M66" s="194"/>
      <c r="N66" s="182"/>
      <c r="O66" s="110"/>
      <c r="P66" s="115"/>
      <c r="Q66" s="116"/>
      <c r="R66" s="117"/>
      <c r="S66" s="117"/>
      <c r="T66" s="117"/>
      <c r="U66" s="117"/>
      <c r="V66" s="110"/>
      <c r="W66" s="190"/>
      <c r="X66" s="114"/>
      <c r="Y66" s="208"/>
      <c r="Z66" s="110"/>
      <c r="AA66" s="115"/>
      <c r="AB66" s="115"/>
      <c r="AC66" s="115"/>
      <c r="AD66" s="118"/>
      <c r="AE66" s="119"/>
      <c r="AF66" s="116"/>
      <c r="AG66" s="179"/>
      <c r="AH66" s="120"/>
      <c r="AI66" s="121"/>
      <c r="AJ66" s="113"/>
      <c r="AK66" s="125"/>
      <c r="AL66" s="115"/>
      <c r="AM66" s="116"/>
      <c r="AN66" s="195"/>
      <c r="AO66" s="122"/>
      <c r="AP66" s="123"/>
      <c r="AQ66" s="96"/>
      <c r="AR66" s="130"/>
    </row>
    <row r="67" spans="2:44" s="7" customFormat="1" ht="20.25" customHeight="1" x14ac:dyDescent="0.25">
      <c r="B67" s="109"/>
      <c r="C67" s="193"/>
      <c r="D67" s="110"/>
      <c r="E67" s="110"/>
      <c r="F67" s="191"/>
      <c r="G67" s="124"/>
      <c r="H67" s="111"/>
      <c r="I67" s="112"/>
      <c r="J67" s="113"/>
      <c r="K67" s="69"/>
      <c r="L67" s="70"/>
      <c r="M67" s="194"/>
      <c r="N67" s="182"/>
      <c r="O67" s="110"/>
      <c r="P67" s="115"/>
      <c r="Q67" s="116"/>
      <c r="R67" s="117"/>
      <c r="S67" s="117"/>
      <c r="T67" s="117"/>
      <c r="U67" s="117"/>
      <c r="V67" s="110"/>
      <c r="W67" s="190"/>
      <c r="X67" s="114"/>
      <c r="Y67" s="208"/>
      <c r="Z67" s="110"/>
      <c r="AA67" s="115"/>
      <c r="AB67" s="115"/>
      <c r="AC67" s="115"/>
      <c r="AD67" s="199"/>
      <c r="AE67" s="196"/>
      <c r="AF67" s="197"/>
      <c r="AG67" s="200"/>
      <c r="AH67" s="201"/>
      <c r="AI67" s="202"/>
      <c r="AJ67" s="198"/>
      <c r="AK67" s="203"/>
      <c r="AL67" s="198"/>
      <c r="AM67" s="197"/>
      <c r="AN67" s="204"/>
      <c r="AO67" s="205"/>
      <c r="AP67" s="206"/>
      <c r="AQ67" s="207"/>
      <c r="AR67" s="130"/>
    </row>
    <row r="68" spans="2:44" s="7" customFormat="1" ht="20.25" customHeight="1" x14ac:dyDescent="0.25">
      <c r="B68" s="109"/>
      <c r="C68" s="193"/>
      <c r="D68" s="110"/>
      <c r="E68" s="110"/>
      <c r="F68" s="191"/>
      <c r="G68" s="124"/>
      <c r="H68" s="111"/>
      <c r="I68" s="112"/>
      <c r="J68" s="113"/>
      <c r="K68" s="69"/>
      <c r="L68" s="70"/>
      <c r="M68" s="194"/>
      <c r="N68" s="182"/>
      <c r="O68" s="110"/>
      <c r="P68" s="115"/>
      <c r="Q68" s="116"/>
      <c r="R68" s="117"/>
      <c r="S68" s="117"/>
      <c r="T68" s="117"/>
      <c r="U68" s="117"/>
      <c r="V68" s="110"/>
      <c r="W68" s="190"/>
      <c r="X68" s="114"/>
      <c r="Y68" s="208"/>
      <c r="Z68" s="110"/>
      <c r="AA68" s="115"/>
      <c r="AB68" s="115"/>
      <c r="AC68" s="115"/>
      <c r="AD68" s="118"/>
      <c r="AE68" s="119"/>
      <c r="AF68" s="116"/>
      <c r="AG68" s="179"/>
      <c r="AH68" s="120"/>
      <c r="AI68" s="121"/>
      <c r="AJ68" s="113"/>
      <c r="AK68" s="125"/>
      <c r="AL68" s="115"/>
      <c r="AM68" s="116"/>
      <c r="AN68" s="195"/>
      <c r="AO68" s="122"/>
      <c r="AP68" s="123"/>
      <c r="AQ68" s="96"/>
      <c r="AR68" s="130"/>
    </row>
    <row r="69" spans="2:44" s="7" customFormat="1" ht="20.25" customHeight="1" x14ac:dyDescent="0.25">
      <c r="B69" s="109"/>
      <c r="C69" s="193"/>
      <c r="D69" s="110"/>
      <c r="E69" s="110"/>
      <c r="F69" s="191"/>
      <c r="G69" s="124"/>
      <c r="H69" s="111"/>
      <c r="I69" s="112"/>
      <c r="J69" s="113"/>
      <c r="K69" s="69"/>
      <c r="L69" s="70"/>
      <c r="M69" s="194"/>
      <c r="N69" s="182"/>
      <c r="O69" s="110"/>
      <c r="P69" s="115"/>
      <c r="Q69" s="116"/>
      <c r="R69" s="117"/>
      <c r="S69" s="117"/>
      <c r="T69" s="117"/>
      <c r="U69" s="117"/>
      <c r="V69" s="110"/>
      <c r="W69" s="190"/>
      <c r="X69" s="114"/>
      <c r="Y69" s="208"/>
      <c r="Z69" s="110"/>
      <c r="AA69" s="115"/>
      <c r="AB69" s="115"/>
      <c r="AC69" s="115"/>
      <c r="AD69" s="199"/>
      <c r="AE69" s="196"/>
      <c r="AF69" s="197"/>
      <c r="AG69" s="200"/>
      <c r="AH69" s="201"/>
      <c r="AI69" s="202"/>
      <c r="AJ69" s="198"/>
      <c r="AK69" s="203"/>
      <c r="AL69" s="198"/>
      <c r="AM69" s="197"/>
      <c r="AN69" s="204"/>
      <c r="AO69" s="205"/>
      <c r="AP69" s="206"/>
      <c r="AQ69" s="207"/>
      <c r="AR69" s="130"/>
    </row>
    <row r="70" spans="2:44" s="7" customFormat="1" ht="20.25" customHeight="1" x14ac:dyDescent="0.25">
      <c r="B70" s="109"/>
      <c r="C70" s="193"/>
      <c r="D70" s="110"/>
      <c r="E70" s="110"/>
      <c r="F70" s="191"/>
      <c r="G70" s="124"/>
      <c r="H70" s="111"/>
      <c r="I70" s="112"/>
      <c r="J70" s="113"/>
      <c r="K70" s="69"/>
      <c r="L70" s="70"/>
      <c r="M70" s="194"/>
      <c r="N70" s="182"/>
      <c r="O70" s="110"/>
      <c r="P70" s="115"/>
      <c r="Q70" s="116"/>
      <c r="R70" s="117"/>
      <c r="S70" s="117"/>
      <c r="T70" s="117"/>
      <c r="U70" s="117"/>
      <c r="V70" s="110"/>
      <c r="W70" s="190"/>
      <c r="X70" s="114"/>
      <c r="Y70" s="208"/>
      <c r="Z70" s="110"/>
      <c r="AA70" s="115"/>
      <c r="AB70" s="115"/>
      <c r="AC70" s="115"/>
      <c r="AD70" s="118"/>
      <c r="AE70" s="119"/>
      <c r="AF70" s="116"/>
      <c r="AG70" s="179"/>
      <c r="AH70" s="120"/>
      <c r="AI70" s="121"/>
      <c r="AJ70" s="113"/>
      <c r="AK70" s="125"/>
      <c r="AL70" s="115"/>
      <c r="AM70" s="116"/>
      <c r="AN70" s="195"/>
      <c r="AO70" s="122"/>
      <c r="AP70" s="123"/>
      <c r="AQ70" s="96"/>
      <c r="AR70" s="130"/>
    </row>
    <row r="71" spans="2:44" s="7" customFormat="1" ht="20.25" customHeight="1" x14ac:dyDescent="0.25">
      <c r="B71" s="109"/>
      <c r="C71" s="193"/>
      <c r="D71" s="110"/>
      <c r="E71" s="110"/>
      <c r="F71" s="191"/>
      <c r="G71" s="124"/>
      <c r="H71" s="111"/>
      <c r="I71" s="112"/>
      <c r="J71" s="113"/>
      <c r="K71" s="69"/>
      <c r="L71" s="70"/>
      <c r="M71" s="194"/>
      <c r="N71" s="182"/>
      <c r="O71" s="110"/>
      <c r="P71" s="115"/>
      <c r="Q71" s="116"/>
      <c r="R71" s="117"/>
      <c r="S71" s="117"/>
      <c r="T71" s="117"/>
      <c r="U71" s="117"/>
      <c r="V71" s="110"/>
      <c r="W71" s="190"/>
      <c r="X71" s="114"/>
      <c r="Y71" s="208"/>
      <c r="Z71" s="110"/>
      <c r="AA71" s="115"/>
      <c r="AB71" s="115"/>
      <c r="AC71" s="115"/>
      <c r="AD71" s="199"/>
      <c r="AE71" s="196"/>
      <c r="AF71" s="197"/>
      <c r="AG71" s="200"/>
      <c r="AH71" s="201"/>
      <c r="AI71" s="202"/>
      <c r="AJ71" s="198"/>
      <c r="AK71" s="203"/>
      <c r="AL71" s="198"/>
      <c r="AM71" s="197"/>
      <c r="AN71" s="204"/>
      <c r="AO71" s="205"/>
      <c r="AP71" s="206"/>
      <c r="AQ71" s="207"/>
      <c r="AR71" s="130"/>
    </row>
    <row r="72" spans="2:44" s="7" customFormat="1" ht="20.25" customHeight="1" x14ac:dyDescent="0.25">
      <c r="B72" s="109"/>
      <c r="C72" s="193"/>
      <c r="D72" s="110"/>
      <c r="E72" s="110"/>
      <c r="F72" s="191"/>
      <c r="G72" s="124"/>
      <c r="H72" s="111"/>
      <c r="I72" s="112"/>
      <c r="J72" s="113"/>
      <c r="K72" s="69"/>
      <c r="L72" s="70"/>
      <c r="M72" s="194"/>
      <c r="N72" s="182"/>
      <c r="O72" s="110"/>
      <c r="P72" s="115"/>
      <c r="Q72" s="116"/>
      <c r="R72" s="117"/>
      <c r="S72" s="117"/>
      <c r="T72" s="117"/>
      <c r="U72" s="117"/>
      <c r="V72" s="110"/>
      <c r="W72" s="190"/>
      <c r="X72" s="114"/>
      <c r="Y72" s="208"/>
      <c r="Z72" s="110"/>
      <c r="AA72" s="115"/>
      <c r="AB72" s="115"/>
      <c r="AC72" s="115"/>
      <c r="AD72" s="118"/>
      <c r="AE72" s="119"/>
      <c r="AF72" s="116"/>
      <c r="AG72" s="179"/>
      <c r="AH72" s="120"/>
      <c r="AI72" s="121"/>
      <c r="AJ72" s="113"/>
      <c r="AK72" s="125"/>
      <c r="AL72" s="115"/>
      <c r="AM72" s="116"/>
      <c r="AN72" s="195"/>
      <c r="AO72" s="122"/>
      <c r="AP72" s="123"/>
      <c r="AQ72" s="96"/>
      <c r="AR72" s="130"/>
    </row>
    <row r="73" spans="2:44" s="7" customFormat="1" ht="20.25" customHeight="1" x14ac:dyDescent="0.25">
      <c r="B73" s="109"/>
      <c r="C73" s="193"/>
      <c r="D73" s="110"/>
      <c r="E73" s="110"/>
      <c r="F73" s="191"/>
      <c r="G73" s="124"/>
      <c r="H73" s="111"/>
      <c r="I73" s="112"/>
      <c r="J73" s="113"/>
      <c r="K73" s="69"/>
      <c r="L73" s="70"/>
      <c r="M73" s="194"/>
      <c r="N73" s="182"/>
      <c r="O73" s="110"/>
      <c r="P73" s="115"/>
      <c r="Q73" s="116"/>
      <c r="R73" s="117"/>
      <c r="S73" s="117"/>
      <c r="T73" s="117"/>
      <c r="U73" s="117"/>
      <c r="V73" s="110"/>
      <c r="W73" s="190"/>
      <c r="X73" s="114"/>
      <c r="Y73" s="208"/>
      <c r="Z73" s="110"/>
      <c r="AA73" s="115"/>
      <c r="AB73" s="115"/>
      <c r="AC73" s="115"/>
      <c r="AD73" s="199"/>
      <c r="AE73" s="196"/>
      <c r="AF73" s="197"/>
      <c r="AG73" s="200"/>
      <c r="AH73" s="201"/>
      <c r="AI73" s="202"/>
      <c r="AJ73" s="198"/>
      <c r="AK73" s="203"/>
      <c r="AL73" s="198"/>
      <c r="AM73" s="197"/>
      <c r="AN73" s="204"/>
      <c r="AO73" s="205"/>
      <c r="AP73" s="206"/>
      <c r="AQ73" s="207"/>
      <c r="AR73" s="130"/>
    </row>
    <row r="74" spans="2:44" s="7" customFormat="1" ht="20.25" customHeight="1" x14ac:dyDescent="0.25">
      <c r="B74" s="109"/>
      <c r="C74" s="193"/>
      <c r="D74" s="110"/>
      <c r="E74" s="110"/>
      <c r="F74" s="191"/>
      <c r="G74" s="124"/>
      <c r="H74" s="111"/>
      <c r="I74" s="112"/>
      <c r="J74" s="113"/>
      <c r="K74" s="69"/>
      <c r="L74" s="70"/>
      <c r="M74" s="194"/>
      <c r="N74" s="182"/>
      <c r="O74" s="110"/>
      <c r="P74" s="115"/>
      <c r="Q74" s="116"/>
      <c r="R74" s="117"/>
      <c r="S74" s="117"/>
      <c r="T74" s="117"/>
      <c r="U74" s="117"/>
      <c r="V74" s="110"/>
      <c r="W74" s="190"/>
      <c r="X74" s="114"/>
      <c r="Y74" s="208"/>
      <c r="Z74" s="110"/>
      <c r="AA74" s="115"/>
      <c r="AB74" s="115"/>
      <c r="AC74" s="115"/>
      <c r="AD74" s="118"/>
      <c r="AE74" s="119"/>
      <c r="AF74" s="116"/>
      <c r="AG74" s="179"/>
      <c r="AH74" s="120"/>
      <c r="AI74" s="121"/>
      <c r="AJ74" s="113"/>
      <c r="AK74" s="125"/>
      <c r="AL74" s="115"/>
      <c r="AM74" s="116"/>
      <c r="AN74" s="195"/>
      <c r="AO74" s="122"/>
      <c r="AP74" s="123"/>
      <c r="AQ74" s="96"/>
      <c r="AR74" s="130"/>
    </row>
    <row r="75" spans="2:44" s="7" customFormat="1" ht="20.25" customHeight="1" x14ac:dyDescent="0.25">
      <c r="B75" s="109"/>
      <c r="C75" s="193"/>
      <c r="D75" s="110"/>
      <c r="E75" s="110"/>
      <c r="F75" s="191"/>
      <c r="G75" s="124"/>
      <c r="H75" s="111"/>
      <c r="I75" s="112"/>
      <c r="J75" s="113"/>
      <c r="K75" s="69"/>
      <c r="L75" s="70"/>
      <c r="M75" s="194"/>
      <c r="N75" s="182"/>
      <c r="O75" s="110"/>
      <c r="P75" s="115"/>
      <c r="Q75" s="116"/>
      <c r="R75" s="117"/>
      <c r="S75" s="117"/>
      <c r="T75" s="117"/>
      <c r="U75" s="117"/>
      <c r="V75" s="110"/>
      <c r="W75" s="190"/>
      <c r="X75" s="114"/>
      <c r="Y75" s="208"/>
      <c r="Z75" s="110"/>
      <c r="AA75" s="115"/>
      <c r="AB75" s="115"/>
      <c r="AC75" s="115"/>
      <c r="AD75" s="199"/>
      <c r="AE75" s="196"/>
      <c r="AF75" s="197"/>
      <c r="AG75" s="200"/>
      <c r="AH75" s="201"/>
      <c r="AI75" s="202"/>
      <c r="AJ75" s="198"/>
      <c r="AK75" s="203"/>
      <c r="AL75" s="198"/>
      <c r="AM75" s="197"/>
      <c r="AN75" s="204"/>
      <c r="AO75" s="205"/>
      <c r="AP75" s="206"/>
      <c r="AQ75" s="207"/>
      <c r="AR75" s="130"/>
    </row>
    <row r="76" spans="2:44" s="7" customFormat="1" ht="20.25" customHeight="1" x14ac:dyDescent="0.25">
      <c r="B76" s="109"/>
      <c r="C76" s="193"/>
      <c r="D76" s="110"/>
      <c r="E76" s="110"/>
      <c r="F76" s="191"/>
      <c r="G76" s="124"/>
      <c r="H76" s="111"/>
      <c r="I76" s="112"/>
      <c r="J76" s="113"/>
      <c r="K76" s="69"/>
      <c r="L76" s="70"/>
      <c r="M76" s="194"/>
      <c r="N76" s="182"/>
      <c r="O76" s="110"/>
      <c r="P76" s="115"/>
      <c r="Q76" s="116"/>
      <c r="R76" s="117"/>
      <c r="S76" s="117"/>
      <c r="T76" s="117"/>
      <c r="U76" s="117"/>
      <c r="V76" s="110"/>
      <c r="W76" s="190"/>
      <c r="X76" s="114"/>
      <c r="Y76" s="208"/>
      <c r="Z76" s="110"/>
      <c r="AA76" s="115"/>
      <c r="AB76" s="115"/>
      <c r="AC76" s="115"/>
      <c r="AD76" s="118"/>
      <c r="AE76" s="119"/>
      <c r="AF76" s="116"/>
      <c r="AG76" s="179"/>
      <c r="AH76" s="120"/>
      <c r="AI76" s="121"/>
      <c r="AJ76" s="113"/>
      <c r="AK76" s="125"/>
      <c r="AL76" s="115"/>
      <c r="AM76" s="116"/>
      <c r="AN76" s="195"/>
      <c r="AO76" s="122"/>
      <c r="AP76" s="123"/>
      <c r="AQ76" s="96"/>
      <c r="AR76" s="130"/>
    </row>
    <row r="77" spans="2:44" s="7" customFormat="1" ht="20.25" customHeight="1" x14ac:dyDescent="0.25">
      <c r="B77" s="109"/>
      <c r="C77" s="193"/>
      <c r="D77" s="110"/>
      <c r="E77" s="110"/>
      <c r="F77" s="191"/>
      <c r="G77" s="124"/>
      <c r="H77" s="111"/>
      <c r="I77" s="112"/>
      <c r="J77" s="113"/>
      <c r="K77" s="69"/>
      <c r="L77" s="70"/>
      <c r="M77" s="194"/>
      <c r="N77" s="182"/>
      <c r="O77" s="110"/>
      <c r="P77" s="115"/>
      <c r="Q77" s="116"/>
      <c r="R77" s="117"/>
      <c r="S77" s="117"/>
      <c r="T77" s="117"/>
      <c r="U77" s="117"/>
      <c r="V77" s="110"/>
      <c r="W77" s="190"/>
      <c r="X77" s="114"/>
      <c r="Y77" s="208"/>
      <c r="Z77" s="110"/>
      <c r="AA77" s="115"/>
      <c r="AB77" s="115"/>
      <c r="AC77" s="115"/>
      <c r="AD77" s="199"/>
      <c r="AE77" s="196"/>
      <c r="AF77" s="197"/>
      <c r="AG77" s="200"/>
      <c r="AH77" s="201"/>
      <c r="AI77" s="202"/>
      <c r="AJ77" s="198"/>
      <c r="AK77" s="203"/>
      <c r="AL77" s="198"/>
      <c r="AM77" s="197"/>
      <c r="AN77" s="204"/>
      <c r="AO77" s="205"/>
      <c r="AP77" s="206"/>
      <c r="AQ77" s="207"/>
      <c r="AR77" s="130"/>
    </row>
    <row r="78" spans="2:44" s="7" customFormat="1" ht="20.25" customHeight="1" x14ac:dyDescent="0.25">
      <c r="B78" s="109"/>
      <c r="C78" s="193"/>
      <c r="D78" s="110"/>
      <c r="E78" s="110"/>
      <c r="F78" s="191"/>
      <c r="G78" s="124"/>
      <c r="H78" s="111"/>
      <c r="I78" s="112"/>
      <c r="J78" s="113"/>
      <c r="K78" s="69"/>
      <c r="L78" s="70"/>
      <c r="M78" s="194"/>
      <c r="N78" s="182"/>
      <c r="O78" s="110"/>
      <c r="P78" s="115"/>
      <c r="Q78" s="116"/>
      <c r="R78" s="117"/>
      <c r="S78" s="117"/>
      <c r="T78" s="117"/>
      <c r="U78" s="117"/>
      <c r="V78" s="110"/>
      <c r="W78" s="190"/>
      <c r="X78" s="114"/>
      <c r="Y78" s="208"/>
      <c r="Z78" s="110"/>
      <c r="AA78" s="115"/>
      <c r="AB78" s="115"/>
      <c r="AC78" s="115"/>
      <c r="AD78" s="118"/>
      <c r="AE78" s="119"/>
      <c r="AF78" s="116"/>
      <c r="AG78" s="179"/>
      <c r="AH78" s="120"/>
      <c r="AI78" s="121"/>
      <c r="AJ78" s="113"/>
      <c r="AK78" s="125"/>
      <c r="AL78" s="115"/>
      <c r="AM78" s="116"/>
      <c r="AN78" s="195"/>
      <c r="AO78" s="122"/>
      <c r="AP78" s="123"/>
      <c r="AQ78" s="96"/>
      <c r="AR78" s="130"/>
    </row>
    <row r="79" spans="2:44" s="7" customFormat="1" ht="20.25" customHeight="1" x14ac:dyDescent="0.25">
      <c r="B79" s="109"/>
      <c r="C79" s="193"/>
      <c r="D79" s="110"/>
      <c r="E79" s="110"/>
      <c r="F79" s="191"/>
      <c r="G79" s="124"/>
      <c r="H79" s="111"/>
      <c r="I79" s="112"/>
      <c r="J79" s="113"/>
      <c r="K79" s="69"/>
      <c r="L79" s="70"/>
      <c r="M79" s="194"/>
      <c r="N79" s="182"/>
      <c r="O79" s="110"/>
      <c r="P79" s="115"/>
      <c r="Q79" s="116"/>
      <c r="R79" s="117"/>
      <c r="S79" s="117"/>
      <c r="T79" s="117"/>
      <c r="U79" s="117"/>
      <c r="V79" s="110"/>
      <c r="W79" s="190"/>
      <c r="X79" s="114"/>
      <c r="Y79" s="208"/>
      <c r="Z79" s="110"/>
      <c r="AA79" s="115"/>
      <c r="AB79" s="115"/>
      <c r="AC79" s="115"/>
      <c r="AD79" s="199"/>
      <c r="AE79" s="196"/>
      <c r="AF79" s="197"/>
      <c r="AG79" s="200"/>
      <c r="AH79" s="201"/>
      <c r="AI79" s="202"/>
      <c r="AJ79" s="198"/>
      <c r="AK79" s="203"/>
      <c r="AL79" s="198"/>
      <c r="AM79" s="197"/>
      <c r="AN79" s="204"/>
      <c r="AO79" s="205"/>
      <c r="AP79" s="206"/>
      <c r="AQ79" s="207"/>
      <c r="AR79" s="130"/>
    </row>
    <row r="80" spans="2:44" s="7" customFormat="1" ht="20.25" customHeight="1" x14ac:dyDescent="0.25">
      <c r="B80" s="109"/>
      <c r="C80" s="193"/>
      <c r="D80" s="110"/>
      <c r="E80" s="110"/>
      <c r="F80" s="191"/>
      <c r="G80" s="124"/>
      <c r="H80" s="111"/>
      <c r="I80" s="112"/>
      <c r="J80" s="113"/>
      <c r="K80" s="69"/>
      <c r="L80" s="70"/>
      <c r="M80" s="194"/>
      <c r="N80" s="182"/>
      <c r="O80" s="110"/>
      <c r="P80" s="115"/>
      <c r="Q80" s="116"/>
      <c r="R80" s="117"/>
      <c r="S80" s="117"/>
      <c r="T80" s="117"/>
      <c r="U80" s="117"/>
      <c r="V80" s="110"/>
      <c r="W80" s="190"/>
      <c r="X80" s="114"/>
      <c r="Y80" s="208"/>
      <c r="Z80" s="110"/>
      <c r="AA80" s="115"/>
      <c r="AB80" s="115"/>
      <c r="AC80" s="115"/>
      <c r="AD80" s="118"/>
      <c r="AE80" s="119"/>
      <c r="AF80" s="116"/>
      <c r="AG80" s="179"/>
      <c r="AH80" s="120"/>
      <c r="AI80" s="121"/>
      <c r="AJ80" s="113"/>
      <c r="AK80" s="125"/>
      <c r="AL80" s="115"/>
      <c r="AM80" s="116"/>
      <c r="AN80" s="195"/>
      <c r="AO80" s="122"/>
      <c r="AP80" s="123"/>
      <c r="AQ80" s="96"/>
      <c r="AR80" s="130"/>
    </row>
    <row r="81" spans="2:44" s="7" customFormat="1" ht="20.25" customHeight="1" x14ac:dyDescent="0.25">
      <c r="B81" s="109"/>
      <c r="C81" s="193"/>
      <c r="D81" s="110"/>
      <c r="E81" s="110"/>
      <c r="F81" s="191"/>
      <c r="G81" s="124"/>
      <c r="H81" s="111"/>
      <c r="I81" s="112"/>
      <c r="J81" s="113"/>
      <c r="K81" s="69"/>
      <c r="L81" s="70"/>
      <c r="M81" s="194"/>
      <c r="N81" s="182"/>
      <c r="O81" s="110"/>
      <c r="P81" s="115"/>
      <c r="Q81" s="116"/>
      <c r="R81" s="117"/>
      <c r="S81" s="117"/>
      <c r="T81" s="117"/>
      <c r="U81" s="117"/>
      <c r="V81" s="110"/>
      <c r="W81" s="190"/>
      <c r="X81" s="114"/>
      <c r="Y81" s="208"/>
      <c r="Z81" s="110"/>
      <c r="AA81" s="115"/>
      <c r="AB81" s="115"/>
      <c r="AC81" s="115"/>
      <c r="AD81" s="199"/>
      <c r="AE81" s="196"/>
      <c r="AF81" s="197"/>
      <c r="AG81" s="200"/>
      <c r="AH81" s="201"/>
      <c r="AI81" s="202"/>
      <c r="AJ81" s="198"/>
      <c r="AK81" s="203"/>
      <c r="AL81" s="198"/>
      <c r="AM81" s="197"/>
      <c r="AN81" s="204"/>
      <c r="AO81" s="205"/>
      <c r="AP81" s="206"/>
      <c r="AQ81" s="207"/>
      <c r="AR81" s="130"/>
    </row>
    <row r="82" spans="2:44" s="7" customFormat="1" ht="20.25" customHeight="1" x14ac:dyDescent="0.25">
      <c r="B82" s="109"/>
      <c r="C82" s="193"/>
      <c r="D82" s="110"/>
      <c r="E82" s="110"/>
      <c r="F82" s="191"/>
      <c r="G82" s="124"/>
      <c r="H82" s="111"/>
      <c r="I82" s="112"/>
      <c r="J82" s="113"/>
      <c r="K82" s="69"/>
      <c r="L82" s="70"/>
      <c r="M82" s="194"/>
      <c r="N82" s="182"/>
      <c r="O82" s="110"/>
      <c r="P82" s="115"/>
      <c r="Q82" s="116"/>
      <c r="R82" s="117"/>
      <c r="S82" s="117"/>
      <c r="T82" s="117"/>
      <c r="U82" s="117"/>
      <c r="V82" s="110"/>
      <c r="W82" s="190"/>
      <c r="X82" s="114"/>
      <c r="Y82" s="208"/>
      <c r="Z82" s="110"/>
      <c r="AA82" s="115"/>
      <c r="AB82" s="115"/>
      <c r="AC82" s="115"/>
      <c r="AD82" s="118"/>
      <c r="AE82" s="119"/>
      <c r="AF82" s="116"/>
      <c r="AG82" s="179"/>
      <c r="AH82" s="120"/>
      <c r="AI82" s="121"/>
      <c r="AJ82" s="113"/>
      <c r="AK82" s="125"/>
      <c r="AL82" s="115"/>
      <c r="AM82" s="116"/>
      <c r="AN82" s="195"/>
      <c r="AO82" s="122"/>
      <c r="AP82" s="123"/>
      <c r="AQ82" s="96"/>
      <c r="AR82" s="130"/>
    </row>
    <row r="83" spans="2:44" s="7" customFormat="1" ht="20.25" customHeight="1" x14ac:dyDescent="0.25">
      <c r="B83" s="109"/>
      <c r="C83" s="193"/>
      <c r="D83" s="110"/>
      <c r="E83" s="110"/>
      <c r="F83" s="191"/>
      <c r="G83" s="124"/>
      <c r="H83" s="111"/>
      <c r="I83" s="112"/>
      <c r="J83" s="113"/>
      <c r="K83" s="69"/>
      <c r="L83" s="70"/>
      <c r="M83" s="194"/>
      <c r="N83" s="182"/>
      <c r="O83" s="110"/>
      <c r="P83" s="115"/>
      <c r="Q83" s="116"/>
      <c r="R83" s="117"/>
      <c r="S83" s="117"/>
      <c r="T83" s="117"/>
      <c r="U83" s="117"/>
      <c r="V83" s="110"/>
      <c r="W83" s="190"/>
      <c r="X83" s="114"/>
      <c r="Y83" s="208"/>
      <c r="Z83" s="110"/>
      <c r="AA83" s="115"/>
      <c r="AB83" s="115"/>
      <c r="AC83" s="115"/>
      <c r="AD83" s="199"/>
      <c r="AE83" s="196"/>
      <c r="AF83" s="197"/>
      <c r="AG83" s="200"/>
      <c r="AH83" s="201"/>
      <c r="AI83" s="202"/>
      <c r="AJ83" s="198"/>
      <c r="AK83" s="203"/>
      <c r="AL83" s="198"/>
      <c r="AM83" s="197"/>
      <c r="AN83" s="204"/>
      <c r="AO83" s="205"/>
      <c r="AP83" s="206"/>
      <c r="AQ83" s="207"/>
      <c r="AR83" s="130"/>
    </row>
    <row r="84" spans="2:44" s="7" customFormat="1" ht="20.25" customHeight="1" x14ac:dyDescent="0.25">
      <c r="B84" s="109"/>
      <c r="C84" s="193"/>
      <c r="D84" s="110"/>
      <c r="E84" s="110"/>
      <c r="F84" s="191"/>
      <c r="G84" s="124"/>
      <c r="H84" s="111"/>
      <c r="I84" s="112"/>
      <c r="J84" s="113"/>
      <c r="K84" s="69"/>
      <c r="L84" s="70"/>
      <c r="M84" s="194"/>
      <c r="N84" s="182"/>
      <c r="O84" s="110"/>
      <c r="P84" s="115"/>
      <c r="Q84" s="116"/>
      <c r="R84" s="117"/>
      <c r="S84" s="117"/>
      <c r="T84" s="117"/>
      <c r="U84" s="117"/>
      <c r="V84" s="110"/>
      <c r="W84" s="190"/>
      <c r="X84" s="114"/>
      <c r="Y84" s="208"/>
      <c r="Z84" s="110"/>
      <c r="AA84" s="115"/>
      <c r="AB84" s="115"/>
      <c r="AC84" s="115"/>
      <c r="AD84" s="118"/>
      <c r="AE84" s="119"/>
      <c r="AF84" s="116"/>
      <c r="AG84" s="179"/>
      <c r="AH84" s="120"/>
      <c r="AI84" s="121"/>
      <c r="AJ84" s="113"/>
      <c r="AK84" s="125"/>
      <c r="AL84" s="115"/>
      <c r="AM84" s="116"/>
      <c r="AN84" s="195"/>
      <c r="AO84" s="122"/>
      <c r="AP84" s="123"/>
      <c r="AQ84" s="96"/>
      <c r="AR84" s="130"/>
    </row>
    <row r="85" spans="2:44" s="7" customFormat="1" ht="20.25" customHeight="1" x14ac:dyDescent="0.25">
      <c r="B85" s="109"/>
      <c r="C85" s="193"/>
      <c r="D85" s="110"/>
      <c r="E85" s="110"/>
      <c r="F85" s="191"/>
      <c r="G85" s="124"/>
      <c r="H85" s="111"/>
      <c r="I85" s="112"/>
      <c r="J85" s="113"/>
      <c r="K85" s="69"/>
      <c r="L85" s="70"/>
      <c r="M85" s="194"/>
      <c r="N85" s="182"/>
      <c r="O85" s="110"/>
      <c r="P85" s="115"/>
      <c r="Q85" s="116"/>
      <c r="R85" s="117"/>
      <c r="S85" s="117"/>
      <c r="T85" s="117"/>
      <c r="U85" s="117"/>
      <c r="V85" s="110"/>
      <c r="W85" s="190"/>
      <c r="X85" s="114"/>
      <c r="Y85" s="208"/>
      <c r="Z85" s="110"/>
      <c r="AA85" s="115"/>
      <c r="AB85" s="115"/>
      <c r="AC85" s="115"/>
      <c r="AD85" s="199"/>
      <c r="AE85" s="196"/>
      <c r="AF85" s="197"/>
      <c r="AG85" s="200"/>
      <c r="AH85" s="201"/>
      <c r="AI85" s="202"/>
      <c r="AJ85" s="198"/>
      <c r="AK85" s="203"/>
      <c r="AL85" s="198"/>
      <c r="AM85" s="197"/>
      <c r="AN85" s="204"/>
      <c r="AO85" s="205"/>
      <c r="AP85" s="206"/>
      <c r="AQ85" s="207"/>
      <c r="AR85" s="130"/>
    </row>
    <row r="86" spans="2:44" s="7" customFormat="1" ht="20.25" customHeight="1" x14ac:dyDescent="0.25">
      <c r="B86" s="109"/>
      <c r="C86" s="193"/>
      <c r="D86" s="110"/>
      <c r="E86" s="110"/>
      <c r="F86" s="191"/>
      <c r="G86" s="124"/>
      <c r="H86" s="111"/>
      <c r="I86" s="112"/>
      <c r="J86" s="113"/>
      <c r="K86" s="69"/>
      <c r="L86" s="70"/>
      <c r="M86" s="194"/>
      <c r="N86" s="182"/>
      <c r="O86" s="110"/>
      <c r="P86" s="115"/>
      <c r="Q86" s="116"/>
      <c r="R86" s="117"/>
      <c r="S86" s="117"/>
      <c r="T86" s="117"/>
      <c r="U86" s="117"/>
      <c r="V86" s="110"/>
      <c r="W86" s="190"/>
      <c r="X86" s="114"/>
      <c r="Y86" s="208"/>
      <c r="Z86" s="110"/>
      <c r="AA86" s="115"/>
      <c r="AB86" s="115"/>
      <c r="AC86" s="115"/>
      <c r="AD86" s="118"/>
      <c r="AE86" s="119"/>
      <c r="AF86" s="116"/>
      <c r="AG86" s="179"/>
      <c r="AH86" s="120"/>
      <c r="AI86" s="121"/>
      <c r="AJ86" s="113"/>
      <c r="AK86" s="125"/>
      <c r="AL86" s="115"/>
      <c r="AM86" s="116"/>
      <c r="AN86" s="195"/>
      <c r="AO86" s="122"/>
      <c r="AP86" s="123"/>
      <c r="AQ86" s="96"/>
      <c r="AR86" s="130"/>
    </row>
    <row r="87" spans="2:44" s="7" customFormat="1" ht="20.25" customHeight="1" x14ac:dyDescent="0.25">
      <c r="B87" s="109"/>
      <c r="C87" s="193"/>
      <c r="D87" s="110"/>
      <c r="E87" s="110"/>
      <c r="F87" s="191"/>
      <c r="G87" s="124"/>
      <c r="H87" s="111"/>
      <c r="I87" s="112"/>
      <c r="J87" s="113"/>
      <c r="K87" s="69"/>
      <c r="L87" s="70"/>
      <c r="M87" s="194"/>
      <c r="N87" s="182"/>
      <c r="O87" s="110"/>
      <c r="P87" s="115"/>
      <c r="Q87" s="116"/>
      <c r="R87" s="117"/>
      <c r="S87" s="117"/>
      <c r="T87" s="117"/>
      <c r="U87" s="117"/>
      <c r="V87" s="110"/>
      <c r="W87" s="190"/>
      <c r="X87" s="114"/>
      <c r="Y87" s="208"/>
      <c r="Z87" s="110"/>
      <c r="AA87" s="115"/>
      <c r="AB87" s="115"/>
      <c r="AC87" s="115"/>
      <c r="AD87" s="199"/>
      <c r="AE87" s="196"/>
      <c r="AF87" s="197"/>
      <c r="AG87" s="200"/>
      <c r="AH87" s="201"/>
      <c r="AI87" s="202"/>
      <c r="AJ87" s="198"/>
      <c r="AK87" s="203"/>
      <c r="AL87" s="198"/>
      <c r="AM87" s="197"/>
      <c r="AN87" s="204"/>
      <c r="AO87" s="205"/>
      <c r="AP87" s="206"/>
      <c r="AQ87" s="207"/>
      <c r="AR87" s="130"/>
    </row>
    <row r="88" spans="2:44" s="7" customFormat="1" ht="20.25" customHeight="1" x14ac:dyDescent="0.25">
      <c r="B88" s="109"/>
      <c r="C88" s="193"/>
      <c r="D88" s="110"/>
      <c r="E88" s="110"/>
      <c r="F88" s="191"/>
      <c r="G88" s="124"/>
      <c r="H88" s="111"/>
      <c r="I88" s="112"/>
      <c r="J88" s="113"/>
      <c r="K88" s="69"/>
      <c r="L88" s="70"/>
      <c r="M88" s="194"/>
      <c r="N88" s="182"/>
      <c r="O88" s="110"/>
      <c r="P88" s="115"/>
      <c r="Q88" s="116"/>
      <c r="R88" s="117"/>
      <c r="S88" s="117"/>
      <c r="T88" s="117"/>
      <c r="U88" s="117"/>
      <c r="V88" s="110"/>
      <c r="W88" s="190"/>
      <c r="X88" s="114"/>
      <c r="Y88" s="208"/>
      <c r="Z88" s="110"/>
      <c r="AA88" s="115"/>
      <c r="AB88" s="115"/>
      <c r="AC88" s="115"/>
      <c r="AD88" s="118"/>
      <c r="AE88" s="119"/>
      <c r="AF88" s="116"/>
      <c r="AG88" s="179"/>
      <c r="AH88" s="120"/>
      <c r="AI88" s="121"/>
      <c r="AJ88" s="113"/>
      <c r="AK88" s="125"/>
      <c r="AL88" s="115"/>
      <c r="AM88" s="116"/>
      <c r="AN88" s="195"/>
      <c r="AO88" s="122"/>
      <c r="AP88" s="123"/>
      <c r="AQ88" s="96"/>
      <c r="AR88" s="130"/>
    </row>
    <row r="89" spans="2:44" s="7" customFormat="1" ht="20.25" customHeight="1" x14ac:dyDescent="0.25">
      <c r="B89" s="109"/>
      <c r="C89" s="193"/>
      <c r="D89" s="110"/>
      <c r="E89" s="110"/>
      <c r="F89" s="191"/>
      <c r="G89" s="124"/>
      <c r="H89" s="111"/>
      <c r="I89" s="112"/>
      <c r="J89" s="113"/>
      <c r="K89" s="69"/>
      <c r="L89" s="70"/>
      <c r="M89" s="194"/>
      <c r="N89" s="182"/>
      <c r="O89" s="110"/>
      <c r="P89" s="115"/>
      <c r="Q89" s="116"/>
      <c r="R89" s="117"/>
      <c r="S89" s="117"/>
      <c r="T89" s="117"/>
      <c r="U89" s="117"/>
      <c r="V89" s="110"/>
      <c r="W89" s="190"/>
      <c r="X89" s="114"/>
      <c r="Y89" s="208"/>
      <c r="Z89" s="110"/>
      <c r="AA89" s="115"/>
      <c r="AB89" s="115"/>
      <c r="AC89" s="115"/>
      <c r="AD89" s="199"/>
      <c r="AE89" s="196"/>
      <c r="AF89" s="197"/>
      <c r="AG89" s="200"/>
      <c r="AH89" s="201"/>
      <c r="AI89" s="202"/>
      <c r="AJ89" s="198"/>
      <c r="AK89" s="203"/>
      <c r="AL89" s="198"/>
      <c r="AM89" s="197"/>
      <c r="AN89" s="204"/>
      <c r="AO89" s="205"/>
      <c r="AP89" s="206"/>
      <c r="AQ89" s="207"/>
      <c r="AR89" s="130"/>
    </row>
    <row r="90" spans="2:44" s="7" customFormat="1" ht="20.25" customHeight="1" x14ac:dyDescent="0.25">
      <c r="B90" s="109"/>
      <c r="C90" s="193"/>
      <c r="D90" s="110"/>
      <c r="E90" s="110"/>
      <c r="F90" s="191"/>
      <c r="G90" s="124"/>
      <c r="H90" s="111"/>
      <c r="I90" s="112"/>
      <c r="J90" s="113"/>
      <c r="K90" s="69"/>
      <c r="L90" s="70"/>
      <c r="M90" s="194"/>
      <c r="N90" s="182"/>
      <c r="O90" s="110"/>
      <c r="P90" s="115"/>
      <c r="Q90" s="116"/>
      <c r="R90" s="117"/>
      <c r="S90" s="117"/>
      <c r="T90" s="117"/>
      <c r="U90" s="117"/>
      <c r="V90" s="110"/>
      <c r="W90" s="190"/>
      <c r="X90" s="114"/>
      <c r="Y90" s="208"/>
      <c r="Z90" s="110"/>
      <c r="AA90" s="115"/>
      <c r="AB90" s="115"/>
      <c r="AC90" s="115"/>
      <c r="AD90" s="118"/>
      <c r="AE90" s="119"/>
      <c r="AF90" s="116"/>
      <c r="AG90" s="179"/>
      <c r="AH90" s="120"/>
      <c r="AI90" s="121"/>
      <c r="AJ90" s="113"/>
      <c r="AK90" s="125"/>
      <c r="AL90" s="115"/>
      <c r="AM90" s="116"/>
      <c r="AN90" s="195"/>
      <c r="AO90" s="122"/>
      <c r="AP90" s="123"/>
      <c r="AQ90" s="96"/>
      <c r="AR90" s="130"/>
    </row>
    <row r="91" spans="2:44" s="7" customFormat="1" ht="20.25" customHeight="1" x14ac:dyDescent="0.25">
      <c r="B91" s="109"/>
      <c r="C91" s="193"/>
      <c r="D91" s="110"/>
      <c r="E91" s="110"/>
      <c r="F91" s="191"/>
      <c r="G91" s="124"/>
      <c r="H91" s="111"/>
      <c r="I91" s="112"/>
      <c r="J91" s="113"/>
      <c r="K91" s="69"/>
      <c r="L91" s="70"/>
      <c r="M91" s="194"/>
      <c r="N91" s="182"/>
      <c r="O91" s="110"/>
      <c r="P91" s="115"/>
      <c r="Q91" s="116"/>
      <c r="R91" s="117"/>
      <c r="S91" s="117"/>
      <c r="T91" s="117"/>
      <c r="U91" s="117"/>
      <c r="V91" s="110"/>
      <c r="W91" s="190"/>
      <c r="X91" s="114"/>
      <c r="Y91" s="208"/>
      <c r="Z91" s="110"/>
      <c r="AA91" s="115"/>
      <c r="AB91" s="115"/>
      <c r="AC91" s="115"/>
      <c r="AD91" s="199"/>
      <c r="AE91" s="196"/>
      <c r="AF91" s="197"/>
      <c r="AG91" s="200"/>
      <c r="AH91" s="201"/>
      <c r="AI91" s="202"/>
      <c r="AJ91" s="198"/>
      <c r="AK91" s="203"/>
      <c r="AL91" s="198"/>
      <c r="AM91" s="197"/>
      <c r="AN91" s="204"/>
      <c r="AO91" s="205"/>
      <c r="AP91" s="206"/>
      <c r="AQ91" s="207"/>
      <c r="AR91" s="130"/>
    </row>
    <row r="92" spans="2:44" s="7" customFormat="1" ht="20.25" customHeight="1" x14ac:dyDescent="0.25">
      <c r="B92" s="109"/>
      <c r="C92" s="193"/>
      <c r="D92" s="110"/>
      <c r="E92" s="110"/>
      <c r="F92" s="191"/>
      <c r="G92" s="124"/>
      <c r="H92" s="111"/>
      <c r="I92" s="112"/>
      <c r="J92" s="113"/>
      <c r="K92" s="69"/>
      <c r="L92" s="70"/>
      <c r="M92" s="194"/>
      <c r="N92" s="182"/>
      <c r="O92" s="110"/>
      <c r="P92" s="115"/>
      <c r="Q92" s="116"/>
      <c r="R92" s="117"/>
      <c r="S92" s="117"/>
      <c r="T92" s="117"/>
      <c r="U92" s="117"/>
      <c r="V92" s="110"/>
      <c r="W92" s="190"/>
      <c r="X92" s="114"/>
      <c r="Y92" s="208"/>
      <c r="Z92" s="110"/>
      <c r="AA92" s="115"/>
      <c r="AB92" s="115"/>
      <c r="AC92" s="115"/>
      <c r="AD92" s="118"/>
      <c r="AE92" s="119"/>
      <c r="AF92" s="116"/>
      <c r="AG92" s="179"/>
      <c r="AH92" s="120"/>
      <c r="AI92" s="121"/>
      <c r="AJ92" s="113"/>
      <c r="AK92" s="125"/>
      <c r="AL92" s="115"/>
      <c r="AM92" s="116"/>
      <c r="AN92" s="195"/>
      <c r="AO92" s="122"/>
      <c r="AP92" s="123"/>
      <c r="AQ92" s="96"/>
      <c r="AR92" s="130"/>
    </row>
    <row r="93" spans="2:44" s="7" customFormat="1" ht="20.25" customHeight="1" x14ac:dyDescent="0.25">
      <c r="B93" s="109"/>
      <c r="C93" s="193"/>
      <c r="D93" s="110"/>
      <c r="E93" s="110"/>
      <c r="F93" s="191"/>
      <c r="G93" s="124"/>
      <c r="H93" s="111"/>
      <c r="I93" s="112"/>
      <c r="J93" s="113"/>
      <c r="K93" s="69"/>
      <c r="L93" s="70"/>
      <c r="M93" s="194"/>
      <c r="N93" s="182"/>
      <c r="O93" s="110"/>
      <c r="P93" s="115"/>
      <c r="Q93" s="116"/>
      <c r="R93" s="117"/>
      <c r="S93" s="117"/>
      <c r="T93" s="117"/>
      <c r="U93" s="117"/>
      <c r="V93" s="110"/>
      <c r="W93" s="190"/>
      <c r="X93" s="114"/>
      <c r="Y93" s="208"/>
      <c r="Z93" s="110"/>
      <c r="AA93" s="115"/>
      <c r="AB93" s="115"/>
      <c r="AC93" s="115"/>
      <c r="AD93" s="118"/>
      <c r="AE93" s="119"/>
      <c r="AF93" s="116"/>
      <c r="AG93" s="179"/>
      <c r="AH93" s="120"/>
      <c r="AI93" s="121"/>
      <c r="AJ93" s="113"/>
      <c r="AK93" s="125"/>
      <c r="AL93" s="115"/>
      <c r="AM93" s="116"/>
      <c r="AN93" s="195"/>
      <c r="AO93" s="122"/>
      <c r="AP93" s="123"/>
      <c r="AQ93" s="96"/>
      <c r="AR93" s="130"/>
    </row>
    <row r="94" spans="2:44" s="7" customFormat="1" ht="20.25" customHeight="1" x14ac:dyDescent="0.25">
      <c r="B94" s="109"/>
      <c r="C94" s="193"/>
      <c r="D94" s="110"/>
      <c r="E94" s="110"/>
      <c r="F94" s="191"/>
      <c r="G94" s="124"/>
      <c r="H94" s="111"/>
      <c r="I94" s="112"/>
      <c r="J94" s="113"/>
      <c r="K94" s="69"/>
      <c r="L94" s="70"/>
      <c r="M94" s="194"/>
      <c r="N94" s="182"/>
      <c r="O94" s="110"/>
      <c r="P94" s="115"/>
      <c r="Q94" s="116"/>
      <c r="R94" s="117"/>
      <c r="S94" s="117"/>
      <c r="T94" s="117"/>
      <c r="U94" s="117"/>
      <c r="V94" s="110"/>
      <c r="W94" s="190"/>
      <c r="X94" s="114"/>
      <c r="Y94" s="208"/>
      <c r="Z94" s="110"/>
      <c r="AA94" s="115"/>
      <c r="AB94" s="115"/>
      <c r="AC94" s="115"/>
      <c r="AD94" s="118"/>
      <c r="AE94" s="119"/>
      <c r="AF94" s="116"/>
      <c r="AG94" s="179"/>
      <c r="AH94" s="120"/>
      <c r="AI94" s="121"/>
      <c r="AJ94" s="113"/>
      <c r="AK94" s="125"/>
      <c r="AL94" s="115"/>
      <c r="AM94" s="116"/>
      <c r="AN94" s="195"/>
      <c r="AO94" s="122"/>
      <c r="AP94" s="123"/>
      <c r="AQ94" s="96"/>
      <c r="AR94" s="130"/>
    </row>
    <row r="95" spans="2:44" s="7" customFormat="1" ht="20.25" customHeight="1" x14ac:dyDescent="0.25">
      <c r="B95" s="109"/>
      <c r="C95" s="193"/>
      <c r="D95" s="110"/>
      <c r="E95" s="110"/>
      <c r="F95" s="191"/>
      <c r="G95" s="124"/>
      <c r="H95" s="111"/>
      <c r="I95" s="112"/>
      <c r="J95" s="113"/>
      <c r="K95" s="69"/>
      <c r="L95" s="70"/>
      <c r="M95" s="194"/>
      <c r="N95" s="182"/>
      <c r="O95" s="110"/>
      <c r="P95" s="115"/>
      <c r="Q95" s="116"/>
      <c r="R95" s="117"/>
      <c r="S95" s="117"/>
      <c r="T95" s="117"/>
      <c r="U95" s="117"/>
      <c r="V95" s="110"/>
      <c r="W95" s="190"/>
      <c r="X95" s="114"/>
      <c r="Y95" s="208"/>
      <c r="Z95" s="110"/>
      <c r="AA95" s="115"/>
      <c r="AB95" s="115"/>
      <c r="AC95" s="115"/>
      <c r="AD95" s="199"/>
      <c r="AE95" s="196"/>
      <c r="AF95" s="197"/>
      <c r="AG95" s="200"/>
      <c r="AH95" s="201"/>
      <c r="AI95" s="202"/>
      <c r="AJ95" s="198"/>
      <c r="AK95" s="203"/>
      <c r="AL95" s="198"/>
      <c r="AM95" s="197"/>
      <c r="AN95" s="204"/>
      <c r="AO95" s="205"/>
      <c r="AP95" s="206"/>
      <c r="AQ95" s="207"/>
      <c r="AR95" s="130"/>
    </row>
    <row r="96" spans="2:44" s="7" customFormat="1" ht="20.25" customHeight="1" x14ac:dyDescent="0.25">
      <c r="B96" s="109"/>
      <c r="C96" s="193"/>
      <c r="D96" s="110"/>
      <c r="E96" s="110"/>
      <c r="F96" s="191"/>
      <c r="G96" s="124"/>
      <c r="H96" s="111"/>
      <c r="I96" s="112"/>
      <c r="J96" s="113"/>
      <c r="K96" s="69"/>
      <c r="L96" s="70"/>
      <c r="M96" s="194"/>
      <c r="N96" s="182"/>
      <c r="O96" s="110"/>
      <c r="P96" s="115"/>
      <c r="Q96" s="116"/>
      <c r="R96" s="117"/>
      <c r="S96" s="117"/>
      <c r="T96" s="117"/>
      <c r="U96" s="117"/>
      <c r="V96" s="110"/>
      <c r="W96" s="190"/>
      <c r="X96" s="114"/>
      <c r="Y96" s="208"/>
      <c r="Z96" s="110"/>
      <c r="AA96" s="115"/>
      <c r="AB96" s="115"/>
      <c r="AC96" s="115"/>
      <c r="AD96" s="118"/>
      <c r="AE96" s="119"/>
      <c r="AF96" s="116"/>
      <c r="AG96" s="179"/>
      <c r="AH96" s="120"/>
      <c r="AI96" s="121"/>
      <c r="AJ96" s="113"/>
      <c r="AK96" s="125"/>
      <c r="AL96" s="115"/>
      <c r="AM96" s="116"/>
      <c r="AN96" s="195"/>
      <c r="AO96" s="122"/>
      <c r="AP96" s="123"/>
      <c r="AQ96" s="96"/>
      <c r="AR96" s="130"/>
    </row>
    <row r="97" spans="2:44" s="7" customFormat="1" ht="20.25" customHeight="1" x14ac:dyDescent="0.25">
      <c r="B97" s="109"/>
      <c r="C97" s="193"/>
      <c r="D97" s="110"/>
      <c r="E97" s="110"/>
      <c r="F97" s="191"/>
      <c r="G97" s="124"/>
      <c r="H97" s="111"/>
      <c r="I97" s="112"/>
      <c r="J97" s="113"/>
      <c r="K97" s="69"/>
      <c r="L97" s="70"/>
      <c r="M97" s="194"/>
      <c r="N97" s="182"/>
      <c r="O97" s="110"/>
      <c r="P97" s="115"/>
      <c r="Q97" s="116"/>
      <c r="R97" s="117"/>
      <c r="S97" s="117"/>
      <c r="T97" s="117"/>
      <c r="U97" s="117"/>
      <c r="V97" s="110"/>
      <c r="W97" s="190"/>
      <c r="X97" s="114"/>
      <c r="Y97" s="208"/>
      <c r="Z97" s="110"/>
      <c r="AA97" s="115"/>
      <c r="AB97" s="115"/>
      <c r="AC97" s="115"/>
      <c r="AD97" s="199"/>
      <c r="AE97" s="196"/>
      <c r="AF97" s="197"/>
      <c r="AG97" s="200"/>
      <c r="AH97" s="201"/>
      <c r="AI97" s="202"/>
      <c r="AJ97" s="198"/>
      <c r="AK97" s="203"/>
      <c r="AL97" s="198"/>
      <c r="AM97" s="197"/>
      <c r="AN97" s="204"/>
      <c r="AO97" s="205"/>
      <c r="AP97" s="206"/>
      <c r="AQ97" s="207"/>
      <c r="AR97" s="130"/>
    </row>
    <row r="98" spans="2:44" s="7" customFormat="1" ht="20.25" customHeight="1" x14ac:dyDescent="0.25">
      <c r="B98" s="109"/>
      <c r="C98" s="193"/>
      <c r="D98" s="110"/>
      <c r="E98" s="110"/>
      <c r="F98" s="191"/>
      <c r="G98" s="124"/>
      <c r="H98" s="111"/>
      <c r="I98" s="112"/>
      <c r="J98" s="113"/>
      <c r="K98" s="69"/>
      <c r="L98" s="70"/>
      <c r="M98" s="194"/>
      <c r="N98" s="182"/>
      <c r="O98" s="110"/>
      <c r="P98" s="115"/>
      <c r="Q98" s="116"/>
      <c r="R98" s="117"/>
      <c r="S98" s="117"/>
      <c r="T98" s="117"/>
      <c r="U98" s="117"/>
      <c r="V98" s="110"/>
      <c r="W98" s="190"/>
      <c r="X98" s="114"/>
      <c r="Y98" s="208"/>
      <c r="Z98" s="110"/>
      <c r="AA98" s="115"/>
      <c r="AB98" s="115"/>
      <c r="AC98" s="115"/>
      <c r="AD98" s="118"/>
      <c r="AE98" s="119"/>
      <c r="AF98" s="116"/>
      <c r="AG98" s="179"/>
      <c r="AH98" s="120"/>
      <c r="AI98" s="121"/>
      <c r="AJ98" s="113"/>
      <c r="AK98" s="125"/>
      <c r="AL98" s="115"/>
      <c r="AM98" s="116"/>
      <c r="AN98" s="195"/>
      <c r="AO98" s="122"/>
      <c r="AP98" s="123"/>
      <c r="AQ98" s="96"/>
      <c r="AR98" s="130"/>
    </row>
    <row r="99" spans="2:44" s="7" customFormat="1" ht="20.25" customHeight="1" x14ac:dyDescent="0.25">
      <c r="B99" s="109"/>
      <c r="C99" s="193"/>
      <c r="D99" s="110"/>
      <c r="E99" s="110"/>
      <c r="F99" s="191"/>
      <c r="G99" s="124"/>
      <c r="H99" s="111"/>
      <c r="I99" s="112"/>
      <c r="J99" s="113"/>
      <c r="K99" s="69"/>
      <c r="L99" s="70"/>
      <c r="M99" s="194"/>
      <c r="N99" s="182"/>
      <c r="O99" s="110"/>
      <c r="P99" s="115"/>
      <c r="Q99" s="116"/>
      <c r="R99" s="117"/>
      <c r="S99" s="117"/>
      <c r="T99" s="117"/>
      <c r="U99" s="117"/>
      <c r="V99" s="110"/>
      <c r="W99" s="190"/>
      <c r="X99" s="114"/>
      <c r="Y99" s="208"/>
      <c r="Z99" s="110"/>
      <c r="AA99" s="115"/>
      <c r="AB99" s="115"/>
      <c r="AC99" s="115"/>
      <c r="AD99" s="199"/>
      <c r="AE99" s="196"/>
      <c r="AF99" s="197"/>
      <c r="AG99" s="200"/>
      <c r="AH99" s="201"/>
      <c r="AI99" s="202"/>
      <c r="AJ99" s="198"/>
      <c r="AK99" s="203"/>
      <c r="AL99" s="198"/>
      <c r="AM99" s="197"/>
      <c r="AN99" s="204"/>
      <c r="AO99" s="205"/>
      <c r="AP99" s="206"/>
      <c r="AQ99" s="207"/>
      <c r="AR99" s="130"/>
    </row>
    <row r="100" spans="2:44" s="7" customFormat="1" ht="20.25" customHeight="1" x14ac:dyDescent="0.25">
      <c r="B100" s="109"/>
      <c r="C100" s="193"/>
      <c r="D100" s="110"/>
      <c r="E100" s="110"/>
      <c r="F100" s="191"/>
      <c r="G100" s="124"/>
      <c r="H100" s="111"/>
      <c r="I100" s="112"/>
      <c r="J100" s="113"/>
      <c r="K100" s="69"/>
      <c r="L100" s="70"/>
      <c r="M100" s="194"/>
      <c r="N100" s="182"/>
      <c r="O100" s="110"/>
      <c r="P100" s="115"/>
      <c r="Q100" s="116"/>
      <c r="R100" s="117"/>
      <c r="S100" s="117"/>
      <c r="T100" s="117"/>
      <c r="U100" s="117"/>
      <c r="V100" s="110"/>
      <c r="W100" s="190"/>
      <c r="X100" s="114"/>
      <c r="Y100" s="208"/>
      <c r="Z100" s="110"/>
      <c r="AA100" s="115"/>
      <c r="AB100" s="115"/>
      <c r="AC100" s="115"/>
      <c r="AD100" s="118"/>
      <c r="AE100" s="119"/>
      <c r="AF100" s="116"/>
      <c r="AG100" s="179"/>
      <c r="AH100" s="120"/>
      <c r="AI100" s="121"/>
      <c r="AJ100" s="113"/>
      <c r="AK100" s="125"/>
      <c r="AL100" s="115"/>
      <c r="AM100" s="116"/>
      <c r="AN100" s="195"/>
      <c r="AO100" s="122"/>
      <c r="AP100" s="123"/>
      <c r="AQ100" s="96"/>
      <c r="AR100" s="130"/>
    </row>
    <row r="101" spans="2:44" s="7" customFormat="1" ht="20.25" customHeight="1" x14ac:dyDescent="0.25">
      <c r="B101" s="109"/>
      <c r="C101" s="193"/>
      <c r="D101" s="110"/>
      <c r="E101" s="110"/>
      <c r="F101" s="191"/>
      <c r="G101" s="124"/>
      <c r="H101" s="111"/>
      <c r="I101" s="112"/>
      <c r="J101" s="113"/>
      <c r="K101" s="69"/>
      <c r="L101" s="70"/>
      <c r="M101" s="194"/>
      <c r="N101" s="182"/>
      <c r="O101" s="110"/>
      <c r="P101" s="115"/>
      <c r="Q101" s="116"/>
      <c r="R101" s="117"/>
      <c r="S101" s="117"/>
      <c r="T101" s="117"/>
      <c r="U101" s="117"/>
      <c r="V101" s="110"/>
      <c r="W101" s="190"/>
      <c r="X101" s="114"/>
      <c r="Y101" s="208"/>
      <c r="Z101" s="110"/>
      <c r="AA101" s="115"/>
      <c r="AB101" s="115"/>
      <c r="AC101" s="115"/>
      <c r="AD101" s="199"/>
      <c r="AE101" s="196"/>
      <c r="AF101" s="197"/>
      <c r="AG101" s="200"/>
      <c r="AH101" s="201"/>
      <c r="AI101" s="202"/>
      <c r="AJ101" s="198"/>
      <c r="AK101" s="203"/>
      <c r="AL101" s="198"/>
      <c r="AM101" s="197"/>
      <c r="AN101" s="204"/>
      <c r="AO101" s="205"/>
      <c r="AP101" s="206"/>
      <c r="AQ101" s="207"/>
      <c r="AR101" s="130"/>
    </row>
    <row r="102" spans="2:44" s="7" customFormat="1" ht="20.25" customHeight="1" x14ac:dyDescent="0.25">
      <c r="B102" s="109"/>
      <c r="C102" s="193"/>
      <c r="D102" s="110"/>
      <c r="E102" s="110"/>
      <c r="F102" s="191"/>
      <c r="G102" s="124"/>
      <c r="H102" s="111"/>
      <c r="I102" s="112"/>
      <c r="J102" s="113"/>
      <c r="K102" s="69"/>
      <c r="L102" s="70"/>
      <c r="M102" s="194"/>
      <c r="N102" s="182"/>
      <c r="O102" s="110"/>
      <c r="P102" s="115"/>
      <c r="Q102" s="116"/>
      <c r="R102" s="117"/>
      <c r="S102" s="117"/>
      <c r="T102" s="117"/>
      <c r="U102" s="117"/>
      <c r="V102" s="110"/>
      <c r="W102" s="190"/>
      <c r="X102" s="114"/>
      <c r="Y102" s="208"/>
      <c r="Z102" s="110"/>
      <c r="AA102" s="115"/>
      <c r="AB102" s="115"/>
      <c r="AC102" s="115"/>
      <c r="AD102" s="118"/>
      <c r="AE102" s="119"/>
      <c r="AF102" s="116"/>
      <c r="AG102" s="179"/>
      <c r="AH102" s="120"/>
      <c r="AI102" s="121"/>
      <c r="AJ102" s="113"/>
      <c r="AK102" s="125"/>
      <c r="AL102" s="115"/>
      <c r="AM102" s="116"/>
      <c r="AN102" s="195"/>
      <c r="AO102" s="122"/>
      <c r="AP102" s="123"/>
      <c r="AQ102" s="96"/>
      <c r="AR102" s="130"/>
    </row>
    <row r="103" spans="2:44" s="7" customFormat="1" ht="20.25" customHeight="1" x14ac:dyDescent="0.25">
      <c r="B103" s="109"/>
      <c r="C103" s="193"/>
      <c r="D103" s="110"/>
      <c r="E103" s="110"/>
      <c r="F103" s="191"/>
      <c r="G103" s="124"/>
      <c r="H103" s="111"/>
      <c r="I103" s="112"/>
      <c r="J103" s="113"/>
      <c r="K103" s="69"/>
      <c r="L103" s="70"/>
      <c r="M103" s="194"/>
      <c r="N103" s="182"/>
      <c r="O103" s="110"/>
      <c r="P103" s="115"/>
      <c r="Q103" s="116"/>
      <c r="R103" s="117"/>
      <c r="S103" s="117"/>
      <c r="T103" s="117"/>
      <c r="U103" s="117"/>
      <c r="V103" s="110"/>
      <c r="W103" s="190"/>
      <c r="X103" s="114"/>
      <c r="Y103" s="208"/>
      <c r="Z103" s="110"/>
      <c r="AA103" s="115"/>
      <c r="AB103" s="115"/>
      <c r="AC103" s="115"/>
      <c r="AD103" s="118"/>
      <c r="AE103" s="119"/>
      <c r="AF103" s="116"/>
      <c r="AG103" s="179"/>
      <c r="AH103" s="120"/>
      <c r="AI103" s="121"/>
      <c r="AJ103" s="113"/>
      <c r="AK103" s="125"/>
      <c r="AL103" s="115"/>
      <c r="AM103" s="116"/>
      <c r="AN103" s="195"/>
      <c r="AO103" s="122"/>
      <c r="AP103" s="123"/>
      <c r="AQ103" s="96"/>
      <c r="AR103" s="130"/>
    </row>
    <row r="104" spans="2:44" s="7" customFormat="1" ht="20.25" customHeight="1" x14ac:dyDescent="0.25">
      <c r="B104" s="109"/>
      <c r="C104" s="193"/>
      <c r="D104" s="110"/>
      <c r="E104" s="110"/>
      <c r="F104" s="191"/>
      <c r="G104" s="124"/>
      <c r="H104" s="111"/>
      <c r="I104" s="112"/>
      <c r="J104" s="113"/>
      <c r="K104" s="69"/>
      <c r="L104" s="70"/>
      <c r="M104" s="194"/>
      <c r="N104" s="182"/>
      <c r="O104" s="110"/>
      <c r="P104" s="115"/>
      <c r="Q104" s="116"/>
      <c r="R104" s="117"/>
      <c r="S104" s="117"/>
      <c r="T104" s="117"/>
      <c r="U104" s="117"/>
      <c r="V104" s="110"/>
      <c r="W104" s="190"/>
      <c r="X104" s="114"/>
      <c r="Y104" s="208"/>
      <c r="Z104" s="110"/>
      <c r="AA104" s="115"/>
      <c r="AB104" s="115"/>
      <c r="AC104" s="115"/>
      <c r="AD104" s="118"/>
      <c r="AE104" s="119"/>
      <c r="AF104" s="116"/>
      <c r="AG104" s="179"/>
      <c r="AH104" s="120"/>
      <c r="AI104" s="121"/>
      <c r="AJ104" s="113"/>
      <c r="AK104" s="125"/>
      <c r="AL104" s="115"/>
      <c r="AM104" s="116"/>
      <c r="AN104" s="195"/>
      <c r="AO104" s="122"/>
      <c r="AP104" s="123"/>
      <c r="AQ104" s="96"/>
      <c r="AR104" s="130"/>
    </row>
    <row r="105" spans="2:44" s="7" customFormat="1" ht="20.25" customHeight="1" x14ac:dyDescent="0.25">
      <c r="B105" s="109"/>
      <c r="C105" s="193"/>
      <c r="D105" s="110"/>
      <c r="E105" s="110"/>
      <c r="F105" s="191"/>
      <c r="G105" s="124"/>
      <c r="H105" s="111"/>
      <c r="I105" s="112"/>
      <c r="J105" s="113"/>
      <c r="K105" s="69"/>
      <c r="L105" s="70"/>
      <c r="M105" s="194"/>
      <c r="N105" s="182"/>
      <c r="O105" s="110"/>
      <c r="P105" s="115"/>
      <c r="Q105" s="116"/>
      <c r="R105" s="117"/>
      <c r="S105" s="117"/>
      <c r="T105" s="117"/>
      <c r="U105" s="117"/>
      <c r="V105" s="110"/>
      <c r="W105" s="190"/>
      <c r="X105" s="114"/>
      <c r="Y105" s="208"/>
      <c r="Z105" s="110"/>
      <c r="AA105" s="115"/>
      <c r="AB105" s="115"/>
      <c r="AC105" s="115"/>
      <c r="AD105" s="118"/>
      <c r="AE105" s="119"/>
      <c r="AF105" s="116"/>
      <c r="AG105" s="179"/>
      <c r="AH105" s="120"/>
      <c r="AI105" s="121"/>
      <c r="AJ105" s="113"/>
      <c r="AK105" s="125"/>
      <c r="AL105" s="115"/>
      <c r="AM105" s="116"/>
      <c r="AN105" s="195"/>
      <c r="AO105" s="122"/>
      <c r="AP105" s="123"/>
      <c r="AQ105" s="96"/>
      <c r="AR105" s="130"/>
    </row>
    <row r="106" spans="2:44" s="7" customFormat="1" ht="20.25" customHeight="1" x14ac:dyDescent="0.25">
      <c r="B106" s="109"/>
      <c r="C106" s="193"/>
      <c r="D106" s="110"/>
      <c r="E106" s="110"/>
      <c r="F106" s="191"/>
      <c r="G106" s="124"/>
      <c r="H106" s="111"/>
      <c r="I106" s="112"/>
      <c r="J106" s="113"/>
      <c r="K106" s="69"/>
      <c r="L106" s="70"/>
      <c r="M106" s="194"/>
      <c r="N106" s="182"/>
      <c r="O106" s="110"/>
      <c r="P106" s="115"/>
      <c r="Q106" s="116"/>
      <c r="R106" s="117"/>
      <c r="S106" s="117"/>
      <c r="T106" s="117"/>
      <c r="U106" s="117"/>
      <c r="V106" s="110"/>
      <c r="W106" s="190"/>
      <c r="X106" s="114"/>
      <c r="Y106" s="208"/>
      <c r="Z106" s="110"/>
      <c r="AA106" s="115"/>
      <c r="AB106" s="115"/>
      <c r="AC106" s="115"/>
      <c r="AD106" s="199"/>
      <c r="AE106" s="196"/>
      <c r="AF106" s="197"/>
      <c r="AG106" s="200"/>
      <c r="AH106" s="201"/>
      <c r="AI106" s="202"/>
      <c r="AJ106" s="198"/>
      <c r="AK106" s="203"/>
      <c r="AL106" s="198"/>
      <c r="AM106" s="197"/>
      <c r="AN106" s="204"/>
      <c r="AO106" s="205"/>
      <c r="AP106" s="206"/>
      <c r="AQ106" s="207"/>
      <c r="AR106" s="130"/>
    </row>
    <row r="107" spans="2:44" s="7" customFormat="1" ht="20.25" customHeight="1" x14ac:dyDescent="0.25">
      <c r="B107" s="109"/>
      <c r="C107" s="193"/>
      <c r="D107" s="110"/>
      <c r="E107" s="110"/>
      <c r="F107" s="191"/>
      <c r="G107" s="124"/>
      <c r="H107" s="111"/>
      <c r="I107" s="112"/>
      <c r="J107" s="113"/>
      <c r="K107" s="69"/>
      <c r="L107" s="70"/>
      <c r="M107" s="194"/>
      <c r="N107" s="182"/>
      <c r="O107" s="110"/>
      <c r="P107" s="115"/>
      <c r="Q107" s="116"/>
      <c r="R107" s="117"/>
      <c r="S107" s="117"/>
      <c r="T107" s="117"/>
      <c r="U107" s="117"/>
      <c r="V107" s="110"/>
      <c r="W107" s="190"/>
      <c r="X107" s="114"/>
      <c r="Y107" s="208"/>
      <c r="Z107" s="110"/>
      <c r="AA107" s="115"/>
      <c r="AB107" s="115"/>
      <c r="AC107" s="115"/>
      <c r="AD107" s="199"/>
      <c r="AE107" s="196"/>
      <c r="AF107" s="197"/>
      <c r="AG107" s="200"/>
      <c r="AH107" s="201"/>
      <c r="AI107" s="202"/>
      <c r="AJ107" s="198"/>
      <c r="AK107" s="203"/>
      <c r="AL107" s="198"/>
      <c r="AM107" s="197"/>
      <c r="AN107" s="204"/>
      <c r="AO107" s="205"/>
      <c r="AP107" s="206"/>
      <c r="AQ107" s="207"/>
      <c r="AR107" s="130"/>
    </row>
    <row r="108" spans="2:44" s="7" customFormat="1" ht="20.25" customHeight="1" x14ac:dyDescent="0.25">
      <c r="B108" s="109"/>
      <c r="C108" s="193"/>
      <c r="D108" s="110"/>
      <c r="E108" s="110"/>
      <c r="F108" s="191"/>
      <c r="G108" s="124"/>
      <c r="H108" s="111"/>
      <c r="I108" s="112"/>
      <c r="J108" s="113"/>
      <c r="K108" s="69"/>
      <c r="L108" s="70"/>
      <c r="M108" s="194"/>
      <c r="N108" s="182"/>
      <c r="O108" s="110"/>
      <c r="P108" s="115"/>
      <c r="Q108" s="116"/>
      <c r="R108" s="117"/>
      <c r="S108" s="117"/>
      <c r="T108" s="117"/>
      <c r="U108" s="117"/>
      <c r="V108" s="110"/>
      <c r="W108" s="190"/>
      <c r="X108" s="114"/>
      <c r="Y108" s="208"/>
      <c r="Z108" s="110"/>
      <c r="AA108" s="115"/>
      <c r="AB108" s="115"/>
      <c r="AC108" s="115"/>
      <c r="AD108" s="199"/>
      <c r="AE108" s="196"/>
      <c r="AF108" s="197"/>
      <c r="AG108" s="200"/>
      <c r="AH108" s="201"/>
      <c r="AI108" s="202"/>
      <c r="AJ108" s="198"/>
      <c r="AK108" s="203"/>
      <c r="AL108" s="198"/>
      <c r="AM108" s="197"/>
      <c r="AN108" s="204"/>
      <c r="AO108" s="205"/>
      <c r="AP108" s="206"/>
      <c r="AQ108" s="207"/>
      <c r="AR108" s="130"/>
    </row>
    <row r="109" spans="2:44" s="7" customFormat="1" ht="20.25" customHeight="1" x14ac:dyDescent="0.25">
      <c r="B109" s="109"/>
      <c r="C109" s="193"/>
      <c r="D109" s="110"/>
      <c r="E109" s="110"/>
      <c r="F109" s="191"/>
      <c r="G109" s="124"/>
      <c r="H109" s="111"/>
      <c r="I109" s="112"/>
      <c r="J109" s="113"/>
      <c r="K109" s="69"/>
      <c r="L109" s="70"/>
      <c r="M109" s="194"/>
      <c r="N109" s="182"/>
      <c r="O109" s="110"/>
      <c r="P109" s="115"/>
      <c r="Q109" s="116"/>
      <c r="R109" s="117"/>
      <c r="S109" s="117"/>
      <c r="T109" s="117"/>
      <c r="U109" s="117"/>
      <c r="V109" s="110"/>
      <c r="W109" s="190"/>
      <c r="X109" s="114"/>
      <c r="Y109" s="208"/>
      <c r="Z109" s="110"/>
      <c r="AA109" s="115"/>
      <c r="AB109" s="115"/>
      <c r="AC109" s="115"/>
      <c r="AD109" s="199"/>
      <c r="AE109" s="196"/>
      <c r="AF109" s="197"/>
      <c r="AG109" s="200"/>
      <c r="AH109" s="201"/>
      <c r="AI109" s="202"/>
      <c r="AJ109" s="198"/>
      <c r="AK109" s="203"/>
      <c r="AL109" s="198"/>
      <c r="AM109" s="197"/>
      <c r="AN109" s="204"/>
      <c r="AO109" s="205"/>
      <c r="AP109" s="206"/>
      <c r="AQ109" s="207"/>
      <c r="AR109" s="130"/>
    </row>
    <row r="110" spans="2:44" s="7" customFormat="1" ht="20.25" customHeight="1" x14ac:dyDescent="0.25">
      <c r="B110" s="109"/>
      <c r="C110" s="193"/>
      <c r="D110" s="110"/>
      <c r="E110" s="110"/>
      <c r="F110" s="191"/>
      <c r="G110" s="124"/>
      <c r="H110" s="111"/>
      <c r="I110" s="112"/>
      <c r="J110" s="113"/>
      <c r="K110" s="69"/>
      <c r="L110" s="70"/>
      <c r="M110" s="194"/>
      <c r="N110" s="182"/>
      <c r="O110" s="110"/>
      <c r="P110" s="115"/>
      <c r="Q110" s="116"/>
      <c r="R110" s="117"/>
      <c r="S110" s="117"/>
      <c r="T110" s="117"/>
      <c r="U110" s="117"/>
      <c r="V110" s="110"/>
      <c r="W110" s="190"/>
      <c r="X110" s="114"/>
      <c r="Y110" s="208"/>
      <c r="Z110" s="110"/>
      <c r="AA110" s="115"/>
      <c r="AB110" s="115"/>
      <c r="AC110" s="115"/>
      <c r="AD110" s="199"/>
      <c r="AE110" s="196"/>
      <c r="AF110" s="197"/>
      <c r="AG110" s="200"/>
      <c r="AH110" s="201"/>
      <c r="AI110" s="202"/>
      <c r="AJ110" s="198"/>
      <c r="AK110" s="203"/>
      <c r="AL110" s="198"/>
      <c r="AM110" s="197"/>
      <c r="AN110" s="204"/>
      <c r="AO110" s="205"/>
      <c r="AP110" s="206"/>
      <c r="AQ110" s="207"/>
      <c r="AR110" s="130"/>
    </row>
    <row r="111" spans="2:44" s="7" customFormat="1" ht="20.25" customHeight="1" x14ac:dyDescent="0.25">
      <c r="B111" s="109"/>
      <c r="C111" s="193"/>
      <c r="D111" s="110"/>
      <c r="E111" s="110"/>
      <c r="F111" s="191"/>
      <c r="G111" s="124"/>
      <c r="H111" s="111"/>
      <c r="I111" s="112"/>
      <c r="J111" s="113"/>
      <c r="K111" s="69"/>
      <c r="L111" s="70"/>
      <c r="M111" s="194"/>
      <c r="N111" s="182"/>
      <c r="O111" s="110"/>
      <c r="P111" s="115"/>
      <c r="Q111" s="116"/>
      <c r="R111" s="117"/>
      <c r="S111" s="117"/>
      <c r="T111" s="117"/>
      <c r="U111" s="117"/>
      <c r="V111" s="110"/>
      <c r="W111" s="190"/>
      <c r="X111" s="114"/>
      <c r="Y111" s="208"/>
      <c r="Z111" s="110"/>
      <c r="AA111" s="115"/>
      <c r="AB111" s="115"/>
      <c r="AC111" s="115"/>
      <c r="AD111" s="199"/>
      <c r="AE111" s="196"/>
      <c r="AF111" s="197"/>
      <c r="AG111" s="200"/>
      <c r="AH111" s="201"/>
      <c r="AI111" s="202"/>
      <c r="AJ111" s="198"/>
      <c r="AK111" s="203"/>
      <c r="AL111" s="198"/>
      <c r="AM111" s="197"/>
      <c r="AN111" s="204"/>
      <c r="AO111" s="205"/>
      <c r="AP111" s="206"/>
      <c r="AQ111" s="207"/>
      <c r="AR111" s="130"/>
    </row>
    <row r="112" spans="2:44" s="7" customFormat="1" ht="20.25" customHeight="1" x14ac:dyDescent="0.25">
      <c r="B112" s="109"/>
      <c r="C112" s="193"/>
      <c r="D112" s="110"/>
      <c r="E112" s="110"/>
      <c r="F112" s="191"/>
      <c r="G112" s="124"/>
      <c r="H112" s="111"/>
      <c r="I112" s="112"/>
      <c r="J112" s="113"/>
      <c r="K112" s="69"/>
      <c r="L112" s="70"/>
      <c r="M112" s="194"/>
      <c r="N112" s="182"/>
      <c r="O112" s="110"/>
      <c r="P112" s="115"/>
      <c r="Q112" s="116"/>
      <c r="R112" s="117"/>
      <c r="S112" s="117"/>
      <c r="T112" s="117"/>
      <c r="U112" s="117"/>
      <c r="V112" s="110"/>
      <c r="W112" s="190"/>
      <c r="X112" s="114"/>
      <c r="Y112" s="208"/>
      <c r="Z112" s="110"/>
      <c r="AA112" s="115"/>
      <c r="AB112" s="115"/>
      <c r="AC112" s="115"/>
      <c r="AD112" s="118"/>
      <c r="AE112" s="119"/>
      <c r="AF112" s="116"/>
      <c r="AG112" s="179"/>
      <c r="AH112" s="120"/>
      <c r="AI112" s="121"/>
      <c r="AJ112" s="113"/>
      <c r="AK112" s="125"/>
      <c r="AL112" s="115"/>
      <c r="AM112" s="116"/>
      <c r="AN112" s="195"/>
      <c r="AO112" s="122"/>
      <c r="AP112" s="123"/>
      <c r="AQ112" s="96"/>
      <c r="AR112" s="130"/>
    </row>
    <row r="113" spans="2:44" s="7" customFormat="1" ht="20.25" customHeight="1" x14ac:dyDescent="0.25">
      <c r="B113" s="109"/>
      <c r="C113" s="193"/>
      <c r="D113" s="110"/>
      <c r="E113" s="110"/>
      <c r="F113" s="191"/>
      <c r="G113" s="124"/>
      <c r="H113" s="111"/>
      <c r="I113" s="112"/>
      <c r="J113" s="113"/>
      <c r="K113" s="69"/>
      <c r="L113" s="70"/>
      <c r="M113" s="194"/>
      <c r="N113" s="182"/>
      <c r="O113" s="110"/>
      <c r="P113" s="115"/>
      <c r="Q113" s="116"/>
      <c r="R113" s="117"/>
      <c r="S113" s="117"/>
      <c r="T113" s="117"/>
      <c r="U113" s="117"/>
      <c r="V113" s="110"/>
      <c r="W113" s="190"/>
      <c r="X113" s="114"/>
      <c r="Y113" s="208"/>
      <c r="Z113" s="110"/>
      <c r="AA113" s="115"/>
      <c r="AB113" s="115"/>
      <c r="AC113" s="115"/>
      <c r="AD113" s="118"/>
      <c r="AE113" s="119"/>
      <c r="AF113" s="116"/>
      <c r="AG113" s="179"/>
      <c r="AH113" s="120"/>
      <c r="AI113" s="121"/>
      <c r="AJ113" s="113"/>
      <c r="AK113" s="125"/>
      <c r="AL113" s="115"/>
      <c r="AM113" s="116"/>
      <c r="AN113" s="195"/>
      <c r="AO113" s="122"/>
      <c r="AP113" s="123"/>
      <c r="AQ113" s="96"/>
      <c r="AR113" s="130"/>
    </row>
    <row r="114" spans="2:44" s="7" customFormat="1" ht="20.25" customHeight="1" x14ac:dyDescent="0.25">
      <c r="B114" s="109"/>
      <c r="C114" s="193"/>
      <c r="D114" s="110"/>
      <c r="E114" s="110"/>
      <c r="F114" s="191"/>
      <c r="G114" s="124"/>
      <c r="H114" s="111"/>
      <c r="I114" s="112"/>
      <c r="J114" s="113"/>
      <c r="K114" s="69"/>
      <c r="L114" s="70"/>
      <c r="M114" s="194"/>
      <c r="N114" s="182"/>
      <c r="O114" s="110"/>
      <c r="P114" s="115"/>
      <c r="Q114" s="116"/>
      <c r="R114" s="117"/>
      <c r="S114" s="117"/>
      <c r="T114" s="117"/>
      <c r="U114" s="117"/>
      <c r="V114" s="110"/>
      <c r="W114" s="190"/>
      <c r="X114" s="114"/>
      <c r="Y114" s="208"/>
      <c r="Z114" s="110"/>
      <c r="AA114" s="115"/>
      <c r="AB114" s="115"/>
      <c r="AC114" s="115"/>
      <c r="AD114" s="199"/>
      <c r="AE114" s="196"/>
      <c r="AF114" s="197"/>
      <c r="AG114" s="200"/>
      <c r="AH114" s="201"/>
      <c r="AI114" s="202"/>
      <c r="AJ114" s="198"/>
      <c r="AK114" s="203"/>
      <c r="AL114" s="198"/>
      <c r="AM114" s="197"/>
      <c r="AN114" s="204"/>
      <c r="AO114" s="205"/>
      <c r="AP114" s="206"/>
      <c r="AQ114" s="207"/>
      <c r="AR114" s="130"/>
    </row>
    <row r="115" spans="2:44" s="7" customFormat="1" ht="20.25" customHeight="1" x14ac:dyDescent="0.25">
      <c r="B115" s="109"/>
      <c r="C115" s="193"/>
      <c r="D115" s="110"/>
      <c r="E115" s="110"/>
      <c r="F115" s="191"/>
      <c r="G115" s="124"/>
      <c r="H115" s="111"/>
      <c r="I115" s="112"/>
      <c r="J115" s="113"/>
      <c r="K115" s="69"/>
      <c r="L115" s="70"/>
      <c r="M115" s="194"/>
      <c r="N115" s="182"/>
      <c r="O115" s="110"/>
      <c r="P115" s="115"/>
      <c r="Q115" s="116"/>
      <c r="R115" s="117"/>
      <c r="S115" s="117"/>
      <c r="T115" s="117"/>
      <c r="U115" s="117"/>
      <c r="V115" s="110"/>
      <c r="W115" s="190"/>
      <c r="X115" s="114"/>
      <c r="Y115" s="208"/>
      <c r="Z115" s="110"/>
      <c r="AA115" s="115"/>
      <c r="AB115" s="115"/>
      <c r="AC115" s="115"/>
      <c r="AD115" s="199"/>
      <c r="AE115" s="196"/>
      <c r="AF115" s="197"/>
      <c r="AG115" s="200"/>
      <c r="AH115" s="201"/>
      <c r="AI115" s="202"/>
      <c r="AJ115" s="198"/>
      <c r="AK115" s="203"/>
      <c r="AL115" s="198"/>
      <c r="AM115" s="197"/>
      <c r="AN115" s="204"/>
      <c r="AO115" s="205"/>
      <c r="AP115" s="206"/>
      <c r="AQ115" s="207"/>
      <c r="AR115" s="130"/>
    </row>
    <row r="116" spans="2:44" s="7" customFormat="1" ht="20.25" customHeight="1" x14ac:dyDescent="0.25">
      <c r="B116" s="109"/>
      <c r="C116" s="193"/>
      <c r="D116" s="110"/>
      <c r="E116" s="110"/>
      <c r="F116" s="191"/>
      <c r="G116" s="124"/>
      <c r="H116" s="111"/>
      <c r="I116" s="112"/>
      <c r="J116" s="113"/>
      <c r="K116" s="69"/>
      <c r="L116" s="70"/>
      <c r="M116" s="194"/>
      <c r="N116" s="182"/>
      <c r="O116" s="110"/>
      <c r="P116" s="115"/>
      <c r="Q116" s="116"/>
      <c r="R116" s="117"/>
      <c r="S116" s="117"/>
      <c r="T116" s="117"/>
      <c r="U116" s="117"/>
      <c r="V116" s="110"/>
      <c r="W116" s="190"/>
      <c r="X116" s="114"/>
      <c r="Y116" s="208"/>
      <c r="Z116" s="110"/>
      <c r="AA116" s="115"/>
      <c r="AB116" s="115"/>
      <c r="AC116" s="115"/>
      <c r="AD116" s="199"/>
      <c r="AE116" s="196"/>
      <c r="AF116" s="197"/>
      <c r="AG116" s="200"/>
      <c r="AH116" s="201"/>
      <c r="AI116" s="202"/>
      <c r="AJ116" s="198"/>
      <c r="AK116" s="203"/>
      <c r="AL116" s="198"/>
      <c r="AM116" s="197"/>
      <c r="AN116" s="204"/>
      <c r="AO116" s="205"/>
      <c r="AP116" s="206"/>
      <c r="AQ116" s="207"/>
      <c r="AR116" s="130"/>
    </row>
    <row r="117" spans="2:44" s="7" customFormat="1" ht="20.25" customHeight="1" x14ac:dyDescent="0.25">
      <c r="B117" s="109"/>
      <c r="C117" s="193"/>
      <c r="D117" s="110"/>
      <c r="E117" s="110"/>
      <c r="F117" s="191"/>
      <c r="G117" s="124"/>
      <c r="H117" s="111"/>
      <c r="I117" s="112"/>
      <c r="J117" s="113"/>
      <c r="K117" s="69"/>
      <c r="L117" s="70"/>
      <c r="M117" s="194"/>
      <c r="N117" s="182"/>
      <c r="O117" s="110"/>
      <c r="P117" s="115"/>
      <c r="Q117" s="116"/>
      <c r="R117" s="117"/>
      <c r="S117" s="117"/>
      <c r="T117" s="117"/>
      <c r="U117" s="117"/>
      <c r="V117" s="110"/>
      <c r="W117" s="190"/>
      <c r="X117" s="114"/>
      <c r="Y117" s="208"/>
      <c r="Z117" s="110"/>
      <c r="AA117" s="115"/>
      <c r="AB117" s="115"/>
      <c r="AC117" s="115"/>
      <c r="AD117" s="199"/>
      <c r="AE117" s="196"/>
      <c r="AF117" s="197"/>
      <c r="AG117" s="200"/>
      <c r="AH117" s="201"/>
      <c r="AI117" s="202"/>
      <c r="AJ117" s="198"/>
      <c r="AK117" s="203"/>
      <c r="AL117" s="198"/>
      <c r="AM117" s="197"/>
      <c r="AN117" s="204"/>
      <c r="AO117" s="205"/>
      <c r="AP117" s="206"/>
      <c r="AQ117" s="207"/>
      <c r="AR117" s="130"/>
    </row>
    <row r="118" spans="2:44" s="7" customFormat="1" ht="20.25" customHeight="1" x14ac:dyDescent="0.25">
      <c r="B118" s="109"/>
      <c r="C118" s="193"/>
      <c r="D118" s="110"/>
      <c r="E118" s="110"/>
      <c r="F118" s="191"/>
      <c r="G118" s="124"/>
      <c r="H118" s="111"/>
      <c r="I118" s="112"/>
      <c r="J118" s="113"/>
      <c r="K118" s="69"/>
      <c r="L118" s="70"/>
      <c r="M118" s="194"/>
      <c r="N118" s="182"/>
      <c r="O118" s="110"/>
      <c r="P118" s="115"/>
      <c r="Q118" s="116"/>
      <c r="R118" s="117"/>
      <c r="S118" s="117"/>
      <c r="T118" s="117"/>
      <c r="U118" s="117"/>
      <c r="V118" s="110"/>
      <c r="W118" s="190"/>
      <c r="X118" s="114"/>
      <c r="Y118" s="208"/>
      <c r="Z118" s="110"/>
      <c r="AA118" s="115"/>
      <c r="AB118" s="115"/>
      <c r="AC118" s="115"/>
      <c r="AD118" s="199"/>
      <c r="AE118" s="196"/>
      <c r="AF118" s="197"/>
      <c r="AG118" s="200"/>
      <c r="AH118" s="201"/>
      <c r="AI118" s="202"/>
      <c r="AJ118" s="198"/>
      <c r="AK118" s="203"/>
      <c r="AL118" s="198"/>
      <c r="AM118" s="197"/>
      <c r="AN118" s="204"/>
      <c r="AO118" s="205"/>
      <c r="AP118" s="206"/>
      <c r="AQ118" s="207"/>
      <c r="AR118" s="130"/>
    </row>
    <row r="119" spans="2:44" s="7" customFormat="1" ht="20.25" customHeight="1" x14ac:dyDescent="0.25">
      <c r="B119" s="109"/>
      <c r="C119" s="193"/>
      <c r="D119" s="110"/>
      <c r="E119" s="110"/>
      <c r="F119" s="191"/>
      <c r="G119" s="124"/>
      <c r="H119" s="111"/>
      <c r="I119" s="112"/>
      <c r="J119" s="113"/>
      <c r="K119" s="69"/>
      <c r="L119" s="70"/>
      <c r="M119" s="194"/>
      <c r="N119" s="182"/>
      <c r="O119" s="110"/>
      <c r="P119" s="115"/>
      <c r="Q119" s="116"/>
      <c r="R119" s="117"/>
      <c r="S119" s="117"/>
      <c r="T119" s="117"/>
      <c r="U119" s="117"/>
      <c r="V119" s="110"/>
      <c r="W119" s="190"/>
      <c r="X119" s="114"/>
      <c r="Y119" s="208"/>
      <c r="Z119" s="110"/>
      <c r="AA119" s="115"/>
      <c r="AB119" s="115"/>
      <c r="AC119" s="115"/>
      <c r="AD119" s="199"/>
      <c r="AE119" s="196"/>
      <c r="AF119" s="197"/>
      <c r="AG119" s="200"/>
      <c r="AH119" s="201"/>
      <c r="AI119" s="202"/>
      <c r="AJ119" s="198"/>
      <c r="AK119" s="203"/>
      <c r="AL119" s="198"/>
      <c r="AM119" s="197"/>
      <c r="AN119" s="204"/>
      <c r="AO119" s="205"/>
      <c r="AP119" s="206"/>
      <c r="AQ119" s="207"/>
      <c r="AR119" s="130"/>
    </row>
  </sheetData>
  <mergeCells count="20">
    <mergeCell ref="G7:G9"/>
    <mergeCell ref="H8:H9"/>
    <mergeCell ref="I8:I9"/>
    <mergeCell ref="Z8:Z9"/>
    <mergeCell ref="AM8:AN8"/>
    <mergeCell ref="J8:J9"/>
    <mergeCell ref="K8:K9"/>
    <mergeCell ref="A7:B8"/>
    <mergeCell ref="C7:C9"/>
    <mergeCell ref="D7:D9"/>
    <mergeCell ref="E7:E9"/>
    <mergeCell ref="F7:F9"/>
    <mergeCell ref="L8:L9"/>
    <mergeCell ref="N8:N9"/>
    <mergeCell ref="T8:T9"/>
    <mergeCell ref="V8:V9"/>
    <mergeCell ref="AQ3:AR3"/>
    <mergeCell ref="AO4:AR7"/>
    <mergeCell ref="AO8:AO9"/>
    <mergeCell ref="AP8:AP9"/>
  </mergeCells>
  <conditionalFormatting sqref="A10:AS17 AW10:XFD17">
    <cfRule type="expression" dxfId="51" priority="57">
      <formula>LEFT($B10,2)="CA"</formula>
    </cfRule>
    <cfRule type="expression" dxfId="50" priority="58">
      <formula>LEFT($B10,2)="PR"</formula>
    </cfRule>
  </conditionalFormatting>
  <conditionalFormatting sqref="B18:AR119">
    <cfRule type="expression" dxfId="49" priority="5">
      <formula>LEFT($B18,2)="CA"</formula>
    </cfRule>
    <cfRule type="expression" dxfId="48" priority="6">
      <formula>LEFT($B18,2)="PR"</formula>
    </cfRule>
  </conditionalFormatting>
  <conditionalFormatting sqref="AS18:AS19 AW18:XFD19">
    <cfRule type="expression" dxfId="47" priority="56">
      <formula>LEFT($B20,2)="PR"</formula>
    </cfRule>
    <cfRule type="expression" dxfId="46" priority="55">
      <formula>LEFT($B20,2)="CA"</formula>
    </cfRule>
  </conditionalFormatting>
  <conditionalFormatting sqref="AS20:AS21 AW20:XFD21">
    <cfRule type="expression" dxfId="45" priority="54">
      <formula>LEFT($B23,2)="PR"</formula>
    </cfRule>
    <cfRule type="expression" dxfId="44" priority="53">
      <formula>LEFT($B23,2)="CA"</formula>
    </cfRule>
  </conditionalFormatting>
  <conditionalFormatting sqref="AS22 AW22:XFD22">
    <cfRule type="expression" dxfId="43" priority="50">
      <formula>LEFT($B26,2)="PR"</formula>
    </cfRule>
    <cfRule type="expression" dxfId="42" priority="49">
      <formula>LEFT($B26,2)="CA"</formula>
    </cfRule>
  </conditionalFormatting>
  <conditionalFormatting sqref="AS23 AW23:XFD23">
    <cfRule type="expression" dxfId="41" priority="52">
      <formula>LEFT($B6,2)="PR"</formula>
    </cfRule>
    <cfRule type="expression" dxfId="40" priority="51">
      <formula>LEFT($B6,2)="CA"</formula>
    </cfRule>
  </conditionalFormatting>
  <conditionalFormatting sqref="AS24:AS25 AW24:XFD25">
    <cfRule type="expression" dxfId="39" priority="48">
      <formula>LEFT($B29,2)="PR"</formula>
    </cfRule>
    <cfRule type="expression" dxfId="38" priority="47">
      <formula>LEFT($B29,2)="CA"</formula>
    </cfRule>
  </conditionalFormatting>
  <conditionalFormatting sqref="AS26:AS33 AW26:XFD33">
    <cfRule type="expression" dxfId="37" priority="46">
      <formula>LEFT($B33,2)="PR"</formula>
    </cfRule>
    <cfRule type="expression" dxfId="36" priority="45">
      <formula>LEFT($B33,2)="CA"</formula>
    </cfRule>
  </conditionalFormatting>
  <conditionalFormatting sqref="AS34:AS35 AW34:XFD35">
    <cfRule type="expression" dxfId="35" priority="44">
      <formula>LEFT($B42,2)="PR"</formula>
    </cfRule>
    <cfRule type="expression" dxfId="34" priority="43">
      <formula>LEFT($B42,2)="CA"</formula>
    </cfRule>
  </conditionalFormatting>
  <conditionalFormatting sqref="AS36:AS37 AW36:XFD37">
    <cfRule type="expression" dxfId="33" priority="42">
      <formula>LEFT($B43,2)="PR"</formula>
    </cfRule>
    <cfRule type="expression" dxfId="32" priority="41">
      <formula>LEFT($B43,2)="CA"</formula>
    </cfRule>
  </conditionalFormatting>
  <conditionalFormatting sqref="AS38 AW38:XFD38">
    <cfRule type="expression" dxfId="31" priority="39">
      <formula>LEFT($B49,2)="CA"</formula>
    </cfRule>
    <cfRule type="expression" dxfId="30" priority="40">
      <formula>LEFT($B49,2)="PR"</formula>
    </cfRule>
  </conditionalFormatting>
  <conditionalFormatting sqref="AS39 AW39:XFD39">
    <cfRule type="expression" dxfId="29" priority="38">
      <formula>LEFT($B51,2)="PR"</formula>
    </cfRule>
    <cfRule type="expression" dxfId="28" priority="37">
      <formula>LEFT($B51,2)="CA"</formula>
    </cfRule>
  </conditionalFormatting>
  <conditionalFormatting sqref="AS40 AW40:XFD40 AS41:XFD41">
    <cfRule type="expression" dxfId="27" priority="36">
      <formula>LEFT($B53,2)="PR"</formula>
    </cfRule>
    <cfRule type="expression" dxfId="26" priority="35">
      <formula>LEFT($B53,2)="CA"</formula>
    </cfRule>
  </conditionalFormatting>
  <conditionalFormatting sqref="AS42:XFD43">
    <cfRule type="expression" dxfId="25" priority="33">
      <formula>LEFT($B56,2)="CA"</formula>
    </cfRule>
    <cfRule type="expression" dxfId="24" priority="34">
      <formula>LEFT($B56,2)="PR"</formula>
    </cfRule>
  </conditionalFormatting>
  <conditionalFormatting sqref="AS44:XFD45">
    <cfRule type="expression" dxfId="23" priority="32">
      <formula>LEFT($B59,2)="PR"</formula>
    </cfRule>
    <cfRule type="expression" dxfId="22" priority="31">
      <formula>LEFT($B59,2)="CA"</formula>
    </cfRule>
  </conditionalFormatting>
  <conditionalFormatting sqref="AS46:XFD46">
    <cfRule type="expression" dxfId="21" priority="27">
      <formula>LEFT($B62,2)="CA"</formula>
    </cfRule>
    <cfRule type="expression" dxfId="20" priority="28">
      <formula>LEFT($B62,2)="PR"</formula>
    </cfRule>
  </conditionalFormatting>
  <conditionalFormatting sqref="AS47:XFD47">
    <cfRule type="expression" dxfId="19" priority="30">
      <formula>LEFT($B64,2)="PR"</formula>
    </cfRule>
    <cfRule type="expression" dxfId="18" priority="29">
      <formula>LEFT($B64,2)="CA"</formula>
    </cfRule>
  </conditionalFormatting>
  <conditionalFormatting sqref="AS48:XFD53 AS56:XFD57">
    <cfRule type="expression" dxfId="17" priority="26">
      <formula>LEFT($B68,2)="PR"</formula>
    </cfRule>
    <cfRule type="expression" dxfId="16" priority="25">
      <formula>LEFT($B68,2)="CA"</formula>
    </cfRule>
  </conditionalFormatting>
  <conditionalFormatting sqref="AS54:XFD55">
    <cfRule type="expression" dxfId="15" priority="24">
      <formula>LEFT($B75,2)="PR"</formula>
    </cfRule>
    <cfRule type="expression" dxfId="14" priority="23">
      <formula>LEFT($B75,2)="CA"</formula>
    </cfRule>
  </conditionalFormatting>
  <conditionalFormatting sqref="AS58:XFD61">
    <cfRule type="expression" dxfId="13" priority="22">
      <formula>LEFT($B77,2)="PR"</formula>
    </cfRule>
    <cfRule type="expression" dxfId="12" priority="21">
      <formula>LEFT($B77,2)="CA"</formula>
    </cfRule>
  </conditionalFormatting>
  <conditionalFormatting sqref="AS62:XFD69 AS84:XFD85 AS100:XFD101">
    <cfRule type="expression" dxfId="11" priority="20">
      <formula>LEFT($B82,2)="PR"</formula>
    </cfRule>
    <cfRule type="expression" dxfId="10" priority="19">
      <formula>LEFT($B82,2)="CA"</formula>
    </cfRule>
  </conditionalFormatting>
  <conditionalFormatting sqref="AS70:XFD77 AS82:XFD82 AS90:XFD93 AS98:XFD99 AS102:XFD103">
    <cfRule type="expression" dxfId="9" priority="16">
      <formula>LEFT($B89,2)="PR"</formula>
    </cfRule>
    <cfRule type="expression" dxfId="8" priority="15">
      <formula>LEFT($B89,2)="CA"</formula>
    </cfRule>
  </conditionalFormatting>
  <conditionalFormatting sqref="AS78:XFD81">
    <cfRule type="expression" dxfId="7" priority="14">
      <formula>LEFT($B96,2)="PR"</formula>
    </cfRule>
    <cfRule type="expression" dxfId="6" priority="13">
      <formula>LEFT($B96,2)="CA"</formula>
    </cfRule>
  </conditionalFormatting>
  <conditionalFormatting sqref="AS83:XFD83">
    <cfRule type="expression" dxfId="5" priority="11">
      <formula>LEFT($B101,2)="CA"</formula>
    </cfRule>
    <cfRule type="expression" dxfId="4" priority="12">
      <formula>LEFT($B101,2)="PR"</formula>
    </cfRule>
  </conditionalFormatting>
  <conditionalFormatting sqref="AS86:XFD89 AS94:XFD97">
    <cfRule type="expression" dxfId="3" priority="8">
      <formula>LEFT($B107,2)="PR"</formula>
    </cfRule>
    <cfRule type="expression" dxfId="2" priority="7">
      <formula>LEFT($B107,2)="CA"</formula>
    </cfRule>
  </conditionalFormatting>
  <conditionalFormatting sqref="AT9">
    <cfRule type="expression" dxfId="1" priority="1">
      <formula>LEFT($B9,2)="CA"</formula>
    </cfRule>
    <cfRule type="expression" dxfId="0" priority="2">
      <formula>LEFT($B9,2)="PR"</formula>
    </cfRule>
  </conditionalFormatting>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haredContentType xmlns="Microsoft.SharePoint.Taxonomy.ContentTypeSync" SourceId="b7e16863-b940-4291-96f8-ad8461baff96" ContentTypeId="0x01010046829DE55437B147B48D1766376E3D6B" PreviousValue="false" LastSyncTimeStamp="2018-10-26T05:48:34.997Z"/>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FM Document" ma:contentTypeID="0x01010046829DE55437B147B48D1766376E3D6B00E5202FBF7FFAFA4EA585E9004C324842" ma:contentTypeVersion="18" ma:contentTypeDescription="Document Content Type" ma:contentTypeScope="" ma:versionID="de10b7c5da06bf060d66cf8c751af266">
  <xsd:schema xmlns:xsd="http://www.w3.org/2001/XMLSchema" xmlns:xs="http://www.w3.org/2001/XMLSchema" xmlns:p="http://schemas.microsoft.com/office/2006/metadata/properties" xmlns:ns1="http://schemas.microsoft.com/sharepoint/v3" xmlns:ns2="b5ba0a33-b247-4d4b-b9ae-c709af684fd3" xmlns:ns3="4a3d659e-5f8d-4071-900d-27f29812ec25" xmlns:ns4="a890f26c-d654-443f-8794-a2989816637f" targetNamespace="http://schemas.microsoft.com/office/2006/metadata/properties" ma:root="true" ma:fieldsID="83fd050b238b695a46633ce455a5425e" ns1:_="" ns2:_="" ns3:_="" ns4:_="">
    <xsd:import namespace="http://schemas.microsoft.com/sharepoint/v3"/>
    <xsd:import namespace="b5ba0a33-b247-4d4b-b9ae-c709af684fd3"/>
    <xsd:import namespace="4a3d659e-5f8d-4071-900d-27f29812ec25"/>
    <xsd:import namespace="a890f26c-d654-443f-8794-a2989816637f"/>
    <xsd:element name="properties">
      <xsd:complexType>
        <xsd:sequence>
          <xsd:element name="documentManagement">
            <xsd:complexType>
              <xsd:all>
                <xsd:element ref="ns2:o79fb0eb13274969baa8945b2a62dcda" minOccurs="0"/>
                <xsd:element ref="ns2:TaxCatchAll" minOccurs="0"/>
                <xsd:element ref="ns2:TaxCatchAllLabel" minOccurs="0"/>
                <xsd:element ref="ns2:FM_x0020_Ent_x0020_TaxonomyTaxHTField0" minOccurs="0"/>
                <xsd:element ref="ns2:FM_x0020_Doc_x0020_TypeTaxHTField0" minOccurs="0"/>
                <xsd:element ref="ns2:FM_x0020_DPT" minOccurs="0"/>
                <xsd:element ref="ns2:FM_x0020_LOC" minOccurs="0"/>
                <xsd:element ref="ns1:_ExtendedDescription" minOccurs="0"/>
                <xsd:element ref="ns3:lcf76f155ced4ddcb4097134ff3c332f" minOccurs="0"/>
                <xsd:element ref="ns3:MediaServiceOCR" minOccurs="0"/>
                <xsd:element ref="ns4:SharedWithUsers" minOccurs="0"/>
                <xsd:element ref="ns4:SharedWithDetails" minOccurs="0"/>
                <xsd:element ref="ns3:Mes" minOccurs="0"/>
                <xsd:element ref="ns3:A_x00f1_o"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ExtendedDescription" ma:index="18" nillable="true" ma:displayName="Description" ma:internalName="_ExtendedDescription">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5ba0a33-b247-4d4b-b9ae-c709af684fd3" elementFormDefault="qualified">
    <xsd:import namespace="http://schemas.microsoft.com/office/2006/documentManagement/types"/>
    <xsd:import namespace="http://schemas.microsoft.com/office/infopath/2007/PartnerControls"/>
    <xsd:element name="o79fb0eb13274969baa8945b2a62dcda" ma:index="8" ma:taxonomy="true" ma:internalName="o79fb0eb13274969baa8945b2a62dcda" ma:taxonomyFieldName="FM_x0020_Retention_x0020_Category" ma:displayName="FM Retention Category" ma:readOnly="false" ma:default="" ma:fieldId="{879fb0eb-1327-4969-baa8-945b2a62dcda}" ma:sspId="b7e16863-b940-4291-96f8-ad8461baff96" ma:termSetId="3287f003-fa19-4de9-9d01-e5aef60515f6" ma:anchorId="00000000-0000-0000-0000-000000000000" ma:open="false" ma:isKeyword="false">
      <xsd:complexType>
        <xsd:sequence>
          <xsd:element ref="pc:Terms" minOccurs="0" maxOccurs="1"/>
        </xsd:sequence>
      </xsd:complexType>
    </xsd:element>
    <xsd:element name="TaxCatchAll" ma:index="9" nillable="true" ma:displayName="Taxonomy Catch All Column" ma:hidden="true" ma:list="{e4cc0b0e-dc3e-4bc6-b36d-02bdba550249}" ma:internalName="TaxCatchAll" ma:showField="CatchAllData" ma:web="a890f26c-d654-443f-8794-a2989816637f">
      <xsd:complexType>
        <xsd:complexContent>
          <xsd:extension base="dms:MultiChoiceLookup">
            <xsd:sequence>
              <xsd:element name="Value" type="dms:Lookup" maxOccurs="unbounded" minOccurs="0" nillable="true"/>
            </xsd:sequence>
          </xsd:extension>
        </xsd:complexContent>
      </xsd:complexType>
    </xsd:element>
    <xsd:element name="TaxCatchAllLabel" ma:index="10" nillable="true" ma:displayName="Taxonomy Catch All Column1" ma:hidden="true" ma:list="{e4cc0b0e-dc3e-4bc6-b36d-02bdba550249}" ma:internalName="TaxCatchAllLabel" ma:readOnly="true" ma:showField="CatchAllDataLabel" ma:web="a890f26c-d654-443f-8794-a2989816637f">
      <xsd:complexType>
        <xsd:complexContent>
          <xsd:extension base="dms:MultiChoiceLookup">
            <xsd:sequence>
              <xsd:element name="Value" type="dms:Lookup" maxOccurs="unbounded" minOccurs="0" nillable="true"/>
            </xsd:sequence>
          </xsd:extension>
        </xsd:complexContent>
      </xsd:complexType>
    </xsd:element>
    <xsd:element name="FM_x0020_Ent_x0020_TaxonomyTaxHTField0" ma:index="12" nillable="true" ma:taxonomy="true" ma:internalName="FM_x0020_Ent_x0020_TaxonomyTaxHTField0" ma:taxonomyFieldName="FM_x0020_Ent_x0020_Taxonomy" ma:displayName="FM Business Process" ma:readOnly="false" ma:default="" ma:fieldId="{b40ec4b2-9645-411d-a03c-9e8ab0f1f2d4}" ma:sspId="b7e16863-b940-4291-96f8-ad8461baff96" ma:termSetId="3d1ce9c8-a01a-4b28-93f4-bc23cae590ff" ma:anchorId="00000000-0000-0000-0000-000000000000" ma:open="false" ma:isKeyword="false">
      <xsd:complexType>
        <xsd:sequence>
          <xsd:element ref="pc:Terms" minOccurs="0" maxOccurs="1"/>
        </xsd:sequence>
      </xsd:complexType>
    </xsd:element>
    <xsd:element name="FM_x0020_Doc_x0020_TypeTaxHTField0" ma:index="14" nillable="true" ma:taxonomy="true" ma:internalName="FM_x0020_Doc_x0020_TypeTaxHTField0" ma:taxonomyFieldName="FM_x0020_Doc_x0020_Type" ma:displayName="FM Doc Type" ma:readOnly="false" ma:default="" ma:fieldId="{bfb78ee2-975a-4f84-839c-ed91d42d4105}" ma:sspId="b7e16863-b940-4291-96f8-ad8461baff96" ma:termSetId="af82bb66-37d5-47da-967c-ea1eda9481cb" ma:anchorId="00000000-0000-0000-0000-000000000000" ma:open="false" ma:isKeyword="false">
      <xsd:complexType>
        <xsd:sequence>
          <xsd:element ref="pc:Terms" minOccurs="0" maxOccurs="1"/>
        </xsd:sequence>
      </xsd:complexType>
    </xsd:element>
    <xsd:element name="FM_x0020_DPT" ma:index="16" nillable="true" ma:displayName="FM DPT" ma:description="This column is used to assign FMI Department" ma:format="Dropdown" ma:hidden="true" ma:internalName="FM_x0020_DPT" ma:readOnly="false">
      <xsd:simpleType>
        <xsd:restriction base="dms:Choice">
          <xsd:enumeration value="Accounts Payable"/>
          <xsd:enumeration value="Administration"/>
          <xsd:enumeration value="Climax Moly Company"/>
          <xsd:enumeration value="Communications"/>
          <xsd:enumeration value="Community / Administrative Services"/>
          <xsd:enumeration value="Community Relations/Social Resp"/>
          <xsd:enumeration value="Corporate Communications"/>
          <xsd:enumeration value="Custom Applications"/>
          <xsd:enumeration value="Environmental / Sustainable Development"/>
          <xsd:enumeration value="Exploration"/>
          <xsd:enumeration value="Exploration / Geology"/>
          <xsd:enumeration value="External Communications"/>
          <xsd:enumeration value="Finance"/>
          <xsd:enumeration value="Finance / Accounting / Tax"/>
          <xsd:enumeration value="Financial Shared Services"/>
          <xsd:enumeration value="FM Africa"/>
          <xsd:enumeration value="FM Americas"/>
          <xsd:enumeration value="FM Mining Company"/>
          <xsd:enumeration value="Global Supply Chain"/>
          <xsd:enumeration value="GSC/ Purchasing/ Warehousing"/>
          <xsd:enumeration value="Health &amp; Safety"/>
          <xsd:enumeration value="Human Resources"/>
          <xsd:enumeration value="Legal / Govt Relations"/>
          <xsd:enumeration value="MIS"/>
          <xsd:enumeration value="Operational Improvement"/>
          <xsd:enumeration value="Operations"/>
          <xsd:enumeration value="Operations Smelting"/>
          <xsd:enumeration value="Ops Maintenance"/>
          <xsd:enumeration value="Sales &amp; Marketing"/>
          <xsd:enumeration value="Security"/>
          <xsd:enumeration value="Senior Management (Corp)"/>
          <xsd:enumeration value="Strategic Planning"/>
        </xsd:restriction>
      </xsd:simpleType>
    </xsd:element>
    <xsd:element name="FM_x0020_LOC" ma:index="17" nillable="true" ma:displayName="FM LOC" ma:description="This column is used to assign Location" ma:format="Dropdown" ma:hidden="true" ma:internalName="FM_x0020_LOC" ma:readOnly="false">
      <xsd:simpleType>
        <xsd:restriction base="dms:Choice">
          <xsd:enumeration value="Administrative &amp; Sales"/>
          <xsd:enumeration value="Africa"/>
          <xsd:enumeration value="Ajo"/>
          <xsd:enumeration value="Arequipa"/>
          <xsd:enumeration value="Asia Pacific"/>
          <xsd:enumeration value="Atlantic Copper (Huelva)"/>
          <xsd:enumeration value="Aurex"/>
          <xsd:enumeration value="Australia/Asia"/>
          <xsd:enumeration value="Bagdad"/>
          <xsd:enumeration value="Bayway"/>
          <xsd:enumeration value="Bisbee"/>
          <xsd:enumeration value="Cairns"/>
          <xsd:enumeration value="Candelaria"/>
          <xsd:enumeration value="Central Analytical Service Center"/>
          <xsd:enumeration value="Cerro Verde"/>
          <xsd:enumeration value="Chino"/>
          <xsd:enumeration value="Climax"/>
          <xsd:enumeration value="Climax Technology Center"/>
          <xsd:enumeration value="Cobre"/>
          <xsd:enumeration value="Colorado Data Center"/>
          <xsd:enumeration value="Cotton Center"/>
          <xsd:enumeration value="Data Center"/>
          <xsd:enumeration value="El Abra"/>
          <xsd:enumeration value="El Paso"/>
          <xsd:enumeration value="El Paso Refinery"/>
          <xsd:enumeration value="El Paso Rod"/>
          <xsd:enumeration value="Europe"/>
          <xsd:enumeration value="FMC"/>
          <xsd:enumeration value="Ft Madison"/>
          <xsd:enumeration value="Global"/>
          <xsd:enumeration value="Henderson"/>
          <xsd:enumeration value="Houston"/>
          <xsd:enumeration value="Huelva"/>
          <xsd:enumeration value="Jakarta"/>
          <xsd:enumeration value="Jerome"/>
          <xsd:enumeration value="Johannesburg"/>
          <xsd:enumeration value="Kinetics"/>
          <xsd:enumeration value="Kisanfu"/>
          <xsd:enumeration value="Kokkola"/>
          <xsd:enumeration value="Lafayette"/>
          <xsd:enumeration value="Lubumbashi"/>
          <xsd:enumeration value="Madrid"/>
          <xsd:enumeration value="Miami"/>
          <xsd:enumeration value="Miami Rod"/>
          <xsd:enumeration value="Miami Smelter"/>
          <xsd:enumeration value="Mine Training Institute"/>
          <xsd:enumeration value="Mining"/>
          <xsd:enumeration value="Morenci"/>
          <xsd:enumeration value="New Mexico"/>
          <xsd:enumeration value="NOLA"/>
          <xsd:enumeration value="North America"/>
          <xsd:enumeration value="Norwich"/>
          <xsd:enumeration value="Oil &amp; Gas"/>
          <xsd:enumeration value="Ojos del Salado"/>
          <xsd:enumeration value="Oro Valley"/>
          <xsd:enumeration value="Phoenix"/>
          <xsd:enumeration value="Processing"/>
          <xsd:enumeration value="PTFI"/>
          <xsd:enumeration value="Research &amp; Development"/>
          <xsd:enumeration value="Rotterdam"/>
          <xsd:enumeration value="Safford"/>
          <xsd:enumeration value="Safford Lab"/>
          <xsd:enumeration value="Safford Mine"/>
          <xsd:enumeration value="Sahuarita"/>
          <xsd:enumeration value="Sanchez"/>
          <xsd:enumeration value="Santiago Data Center"/>
          <xsd:enumeration value="Santiago"/>
          <xsd:enumeration value="Shanghai"/>
          <xsd:enumeration value="Sierrita"/>
          <xsd:enumeration value="Singapore"/>
          <xsd:enumeration value="South America"/>
          <xsd:enumeration value="Stowmarket"/>
          <xsd:enumeration value="Technology Center"/>
          <xsd:enumeration value="Tenke Fungurume"/>
          <xsd:enumeration value="Tohono"/>
          <xsd:enumeration value="Tokyo"/>
          <xsd:enumeration value="Tucson Office"/>
          <xsd:enumeration value="Twin Buttes"/>
          <xsd:enumeration value="Tyrone"/>
        </xsd:restriction>
      </xsd:simpleType>
    </xsd:element>
  </xsd:schema>
  <xsd:schema xmlns:xsd="http://www.w3.org/2001/XMLSchema" xmlns:xs="http://www.w3.org/2001/XMLSchema" xmlns:dms="http://schemas.microsoft.com/office/2006/documentManagement/types" xmlns:pc="http://schemas.microsoft.com/office/infopath/2007/PartnerControls" targetNamespace="4a3d659e-5f8d-4071-900d-27f29812ec25" elementFormDefault="qualified">
    <xsd:import namespace="http://schemas.microsoft.com/office/2006/documentManagement/types"/>
    <xsd:import namespace="http://schemas.microsoft.com/office/infopath/2007/PartnerControls"/>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b7e16863-b940-4291-96f8-ad8461baff96"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description="" ma:internalName="MediaServiceOCR" ma:readOnly="true">
      <xsd:simpleType>
        <xsd:restriction base="dms:Note">
          <xsd:maxLength value="255"/>
        </xsd:restriction>
      </xsd:simpleType>
    </xsd:element>
    <xsd:element name="Mes" ma:index="24" nillable="true" ma:displayName="Mes" ma:format="Dropdown" ma:internalName="Mes">
      <xsd:simpleType>
        <xsd:restriction base="dms:Choice">
          <xsd:enumeration value="Enero"/>
          <xsd:enumeration value="Febrero"/>
          <xsd:enumeration value="Marzo"/>
          <xsd:enumeration value="Abril"/>
          <xsd:enumeration value="Mayo"/>
          <xsd:enumeration value="Junio"/>
          <xsd:enumeration value="Julio"/>
          <xsd:enumeration value="Agosto"/>
          <xsd:enumeration value="Octubre"/>
          <xsd:enumeration value="Noviembre"/>
          <xsd:enumeration value="Diciembre"/>
        </xsd:restriction>
      </xsd:simpleType>
    </xsd:element>
    <xsd:element name="A_x00f1_o" ma:index="25" nillable="true" ma:displayName="Año" ma:format="Dropdown" ma:internalName="A_x00f1_o">
      <xsd:simpleType>
        <xsd:restriction base="dms:Choice">
          <xsd:enumeration value="2023"/>
          <xsd:enumeration value="2024"/>
          <xsd:enumeration value="2025"/>
        </xsd:restriction>
      </xsd:simpleType>
    </xsd:element>
  </xsd:schema>
  <xsd:schema xmlns:xsd="http://www.w3.org/2001/XMLSchema" xmlns:xs="http://www.w3.org/2001/XMLSchema" xmlns:dms="http://schemas.microsoft.com/office/2006/documentManagement/types" xmlns:pc="http://schemas.microsoft.com/office/infopath/2007/PartnerControls" targetNamespace="a890f26c-d654-443f-8794-a2989816637f" elementFormDefault="qualified">
    <xsd:import namespace="http://schemas.microsoft.com/office/2006/documentManagement/types"/>
    <xsd:import namespace="http://schemas.microsoft.com/office/infopath/2007/PartnerControls"/>
    <xsd:element name="SharedWithUsers" ma:index="22"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3" nillable="true" ma:displayName="Shared With Details" ma:description=""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lcf76f155ced4ddcb4097134ff3c332f xmlns="4a3d659e-5f8d-4071-900d-27f29812ec25">
      <Terms xmlns="http://schemas.microsoft.com/office/infopath/2007/PartnerControls"/>
    </lcf76f155ced4ddcb4097134ff3c332f>
    <TaxCatchAll xmlns="b5ba0a33-b247-4d4b-b9ae-c709af684fd3">
      <Value>27</Value>
      <Value>3</Value>
      <Value>2</Value>
    </TaxCatchAll>
    <Mes xmlns="4a3d659e-5f8d-4071-900d-27f29812ec25" xsi:nil="true"/>
    <A_x00f1_o xmlns="4a3d659e-5f8d-4071-900d-27f29812ec25" xsi:nil="true"/>
    <o79fb0eb13274969baa8945b2a62dcda xmlns="b5ba0a33-b247-4d4b-b9ae-c709af684fd3">
      <Terms xmlns="http://schemas.microsoft.com/office/infopath/2007/PartnerControls">
        <TermInfo xmlns="http://schemas.microsoft.com/office/infopath/2007/PartnerControls">
          <TermName xmlns="http://schemas.microsoft.com/office/infopath/2007/PartnerControls">Production History and Operations</TermName>
          <TermId xmlns="http://schemas.microsoft.com/office/infopath/2007/PartnerControls">8a9e6489-44ac-4daf-946a-502c539dd566</TermId>
        </TermInfo>
      </Terms>
    </o79fb0eb13274969baa8945b2a62dcda>
    <FM_x0020_Ent_x0020_TaxonomyTaxHTField0 xmlns="b5ba0a33-b247-4d4b-b9ae-c709af684fd3">
      <Terms xmlns="http://schemas.microsoft.com/office/infopath/2007/PartnerControls">
        <TermInfo xmlns="http://schemas.microsoft.com/office/infopath/2007/PartnerControls">
          <TermName xmlns="http://schemas.microsoft.com/office/infopath/2007/PartnerControls">Processing</TermName>
          <TermId xmlns="http://schemas.microsoft.com/office/infopath/2007/PartnerControls">efa2ab29-f908-4dcc-ac75-552aeb98f420</TermId>
        </TermInfo>
      </Terms>
    </FM_x0020_Ent_x0020_TaxonomyTaxHTField0>
    <FM_x0020_Doc_x0020_TypeTaxHTField0 xmlns="b5ba0a33-b247-4d4b-b9ae-c709af684fd3">
      <Terms xmlns="http://schemas.microsoft.com/office/infopath/2007/PartnerControls">
        <TermInfo xmlns="http://schemas.microsoft.com/office/infopath/2007/PartnerControls">
          <TermName xmlns="http://schemas.microsoft.com/office/infopath/2007/PartnerControls">Processing</TermName>
          <TermId xmlns="http://schemas.microsoft.com/office/infopath/2007/PartnerControls">b997b950-29ca-4e04-b7d1-80533dc31e58</TermId>
        </TermInfo>
      </Terms>
    </FM_x0020_Doc_x0020_TypeTaxHTField0>
    <FM_x0020_DPT xmlns="b5ba0a33-b247-4d4b-b9ae-c709af684fd3">Operations</FM_x0020_DPT>
    <FM_x0020_LOC xmlns="b5ba0a33-b247-4d4b-b9ae-c709af684fd3">Cerro Verde</FM_x0020_LOC>
    <_ExtendedDescription xmlns="http://schemas.microsoft.com/sharepoint/v3" xsi:nil="true"/>
  </documentManagement>
</p:properties>
</file>

<file path=customXml/itemProps1.xml><?xml version="1.0" encoding="utf-8"?>
<ds:datastoreItem xmlns:ds="http://schemas.openxmlformats.org/officeDocument/2006/customXml" ds:itemID="{0C6570FB-9B68-4CF1-92C8-B67C02562D22}">
  <ds:schemaRefs>
    <ds:schemaRef ds:uri="Microsoft.SharePoint.Taxonomy.ContentTypeSync"/>
  </ds:schemaRefs>
</ds:datastoreItem>
</file>

<file path=customXml/itemProps2.xml><?xml version="1.0" encoding="utf-8"?>
<ds:datastoreItem xmlns:ds="http://schemas.openxmlformats.org/officeDocument/2006/customXml" ds:itemID="{CA7D9B35-3115-42E2-AD1D-1F4B356CF27C}">
  <ds:schemaRefs>
    <ds:schemaRef ds:uri="http://schemas.microsoft.com/sharepoint/v3/contenttype/forms"/>
  </ds:schemaRefs>
</ds:datastoreItem>
</file>

<file path=customXml/itemProps3.xml><?xml version="1.0" encoding="utf-8"?>
<ds:datastoreItem xmlns:ds="http://schemas.openxmlformats.org/officeDocument/2006/customXml" ds:itemID="{6F130E2A-C6BC-4B4E-9650-693F12E2C6A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b5ba0a33-b247-4d4b-b9ae-c709af684fd3"/>
    <ds:schemaRef ds:uri="4a3d659e-5f8d-4071-900d-27f29812ec25"/>
    <ds:schemaRef ds:uri="a890f26c-d654-443f-8794-a2989816637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C24B2B02-FACD-4984-A5B8-DB9B3AEE391A}">
  <ds:schemaRefs>
    <ds:schemaRef ds:uri="http://schemas.microsoft.com/office/2006/metadata/properties"/>
    <ds:schemaRef ds:uri="http://schemas.microsoft.com/office/infopath/2007/PartnerControls"/>
    <ds:schemaRef ds:uri="4a3d659e-5f8d-4071-900d-27f29812ec25"/>
    <ds:schemaRef ds:uri="b5ba0a33-b247-4d4b-b9ae-c709af684fd3"/>
    <ds:schemaRef ds:uri="http://schemas.microsoft.com/sharepoint/v3"/>
  </ds:schemaRefs>
</ds:datastoreItem>
</file>

<file path=docMetadata/LabelInfo.xml><?xml version="1.0" encoding="utf-8"?>
<clbl:labelList xmlns:clbl="http://schemas.microsoft.com/office/2020/mipLabelMetadata">
  <clbl:label id="{56f8a036-ae1b-4f85-92d3-f4203c03c43b}" enabled="1" method="Standard" siteId="{5f229ce1-773c-46ed-a6fa-974006fae097}"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3</vt:i4>
      </vt:variant>
    </vt:vector>
  </HeadingPairs>
  <TitlesOfParts>
    <vt:vector size="7" baseType="lpstr">
      <vt:lpstr>FCS</vt:lpstr>
      <vt:lpstr>R Semanal</vt:lpstr>
      <vt:lpstr>RepTopoP1</vt:lpstr>
      <vt:lpstr>Sheet1</vt:lpstr>
      <vt:lpstr>FCS!Área_de_impresión</vt:lpstr>
      <vt:lpstr>'R Semanal'!Área_de_impresión</vt:lpstr>
      <vt:lpstr>FCS!Títulos_a_imprimir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Salas Riveros, Robert D.</dc:creator>
  <cp:keywords/>
  <dc:description/>
  <cp:lastModifiedBy>APAZA AYTA, ANDERSON MAGNER</cp:lastModifiedBy>
  <cp:revision/>
  <dcterms:created xsi:type="dcterms:W3CDTF">2014-10-22T15:01:15Z</dcterms:created>
  <dcterms:modified xsi:type="dcterms:W3CDTF">2026-04-06T12:08:41Z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0x01010046829DE55437B147B48D1766376E3D6B00E5202FBF7FFAFA4EA585E9004C324842</vt:lpwstr>
  </property>
  <property fmtid="{D5CDD505-2E9C-101B-9397-08002B2CF9AE}" pid="3" name="MSIP_Label_56f8a036-ae1b-4f85-92d3-f4203c03c43b_Enabled">
    <vt:lpwstr>true</vt:lpwstr>
  </property>
  <property fmtid="{D5CDD505-2E9C-101B-9397-08002B2CF9AE}" pid="4" name="MSIP_Label_56f8a036-ae1b-4f85-92d3-f4203c03c43b_SetDate">
    <vt:lpwstr>2022-09-08T19:20:04Z</vt:lpwstr>
  </property>
  <property fmtid="{D5CDD505-2E9C-101B-9397-08002B2CF9AE}" pid="5" name="MSIP_Label_56f8a036-ae1b-4f85-92d3-f4203c03c43b_Method">
    <vt:lpwstr>Standard</vt:lpwstr>
  </property>
  <property fmtid="{D5CDD505-2E9C-101B-9397-08002B2CF9AE}" pid="6" name="MSIP_Label_56f8a036-ae1b-4f85-92d3-f4203c03c43b_Name">
    <vt:lpwstr>56f8a036-ae1b-4f85-92d3-f4203c03c43b</vt:lpwstr>
  </property>
  <property fmtid="{D5CDD505-2E9C-101B-9397-08002B2CF9AE}" pid="7" name="MSIP_Label_56f8a036-ae1b-4f85-92d3-f4203c03c43b_SiteId">
    <vt:lpwstr>5f229ce1-773c-46ed-a6fa-974006fae097</vt:lpwstr>
  </property>
  <property fmtid="{D5CDD505-2E9C-101B-9397-08002B2CF9AE}" pid="8" name="MSIP_Label_56f8a036-ae1b-4f85-92d3-f4203c03c43b_ActionId">
    <vt:lpwstr>9f30998e-e099-4588-9957-b78695026195</vt:lpwstr>
  </property>
  <property fmtid="{D5CDD505-2E9C-101B-9397-08002B2CF9AE}" pid="9" name="MSIP_Label_56f8a036-ae1b-4f85-92d3-f4203c03c43b_ContentBits">
    <vt:lpwstr>0</vt:lpwstr>
  </property>
  <property fmtid="{D5CDD505-2E9C-101B-9397-08002B2CF9AE}" pid="10" name="ComplianceAssetId">
    <vt:lpwstr/>
  </property>
  <property fmtid="{D5CDD505-2E9C-101B-9397-08002B2CF9AE}" pid="11" name="_ExtendedDescription">
    <vt:lpwstr/>
  </property>
  <property fmtid="{D5CDD505-2E9C-101B-9397-08002B2CF9AE}" pid="12" name="TriggerFlowInfo">
    <vt:lpwstr/>
  </property>
  <property fmtid="{D5CDD505-2E9C-101B-9397-08002B2CF9AE}" pid="13" name="MediaServiceImageTags">
    <vt:lpwstr/>
  </property>
  <property fmtid="{D5CDD505-2E9C-101B-9397-08002B2CF9AE}" pid="14" name="FM_x0020_Ent_x0020_Taxonomy">
    <vt:lpwstr>2;#Processing|efa2ab29-f908-4dcc-ac75-552aeb98f420</vt:lpwstr>
  </property>
  <property fmtid="{D5CDD505-2E9C-101B-9397-08002B2CF9AE}" pid="15" name="FM_x0020_Doc_x0020_Type">
    <vt:lpwstr>3;#Processing|b997b950-29ca-4e04-b7d1-80533dc31e58</vt:lpwstr>
  </property>
  <property fmtid="{D5CDD505-2E9C-101B-9397-08002B2CF9AE}" pid="16" name="FM_x0020_Retention_x0020_Category">
    <vt:lpwstr>27;#Production History and Operations|8a9e6489-44ac-4daf-946a-502c539dd566</vt:lpwstr>
  </property>
  <property fmtid="{D5CDD505-2E9C-101B-9397-08002B2CF9AE}" pid="17" name="FM Ent Taxonomy">
    <vt:lpwstr>2;#Processing|efa2ab29-f908-4dcc-ac75-552aeb98f420</vt:lpwstr>
  </property>
  <property fmtid="{D5CDD505-2E9C-101B-9397-08002B2CF9AE}" pid="18" name="FM Retention Category">
    <vt:lpwstr>27;#Production History and Operations|8a9e6489-44ac-4daf-946a-502c539dd566</vt:lpwstr>
  </property>
  <property fmtid="{D5CDD505-2E9C-101B-9397-08002B2CF9AE}" pid="19" name="FM Doc Type">
    <vt:lpwstr>3;#Processing|b997b950-29ca-4e04-b7d1-80533dc31e58</vt:lpwstr>
  </property>
</Properties>
</file>