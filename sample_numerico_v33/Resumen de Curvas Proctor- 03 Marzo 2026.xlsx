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cx365.sharepoint.com/Sites/CVE-RLVEnlozada/03 QAQC C1 Gabinete/REPORTES MENSUALES/Ensayo Proctor/2026/"/>
    </mc:Choice>
  </mc:AlternateContent>
  <xr:revisionPtr revIDLastSave="15" documentId="8_{B2E3F733-C736-40E7-BD6E-D359775F50F8}" xr6:coauthVersionLast="47" xr6:coauthVersionMax="47" xr10:uidLastSave="{30A58C0C-BB20-40A6-BDDB-D4F3251A85F7}"/>
  <bookViews>
    <workbookView xWindow="-120" yWindow="-120" windowWidth="29040" windowHeight="15720" tabRatio="343" xr2:uid="{00000000-000D-0000-FFFF-FFFF00000000}"/>
  </bookViews>
  <sheets>
    <sheet name="FCS" sheetId="3" r:id="rId1"/>
  </sheets>
  <definedNames>
    <definedName name="_xlnm._FilterDatabase" localSheetId="0" hidden="1">FCS!$E$7:$I$50</definedName>
    <definedName name="_xlnm.Extract" localSheetId="0">FCS!#REF!</definedName>
    <definedName name="_xlnm.Criteria" localSheetId="0">FCS!#REF!</definedName>
    <definedName name="_xlnm.Print_Titles" localSheetId="0">FCS!$1:$8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2" i="3" l="1"/>
  <c r="K55" i="3"/>
  <c r="R55" i="3" l="1"/>
  <c r="R52" i="3" l="1"/>
  <c r="R54" i="3" l="1"/>
  <c r="K53" i="3" l="1"/>
  <c r="K54" i="3" l="1"/>
  <c r="R53" i="3"/>
  <c r="Q55" i="3" l="1"/>
  <c r="Q54" i="3"/>
  <c r="Q53" i="3"/>
  <c r="Q52" i="3"/>
</calcChain>
</file>

<file path=xl/sharedStrings.xml><?xml version="1.0" encoding="utf-8"?>
<sst xmlns="http://schemas.openxmlformats.org/spreadsheetml/2006/main" count="172" uniqueCount="86">
  <si>
    <t>Control de Calidad</t>
  </si>
  <si>
    <t>Presa de Relaves</t>
  </si>
  <si>
    <t>SMCV-QC</t>
  </si>
  <si>
    <t xml:space="preserve">Resp. Guar. </t>
  </si>
  <si>
    <t>Turn</t>
  </si>
  <si>
    <t>Date</t>
  </si>
  <si>
    <t xml:space="preserve">Location </t>
  </si>
  <si>
    <t xml:space="preserve"> Specific Gravity</t>
  </si>
  <si>
    <t>Particle-Size</t>
  </si>
  <si>
    <t>Proctor Compaction</t>
  </si>
  <si>
    <t>Easting</t>
  </si>
  <si>
    <t>Northing</t>
  </si>
  <si>
    <t>Elev.</t>
  </si>
  <si>
    <t>Cancha</t>
  </si>
  <si>
    <t>Sb/
Sp No.</t>
  </si>
  <si>
    <t>Method</t>
  </si>
  <si>
    <t>Max. Particle size</t>
  </si>
  <si>
    <t>Percent passing (Control)</t>
  </si>
  <si>
    <t>Max. Dry Density</t>
  </si>
  <si>
    <t xml:space="preserve">Optimum Moisture </t>
  </si>
  <si>
    <t>Remarks</t>
  </si>
  <si>
    <t>PR</t>
  </si>
  <si>
    <r>
      <t xml:space="preserve"> g/cm</t>
    </r>
    <r>
      <rPr>
        <b/>
        <vertAlign val="superscript"/>
        <sz val="9"/>
        <rFont val="Century Gothic"/>
        <family val="2"/>
      </rPr>
      <t>3</t>
    </r>
  </si>
  <si>
    <t>No. 30</t>
  </si>
  <si>
    <t>No. 50</t>
  </si>
  <si>
    <t>No. 100</t>
  </si>
  <si>
    <t>No. 200</t>
  </si>
  <si>
    <t>%</t>
  </si>
  <si>
    <t>Mínimo</t>
  </si>
  <si>
    <t>Máximo</t>
  </si>
  <si>
    <t>Promedio</t>
  </si>
  <si>
    <t>Desviación Estándar</t>
  </si>
  <si>
    <t>A</t>
  </si>
  <si>
    <t>N° 8</t>
  </si>
  <si>
    <t>GT</t>
  </si>
  <si>
    <t>B</t>
  </si>
  <si>
    <t>GM</t>
  </si>
  <si>
    <t>1B-H</t>
  </si>
  <si>
    <t>3C-H</t>
  </si>
  <si>
    <t>Sp 48</t>
  </si>
  <si>
    <t>N° 16</t>
  </si>
  <si>
    <t>Proctor test</t>
  </si>
  <si>
    <t>2B-M</t>
  </si>
  <si>
    <t>Sp 27</t>
  </si>
  <si>
    <t>3A-M</t>
  </si>
  <si>
    <t>2C-M</t>
  </si>
  <si>
    <t>4A-H</t>
  </si>
  <si>
    <t>Sp 50</t>
  </si>
  <si>
    <t>PR-260032</t>
  </si>
  <si>
    <t>PR-260033</t>
  </si>
  <si>
    <t>PR-260034</t>
  </si>
  <si>
    <t>PR-260035</t>
  </si>
  <si>
    <t>PR-260036</t>
  </si>
  <si>
    <t>PR-260037</t>
  </si>
  <si>
    <t>PR-260038</t>
  </si>
  <si>
    <t>PR-260039</t>
  </si>
  <si>
    <t>PR-260040</t>
  </si>
  <si>
    <t>PR-260041</t>
  </si>
  <si>
    <t>PR-260042</t>
  </si>
  <si>
    <t>PR-260043</t>
  </si>
  <si>
    <t>PR-260044</t>
  </si>
  <si>
    <t>PR-260045</t>
  </si>
  <si>
    <t>PR-260046</t>
  </si>
  <si>
    <t>PR-260047</t>
  </si>
  <si>
    <t>PR-260048</t>
  </si>
  <si>
    <t>FV</t>
  </si>
  <si>
    <t>0+902.21</t>
  </si>
  <si>
    <t>0+339.48</t>
  </si>
  <si>
    <t>Sp 32</t>
  </si>
  <si>
    <t>Plataforma</t>
  </si>
  <si>
    <t>4B-H</t>
  </si>
  <si>
    <t>Sp 56</t>
  </si>
  <si>
    <t>Sp 51</t>
  </si>
  <si>
    <t>2B-H</t>
  </si>
  <si>
    <t>2A-M</t>
  </si>
  <si>
    <t>Sp 21</t>
  </si>
  <si>
    <t>Sp 34</t>
  </si>
  <si>
    <t>Sp 45</t>
  </si>
  <si>
    <t>Sp 28</t>
  </si>
  <si>
    <t>4A-M</t>
  </si>
  <si>
    <t>1C-M</t>
  </si>
  <si>
    <t>Sp 18</t>
  </si>
  <si>
    <t>4B-L</t>
  </si>
  <si>
    <t>Sp 54</t>
  </si>
  <si>
    <t>Sp 22</t>
  </si>
  <si>
    <t>Estadísticas de Marzo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</si>
</sst>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_([$€]* #,##0.000_);_([$€]* \(#,##0.000\);_([$€]* &quot;-&quot;??_);_(@_)"/>
    <numFmt numFmtId="168" formatCode="0\+000.00"/>
    <numFmt numFmtId="169" formatCode="dd/mm/yyyy;@"/>
    <numFmt numFmtId="170" formatCode="_-[$€-2]* #,##0.00_-;\-[$€-2]* #,##0.00_-;_-[$€-2]* &quot;-&quot;??_-"/>
  </numFmts>
  <fonts count="35" x14ac:knownFonts="1">
    <font>
      <sz val="10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entury Gothic"/>
      <family val="2"/>
    </font>
    <font>
      <b/>
      <sz val="16"/>
      <name val="Century Gothic"/>
      <family val="2"/>
    </font>
    <font>
      <b/>
      <i/>
      <sz val="10"/>
      <name val="Century Gothic"/>
      <family val="2"/>
    </font>
    <font>
      <b/>
      <sz val="9"/>
      <name val="Century Gothic"/>
      <family val="2"/>
    </font>
    <font>
      <b/>
      <sz val="10"/>
      <name val="Century Gothic"/>
      <family val="2"/>
    </font>
    <font>
      <sz val="8"/>
      <name val="Century Gothic"/>
      <family val="2"/>
    </font>
    <font>
      <sz val="10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18"/>
      <name val="Arial"/>
      <family val="2"/>
    </font>
    <font>
      <b/>
      <i/>
      <sz val="14"/>
      <name val="Arial"/>
      <family val="2"/>
    </font>
    <font>
      <sz val="9"/>
      <color theme="1"/>
      <name val="Century Gothic"/>
      <family val="2"/>
    </font>
    <font>
      <b/>
      <vertAlign val="superscript"/>
      <sz val="9"/>
      <name val="Century Gothic"/>
      <family val="2"/>
    </font>
    <font>
      <b/>
      <sz val="9"/>
      <color rgb="FF0000FF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49">
    <xf numFmtId="0" fontId="0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70" fontId="20" fillId="0" borderId="0" applyFont="0" applyFill="0" applyBorder="0" applyAlignment="0" applyProtection="0"/>
    <xf numFmtId="0" fontId="11" fillId="0" borderId="0"/>
    <xf numFmtId="0" fontId="21" fillId="0" borderId="0"/>
    <xf numFmtId="0" fontId="19" fillId="0" borderId="0"/>
    <xf numFmtId="0" fontId="22" fillId="0" borderId="0"/>
    <xf numFmtId="170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70" fontId="11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9" fontId="11" fillId="0" borderId="0" applyFont="0" applyFill="0" applyBorder="0" applyAlignment="0" applyProtection="0"/>
    <xf numFmtId="0" fontId="10" fillId="0" borderId="0"/>
    <xf numFmtId="0" fontId="11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26" fillId="2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9" fontId="24" fillId="0" borderId="0" applyFont="0" applyFill="0" applyBorder="0" applyAlignment="0" applyProtection="0"/>
    <xf numFmtId="0" fontId="25" fillId="0" borderId="18" applyNumberFormat="0" applyFill="0" applyAlignment="0" applyProtection="0"/>
    <xf numFmtId="0" fontId="9" fillId="0" borderId="0"/>
    <xf numFmtId="0" fontId="9" fillId="0" borderId="0"/>
    <xf numFmtId="0" fontId="27" fillId="0" borderId="0"/>
    <xf numFmtId="0" fontId="11" fillId="0" borderId="0"/>
    <xf numFmtId="0" fontId="8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28" fillId="0" borderId="0"/>
    <xf numFmtId="0" fontId="4" fillId="0" borderId="0"/>
    <xf numFmtId="0" fontId="4" fillId="0" borderId="0"/>
    <xf numFmtId="0" fontId="11" fillId="0" borderId="0"/>
    <xf numFmtId="0" fontId="3" fillId="0" borderId="0"/>
    <xf numFmtId="0" fontId="3" fillId="0" borderId="0"/>
    <xf numFmtId="0" fontId="29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09">
    <xf numFmtId="0" fontId="0" fillId="0" borderId="0" xfId="0"/>
    <xf numFmtId="0" fontId="12" fillId="0" borderId="0" xfId="0" applyFont="1" applyAlignment="1">
      <alignment horizontal="center"/>
    </xf>
    <xf numFmtId="0" fontId="18" fillId="0" borderId="0" xfId="0" applyFont="1"/>
    <xf numFmtId="165" fontId="18" fillId="0" borderId="0" xfId="0" applyNumberFormat="1" applyFont="1"/>
    <xf numFmtId="166" fontId="18" fillId="0" borderId="0" xfId="0" applyNumberFormat="1" applyFont="1"/>
    <xf numFmtId="0" fontId="12" fillId="0" borderId="0" xfId="0" applyFont="1"/>
    <xf numFmtId="49" fontId="12" fillId="0" borderId="0" xfId="0" applyNumberFormat="1" applyFont="1" applyAlignment="1">
      <alignment horizontal="left"/>
    </xf>
    <xf numFmtId="14" fontId="18" fillId="0" borderId="0" xfId="0" applyNumberFormat="1" applyFont="1"/>
    <xf numFmtId="14" fontId="12" fillId="0" borderId="0" xfId="0" applyNumberFormat="1" applyFont="1" applyAlignment="1">
      <alignment horizontal="center"/>
    </xf>
    <xf numFmtId="0" fontId="12" fillId="0" borderId="0" xfId="0" applyFont="1" applyAlignment="1" applyProtection="1">
      <alignment horizontal="center" vertical="center" wrapText="1"/>
      <protection locked="0"/>
    </xf>
    <xf numFmtId="0" fontId="16" fillId="0" borderId="0" xfId="0" applyFont="1"/>
    <xf numFmtId="0" fontId="15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left"/>
    </xf>
    <xf numFmtId="0" fontId="15" fillId="0" borderId="14" xfId="0" applyFont="1" applyBorder="1" applyAlignment="1">
      <alignment horizontal="center"/>
    </xf>
    <xf numFmtId="165" fontId="18" fillId="0" borderId="24" xfId="0" applyNumberFormat="1" applyFont="1" applyBorder="1"/>
    <xf numFmtId="165" fontId="18" fillId="0" borderId="29" xfId="0" applyNumberFormat="1" applyFont="1" applyBorder="1"/>
    <xf numFmtId="0" fontId="13" fillId="0" borderId="24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8" fillId="0" borderId="2" xfId="0" applyFont="1" applyBorder="1"/>
    <xf numFmtId="1" fontId="15" fillId="0" borderId="24" xfId="0" applyNumberFormat="1" applyFont="1" applyBorder="1" applyAlignment="1">
      <alignment horizontal="right"/>
    </xf>
    <xf numFmtId="0" fontId="18" fillId="0" borderId="31" xfId="0" applyFont="1" applyBorder="1"/>
    <xf numFmtId="1" fontId="15" fillId="0" borderId="29" xfId="0" applyNumberFormat="1" applyFont="1" applyBorder="1" applyAlignment="1">
      <alignment horizontal="right"/>
    </xf>
    <xf numFmtId="0" fontId="18" fillId="0" borderId="35" xfId="0" applyFont="1" applyBorder="1"/>
    <xf numFmtId="0" fontId="18" fillId="0" borderId="0" xfId="0" applyFont="1" applyAlignment="1">
      <alignment horizontal="center"/>
    </xf>
    <xf numFmtId="0" fontId="12" fillId="0" borderId="14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15" fontId="15" fillId="0" borderId="16" xfId="0" applyNumberFormat="1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wrapText="1"/>
    </xf>
    <xf numFmtId="166" fontId="15" fillId="0" borderId="4" xfId="0" applyNumberFormat="1" applyFont="1" applyBorder="1" applyAlignment="1">
      <alignment horizontal="center" vertical="center" wrapText="1"/>
    </xf>
    <xf numFmtId="165" fontId="15" fillId="0" borderId="5" xfId="0" applyNumberFormat="1" applyFont="1" applyBorder="1" applyAlignment="1">
      <alignment horizontal="center" wrapText="1"/>
    </xf>
    <xf numFmtId="15" fontId="15" fillId="0" borderId="22" xfId="0" applyNumberFormat="1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32" fillId="0" borderId="19" xfId="0" applyFont="1" applyBorder="1" applyAlignment="1">
      <alignment horizontal="center"/>
    </xf>
    <xf numFmtId="0" fontId="15" fillId="0" borderId="44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wrapText="1"/>
    </xf>
    <xf numFmtId="166" fontId="15" fillId="0" borderId="41" xfId="0" applyNumberFormat="1" applyFont="1" applyBorder="1" applyAlignment="1">
      <alignment horizontal="center" wrapText="1"/>
    </xf>
    <xf numFmtId="165" fontId="15" fillId="0" borderId="20" xfId="0" applyNumberFormat="1" applyFont="1" applyBorder="1" applyAlignment="1">
      <alignment horizontal="center"/>
    </xf>
    <xf numFmtId="165" fontId="15" fillId="0" borderId="21" xfId="0" applyNumberFormat="1" applyFont="1" applyBorder="1" applyAlignment="1">
      <alignment horizontal="center"/>
    </xf>
    <xf numFmtId="166" fontId="15" fillId="0" borderId="7" xfId="0" applyNumberFormat="1" applyFont="1" applyBorder="1" applyAlignment="1">
      <alignment horizontal="center" wrapText="1"/>
    </xf>
    <xf numFmtId="0" fontId="32" fillId="0" borderId="15" xfId="0" applyFont="1" applyBorder="1" applyAlignment="1">
      <alignment horizontal="center"/>
    </xf>
    <xf numFmtId="2" fontId="0" fillId="0" borderId="34" xfId="0" applyNumberForma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166" fontId="12" fillId="3" borderId="38" xfId="0" applyNumberFormat="1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2" fontId="12" fillId="3" borderId="5" xfId="0" applyNumberFormat="1" applyFont="1" applyFill="1" applyBorder="1" applyAlignment="1">
      <alignment horizontal="center" vertical="center"/>
    </xf>
    <xf numFmtId="2" fontId="12" fillId="4" borderId="5" xfId="0" applyNumberFormat="1" applyFont="1" applyFill="1" applyBorder="1" applyAlignment="1">
      <alignment horizontal="center" vertical="center"/>
    </xf>
    <xf numFmtId="2" fontId="12" fillId="4" borderId="46" xfId="0" quotePrefix="1" applyNumberFormat="1" applyFont="1" applyFill="1" applyBorder="1" applyAlignment="1">
      <alignment horizontal="center" vertical="center"/>
    </xf>
    <xf numFmtId="166" fontId="12" fillId="3" borderId="45" xfId="0" quotePrefix="1" applyNumberFormat="1" applyFont="1" applyFill="1" applyBorder="1" applyAlignment="1">
      <alignment horizontal="center" vertical="center"/>
    </xf>
    <xf numFmtId="165" fontId="12" fillId="4" borderId="38" xfId="0" applyNumberFormat="1" applyFont="1" applyFill="1" applyBorder="1" applyAlignment="1">
      <alignment horizontal="center" vertical="center"/>
    </xf>
    <xf numFmtId="1" fontId="12" fillId="3" borderId="38" xfId="0" quotePrefix="1" applyNumberFormat="1" applyFont="1" applyFill="1" applyBorder="1" applyAlignment="1">
      <alignment horizontal="center" vertical="center"/>
    </xf>
    <xf numFmtId="166" fontId="12" fillId="4" borderId="10" xfId="0" applyNumberFormat="1" applyFont="1" applyFill="1" applyBorder="1" applyAlignment="1">
      <alignment horizontal="center" vertical="center"/>
    </xf>
    <xf numFmtId="168" fontId="12" fillId="3" borderId="38" xfId="0" applyNumberFormat="1" applyFont="1" applyFill="1" applyBorder="1" applyAlignment="1">
      <alignment horizontal="center" vertical="center" wrapText="1"/>
    </xf>
    <xf numFmtId="168" fontId="12" fillId="4" borderId="10" xfId="0" applyNumberFormat="1" applyFont="1" applyFill="1" applyBorder="1" applyAlignment="1">
      <alignment horizontal="center" vertical="center"/>
    </xf>
    <xf numFmtId="14" fontId="12" fillId="4" borderId="10" xfId="0" applyNumberFormat="1" applyFont="1" applyFill="1" applyBorder="1" applyAlignment="1">
      <alignment horizontal="center" vertical="center"/>
    </xf>
    <xf numFmtId="0" fontId="34" fillId="3" borderId="38" xfId="0" quotePrefix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9" fontId="12" fillId="0" borderId="0" xfId="0" applyNumberFormat="1" applyFont="1" applyAlignment="1">
      <alignment horizontal="center" vertical="center"/>
    </xf>
    <xf numFmtId="168" fontId="12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2" fontId="12" fillId="3" borderId="38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1" fontId="15" fillId="0" borderId="0" xfId="0" applyNumberFormat="1" applyFont="1" applyAlignment="1">
      <alignment horizontal="right"/>
    </xf>
    <xf numFmtId="166" fontId="0" fillId="0" borderId="37" xfId="0" applyNumberFormat="1" applyBorder="1" applyAlignment="1">
      <alignment horizontal="center"/>
    </xf>
    <xf numFmtId="0" fontId="31" fillId="0" borderId="26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27" xfId="0" applyFont="1" applyBorder="1" applyAlignment="1">
      <alignment horizontal="center" vertical="center" wrapText="1"/>
    </xf>
    <xf numFmtId="0" fontId="31" fillId="0" borderId="28" xfId="0" applyFont="1" applyBorder="1" applyAlignment="1">
      <alignment horizontal="center" vertical="center" wrapText="1"/>
    </xf>
    <xf numFmtId="0" fontId="31" fillId="0" borderId="29" xfId="0" applyFont="1" applyBorder="1" applyAlignment="1">
      <alignment horizontal="center" vertical="center" wrapText="1"/>
    </xf>
    <xf numFmtId="0" fontId="31" fillId="0" borderId="30" xfId="0" applyFont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30" fillId="0" borderId="25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165" fontId="15" fillId="0" borderId="8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5" fontId="15" fillId="0" borderId="6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5" fillId="0" borderId="3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166" fontId="15" fillId="0" borderId="14" xfId="0" applyNumberFormat="1" applyFont="1" applyBorder="1" applyAlignment="1">
      <alignment horizontal="center" wrapText="1"/>
    </xf>
    <xf numFmtId="166" fontId="15" fillId="0" borderId="40" xfId="0" applyNumberFormat="1" applyFont="1" applyBorder="1" applyAlignment="1">
      <alignment horizontal="center" wrapText="1"/>
    </xf>
    <xf numFmtId="49" fontId="15" fillId="0" borderId="14" xfId="0" applyNumberFormat="1" applyFont="1" applyBorder="1" applyAlignment="1">
      <alignment horizontal="center" vertical="center" wrapText="1"/>
    </xf>
    <xf numFmtId="49" fontId="15" fillId="0" borderId="42" xfId="0" applyNumberFormat="1" applyFont="1" applyBorder="1" applyAlignment="1">
      <alignment horizontal="center" vertical="center" wrapText="1"/>
    </xf>
    <xf numFmtId="49" fontId="15" fillId="0" borderId="15" xfId="0" applyNumberFormat="1" applyFont="1" applyBorder="1" applyAlignment="1">
      <alignment horizontal="center" vertical="center" wrapText="1"/>
    </xf>
    <xf numFmtId="14" fontId="15" fillId="0" borderId="14" xfId="0" applyNumberFormat="1" applyFont="1" applyBorder="1" applyAlignment="1">
      <alignment horizontal="center" vertical="center" wrapText="1"/>
    </xf>
    <xf numFmtId="14" fontId="15" fillId="0" borderId="42" xfId="0" applyNumberFormat="1" applyFont="1" applyBorder="1" applyAlignment="1">
      <alignment horizontal="center" vertical="center" wrapText="1"/>
    </xf>
    <xf numFmtId="14" fontId="15" fillId="0" borderId="15" xfId="0" applyNumberFormat="1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166" fontId="15" fillId="0" borderId="11" xfId="0" applyNumberFormat="1" applyFont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6" fontId="15" fillId="0" borderId="13" xfId="0" applyNumberFormat="1" applyFont="1" applyBorder="1" applyAlignment="1">
      <alignment horizontal="center" vertical="center"/>
    </xf>
    <xf numFmtId="165" fontId="15" fillId="0" borderId="47" xfId="0" applyNumberFormat="1" applyFont="1" applyBorder="1" applyAlignment="1">
      <alignment horizontal="center" vertical="center" wrapText="1"/>
    </xf>
    <xf numFmtId="165" fontId="15" fillId="0" borderId="22" xfId="0" applyNumberFormat="1" applyFont="1" applyBorder="1" applyAlignment="1">
      <alignment horizontal="center" vertical="center" wrapText="1"/>
    </xf>
  </cellXfs>
  <cellStyles count="49">
    <cellStyle name="Euro" xfId="1" xr:uid="{00000000-0005-0000-0000-000000000000}"/>
    <cellStyle name="Euro 2" xfId="2" xr:uid="{00000000-0005-0000-0000-000001000000}"/>
    <cellStyle name="Euro 3" xfId="8" xr:uid="{00000000-0005-0000-0000-000002000000}"/>
    <cellStyle name="Euro 4" xfId="10" xr:uid="{00000000-0005-0000-0000-000003000000}"/>
    <cellStyle name="Euro 5" xfId="14" xr:uid="{00000000-0005-0000-0000-000004000000}"/>
    <cellStyle name="Euro_FCS" xfId="3" xr:uid="{00000000-0005-0000-0000-000005000000}"/>
    <cellStyle name="Hyperlink 2" xfId="11" xr:uid="{00000000-0005-0000-0000-000006000000}"/>
    <cellStyle name="Millares 2" xfId="15" xr:uid="{00000000-0005-0000-0000-000007000000}"/>
    <cellStyle name="Neutral 2" xfId="16" xr:uid="{00000000-0005-0000-0000-000008000000}"/>
    <cellStyle name="Normal" xfId="0" builtinId="0"/>
    <cellStyle name="Normal 10" xfId="33" xr:uid="{00000000-0005-0000-0000-00000A000000}"/>
    <cellStyle name="Normal 11" xfId="34" xr:uid="{00000000-0005-0000-0000-00000B000000}"/>
    <cellStyle name="Normal 12" xfId="36" xr:uid="{00000000-0005-0000-0000-00000C000000}"/>
    <cellStyle name="Normal 13" xfId="39" xr:uid="{00000000-0005-0000-0000-00000D000000}"/>
    <cellStyle name="Normal 14" xfId="42" xr:uid="{00000000-0005-0000-0000-00000E000000}"/>
    <cellStyle name="Normal 15" xfId="45" xr:uid="{00000000-0005-0000-0000-00000F000000}"/>
    <cellStyle name="Normal 16" xfId="47" xr:uid="{00000000-0005-0000-0000-000010000000}"/>
    <cellStyle name="Normal 2" xfId="4" xr:uid="{00000000-0005-0000-0000-000011000000}"/>
    <cellStyle name="Normal 2 2" xfId="17" xr:uid="{00000000-0005-0000-0000-000012000000}"/>
    <cellStyle name="Normal 3" xfId="5" xr:uid="{00000000-0005-0000-0000-000013000000}"/>
    <cellStyle name="Normal 3 2" xfId="19" xr:uid="{00000000-0005-0000-0000-000014000000}"/>
    <cellStyle name="Normal 3 3" xfId="18" xr:uid="{00000000-0005-0000-0000-000015000000}"/>
    <cellStyle name="Normal 3_FCS" xfId="28" xr:uid="{00000000-0005-0000-0000-000016000000}"/>
    <cellStyle name="Normal 4" xfId="6" xr:uid="{00000000-0005-0000-0000-000017000000}"/>
    <cellStyle name="Normal 4 10" xfId="48" xr:uid="{00000000-0005-0000-0000-000018000000}"/>
    <cellStyle name="Normal 4 2" xfId="20" xr:uid="{00000000-0005-0000-0000-000019000000}"/>
    <cellStyle name="Normal 4 3" xfId="26" xr:uid="{00000000-0005-0000-0000-00001A000000}"/>
    <cellStyle name="Normal 4 4" xfId="32" xr:uid="{00000000-0005-0000-0000-00001B000000}"/>
    <cellStyle name="Normal 4 5" xfId="35" xr:uid="{00000000-0005-0000-0000-00001C000000}"/>
    <cellStyle name="Normal 4 6" xfId="37" xr:uid="{00000000-0005-0000-0000-00001D000000}"/>
    <cellStyle name="Normal 4 7" xfId="40" xr:uid="{00000000-0005-0000-0000-00001E000000}"/>
    <cellStyle name="Normal 4 8" xfId="43" xr:uid="{00000000-0005-0000-0000-00001F000000}"/>
    <cellStyle name="Normal 4 9" xfId="46" xr:uid="{00000000-0005-0000-0000-000020000000}"/>
    <cellStyle name="Normal 4_FCS" xfId="29" xr:uid="{00000000-0005-0000-0000-000021000000}"/>
    <cellStyle name="Normal 5" xfId="7" xr:uid="{00000000-0005-0000-0000-000022000000}"/>
    <cellStyle name="Normal 5 2" xfId="21" xr:uid="{00000000-0005-0000-0000-000023000000}"/>
    <cellStyle name="Normal 5_FCS" xfId="30" xr:uid="{00000000-0005-0000-0000-000024000000}"/>
    <cellStyle name="Normal 6" xfId="22" xr:uid="{00000000-0005-0000-0000-000025000000}"/>
    <cellStyle name="Normal 6 2" xfId="27" xr:uid="{00000000-0005-0000-0000-000026000000}"/>
    <cellStyle name="Normal 7" xfId="13" xr:uid="{00000000-0005-0000-0000-000027000000}"/>
    <cellStyle name="Normal 7 2" xfId="38" xr:uid="{00000000-0005-0000-0000-000028000000}"/>
    <cellStyle name="Normal 7 3" xfId="41" xr:uid="{00000000-0005-0000-0000-000029000000}"/>
    <cellStyle name="Normal 7 4" xfId="44" xr:uid="{00000000-0005-0000-0000-00002A000000}"/>
    <cellStyle name="Normal 8" xfId="25" xr:uid="{00000000-0005-0000-0000-00002B000000}"/>
    <cellStyle name="Normal 9" xfId="31" xr:uid="{00000000-0005-0000-0000-00002C000000}"/>
    <cellStyle name="Percent 2" xfId="9" xr:uid="{00000000-0005-0000-0000-00002D000000}"/>
    <cellStyle name="Percent 3" xfId="12" xr:uid="{00000000-0005-0000-0000-00002E000000}"/>
    <cellStyle name="Percent 4" xfId="23" xr:uid="{00000000-0005-0000-0000-00002F000000}"/>
    <cellStyle name="Total 2" xfId="24" xr:uid="{00000000-0005-0000-0000-000030000000}"/>
  </cellStyles>
  <dxfs count="2">
    <dxf>
      <font>
        <b/>
        <i val="0"/>
        <color rgb="FF0000FF"/>
      </font>
    </dxf>
    <dxf>
      <font>
        <b/>
        <i val="0"/>
        <color rgb="FFFF0000"/>
      </font>
    </dxf>
  </dxfs>
  <tableStyles count="1" defaultTableStyle="TableStyleMedium9" defaultPivotStyle="PivotStyleLight16">
    <tableStyle name="Invisible" pivot="0" table="0" count="0" xr9:uid="{34230893-B5FC-4E30-86AA-0733470C721D}"/>
  </tableStyles>
  <colors>
    <mruColors>
      <color rgb="FF0000FF"/>
      <color rgb="FFFF3300"/>
      <color rgb="FF3333FF"/>
      <color rgb="FFFFFF66"/>
      <color rgb="FF008000"/>
      <color rgb="FFFFFF99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41275</xdr:colOff>
      <xdr:row>0</xdr:row>
      <xdr:rowOff>38100</xdr:rowOff>
    </xdr:from>
    <xdr:to>
      <xdr:col>1</xdr:col>
      <xdr:colOff>215900</xdr:colOff>
      <xdr:row>2</xdr:row>
      <xdr:rowOff>222250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1171" t="11606" r="20293" b="21426"/>
        <a:stretch>
          <a:fillRect/>
        </a:stretch>
      </xdr:blipFill>
      <xdr:spPr bwMode="auto">
        <a:xfrm>
          <a:off x="41275" y="38100"/>
          <a:ext cx="936625" cy="615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C00000"/>
    <pageSetUpPr fitToPage="1"/>
  </sheetPr>
  <dimension ref="A1:S829"/>
  <sheetViews>
    <sheetView showGridLines="0" showZeros="0" tabSelected="1" showOutlineSymbols="0" zoomScale="75" zoomScaleNormal="75" workbookViewId="0">
      <selection activeCell="X52" sqref="X52"/>
    </sheetView>
  </sheetViews>
  <sheetFormatPr baseColWidth="10" defaultColWidth="9.140625" defaultRowHeight="14.25" x14ac:dyDescent="0.3"/>
  <cols>
    <col min="1" max="1" width="11.42578125" style="2" customWidth="1"/>
    <col min="2" max="2" width="8.42578125" style="10" customWidth="1"/>
    <col min="3" max="3" width="7.28515625" style="2" customWidth="1"/>
    <col min="4" max="4" width="12.85546875" style="7" customWidth="1"/>
    <col min="5" max="5" width="11.140625" style="2" customWidth="1"/>
    <col min="6" max="6" width="14" style="2" customWidth="1"/>
    <col min="7" max="7" width="10.140625" style="2" customWidth="1"/>
    <col min="8" max="8" width="10.85546875" style="2" customWidth="1"/>
    <col min="9" max="9" width="20.140625" style="2" customWidth="1"/>
    <col min="10" max="10" width="10.140625" style="2" customWidth="1"/>
    <col min="11" max="11" width="10" style="4" customWidth="1"/>
    <col min="12" max="12" width="8.85546875" style="3" customWidth="1"/>
    <col min="13" max="14" width="9.140625" style="3" customWidth="1"/>
    <col min="15" max="15" width="9.85546875" style="3" customWidth="1"/>
    <col min="16" max="16" width="10.140625" style="3" customWidth="1"/>
    <col min="17" max="17" width="12.7109375" style="4" customWidth="1"/>
    <col min="18" max="18" width="12.7109375" style="3" customWidth="1"/>
    <col min="19" max="19" width="17.28515625" style="5" customWidth="1"/>
    <col min="20" max="20" width="30.5703125" style="2" customWidth="1"/>
    <col min="21" max="16384" width="9.140625" style="2"/>
  </cols>
  <sheetData>
    <row r="1" spans="1:19" ht="20.25" customHeight="1" x14ac:dyDescent="0.25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8"/>
    </row>
    <row r="2" spans="1:19" ht="14.25" customHeight="1" x14ac:dyDescent="0.25">
      <c r="A2" s="71" t="s">
        <v>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3"/>
    </row>
    <row r="3" spans="1:19" ht="18.75" customHeight="1" thickBot="1" x14ac:dyDescent="0.3">
      <c r="A3" s="74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6"/>
    </row>
    <row r="4" spans="1:19" ht="13.5" x14ac:dyDescent="0.25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</row>
    <row r="5" spans="1:19" ht="13.5" x14ac:dyDescent="0.25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</row>
    <row r="6" spans="1:19" s="23" customFormat="1" ht="14.25" customHeight="1" x14ac:dyDescent="0.3">
      <c r="A6" s="89" t="s">
        <v>2</v>
      </c>
      <c r="B6" s="89" t="s">
        <v>3</v>
      </c>
      <c r="C6" s="89" t="s">
        <v>4</v>
      </c>
      <c r="D6" s="92" t="s">
        <v>5</v>
      </c>
      <c r="E6" s="85" t="s">
        <v>6</v>
      </c>
      <c r="F6" s="86"/>
      <c r="G6" s="86"/>
      <c r="H6" s="86"/>
      <c r="I6" s="86"/>
      <c r="J6" s="24"/>
      <c r="K6" s="87" t="s">
        <v>7</v>
      </c>
      <c r="L6" s="105" t="s">
        <v>8</v>
      </c>
      <c r="M6" s="105"/>
      <c r="N6" s="105"/>
      <c r="O6" s="105"/>
      <c r="P6" s="106"/>
      <c r="Q6" s="104" t="s">
        <v>9</v>
      </c>
      <c r="R6" s="105"/>
      <c r="S6" s="25"/>
    </row>
    <row r="7" spans="1:19" s="23" customFormat="1" ht="25.5" customHeight="1" x14ac:dyDescent="0.25">
      <c r="A7" s="90"/>
      <c r="B7" s="90"/>
      <c r="C7" s="90"/>
      <c r="D7" s="93"/>
      <c r="E7" s="26" t="s">
        <v>10</v>
      </c>
      <c r="F7" s="27" t="s">
        <v>11</v>
      </c>
      <c r="G7" s="27" t="s">
        <v>12</v>
      </c>
      <c r="H7" s="27" t="s">
        <v>13</v>
      </c>
      <c r="I7" s="28" t="s">
        <v>14</v>
      </c>
      <c r="J7" s="29" t="s">
        <v>15</v>
      </c>
      <c r="K7" s="88"/>
      <c r="L7" s="107" t="s">
        <v>16</v>
      </c>
      <c r="M7" s="81" t="s">
        <v>17</v>
      </c>
      <c r="N7" s="82"/>
      <c r="O7" s="82"/>
      <c r="P7" s="83"/>
      <c r="Q7" s="30" t="s">
        <v>18</v>
      </c>
      <c r="R7" s="31" t="s">
        <v>19</v>
      </c>
      <c r="S7" s="13" t="s">
        <v>20</v>
      </c>
    </row>
    <row r="8" spans="1:19" s="23" customFormat="1" ht="16.5" hidden="1" x14ac:dyDescent="0.3">
      <c r="A8" s="91"/>
      <c r="B8" s="91"/>
      <c r="C8" s="91"/>
      <c r="D8" s="94"/>
      <c r="E8" s="32"/>
      <c r="F8" s="33"/>
      <c r="G8" s="33"/>
      <c r="H8" s="34"/>
      <c r="I8" s="35"/>
      <c r="J8" s="36" t="s">
        <v>21</v>
      </c>
      <c r="K8" s="37" t="s">
        <v>22</v>
      </c>
      <c r="L8" s="108"/>
      <c r="M8" s="38" t="s">
        <v>23</v>
      </c>
      <c r="N8" s="38" t="s">
        <v>24</v>
      </c>
      <c r="O8" s="38" t="s">
        <v>25</v>
      </c>
      <c r="P8" s="39" t="s">
        <v>26</v>
      </c>
      <c r="Q8" s="40" t="s">
        <v>22</v>
      </c>
      <c r="R8" s="38" t="s">
        <v>27</v>
      </c>
      <c r="S8" s="41"/>
    </row>
    <row r="9" spans="1:19" ht="19.5" customHeight="1" x14ac:dyDescent="0.25">
      <c r="A9" s="59" t="s">
        <v>48</v>
      </c>
      <c r="B9" s="55" t="s">
        <v>34</v>
      </c>
      <c r="C9" s="47" t="s">
        <v>35</v>
      </c>
      <c r="D9" s="58">
        <v>46085</v>
      </c>
      <c r="E9" s="56">
        <v>1056.4450000000002</v>
      </c>
      <c r="F9" s="57">
        <v>264.16999999999996</v>
      </c>
      <c r="G9" s="67">
        <v>2567.79</v>
      </c>
      <c r="H9" s="55" t="s">
        <v>45</v>
      </c>
      <c r="I9" s="47" t="s">
        <v>68</v>
      </c>
      <c r="J9" s="55" t="s">
        <v>21</v>
      </c>
      <c r="K9" s="47">
        <v>2.8156494423090552</v>
      </c>
      <c r="L9" s="48" t="s">
        <v>40</v>
      </c>
      <c r="M9" s="49">
        <v>98.065194532071501</v>
      </c>
      <c r="N9" s="50">
        <v>78.338590956887487</v>
      </c>
      <c r="O9" s="49">
        <v>38.75920084121978</v>
      </c>
      <c r="P9" s="51">
        <v>14.4479495268139</v>
      </c>
      <c r="Q9" s="52">
        <v>1.7692807707944755</v>
      </c>
      <c r="R9" s="53">
        <v>16.242786318319752</v>
      </c>
      <c r="S9" s="54" t="s">
        <v>41</v>
      </c>
    </row>
    <row r="10" spans="1:19" ht="19.5" customHeight="1" x14ac:dyDescent="0.25">
      <c r="A10" s="59" t="s">
        <v>49</v>
      </c>
      <c r="B10" s="55" t="s">
        <v>34</v>
      </c>
      <c r="C10" s="47" t="s">
        <v>35</v>
      </c>
      <c r="D10" s="58">
        <v>46087</v>
      </c>
      <c r="E10" s="56">
        <v>320.14999999999998</v>
      </c>
      <c r="F10" s="57">
        <v>64.7</v>
      </c>
      <c r="G10" s="67">
        <v>2635.95</v>
      </c>
      <c r="H10" s="55" t="s">
        <v>37</v>
      </c>
      <c r="I10" s="47" t="s">
        <v>69</v>
      </c>
      <c r="J10" s="55" t="s">
        <v>21</v>
      </c>
      <c r="K10" s="47">
        <v>2.7902146302865121</v>
      </c>
      <c r="L10" s="48" t="s">
        <v>40</v>
      </c>
      <c r="M10" s="49">
        <v>99.313824419778001</v>
      </c>
      <c r="N10" s="50">
        <v>86.579212916246206</v>
      </c>
      <c r="O10" s="49">
        <v>41.735620585267391</v>
      </c>
      <c r="P10" s="51">
        <v>13.158425832492412</v>
      </c>
      <c r="Q10" s="52">
        <v>1.7061752176491876</v>
      </c>
      <c r="R10" s="53">
        <v>16.333661276669208</v>
      </c>
      <c r="S10" s="54" t="s">
        <v>41</v>
      </c>
    </row>
    <row r="11" spans="1:19" ht="19.5" customHeight="1" x14ac:dyDescent="0.25">
      <c r="A11" s="59" t="s">
        <v>50</v>
      </c>
      <c r="B11" s="55" t="s">
        <v>36</v>
      </c>
      <c r="C11" s="47" t="s">
        <v>35</v>
      </c>
      <c r="D11" s="58">
        <v>46088</v>
      </c>
      <c r="E11" s="56">
        <v>1821.24</v>
      </c>
      <c r="F11" s="57">
        <v>199.45</v>
      </c>
      <c r="G11" s="67">
        <v>2569.89</v>
      </c>
      <c r="H11" s="55" t="s">
        <v>70</v>
      </c>
      <c r="I11" s="47" t="s">
        <v>71</v>
      </c>
      <c r="J11" s="55" t="s">
        <v>21</v>
      </c>
      <c r="K11" s="47">
        <v>2.8026091959059807</v>
      </c>
      <c r="L11" s="48" t="s">
        <v>40</v>
      </c>
      <c r="M11" s="49">
        <v>98.538263112639726</v>
      </c>
      <c r="N11" s="50">
        <v>77.214101461736888</v>
      </c>
      <c r="O11" s="49">
        <v>34.565778159931227</v>
      </c>
      <c r="P11" s="51">
        <v>12.725709372313005</v>
      </c>
      <c r="Q11" s="52">
        <v>1.7122495381851834</v>
      </c>
      <c r="R11" s="53">
        <v>16.174628841893551</v>
      </c>
      <c r="S11" s="54" t="s">
        <v>41</v>
      </c>
    </row>
    <row r="12" spans="1:19" ht="19.5" customHeight="1" x14ac:dyDescent="0.25">
      <c r="A12" s="59" t="s">
        <v>51</v>
      </c>
      <c r="B12" s="55" t="s">
        <v>36</v>
      </c>
      <c r="C12" s="47" t="s">
        <v>35</v>
      </c>
      <c r="D12" s="58">
        <v>46090</v>
      </c>
      <c r="E12" s="56">
        <v>1694.27</v>
      </c>
      <c r="F12" s="57">
        <v>18.899999999999999</v>
      </c>
      <c r="G12" s="67">
        <v>2635.22</v>
      </c>
      <c r="H12" s="55" t="s">
        <v>46</v>
      </c>
      <c r="I12" s="47" t="s">
        <v>72</v>
      </c>
      <c r="J12" s="55" t="s">
        <v>21</v>
      </c>
      <c r="K12" s="47">
        <v>2.8406317305278024</v>
      </c>
      <c r="L12" s="48" t="s">
        <v>33</v>
      </c>
      <c r="M12" s="49">
        <v>98.132835422779408</v>
      </c>
      <c r="N12" s="50">
        <v>73.779674579887981</v>
      </c>
      <c r="O12" s="49">
        <v>32.435316084289155</v>
      </c>
      <c r="P12" s="51">
        <v>10.856228327554021</v>
      </c>
      <c r="Q12" s="52">
        <v>1.716326233153076</v>
      </c>
      <c r="R12" s="53">
        <v>15.954431953696661</v>
      </c>
      <c r="S12" s="54" t="s">
        <v>41</v>
      </c>
    </row>
    <row r="13" spans="1:19" ht="19.5" customHeight="1" x14ac:dyDescent="0.25">
      <c r="A13" s="59" t="s">
        <v>52</v>
      </c>
      <c r="B13" s="55" t="s">
        <v>36</v>
      </c>
      <c r="C13" s="47" t="s">
        <v>32</v>
      </c>
      <c r="D13" s="58">
        <v>46093</v>
      </c>
      <c r="E13" s="56">
        <v>863.17</v>
      </c>
      <c r="F13" s="57">
        <v>44.4</v>
      </c>
      <c r="G13" s="67">
        <v>2631.88</v>
      </c>
      <c r="H13" s="55" t="s">
        <v>73</v>
      </c>
      <c r="I13" s="47" t="s">
        <v>43</v>
      </c>
      <c r="J13" s="55" t="s">
        <v>21</v>
      </c>
      <c r="K13" s="47">
        <v>2.7280062392390843</v>
      </c>
      <c r="L13" s="48" t="s">
        <v>33</v>
      </c>
      <c r="M13" s="49">
        <v>98.590308370044056</v>
      </c>
      <c r="N13" s="50">
        <v>75.418502202643168</v>
      </c>
      <c r="O13" s="49">
        <v>33.788546255506617</v>
      </c>
      <c r="P13" s="51">
        <v>9.7356828193832712</v>
      </c>
      <c r="Q13" s="52">
        <v>1.7041109539958228</v>
      </c>
      <c r="R13" s="53">
        <v>16.110574767511871</v>
      </c>
      <c r="S13" s="54" t="s">
        <v>41</v>
      </c>
    </row>
    <row r="14" spans="1:19" ht="19.5" customHeight="1" x14ac:dyDescent="0.25">
      <c r="A14" s="59" t="s">
        <v>53</v>
      </c>
      <c r="B14" s="55" t="s">
        <v>34</v>
      </c>
      <c r="C14" s="47" t="s">
        <v>32</v>
      </c>
      <c r="D14" s="58">
        <v>46094</v>
      </c>
      <c r="E14" s="56">
        <v>675.18</v>
      </c>
      <c r="F14" s="57">
        <v>477.8</v>
      </c>
      <c r="G14" s="67">
        <v>2607.7399999999998</v>
      </c>
      <c r="H14" s="55" t="s">
        <v>74</v>
      </c>
      <c r="I14" s="47" t="s">
        <v>75</v>
      </c>
      <c r="J14" s="55" t="s">
        <v>21</v>
      </c>
      <c r="K14" s="47">
        <v>2.8218819840429434</v>
      </c>
      <c r="L14" s="48" t="s">
        <v>40</v>
      </c>
      <c r="M14" s="49">
        <v>99.005108900242007</v>
      </c>
      <c r="N14" s="50">
        <v>77.816617370260829</v>
      </c>
      <c r="O14" s="49">
        <v>35.036300080666877</v>
      </c>
      <c r="P14" s="51">
        <v>12.718472707717169</v>
      </c>
      <c r="Q14" s="52">
        <v>1.7418123034423978</v>
      </c>
      <c r="R14" s="53">
        <v>16.307953049274118</v>
      </c>
      <c r="S14" s="54" t="s">
        <v>41</v>
      </c>
    </row>
    <row r="15" spans="1:19" ht="19.5" customHeight="1" x14ac:dyDescent="0.25">
      <c r="A15" s="59" t="s">
        <v>54</v>
      </c>
      <c r="B15" s="55" t="s">
        <v>34</v>
      </c>
      <c r="C15" s="47" t="s">
        <v>35</v>
      </c>
      <c r="D15" s="58">
        <v>46095</v>
      </c>
      <c r="E15" s="56">
        <v>1580.2</v>
      </c>
      <c r="F15" s="57">
        <v>160.21</v>
      </c>
      <c r="G15" s="67">
        <v>2597.6</v>
      </c>
      <c r="H15" s="55" t="s">
        <v>38</v>
      </c>
      <c r="I15" s="47" t="s">
        <v>39</v>
      </c>
      <c r="J15" s="55" t="s">
        <v>21</v>
      </c>
      <c r="K15" s="47">
        <v>2.7096718353530833</v>
      </c>
      <c r="L15" s="48" t="s">
        <v>33</v>
      </c>
      <c r="M15" s="49">
        <v>99.552033080634047</v>
      </c>
      <c r="N15" s="50">
        <v>84.269469331495515</v>
      </c>
      <c r="O15" s="49">
        <v>41.109579600275666</v>
      </c>
      <c r="P15" s="51">
        <v>13.542384562370771</v>
      </c>
      <c r="Q15" s="52">
        <v>1.7165583216922649</v>
      </c>
      <c r="R15" s="53">
        <v>16.174007676247836</v>
      </c>
      <c r="S15" s="54" t="s">
        <v>41</v>
      </c>
    </row>
    <row r="16" spans="1:19" ht="19.5" customHeight="1" x14ac:dyDescent="0.25">
      <c r="A16" s="59" t="s">
        <v>55</v>
      </c>
      <c r="B16" s="55" t="s">
        <v>34</v>
      </c>
      <c r="C16" s="47" t="s">
        <v>35</v>
      </c>
      <c r="D16" s="58">
        <v>46097</v>
      </c>
      <c r="E16" s="56">
        <v>1124.81</v>
      </c>
      <c r="F16" s="57">
        <v>476.06</v>
      </c>
      <c r="G16" s="67">
        <v>2506.1799999999998</v>
      </c>
      <c r="H16" s="55" t="s">
        <v>44</v>
      </c>
      <c r="I16" s="47" t="s">
        <v>76</v>
      </c>
      <c r="J16" s="55" t="s">
        <v>21</v>
      </c>
      <c r="K16" s="47">
        <v>2.7740398605999133</v>
      </c>
      <c r="L16" s="48" t="s">
        <v>33</v>
      </c>
      <c r="M16" s="49">
        <v>98.85894634620054</v>
      </c>
      <c r="N16" s="50">
        <v>77.276037873270212</v>
      </c>
      <c r="O16" s="49">
        <v>35.03277494537511</v>
      </c>
      <c r="P16" s="51">
        <v>12.235979606700681</v>
      </c>
      <c r="Q16" s="52">
        <v>1.7023206582248225</v>
      </c>
      <c r="R16" s="53">
        <v>16.223799778747189</v>
      </c>
      <c r="S16" s="54" t="s">
        <v>41</v>
      </c>
    </row>
    <row r="17" spans="1:19" ht="19.5" customHeight="1" x14ac:dyDescent="0.25">
      <c r="A17" s="59" t="s">
        <v>56</v>
      </c>
      <c r="B17" s="55" t="s">
        <v>36</v>
      </c>
      <c r="C17" s="47" t="s">
        <v>32</v>
      </c>
      <c r="D17" s="58">
        <v>46099</v>
      </c>
      <c r="E17" s="56">
        <v>1661.24</v>
      </c>
      <c r="F17" s="57">
        <v>39.479999999999997</v>
      </c>
      <c r="G17" s="67">
        <v>2631.22</v>
      </c>
      <c r="H17" s="55" t="s">
        <v>46</v>
      </c>
      <c r="I17" s="47" t="s">
        <v>47</v>
      </c>
      <c r="J17" s="55" t="s">
        <v>21</v>
      </c>
      <c r="K17" s="47">
        <v>2.7892765336541325</v>
      </c>
      <c r="L17" s="48" t="s">
        <v>33</v>
      </c>
      <c r="M17" s="49">
        <v>98.761835396941009</v>
      </c>
      <c r="N17" s="50">
        <v>78.417091527069672</v>
      </c>
      <c r="O17" s="49">
        <v>35.372663267783423</v>
      </c>
      <c r="P17" s="51">
        <v>12.138868657441094</v>
      </c>
      <c r="Q17" s="52">
        <v>1.7022834228382919</v>
      </c>
      <c r="R17" s="53">
        <v>15.95923055071855</v>
      </c>
      <c r="S17" s="54" t="s">
        <v>41</v>
      </c>
    </row>
    <row r="18" spans="1:19" ht="19.5" customHeight="1" x14ac:dyDescent="0.25">
      <c r="A18" s="59" t="s">
        <v>57</v>
      </c>
      <c r="B18" s="55" t="s">
        <v>36</v>
      </c>
      <c r="C18" s="47" t="s">
        <v>35</v>
      </c>
      <c r="D18" s="58">
        <v>46099</v>
      </c>
      <c r="E18" s="56">
        <v>1495.65</v>
      </c>
      <c r="F18" s="57">
        <v>-3.25</v>
      </c>
      <c r="G18" s="67">
        <v>2636.25</v>
      </c>
      <c r="H18" s="55" t="s">
        <v>38</v>
      </c>
      <c r="I18" s="47" t="s">
        <v>77</v>
      </c>
      <c r="J18" s="55" t="s">
        <v>21</v>
      </c>
      <c r="K18" s="47">
        <v>2.8150656770136457</v>
      </c>
      <c r="L18" s="48" t="s">
        <v>33</v>
      </c>
      <c r="M18" s="49">
        <v>98.757225433526017</v>
      </c>
      <c r="N18" s="50">
        <v>75.895953757225442</v>
      </c>
      <c r="O18" s="49">
        <v>35.375722543352595</v>
      </c>
      <c r="P18" s="51">
        <v>11.156069364161851</v>
      </c>
      <c r="Q18" s="52">
        <v>1.7335601946928447</v>
      </c>
      <c r="R18" s="53">
        <v>16.089592355110089</v>
      </c>
      <c r="S18" s="54" t="s">
        <v>41</v>
      </c>
    </row>
    <row r="19" spans="1:19" ht="19.5" customHeight="1" x14ac:dyDescent="0.25">
      <c r="A19" s="59" t="s">
        <v>58</v>
      </c>
      <c r="B19" s="55" t="s">
        <v>36</v>
      </c>
      <c r="C19" s="47" t="s">
        <v>32</v>
      </c>
      <c r="D19" s="58">
        <v>46100</v>
      </c>
      <c r="E19" s="56" t="s">
        <v>66</v>
      </c>
      <c r="F19" s="57" t="s">
        <v>67</v>
      </c>
      <c r="G19" s="67">
        <v>2517.89</v>
      </c>
      <c r="H19" s="55" t="s">
        <v>42</v>
      </c>
      <c r="I19" s="47" t="s">
        <v>78</v>
      </c>
      <c r="J19" s="55" t="s">
        <v>21</v>
      </c>
      <c r="K19" s="47">
        <v>2.8464986739768965</v>
      </c>
      <c r="L19" s="48" t="s">
        <v>33</v>
      </c>
      <c r="M19" s="49">
        <v>98.716941607750726</v>
      </c>
      <c r="N19" s="50">
        <v>78.18800733176225</v>
      </c>
      <c r="O19" s="49">
        <v>34.878240377062085</v>
      </c>
      <c r="P19" s="51">
        <v>10.081173081958667</v>
      </c>
      <c r="Q19" s="52">
        <v>1.7066118779969237</v>
      </c>
      <c r="R19" s="53">
        <v>16.014526427353776</v>
      </c>
      <c r="S19" s="54" t="s">
        <v>41</v>
      </c>
    </row>
    <row r="20" spans="1:19" ht="19.5" customHeight="1" x14ac:dyDescent="0.25">
      <c r="A20" s="59" t="s">
        <v>59</v>
      </c>
      <c r="B20" s="55" t="s">
        <v>36</v>
      </c>
      <c r="C20" s="47" t="s">
        <v>35</v>
      </c>
      <c r="D20" s="58">
        <v>46101</v>
      </c>
      <c r="E20" s="56">
        <v>1700.25</v>
      </c>
      <c r="F20" s="57">
        <v>360.01</v>
      </c>
      <c r="G20" s="67">
        <v>2537.9299999999998</v>
      </c>
      <c r="H20" s="55" t="s">
        <v>79</v>
      </c>
      <c r="I20" s="47" t="s">
        <v>72</v>
      </c>
      <c r="J20" s="55" t="s">
        <v>21</v>
      </c>
      <c r="K20" s="47">
        <v>2.7232813932079201</v>
      </c>
      <c r="L20" s="48" t="s">
        <v>33</v>
      </c>
      <c r="M20" s="49">
        <v>99.309392265193367</v>
      </c>
      <c r="N20" s="50">
        <v>82.513812154696126</v>
      </c>
      <c r="O20" s="49">
        <v>41.160220994475139</v>
      </c>
      <c r="P20" s="51">
        <v>13.370165745856355</v>
      </c>
      <c r="Q20" s="52">
        <v>1.7001949569191295</v>
      </c>
      <c r="R20" s="53">
        <v>16.209844880317426</v>
      </c>
      <c r="S20" s="54" t="s">
        <v>41</v>
      </c>
    </row>
    <row r="21" spans="1:19" ht="19.5" customHeight="1" x14ac:dyDescent="0.25">
      <c r="A21" s="59" t="s">
        <v>60</v>
      </c>
      <c r="B21" s="55" t="s">
        <v>36</v>
      </c>
      <c r="C21" s="47" t="s">
        <v>32</v>
      </c>
      <c r="D21" s="58">
        <v>46103</v>
      </c>
      <c r="E21" s="56">
        <v>580.21</v>
      </c>
      <c r="F21" s="57">
        <v>340.1</v>
      </c>
      <c r="G21" s="67">
        <v>2567.0500000000002</v>
      </c>
      <c r="H21" s="55" t="s">
        <v>80</v>
      </c>
      <c r="I21" s="47" t="s">
        <v>81</v>
      </c>
      <c r="J21" s="55" t="s">
        <v>21</v>
      </c>
      <c r="K21" s="47">
        <v>2.894048892699034</v>
      </c>
      <c r="L21" s="48" t="s">
        <v>33</v>
      </c>
      <c r="M21" s="49">
        <v>99.195522910108423</v>
      </c>
      <c r="N21" s="50">
        <v>82.476390346274911</v>
      </c>
      <c r="O21" s="49">
        <v>41.168240643581662</v>
      </c>
      <c r="P21" s="51">
        <v>13.046519762154588</v>
      </c>
      <c r="Q21" s="52">
        <v>1.70124936700382</v>
      </c>
      <c r="R21" s="53">
        <v>16.442835684852124</v>
      </c>
      <c r="S21" s="54" t="s">
        <v>41</v>
      </c>
    </row>
    <row r="22" spans="1:19" ht="19.5" customHeight="1" x14ac:dyDescent="0.25">
      <c r="A22" s="59" t="s">
        <v>61</v>
      </c>
      <c r="B22" s="55" t="s">
        <v>65</v>
      </c>
      <c r="C22" s="47" t="s">
        <v>35</v>
      </c>
      <c r="D22" s="58">
        <v>46104</v>
      </c>
      <c r="E22" s="56">
        <v>1041.55</v>
      </c>
      <c r="F22" s="57">
        <v>304.17</v>
      </c>
      <c r="G22" s="67">
        <v>2558.44</v>
      </c>
      <c r="H22" s="55" t="s">
        <v>45</v>
      </c>
      <c r="I22" s="47" t="s">
        <v>68</v>
      </c>
      <c r="J22" s="55" t="s">
        <v>21</v>
      </c>
      <c r="K22" s="47">
        <v>2.8744621989972172</v>
      </c>
      <c r="L22" s="48" t="s">
        <v>40</v>
      </c>
      <c r="M22" s="49">
        <v>98.633768352365422</v>
      </c>
      <c r="N22" s="50">
        <v>77.569331158238157</v>
      </c>
      <c r="O22" s="49">
        <v>34.787928221859687</v>
      </c>
      <c r="P22" s="51">
        <v>11.888254486133746</v>
      </c>
      <c r="Q22" s="52">
        <v>1.6881748798297771</v>
      </c>
      <c r="R22" s="53">
        <v>16.548443999656218</v>
      </c>
      <c r="S22" s="54" t="s">
        <v>41</v>
      </c>
    </row>
    <row r="23" spans="1:19" ht="19.5" customHeight="1" x14ac:dyDescent="0.25">
      <c r="A23" s="59" t="s">
        <v>62</v>
      </c>
      <c r="B23" s="55" t="s">
        <v>65</v>
      </c>
      <c r="C23" s="47" t="s">
        <v>32</v>
      </c>
      <c r="D23" s="58">
        <v>46107</v>
      </c>
      <c r="E23" s="56">
        <v>900.1</v>
      </c>
      <c r="F23" s="57">
        <v>60.26</v>
      </c>
      <c r="G23" s="67">
        <v>2626.7</v>
      </c>
      <c r="H23" s="55" t="s">
        <v>73</v>
      </c>
      <c r="I23" s="47" t="s">
        <v>78</v>
      </c>
      <c r="J23" s="55" t="s">
        <v>21</v>
      </c>
      <c r="K23" s="47">
        <v>2.7634557556342334</v>
      </c>
      <c r="L23" s="48" t="s">
        <v>40</v>
      </c>
      <c r="M23" s="49">
        <v>98.782269849001466</v>
      </c>
      <c r="N23" s="50">
        <v>76.522162688748182</v>
      </c>
      <c r="O23" s="49">
        <v>34.510472479298585</v>
      </c>
      <c r="P23" s="51">
        <v>11.836337067705799</v>
      </c>
      <c r="Q23" s="52">
        <v>1.7321071827531895</v>
      </c>
      <c r="R23" s="53">
        <v>15.504116639327659</v>
      </c>
      <c r="S23" s="54" t="s">
        <v>41</v>
      </c>
    </row>
    <row r="24" spans="1:19" ht="19.5" customHeight="1" x14ac:dyDescent="0.25">
      <c r="A24" s="59" t="s">
        <v>63</v>
      </c>
      <c r="B24" s="55" t="s">
        <v>65</v>
      </c>
      <c r="C24" s="47" t="s">
        <v>32</v>
      </c>
      <c r="D24" s="58">
        <v>46108</v>
      </c>
      <c r="E24" s="56">
        <v>1780.35</v>
      </c>
      <c r="F24" s="57">
        <v>520.01</v>
      </c>
      <c r="G24" s="67">
        <v>2490.1999999999998</v>
      </c>
      <c r="H24" s="55" t="s">
        <v>82</v>
      </c>
      <c r="I24" s="47" t="s">
        <v>83</v>
      </c>
      <c r="J24" s="55" t="s">
        <v>21</v>
      </c>
      <c r="K24" s="47">
        <v>2.7846993091402341</v>
      </c>
      <c r="L24" s="48" t="s">
        <v>33</v>
      </c>
      <c r="M24" s="49">
        <v>98.996865203761757</v>
      </c>
      <c r="N24" s="50">
        <v>77.722048066875658</v>
      </c>
      <c r="O24" s="49">
        <v>34.085684430512032</v>
      </c>
      <c r="P24" s="51">
        <v>10.449320794148406</v>
      </c>
      <c r="Q24" s="52">
        <v>1.7290261991938713</v>
      </c>
      <c r="R24" s="53">
        <v>15.990231053027493</v>
      </c>
      <c r="S24" s="54" t="s">
        <v>41</v>
      </c>
    </row>
    <row r="25" spans="1:19" ht="19.5" customHeight="1" x14ac:dyDescent="0.25">
      <c r="A25" s="59" t="s">
        <v>64</v>
      </c>
      <c r="B25" s="55" t="s">
        <v>36</v>
      </c>
      <c r="C25" s="47" t="s">
        <v>32</v>
      </c>
      <c r="D25" s="58">
        <v>46112</v>
      </c>
      <c r="E25" s="56">
        <v>720.36</v>
      </c>
      <c r="F25" s="57">
        <v>480.01</v>
      </c>
      <c r="G25" s="67">
        <v>2521.6999999999998</v>
      </c>
      <c r="H25" s="55" t="s">
        <v>74</v>
      </c>
      <c r="I25" s="47" t="s">
        <v>84</v>
      </c>
      <c r="J25" s="55" t="s">
        <v>21</v>
      </c>
      <c r="K25" s="47">
        <v>2.7517483219760845</v>
      </c>
      <c r="L25" s="48" t="s">
        <v>40</v>
      </c>
      <c r="M25" s="49">
        <v>99.222255459168409</v>
      </c>
      <c r="N25" s="50">
        <v>81.005085252766975</v>
      </c>
      <c r="O25" s="49">
        <v>36.793299431648208</v>
      </c>
      <c r="P25" s="51">
        <v>12.084953634460049</v>
      </c>
      <c r="Q25" s="52">
        <v>1.7150600151228579</v>
      </c>
      <c r="R25" s="53">
        <v>16.095460800430729</v>
      </c>
      <c r="S25" s="54" t="s">
        <v>41</v>
      </c>
    </row>
    <row r="26" spans="1:19" ht="19.5" hidden="1" customHeight="1" x14ac:dyDescent="0.25">
      <c r="A26" s="59"/>
      <c r="B26" s="55"/>
      <c r="C26" s="47"/>
      <c r="D26" s="58"/>
      <c r="E26" s="56"/>
      <c r="F26" s="57"/>
      <c r="G26" s="67"/>
      <c r="H26" s="55"/>
      <c r="I26" s="47"/>
      <c r="J26" s="55"/>
      <c r="K26" s="47"/>
      <c r="L26" s="48"/>
      <c r="M26" s="49"/>
      <c r="N26" s="50"/>
      <c r="O26" s="49"/>
      <c r="P26" s="51"/>
      <c r="Q26" s="52"/>
      <c r="R26" s="53"/>
      <c r="S26" s="54"/>
    </row>
    <row r="27" spans="1:19" ht="19.5" hidden="1" customHeight="1" x14ac:dyDescent="0.25">
      <c r="A27" s="59"/>
      <c r="B27" s="55"/>
      <c r="C27" s="47"/>
      <c r="D27" s="58"/>
      <c r="E27" s="56"/>
      <c r="F27" s="57"/>
      <c r="G27" s="67"/>
      <c r="H27" s="55"/>
      <c r="I27" s="47"/>
      <c r="J27" s="55"/>
      <c r="K27" s="47"/>
      <c r="L27" s="48"/>
      <c r="M27" s="49"/>
      <c r="N27" s="50"/>
      <c r="O27" s="49"/>
      <c r="P27" s="51"/>
      <c r="Q27" s="52"/>
      <c r="R27" s="53"/>
      <c r="S27" s="54"/>
    </row>
    <row r="28" spans="1:19" ht="19.5" hidden="1" customHeight="1" x14ac:dyDescent="0.25">
      <c r="A28" s="59"/>
      <c r="B28" s="55"/>
      <c r="C28" s="47"/>
      <c r="D28" s="58"/>
      <c r="E28" s="56"/>
      <c r="F28" s="57"/>
      <c r="G28" s="67"/>
      <c r="H28" s="55"/>
      <c r="I28" s="47"/>
      <c r="J28" s="55"/>
      <c r="K28" s="47"/>
      <c r="L28" s="48"/>
      <c r="M28" s="49"/>
      <c r="N28" s="50"/>
      <c r="O28" s="49"/>
      <c r="P28" s="51"/>
      <c r="Q28" s="52"/>
      <c r="R28" s="53"/>
      <c r="S28" s="54"/>
    </row>
    <row r="29" spans="1:19" ht="19.5" hidden="1" customHeight="1" x14ac:dyDescent="0.25">
      <c r="A29" s="59"/>
      <c r="B29" s="55"/>
      <c r="C29" s="47"/>
      <c r="D29" s="58"/>
      <c r="E29" s="56"/>
      <c r="F29" s="57"/>
      <c r="G29" s="67"/>
      <c r="H29" s="55"/>
      <c r="I29" s="47"/>
      <c r="J29" s="55"/>
      <c r="K29" s="47"/>
      <c r="L29" s="48"/>
      <c r="M29" s="49"/>
      <c r="N29" s="50"/>
      <c r="O29" s="49"/>
      <c r="P29" s="51"/>
      <c r="Q29" s="52"/>
      <c r="R29" s="53"/>
      <c r="S29" s="54"/>
    </row>
    <row r="30" spans="1:19" ht="19.5" hidden="1" customHeight="1" x14ac:dyDescent="0.25">
      <c r="A30" s="59"/>
      <c r="B30" s="55"/>
      <c r="C30" s="47"/>
      <c r="D30" s="58"/>
      <c r="E30" s="56"/>
      <c r="F30" s="57"/>
      <c r="G30" s="67"/>
      <c r="H30" s="55"/>
      <c r="I30" s="47"/>
      <c r="J30" s="55"/>
      <c r="K30" s="47"/>
      <c r="L30" s="48"/>
      <c r="M30" s="49"/>
      <c r="N30" s="50"/>
      <c r="O30" s="49"/>
      <c r="P30" s="51"/>
      <c r="Q30" s="52"/>
      <c r="R30" s="53"/>
      <c r="S30" s="54"/>
    </row>
    <row r="31" spans="1:19" ht="19.5" hidden="1" customHeight="1" x14ac:dyDescent="0.25">
      <c r="A31" s="59"/>
      <c r="B31" s="55"/>
      <c r="C31" s="47"/>
      <c r="D31" s="58"/>
      <c r="E31" s="56"/>
      <c r="F31" s="57"/>
      <c r="G31" s="67"/>
      <c r="H31" s="55"/>
      <c r="I31" s="47"/>
      <c r="J31" s="55"/>
      <c r="K31" s="47"/>
      <c r="L31" s="48"/>
      <c r="M31" s="49"/>
      <c r="N31" s="50"/>
      <c r="O31" s="49"/>
      <c r="P31" s="51"/>
      <c r="Q31" s="52"/>
      <c r="R31" s="53"/>
      <c r="S31" s="54"/>
    </row>
    <row r="32" spans="1:19" ht="19.5" hidden="1" customHeight="1" x14ac:dyDescent="0.25">
      <c r="A32" s="59"/>
      <c r="B32" s="55"/>
      <c r="C32" s="47"/>
      <c r="D32" s="58"/>
      <c r="E32" s="56"/>
      <c r="F32" s="57"/>
      <c r="G32" s="67"/>
      <c r="H32" s="55"/>
      <c r="I32" s="47"/>
      <c r="J32" s="55"/>
      <c r="K32" s="47"/>
      <c r="L32" s="48"/>
      <c r="M32" s="49"/>
      <c r="N32" s="50"/>
      <c r="O32" s="49"/>
      <c r="P32" s="51"/>
      <c r="Q32" s="52"/>
      <c r="R32" s="53"/>
      <c r="S32" s="54"/>
    </row>
    <row r="33" spans="1:19" ht="19.5" hidden="1" customHeight="1" x14ac:dyDescent="0.25">
      <c r="A33" s="59"/>
      <c r="B33" s="55"/>
      <c r="C33" s="47"/>
      <c r="D33" s="58"/>
      <c r="E33" s="56"/>
      <c r="F33" s="57"/>
      <c r="G33" s="67"/>
      <c r="H33" s="55"/>
      <c r="I33" s="47"/>
      <c r="J33" s="55"/>
      <c r="K33" s="47"/>
      <c r="L33" s="48"/>
      <c r="M33" s="49"/>
      <c r="N33" s="50"/>
      <c r="O33" s="49"/>
      <c r="P33" s="51"/>
      <c r="Q33" s="52"/>
      <c r="R33" s="53"/>
      <c r="S33" s="54"/>
    </row>
    <row r="34" spans="1:19" ht="19.5" hidden="1" customHeight="1" x14ac:dyDescent="0.25">
      <c r="A34" s="59"/>
      <c r="B34" s="55"/>
      <c r="C34" s="47"/>
      <c r="D34" s="58"/>
      <c r="E34" s="56"/>
      <c r="F34" s="57"/>
      <c r="G34" s="67"/>
      <c r="H34" s="55"/>
      <c r="I34" s="47"/>
      <c r="J34" s="55"/>
      <c r="K34" s="47"/>
      <c r="L34" s="48"/>
      <c r="M34" s="49"/>
      <c r="N34" s="50"/>
      <c r="O34" s="49"/>
      <c r="P34" s="51"/>
      <c r="Q34" s="52"/>
      <c r="R34" s="53"/>
      <c r="S34" s="54"/>
    </row>
    <row r="35" spans="1:19" ht="19.5" hidden="1" customHeight="1" x14ac:dyDescent="0.25">
      <c r="A35" s="59"/>
      <c r="B35" s="55"/>
      <c r="C35" s="47"/>
      <c r="D35" s="58"/>
      <c r="E35" s="56"/>
      <c r="F35" s="57"/>
      <c r="G35" s="67"/>
      <c r="H35" s="55"/>
      <c r="I35" s="47"/>
      <c r="J35" s="55"/>
      <c r="K35" s="47"/>
      <c r="L35" s="48"/>
      <c r="M35" s="49"/>
      <c r="N35" s="50"/>
      <c r="O35" s="49"/>
      <c r="P35" s="51"/>
      <c r="Q35" s="52"/>
      <c r="R35" s="53"/>
      <c r="S35" s="54"/>
    </row>
    <row r="36" spans="1:19" ht="19.5" hidden="1" customHeight="1" x14ac:dyDescent="0.25">
      <c r="A36" s="59"/>
      <c r="B36" s="55"/>
      <c r="C36" s="47"/>
      <c r="D36" s="58"/>
      <c r="E36" s="56"/>
      <c r="F36" s="57"/>
      <c r="G36" s="67"/>
      <c r="H36" s="55"/>
      <c r="I36" s="47"/>
      <c r="J36" s="55"/>
      <c r="K36" s="47"/>
      <c r="L36" s="48"/>
      <c r="M36" s="49"/>
      <c r="N36" s="50"/>
      <c r="O36" s="49"/>
      <c r="P36" s="51"/>
      <c r="Q36" s="52"/>
      <c r="R36" s="53"/>
      <c r="S36" s="54"/>
    </row>
    <row r="37" spans="1:19" ht="19.5" hidden="1" customHeight="1" x14ac:dyDescent="0.25">
      <c r="A37" s="59"/>
      <c r="B37" s="55"/>
      <c r="C37" s="47"/>
      <c r="D37" s="58"/>
      <c r="E37" s="56"/>
      <c r="F37" s="57"/>
      <c r="G37" s="67"/>
      <c r="H37" s="55"/>
      <c r="I37" s="47"/>
      <c r="J37" s="55"/>
      <c r="K37" s="47"/>
      <c r="L37" s="48"/>
      <c r="M37" s="49"/>
      <c r="N37" s="50"/>
      <c r="O37" s="49"/>
      <c r="P37" s="51"/>
      <c r="Q37" s="52"/>
      <c r="R37" s="53"/>
      <c r="S37" s="54"/>
    </row>
    <row r="38" spans="1:19" ht="19.5" hidden="1" customHeight="1" x14ac:dyDescent="0.25">
      <c r="A38" s="59"/>
      <c r="B38" s="55"/>
      <c r="C38" s="47"/>
      <c r="D38" s="58"/>
      <c r="E38" s="56"/>
      <c r="F38" s="57"/>
      <c r="G38" s="67"/>
      <c r="H38" s="55"/>
      <c r="I38" s="47"/>
      <c r="J38" s="55"/>
      <c r="K38" s="47"/>
      <c r="L38" s="48"/>
      <c r="M38" s="49"/>
      <c r="N38" s="50"/>
      <c r="O38" s="49"/>
      <c r="P38" s="51"/>
      <c r="Q38" s="52"/>
      <c r="R38" s="53"/>
      <c r="S38" s="54"/>
    </row>
    <row r="39" spans="1:19" ht="19.5" hidden="1" customHeight="1" x14ac:dyDescent="0.25">
      <c r="A39" s="59"/>
      <c r="B39" s="55"/>
      <c r="C39" s="47"/>
      <c r="D39" s="58"/>
      <c r="E39" s="56"/>
      <c r="F39" s="57"/>
      <c r="G39" s="67"/>
      <c r="H39" s="55"/>
      <c r="I39" s="47"/>
      <c r="J39" s="55"/>
      <c r="K39" s="47"/>
      <c r="L39" s="48"/>
      <c r="M39" s="49"/>
      <c r="N39" s="50"/>
      <c r="O39" s="49"/>
      <c r="P39" s="51"/>
      <c r="Q39" s="52"/>
      <c r="R39" s="53"/>
      <c r="S39" s="54"/>
    </row>
    <row r="40" spans="1:19" ht="19.5" hidden="1" customHeight="1" x14ac:dyDescent="0.25">
      <c r="A40" s="59"/>
      <c r="B40" s="55"/>
      <c r="C40" s="47"/>
      <c r="D40" s="58"/>
      <c r="E40" s="56"/>
      <c r="F40" s="57"/>
      <c r="G40" s="67"/>
      <c r="H40" s="55"/>
      <c r="I40" s="47"/>
      <c r="J40" s="55"/>
      <c r="K40" s="47"/>
      <c r="L40" s="48"/>
      <c r="M40" s="49"/>
      <c r="N40" s="50"/>
      <c r="O40" s="49"/>
      <c r="P40" s="51"/>
      <c r="Q40" s="52"/>
      <c r="R40" s="53"/>
      <c r="S40" s="54"/>
    </row>
    <row r="41" spans="1:19" ht="19.5" hidden="1" customHeight="1" x14ac:dyDescent="0.25">
      <c r="A41" s="59"/>
      <c r="B41" s="55"/>
      <c r="C41" s="47"/>
      <c r="D41" s="58"/>
      <c r="E41" s="56"/>
      <c r="F41" s="57"/>
      <c r="G41" s="67"/>
      <c r="H41" s="55"/>
      <c r="I41" s="47"/>
      <c r="J41" s="55"/>
      <c r="K41" s="47"/>
      <c r="L41" s="48"/>
      <c r="M41" s="49"/>
      <c r="N41" s="50"/>
      <c r="O41" s="49"/>
      <c r="P41" s="51"/>
      <c r="Q41" s="52"/>
      <c r="R41" s="53"/>
      <c r="S41" s="54"/>
    </row>
    <row r="42" spans="1:19" ht="19.5" hidden="1" customHeight="1" x14ac:dyDescent="0.25">
      <c r="A42" s="59"/>
      <c r="B42" s="55"/>
      <c r="C42" s="47"/>
      <c r="D42" s="58"/>
      <c r="E42" s="56"/>
      <c r="F42" s="57"/>
      <c r="G42" s="67"/>
      <c r="H42" s="55"/>
      <c r="I42" s="47"/>
      <c r="J42" s="55"/>
      <c r="K42" s="47"/>
      <c r="L42" s="48"/>
      <c r="M42" s="49"/>
      <c r="N42" s="50"/>
      <c r="O42" s="49"/>
      <c r="P42" s="51"/>
      <c r="Q42" s="52"/>
      <c r="R42" s="53"/>
      <c r="S42" s="54"/>
    </row>
    <row r="43" spans="1:19" ht="19.5" hidden="1" customHeight="1" x14ac:dyDescent="0.25">
      <c r="A43" s="59"/>
      <c r="B43" s="55"/>
      <c r="C43" s="47"/>
      <c r="D43" s="58"/>
      <c r="E43" s="56"/>
      <c r="F43" s="57"/>
      <c r="G43" s="67"/>
      <c r="H43" s="55"/>
      <c r="I43" s="47"/>
      <c r="J43" s="55"/>
      <c r="K43" s="47"/>
      <c r="L43" s="48"/>
      <c r="M43" s="49"/>
      <c r="N43" s="50"/>
      <c r="O43" s="49"/>
      <c r="P43" s="51"/>
      <c r="Q43" s="52"/>
      <c r="R43" s="53"/>
      <c r="S43" s="54"/>
    </row>
    <row r="44" spans="1:19" ht="19.5" hidden="1" customHeight="1" x14ac:dyDescent="0.25">
      <c r="A44" s="59"/>
      <c r="B44" s="55"/>
      <c r="C44" s="47"/>
      <c r="D44" s="58"/>
      <c r="E44" s="56"/>
      <c r="F44" s="57"/>
      <c r="G44" s="67"/>
      <c r="H44" s="55"/>
      <c r="I44" s="47"/>
      <c r="J44" s="55"/>
      <c r="K44" s="47"/>
      <c r="L44" s="48"/>
      <c r="M44" s="49"/>
      <c r="N44" s="50"/>
      <c r="O44" s="49"/>
      <c r="P44" s="51"/>
      <c r="Q44" s="52"/>
      <c r="R44" s="53"/>
      <c r="S44" s="54"/>
    </row>
    <row r="45" spans="1:19" ht="19.5" hidden="1" customHeight="1" x14ac:dyDescent="0.25">
      <c r="A45" s="59"/>
      <c r="B45" s="55"/>
      <c r="C45" s="47"/>
      <c r="D45" s="58"/>
      <c r="E45" s="56"/>
      <c r="F45" s="57"/>
      <c r="G45" s="67"/>
      <c r="H45" s="55"/>
      <c r="I45" s="47"/>
      <c r="J45" s="55"/>
      <c r="K45" s="47"/>
      <c r="L45" s="48"/>
      <c r="M45" s="49"/>
      <c r="N45" s="50"/>
      <c r="O45" s="49"/>
      <c r="P45" s="51"/>
      <c r="Q45" s="52"/>
      <c r="R45" s="53"/>
      <c r="S45" s="54"/>
    </row>
    <row r="46" spans="1:19" ht="19.5" hidden="1" customHeight="1" x14ac:dyDescent="0.25">
      <c r="A46" s="59"/>
      <c r="B46" s="55"/>
      <c r="C46" s="47"/>
      <c r="D46" s="58"/>
      <c r="E46" s="56"/>
      <c r="F46" s="57"/>
      <c r="G46" s="67"/>
      <c r="H46" s="55"/>
      <c r="I46" s="47"/>
      <c r="J46" s="55"/>
      <c r="K46" s="47"/>
      <c r="L46" s="48"/>
      <c r="M46" s="49"/>
      <c r="N46" s="50"/>
      <c r="O46" s="49"/>
      <c r="P46" s="51"/>
      <c r="Q46" s="52"/>
      <c r="R46" s="53"/>
      <c r="S46" s="54"/>
    </row>
    <row r="47" spans="1:19" ht="19.5" hidden="1" customHeight="1" x14ac:dyDescent="0.25">
      <c r="A47" s="59"/>
      <c r="B47" s="55"/>
      <c r="C47" s="47"/>
      <c r="D47" s="58"/>
      <c r="E47" s="56"/>
      <c r="F47" s="57"/>
      <c r="G47" s="67"/>
      <c r="H47" s="55"/>
      <c r="I47" s="47"/>
      <c r="J47" s="55"/>
      <c r="K47" s="47"/>
      <c r="L47" s="48"/>
      <c r="M47" s="49"/>
      <c r="N47" s="50"/>
      <c r="O47" s="49"/>
      <c r="P47" s="51"/>
      <c r="Q47" s="52"/>
      <c r="R47" s="53"/>
      <c r="S47" s="54"/>
    </row>
    <row r="48" spans="1:19" ht="19.5" hidden="1" customHeight="1" x14ac:dyDescent="0.25">
      <c r="A48" s="59"/>
      <c r="B48" s="55"/>
      <c r="C48" s="47"/>
      <c r="D48" s="58"/>
      <c r="E48" s="56"/>
      <c r="F48" s="57"/>
      <c r="G48" s="67"/>
      <c r="H48" s="55"/>
      <c r="I48" s="47"/>
      <c r="J48" s="55"/>
      <c r="K48" s="47"/>
      <c r="L48" s="48"/>
      <c r="M48" s="49"/>
      <c r="N48" s="50"/>
      <c r="O48" s="49"/>
      <c r="P48" s="51"/>
      <c r="Q48" s="52"/>
      <c r="R48" s="53"/>
      <c r="S48" s="54"/>
    </row>
    <row r="49" spans="1:19" ht="19.5" hidden="1" customHeight="1" x14ac:dyDescent="0.25">
      <c r="A49" s="59"/>
      <c r="B49" s="55"/>
      <c r="C49" s="47"/>
      <c r="D49" s="58"/>
      <c r="E49" s="56"/>
      <c r="F49" s="57"/>
      <c r="G49" s="67"/>
      <c r="H49" s="55"/>
      <c r="I49" s="47"/>
      <c r="J49" s="55"/>
      <c r="K49" s="47"/>
      <c r="L49" s="48"/>
      <c r="M49" s="49"/>
      <c r="N49" s="50"/>
      <c r="O49" s="49"/>
      <c r="P49" s="51"/>
      <c r="Q49" s="52"/>
      <c r="R49" s="53"/>
      <c r="S49" s="54"/>
    </row>
    <row r="50" spans="1:19" ht="19.5" hidden="1" customHeight="1" x14ac:dyDescent="0.25">
      <c r="A50" s="59"/>
      <c r="B50" s="55"/>
      <c r="C50" s="47"/>
      <c r="D50" s="58"/>
      <c r="E50" s="56"/>
      <c r="F50" s="57"/>
      <c r="G50" s="47"/>
      <c r="H50" s="55"/>
      <c r="I50" s="47"/>
      <c r="J50" s="55"/>
      <c r="K50" s="47"/>
      <c r="L50" s="48"/>
      <c r="M50" s="49"/>
      <c r="N50" s="50"/>
      <c r="O50" s="49"/>
      <c r="P50" s="51"/>
      <c r="Q50" s="52"/>
      <c r="R50" s="53"/>
      <c r="S50" s="54"/>
    </row>
    <row r="51" spans="1:19" ht="20.100000000000001" customHeight="1" thickBot="1" x14ac:dyDescent="0.35">
      <c r="A51" s="60"/>
      <c r="B51" s="11"/>
      <c r="C51" s="61"/>
      <c r="D51" s="62"/>
      <c r="E51" s="63"/>
      <c r="F51" s="63"/>
      <c r="G51" s="64"/>
      <c r="H51" s="65"/>
      <c r="I51" s="65"/>
      <c r="J51" s="66"/>
      <c r="K51" s="9"/>
      <c r="L51" s="61"/>
      <c r="M51" s="64"/>
      <c r="N51" s="64"/>
      <c r="O51" s="64"/>
      <c r="P51" s="64"/>
      <c r="Q51" s="66"/>
      <c r="R51" s="61"/>
    </row>
    <row r="52" spans="1:19" ht="20.100000000000001" customHeight="1" x14ac:dyDescent="0.3">
      <c r="A52" s="95" t="s">
        <v>85</v>
      </c>
      <c r="B52" s="96"/>
      <c r="C52" s="96"/>
      <c r="D52" s="96"/>
      <c r="E52" s="96"/>
      <c r="F52" s="96"/>
      <c r="G52" s="97"/>
      <c r="H52" s="16"/>
      <c r="I52" s="19" t="s">
        <v>28</v>
      </c>
      <c r="J52" s="20"/>
      <c r="K52" s="46">
        <f>MIN(K9:K50)</f>
        <v>2.7096718353530833</v>
      </c>
      <c r="L52" s="14"/>
      <c r="M52" s="14"/>
      <c r="N52" s="14"/>
      <c r="O52" s="14"/>
      <c r="P52" s="14"/>
      <c r="Q52" s="46">
        <f>MIN(Q9:Q50)</f>
        <v>1.6881748798297771</v>
      </c>
      <c r="R52" s="43">
        <f>MIN(R9:R50)</f>
        <v>15.504116639327659</v>
      </c>
    </row>
    <row r="53" spans="1:19" ht="20.100000000000001" customHeight="1" x14ac:dyDescent="0.3">
      <c r="A53" s="98"/>
      <c r="B53" s="99"/>
      <c r="C53" s="99"/>
      <c r="D53" s="99"/>
      <c r="E53" s="99"/>
      <c r="F53" s="99"/>
      <c r="G53" s="100"/>
      <c r="H53" s="68"/>
      <c r="I53" s="69" t="s">
        <v>29</v>
      </c>
      <c r="J53" s="18"/>
      <c r="K53" s="45">
        <f>MAX(K9:K50)</f>
        <v>2.894048892699034</v>
      </c>
      <c r="Q53" s="45">
        <f>MAX(Q9:Q50)</f>
        <v>1.7692807707944755</v>
      </c>
      <c r="R53" s="42">
        <f>MAX(R9:R50)</f>
        <v>16.548443999656218</v>
      </c>
    </row>
    <row r="54" spans="1:19" ht="20.100000000000001" customHeight="1" x14ac:dyDescent="0.3">
      <c r="A54" s="98"/>
      <c r="B54" s="99"/>
      <c r="C54" s="99"/>
      <c r="D54" s="99"/>
      <c r="E54" s="99"/>
      <c r="F54" s="99"/>
      <c r="G54" s="100"/>
      <c r="H54" s="68"/>
      <c r="I54" s="69" t="s">
        <v>30</v>
      </c>
      <c r="J54" s="18"/>
      <c r="K54" s="45">
        <f>AVERAGE(K9:K50)</f>
        <v>2.7956024514449278</v>
      </c>
      <c r="Q54" s="45">
        <f>AVERAGE(Q9:Q50)</f>
        <v>1.7163001231463493</v>
      </c>
      <c r="R54" s="42">
        <f>AVERAGE(R9:R50)</f>
        <v>16.139772120773781</v>
      </c>
    </row>
    <row r="55" spans="1:19" ht="20.100000000000001" customHeight="1" thickBot="1" x14ac:dyDescent="0.35">
      <c r="A55" s="101"/>
      <c r="B55" s="102"/>
      <c r="C55" s="102"/>
      <c r="D55" s="102"/>
      <c r="E55" s="102"/>
      <c r="F55" s="102"/>
      <c r="G55" s="103"/>
      <c r="H55" s="17"/>
      <c r="I55" s="21" t="s">
        <v>31</v>
      </c>
      <c r="J55" s="22"/>
      <c r="K55" s="44">
        <f>STDEV(K9:K50)</f>
        <v>5.1745862684221107E-2</v>
      </c>
      <c r="L55" s="15"/>
      <c r="M55" s="15"/>
      <c r="N55" s="15"/>
      <c r="O55" s="15"/>
      <c r="P55" s="15"/>
      <c r="Q55" s="44">
        <f>STDEV(Q9:Q50)</f>
        <v>1.9683963914803343E-2</v>
      </c>
      <c r="R55" s="70">
        <f>STDEV(R9:R50)</f>
        <v>0.23239177794169488</v>
      </c>
    </row>
    <row r="56" spans="1:19" ht="19.5" customHeight="1" x14ac:dyDescent="0.3">
      <c r="D56" s="2"/>
    </row>
    <row r="57" spans="1:19" ht="12" customHeight="1" x14ac:dyDescent="0.3">
      <c r="B57" s="12"/>
      <c r="C57" s="6"/>
      <c r="D57" s="8"/>
      <c r="E57" s="1"/>
      <c r="F57" s="1"/>
      <c r="G57" s="1"/>
      <c r="H57" s="1"/>
      <c r="I57" s="1"/>
    </row>
    <row r="58" spans="1:19" ht="12" customHeight="1" x14ac:dyDescent="0.3"/>
    <row r="59" spans="1:19" ht="12" customHeight="1" x14ac:dyDescent="0.3"/>
    <row r="60" spans="1:19" ht="12" customHeight="1" x14ac:dyDescent="0.3"/>
    <row r="61" spans="1:19" ht="12" customHeight="1" x14ac:dyDescent="0.3"/>
    <row r="62" spans="1:19" ht="12" customHeight="1" x14ac:dyDescent="0.3"/>
    <row r="63" spans="1:19" ht="12" customHeight="1" x14ac:dyDescent="0.3"/>
    <row r="64" spans="1:19" ht="12" customHeight="1" x14ac:dyDescent="0.3"/>
    <row r="65" spans="2:3" ht="12" customHeight="1" x14ac:dyDescent="0.3"/>
    <row r="66" spans="2:3" ht="12" customHeight="1" x14ac:dyDescent="0.3">
      <c r="B66" s="84"/>
      <c r="C66" s="84"/>
    </row>
    <row r="67" spans="2:3" ht="12" customHeight="1" x14ac:dyDescent="0.3"/>
    <row r="68" spans="2:3" ht="12" customHeight="1" x14ac:dyDescent="0.3"/>
    <row r="69" spans="2:3" ht="12" customHeight="1" x14ac:dyDescent="0.3"/>
    <row r="70" spans="2:3" ht="12" customHeight="1" x14ac:dyDescent="0.3"/>
    <row r="71" spans="2:3" ht="12" customHeight="1" x14ac:dyDescent="0.3"/>
    <row r="72" spans="2:3" ht="12" customHeight="1" x14ac:dyDescent="0.3"/>
    <row r="73" spans="2:3" ht="12" customHeight="1" x14ac:dyDescent="0.3"/>
    <row r="74" spans="2:3" ht="12" customHeight="1" x14ac:dyDescent="0.3"/>
    <row r="75" spans="2:3" ht="12" customHeight="1" x14ac:dyDescent="0.3"/>
    <row r="76" spans="2:3" ht="12" customHeight="1" x14ac:dyDescent="0.3"/>
    <row r="77" spans="2:3" ht="12" customHeight="1" x14ac:dyDescent="0.3"/>
    <row r="78" spans="2:3" ht="12" customHeight="1" x14ac:dyDescent="0.3"/>
    <row r="79" spans="2:3" ht="12" customHeight="1" x14ac:dyDescent="0.3"/>
    <row r="255" spans="19:19" ht="13.5" x14ac:dyDescent="0.25">
      <c r="S255" s="2"/>
    </row>
    <row r="256" spans="19:19" ht="13.5" x14ac:dyDescent="0.25">
      <c r="S256" s="2"/>
    </row>
    <row r="257" spans="19:19" ht="13.5" x14ac:dyDescent="0.25">
      <c r="S257" s="2"/>
    </row>
    <row r="258" spans="19:19" ht="13.5" x14ac:dyDescent="0.25">
      <c r="S258" s="2"/>
    </row>
    <row r="259" spans="19:19" ht="13.5" x14ac:dyDescent="0.25">
      <c r="S259" s="2"/>
    </row>
    <row r="260" spans="19:19" ht="13.5" x14ac:dyDescent="0.25">
      <c r="S260" s="2"/>
    </row>
    <row r="261" spans="19:19" ht="13.5" x14ac:dyDescent="0.25">
      <c r="S261" s="2"/>
    </row>
    <row r="262" spans="19:19" ht="13.5" x14ac:dyDescent="0.25">
      <c r="S262" s="2"/>
    </row>
    <row r="263" spans="19:19" ht="13.5" x14ac:dyDescent="0.25">
      <c r="S263" s="2"/>
    </row>
    <row r="264" spans="19:19" ht="13.5" x14ac:dyDescent="0.25">
      <c r="S264" s="2"/>
    </row>
    <row r="265" spans="19:19" ht="13.5" x14ac:dyDescent="0.25">
      <c r="S265" s="2"/>
    </row>
    <row r="266" spans="19:19" ht="13.5" x14ac:dyDescent="0.25">
      <c r="S266" s="2"/>
    </row>
    <row r="267" spans="19:19" ht="13.5" x14ac:dyDescent="0.25">
      <c r="S267" s="2"/>
    </row>
    <row r="268" spans="19:19" ht="13.5" x14ac:dyDescent="0.25">
      <c r="S268" s="2"/>
    </row>
    <row r="269" spans="19:19" ht="13.5" x14ac:dyDescent="0.25">
      <c r="S269" s="2"/>
    </row>
    <row r="270" spans="19:19" ht="13.5" x14ac:dyDescent="0.25">
      <c r="S270" s="2"/>
    </row>
    <row r="271" spans="19:19" ht="13.5" x14ac:dyDescent="0.25">
      <c r="S271" s="2"/>
    </row>
    <row r="272" spans="19:19" ht="13.5" x14ac:dyDescent="0.25">
      <c r="S272" s="2"/>
    </row>
    <row r="273" spans="19:19" ht="13.5" x14ac:dyDescent="0.25">
      <c r="S273" s="2"/>
    </row>
    <row r="274" spans="19:19" ht="13.5" x14ac:dyDescent="0.25">
      <c r="S274" s="2"/>
    </row>
    <row r="275" spans="19:19" ht="13.5" x14ac:dyDescent="0.25">
      <c r="S275" s="2"/>
    </row>
    <row r="276" spans="19:19" ht="13.5" x14ac:dyDescent="0.25">
      <c r="S276" s="2"/>
    </row>
    <row r="277" spans="19:19" ht="13.5" x14ac:dyDescent="0.25">
      <c r="S277" s="2"/>
    </row>
    <row r="278" spans="19:19" ht="13.5" x14ac:dyDescent="0.25">
      <c r="S278" s="2"/>
    </row>
    <row r="279" spans="19:19" ht="13.5" x14ac:dyDescent="0.25">
      <c r="S279" s="2"/>
    </row>
    <row r="280" spans="19:19" ht="13.5" x14ac:dyDescent="0.25">
      <c r="S280" s="2"/>
    </row>
    <row r="281" spans="19:19" ht="13.5" x14ac:dyDescent="0.25">
      <c r="S281" s="2"/>
    </row>
    <row r="282" spans="19:19" ht="13.5" x14ac:dyDescent="0.25">
      <c r="S282" s="2"/>
    </row>
    <row r="283" spans="19:19" ht="13.5" x14ac:dyDescent="0.25">
      <c r="S283" s="2"/>
    </row>
    <row r="284" spans="19:19" ht="13.5" x14ac:dyDescent="0.25">
      <c r="S284" s="2"/>
    </row>
    <row r="285" spans="19:19" ht="13.5" x14ac:dyDescent="0.25">
      <c r="S285" s="2"/>
    </row>
    <row r="286" spans="19:19" ht="13.5" x14ac:dyDescent="0.25">
      <c r="S286" s="2"/>
    </row>
    <row r="287" spans="19:19" ht="13.5" x14ac:dyDescent="0.25">
      <c r="S287" s="2"/>
    </row>
    <row r="288" spans="19:19" ht="13.5" x14ac:dyDescent="0.25">
      <c r="S288" s="2"/>
    </row>
    <row r="289" spans="19:19" ht="13.5" x14ac:dyDescent="0.25">
      <c r="S289" s="2"/>
    </row>
    <row r="290" spans="19:19" ht="13.5" x14ac:dyDescent="0.25">
      <c r="S290" s="2"/>
    </row>
    <row r="291" spans="19:19" ht="13.5" x14ac:dyDescent="0.25">
      <c r="S291" s="2"/>
    </row>
    <row r="292" spans="19:19" ht="13.5" x14ac:dyDescent="0.25">
      <c r="S292" s="2"/>
    </row>
    <row r="293" spans="19:19" ht="13.5" x14ac:dyDescent="0.25">
      <c r="S293" s="2"/>
    </row>
    <row r="294" spans="19:19" ht="13.5" x14ac:dyDescent="0.25">
      <c r="S294" s="2"/>
    </row>
    <row r="295" spans="19:19" ht="13.5" x14ac:dyDescent="0.25">
      <c r="S295" s="2"/>
    </row>
    <row r="296" spans="19:19" ht="13.5" x14ac:dyDescent="0.25">
      <c r="S296" s="2"/>
    </row>
    <row r="297" spans="19:19" ht="13.5" x14ac:dyDescent="0.25">
      <c r="S297" s="2"/>
    </row>
    <row r="298" spans="19:19" ht="13.5" x14ac:dyDescent="0.25">
      <c r="S298" s="2"/>
    </row>
    <row r="299" spans="19:19" ht="13.5" x14ac:dyDescent="0.25">
      <c r="S299" s="2"/>
    </row>
    <row r="300" spans="19:19" ht="13.5" x14ac:dyDescent="0.25">
      <c r="S300" s="2"/>
    </row>
    <row r="301" spans="19:19" ht="13.5" x14ac:dyDescent="0.25">
      <c r="S301" s="2"/>
    </row>
    <row r="302" spans="19:19" ht="13.5" x14ac:dyDescent="0.25">
      <c r="S302" s="2"/>
    </row>
    <row r="303" spans="19:19" ht="13.5" x14ac:dyDescent="0.25">
      <c r="S303" s="2"/>
    </row>
    <row r="304" spans="19:19" ht="13.5" x14ac:dyDescent="0.25">
      <c r="S304" s="2"/>
    </row>
    <row r="305" spans="19:19" ht="13.5" x14ac:dyDescent="0.25">
      <c r="S305" s="2"/>
    </row>
    <row r="306" spans="19:19" ht="13.5" x14ac:dyDescent="0.25">
      <c r="S306" s="2"/>
    </row>
    <row r="307" spans="19:19" ht="13.5" x14ac:dyDescent="0.25">
      <c r="S307" s="2"/>
    </row>
    <row r="308" spans="19:19" ht="13.5" x14ac:dyDescent="0.25">
      <c r="S308" s="2"/>
    </row>
    <row r="309" spans="19:19" ht="13.5" x14ac:dyDescent="0.25">
      <c r="S309" s="2"/>
    </row>
    <row r="310" spans="19:19" ht="13.5" x14ac:dyDescent="0.25">
      <c r="S310" s="2"/>
    </row>
    <row r="311" spans="19:19" ht="13.5" x14ac:dyDescent="0.25">
      <c r="S311" s="2"/>
    </row>
    <row r="312" spans="19:19" ht="13.5" x14ac:dyDescent="0.25">
      <c r="S312" s="2"/>
    </row>
    <row r="313" spans="19:19" ht="13.5" x14ac:dyDescent="0.25">
      <c r="S313" s="2"/>
    </row>
    <row r="314" spans="19:19" ht="13.5" x14ac:dyDescent="0.25">
      <c r="S314" s="2"/>
    </row>
    <row r="315" spans="19:19" ht="13.5" x14ac:dyDescent="0.25">
      <c r="S315" s="2"/>
    </row>
    <row r="316" spans="19:19" ht="13.5" x14ac:dyDescent="0.25">
      <c r="S316" s="2"/>
    </row>
    <row r="317" spans="19:19" ht="13.5" x14ac:dyDescent="0.25">
      <c r="S317" s="2"/>
    </row>
    <row r="318" spans="19:19" ht="13.5" x14ac:dyDescent="0.25">
      <c r="S318" s="2"/>
    </row>
    <row r="319" spans="19:19" ht="13.5" x14ac:dyDescent="0.25">
      <c r="S319" s="2"/>
    </row>
    <row r="320" spans="19:19" ht="13.5" x14ac:dyDescent="0.25">
      <c r="S320" s="2"/>
    </row>
    <row r="321" spans="4:19" ht="13.5" x14ac:dyDescent="0.25">
      <c r="S321" s="2"/>
    </row>
    <row r="322" spans="4:19" ht="13.5" x14ac:dyDescent="0.25">
      <c r="S322" s="2"/>
    </row>
    <row r="323" spans="4:19" ht="13.5" x14ac:dyDescent="0.25">
      <c r="S323" s="2"/>
    </row>
    <row r="324" spans="4:19" ht="13.5" x14ac:dyDescent="0.25">
      <c r="S324" s="2"/>
    </row>
    <row r="325" spans="4:19" ht="13.5" x14ac:dyDescent="0.25">
      <c r="D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4:19" ht="13.5" x14ac:dyDescent="0.25">
      <c r="D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4:19" ht="13.5" x14ac:dyDescent="0.25">
      <c r="D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4:19" ht="13.5" x14ac:dyDescent="0.25">
      <c r="D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4:19" ht="13.5" x14ac:dyDescent="0.25">
      <c r="D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4:19" ht="13.5" x14ac:dyDescent="0.25">
      <c r="D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4:19" ht="13.5" x14ac:dyDescent="0.25">
      <c r="D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4:19" ht="13.5" x14ac:dyDescent="0.25">
      <c r="D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4:19" ht="13.5" x14ac:dyDescent="0.25">
      <c r="D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4:19" ht="13.5" x14ac:dyDescent="0.25">
      <c r="D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4:19" ht="13.5" x14ac:dyDescent="0.25">
      <c r="D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4:19" ht="13.5" x14ac:dyDescent="0.25">
      <c r="D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4:19" ht="13.5" x14ac:dyDescent="0.25">
      <c r="D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4:19" ht="13.5" x14ac:dyDescent="0.25">
      <c r="D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4:19" ht="13.5" x14ac:dyDescent="0.25">
      <c r="D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4:19" ht="13.5" x14ac:dyDescent="0.25">
      <c r="D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4:19" ht="13.5" x14ac:dyDescent="0.25">
      <c r="D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4:19" ht="13.5" x14ac:dyDescent="0.25">
      <c r="D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4:19" ht="13.5" x14ac:dyDescent="0.25">
      <c r="D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4:19" ht="13.5" x14ac:dyDescent="0.25">
      <c r="D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4:19" ht="13.5" x14ac:dyDescent="0.25">
      <c r="D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4:19" ht="13.5" x14ac:dyDescent="0.25">
      <c r="D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4:19" ht="13.5" x14ac:dyDescent="0.25">
      <c r="D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4:19" ht="13.5" x14ac:dyDescent="0.25">
      <c r="D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4:19" ht="13.5" x14ac:dyDescent="0.25">
      <c r="D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4:19" ht="13.5" x14ac:dyDescent="0.25">
      <c r="D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4:19" ht="13.5" x14ac:dyDescent="0.25">
      <c r="D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4:19" ht="13.5" x14ac:dyDescent="0.25">
      <c r="D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4:19" ht="13.5" x14ac:dyDescent="0.25">
      <c r="D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4:19" ht="13.5" x14ac:dyDescent="0.25">
      <c r="D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4:19" ht="13.5" x14ac:dyDescent="0.25">
      <c r="D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4:19" ht="13.5" x14ac:dyDescent="0.25">
      <c r="D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4:19" ht="13.5" x14ac:dyDescent="0.25">
      <c r="D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4:19" ht="13.5" x14ac:dyDescent="0.25">
      <c r="D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4:19" ht="13.5" x14ac:dyDescent="0.25">
      <c r="D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4:19" ht="13.5" x14ac:dyDescent="0.25">
      <c r="D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4:19" ht="13.5" x14ac:dyDescent="0.25">
      <c r="D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4:19" ht="13.5" x14ac:dyDescent="0.25">
      <c r="D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4:19" ht="13.5" x14ac:dyDescent="0.25">
      <c r="D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4:19" ht="13.5" x14ac:dyDescent="0.25">
      <c r="D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4:19" ht="13.5" x14ac:dyDescent="0.25">
      <c r="D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4:19" ht="13.5" x14ac:dyDescent="0.25">
      <c r="D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4:19" ht="13.5" x14ac:dyDescent="0.25">
      <c r="D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4:19" ht="13.5" x14ac:dyDescent="0.25">
      <c r="D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4:19" ht="13.5" x14ac:dyDescent="0.25">
      <c r="D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4:19" ht="13.5" x14ac:dyDescent="0.25">
      <c r="D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4:19" ht="13.5" x14ac:dyDescent="0.25">
      <c r="D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4:19" ht="13.5" x14ac:dyDescent="0.25">
      <c r="D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4:19" ht="13.5" x14ac:dyDescent="0.25">
      <c r="D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4:19" ht="13.5" x14ac:dyDescent="0.25">
      <c r="D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4:19" ht="13.5" x14ac:dyDescent="0.25">
      <c r="D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4:19" ht="13.5" x14ac:dyDescent="0.25">
      <c r="D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4:19" ht="13.5" x14ac:dyDescent="0.25">
      <c r="D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4:19" ht="13.5" x14ac:dyDescent="0.25">
      <c r="D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4:19" ht="13.5" x14ac:dyDescent="0.25">
      <c r="D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4:19" ht="13.5" x14ac:dyDescent="0.25">
      <c r="D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4:19" ht="13.5" x14ac:dyDescent="0.25">
      <c r="D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4:19" ht="13.5" x14ac:dyDescent="0.25">
      <c r="D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4:19" ht="13.5" x14ac:dyDescent="0.25">
      <c r="D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4:19" ht="13.5" x14ac:dyDescent="0.25">
      <c r="D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4:19" ht="13.5" x14ac:dyDescent="0.25">
      <c r="D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4:19" ht="13.5" x14ac:dyDescent="0.25">
      <c r="D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4:19" ht="13.5" x14ac:dyDescent="0.25">
      <c r="D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4:19" ht="13.5" x14ac:dyDescent="0.25">
      <c r="D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4:19" ht="13.5" x14ac:dyDescent="0.25">
      <c r="D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4:19" ht="13.5" x14ac:dyDescent="0.25">
      <c r="D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4:19" ht="13.5" x14ac:dyDescent="0.25">
      <c r="D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4:19" ht="13.5" x14ac:dyDescent="0.25">
      <c r="D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4:19" ht="13.5" x14ac:dyDescent="0.25">
      <c r="D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4:19" ht="13.5" x14ac:dyDescent="0.25">
      <c r="D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4:19" ht="13.5" x14ac:dyDescent="0.25">
      <c r="D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4:19" ht="13.5" x14ac:dyDescent="0.25">
      <c r="D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4:19" ht="13.5" x14ac:dyDescent="0.25">
      <c r="D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4:19" ht="13.5" x14ac:dyDescent="0.25">
      <c r="D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4:19" ht="13.5" x14ac:dyDescent="0.25">
      <c r="D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4:19" ht="13.5" x14ac:dyDescent="0.25">
      <c r="D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4:19" ht="13.5" x14ac:dyDescent="0.25">
      <c r="D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4:19" ht="13.5" x14ac:dyDescent="0.25">
      <c r="D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4:19" ht="13.5" x14ac:dyDescent="0.25">
      <c r="D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4:19" ht="13.5" x14ac:dyDescent="0.25">
      <c r="D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4:19" ht="13.5" x14ac:dyDescent="0.25">
      <c r="D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4:19" ht="13.5" x14ac:dyDescent="0.25">
      <c r="D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4:19" ht="13.5" x14ac:dyDescent="0.25">
      <c r="D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4:19" ht="13.5" x14ac:dyDescent="0.25">
      <c r="D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4:19" ht="13.5" x14ac:dyDescent="0.25">
      <c r="D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4:19" ht="13.5" x14ac:dyDescent="0.25">
      <c r="D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4:19" ht="13.5" x14ac:dyDescent="0.25">
      <c r="D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4:19" ht="13.5" x14ac:dyDescent="0.25">
      <c r="D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4:19" ht="13.5" x14ac:dyDescent="0.25">
      <c r="D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4:19" ht="13.5" x14ac:dyDescent="0.25">
      <c r="D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4:19" ht="13.5" x14ac:dyDescent="0.25">
      <c r="D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4:19" ht="13.5" x14ac:dyDescent="0.25">
      <c r="D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4:19" ht="13.5" x14ac:dyDescent="0.25">
      <c r="D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4:19" ht="13.5" x14ac:dyDescent="0.25">
      <c r="D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4:19" ht="13.5" x14ac:dyDescent="0.25">
      <c r="D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4:19" ht="13.5" x14ac:dyDescent="0.25">
      <c r="D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4:19" ht="13.5" x14ac:dyDescent="0.25">
      <c r="D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4:19" ht="13.5" x14ac:dyDescent="0.25">
      <c r="D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4:19" ht="13.5" x14ac:dyDescent="0.25">
      <c r="D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4:19" ht="13.5" x14ac:dyDescent="0.25">
      <c r="D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4:19" ht="13.5" x14ac:dyDescent="0.25">
      <c r="D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4:19" ht="13.5" x14ac:dyDescent="0.25">
      <c r="D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4:19" ht="13.5" x14ac:dyDescent="0.25">
      <c r="D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4:19" ht="13.5" x14ac:dyDescent="0.25">
      <c r="D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4:19" ht="13.5" x14ac:dyDescent="0.25">
      <c r="D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4:19" ht="13.5" x14ac:dyDescent="0.25">
      <c r="D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4:19" ht="13.5" x14ac:dyDescent="0.25">
      <c r="D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4:19" ht="13.5" x14ac:dyDescent="0.25">
      <c r="D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4:19" ht="13.5" x14ac:dyDescent="0.25">
      <c r="D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4:19" ht="13.5" x14ac:dyDescent="0.25">
      <c r="D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4:19" ht="13.5" x14ac:dyDescent="0.25">
      <c r="D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4:19" ht="13.5" x14ac:dyDescent="0.25">
      <c r="D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4:19" ht="13.5" x14ac:dyDescent="0.25">
      <c r="D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4:19" ht="13.5" x14ac:dyDescent="0.25">
      <c r="D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4:19" ht="13.5" x14ac:dyDescent="0.25">
      <c r="D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4:19" ht="13.5" x14ac:dyDescent="0.25">
      <c r="D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4:19" ht="13.5" x14ac:dyDescent="0.25">
      <c r="D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4:19" ht="13.5" x14ac:dyDescent="0.25">
      <c r="D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4:19" ht="13.5" x14ac:dyDescent="0.25">
      <c r="D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4:19" ht="13.5" x14ac:dyDescent="0.25">
      <c r="D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4:19" ht="13.5" x14ac:dyDescent="0.25">
      <c r="D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4:19" ht="13.5" x14ac:dyDescent="0.25">
      <c r="D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4:19" ht="13.5" x14ac:dyDescent="0.25">
      <c r="D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4:19" ht="13.5" x14ac:dyDescent="0.25">
      <c r="D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4:19" ht="13.5" x14ac:dyDescent="0.25">
      <c r="D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4:19" ht="13.5" x14ac:dyDescent="0.25">
      <c r="D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4:19" ht="13.5" x14ac:dyDescent="0.25">
      <c r="D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4:19" ht="13.5" x14ac:dyDescent="0.25">
      <c r="D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4:19" ht="13.5" x14ac:dyDescent="0.25">
      <c r="D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4:19" ht="13.5" x14ac:dyDescent="0.25">
      <c r="D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4:19" ht="13.5" x14ac:dyDescent="0.25">
      <c r="D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4:19" ht="13.5" x14ac:dyDescent="0.25">
      <c r="D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4:19" ht="13.5" x14ac:dyDescent="0.25">
      <c r="D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4:19" ht="13.5" x14ac:dyDescent="0.25">
      <c r="D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4:19" ht="13.5" x14ac:dyDescent="0.25">
      <c r="D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4:19" ht="13.5" x14ac:dyDescent="0.25">
      <c r="D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4:19" ht="13.5" x14ac:dyDescent="0.25">
      <c r="D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4:19" ht="13.5" x14ac:dyDescent="0.25">
      <c r="D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4:19" ht="13.5" x14ac:dyDescent="0.25">
      <c r="D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4:19" ht="13.5" x14ac:dyDescent="0.25">
      <c r="D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4:19" ht="13.5" x14ac:dyDescent="0.25">
      <c r="D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4:19" ht="13.5" x14ac:dyDescent="0.25">
      <c r="D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4:19" ht="13.5" x14ac:dyDescent="0.25">
      <c r="D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4:19" ht="13.5" x14ac:dyDescent="0.25">
      <c r="D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4:19" ht="13.5" x14ac:dyDescent="0.25">
      <c r="D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4:19" ht="13.5" x14ac:dyDescent="0.25">
      <c r="D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4:19" ht="13.5" x14ac:dyDescent="0.25">
      <c r="D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4:19" ht="13.5" x14ac:dyDescent="0.25">
      <c r="D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4:19" ht="13.5" x14ac:dyDescent="0.25">
      <c r="D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4:19" ht="13.5" x14ac:dyDescent="0.25">
      <c r="D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4:19" ht="13.5" x14ac:dyDescent="0.25">
      <c r="D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4:19" ht="13.5" x14ac:dyDescent="0.25">
      <c r="D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4:19" ht="13.5" x14ac:dyDescent="0.25">
      <c r="D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4:19" ht="13.5" x14ac:dyDescent="0.25">
      <c r="D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4:19" ht="13.5" x14ac:dyDescent="0.25">
      <c r="D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4:19" ht="13.5" x14ac:dyDescent="0.25">
      <c r="D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4:19" ht="13.5" x14ac:dyDescent="0.25">
      <c r="D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4:19" ht="13.5" x14ac:dyDescent="0.25">
      <c r="D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4:19" ht="13.5" x14ac:dyDescent="0.25">
      <c r="D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4:19" ht="13.5" x14ac:dyDescent="0.25">
      <c r="D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4:19" ht="13.5" x14ac:dyDescent="0.25">
      <c r="D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4:19" ht="13.5" x14ac:dyDescent="0.25">
      <c r="D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4:19" ht="13.5" x14ac:dyDescent="0.25">
      <c r="D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4:19" ht="13.5" x14ac:dyDescent="0.25">
      <c r="D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4:19" ht="13.5" x14ac:dyDescent="0.25">
      <c r="D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4:19" ht="13.5" x14ac:dyDescent="0.25">
      <c r="D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4:19" ht="13.5" x14ac:dyDescent="0.25">
      <c r="D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4:19" ht="13.5" x14ac:dyDescent="0.25">
      <c r="D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4:19" ht="13.5" x14ac:dyDescent="0.25">
      <c r="D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4:19" ht="13.5" x14ac:dyDescent="0.25">
      <c r="D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4:19" ht="13.5" x14ac:dyDescent="0.25">
      <c r="D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4:19" ht="13.5" x14ac:dyDescent="0.25">
      <c r="D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4:19" ht="13.5" x14ac:dyDescent="0.25">
      <c r="D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4:19" ht="13.5" x14ac:dyDescent="0.25">
      <c r="D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4:19" ht="13.5" x14ac:dyDescent="0.25">
      <c r="D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4:19" ht="13.5" x14ac:dyDescent="0.25">
      <c r="D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4:19" ht="13.5" x14ac:dyDescent="0.25">
      <c r="D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4:19" ht="13.5" x14ac:dyDescent="0.25">
      <c r="D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4:19" ht="13.5" x14ac:dyDescent="0.25">
      <c r="D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4:19" ht="13.5" x14ac:dyDescent="0.25">
      <c r="D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4:19" ht="13.5" x14ac:dyDescent="0.25">
      <c r="D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4:19" ht="13.5" x14ac:dyDescent="0.25">
      <c r="D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4:19" ht="13.5" x14ac:dyDescent="0.25">
      <c r="D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4:19" ht="13.5" x14ac:dyDescent="0.25">
      <c r="D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4:19" ht="13.5" x14ac:dyDescent="0.25">
      <c r="D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4:19" ht="13.5" x14ac:dyDescent="0.25">
      <c r="D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4:19" ht="13.5" x14ac:dyDescent="0.25">
      <c r="D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4:19" ht="13.5" x14ac:dyDescent="0.25">
      <c r="D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4:19" ht="13.5" x14ac:dyDescent="0.25">
      <c r="D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4:19" ht="13.5" x14ac:dyDescent="0.25">
      <c r="D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4:19" ht="13.5" x14ac:dyDescent="0.25">
      <c r="D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4:19" ht="13.5" x14ac:dyDescent="0.25">
      <c r="D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4:19" ht="13.5" x14ac:dyDescent="0.25">
      <c r="D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4:19" ht="13.5" x14ac:dyDescent="0.25">
      <c r="D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4:19" ht="13.5" x14ac:dyDescent="0.25">
      <c r="D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4:19" ht="13.5" x14ac:dyDescent="0.25">
      <c r="D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4:19" ht="13.5" x14ac:dyDescent="0.25">
      <c r="D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4:19" ht="13.5" x14ac:dyDescent="0.25">
      <c r="D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4:19" ht="13.5" x14ac:dyDescent="0.25">
      <c r="D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4:19" ht="13.5" x14ac:dyDescent="0.25">
      <c r="D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4:19" ht="13.5" x14ac:dyDescent="0.25">
      <c r="D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4:19" ht="13.5" x14ac:dyDescent="0.25">
      <c r="D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4:19" ht="13.5" x14ac:dyDescent="0.25">
      <c r="D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4:19" ht="13.5" x14ac:dyDescent="0.25">
      <c r="D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4:19" ht="13.5" x14ac:dyDescent="0.25">
      <c r="D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4:19" ht="13.5" x14ac:dyDescent="0.25">
      <c r="D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4:19" ht="13.5" x14ac:dyDescent="0.25">
      <c r="D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4:19" ht="13.5" x14ac:dyDescent="0.25">
      <c r="D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4:19" ht="13.5" x14ac:dyDescent="0.25">
      <c r="D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4:19" ht="13.5" x14ac:dyDescent="0.25">
      <c r="D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4:19" ht="13.5" x14ac:dyDescent="0.25">
      <c r="D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4:19" ht="13.5" x14ac:dyDescent="0.25">
      <c r="D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4:19" ht="13.5" x14ac:dyDescent="0.25">
      <c r="D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4:19" ht="13.5" x14ac:dyDescent="0.25">
      <c r="D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4:19" ht="13.5" x14ac:dyDescent="0.25">
      <c r="D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4:19" ht="13.5" x14ac:dyDescent="0.25">
      <c r="D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4:19" ht="13.5" x14ac:dyDescent="0.25">
      <c r="D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4:19" ht="13.5" x14ac:dyDescent="0.25">
      <c r="D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4:19" ht="13.5" x14ac:dyDescent="0.25">
      <c r="D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4:19" ht="13.5" x14ac:dyDescent="0.25">
      <c r="D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4:19" ht="13.5" x14ac:dyDescent="0.25">
      <c r="D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4:19" ht="13.5" x14ac:dyDescent="0.25">
      <c r="D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4:19" ht="13.5" x14ac:dyDescent="0.25">
      <c r="D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4:19" ht="13.5" x14ac:dyDescent="0.25">
      <c r="D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4:19" ht="13.5" x14ac:dyDescent="0.25">
      <c r="D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4:19" ht="13.5" x14ac:dyDescent="0.25">
      <c r="D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4:19" ht="13.5" x14ac:dyDescent="0.25">
      <c r="D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4:19" ht="13.5" x14ac:dyDescent="0.25">
      <c r="D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4:19" ht="13.5" x14ac:dyDescent="0.25">
      <c r="D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4:19" ht="13.5" x14ac:dyDescent="0.25">
      <c r="D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4:19" ht="13.5" x14ac:dyDescent="0.25">
      <c r="D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4:19" ht="13.5" x14ac:dyDescent="0.25">
      <c r="D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4:19" ht="13.5" x14ac:dyDescent="0.25">
      <c r="D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4:19" ht="13.5" x14ac:dyDescent="0.25">
      <c r="D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4:19" ht="13.5" x14ac:dyDescent="0.25">
      <c r="D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4:19" ht="13.5" x14ac:dyDescent="0.25">
      <c r="D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4:19" ht="13.5" x14ac:dyDescent="0.25">
      <c r="D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4:19" ht="13.5" x14ac:dyDescent="0.25">
      <c r="D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4:19" ht="13.5" x14ac:dyDescent="0.25">
      <c r="D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4:19" ht="13.5" x14ac:dyDescent="0.25">
      <c r="D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4:19" ht="13.5" x14ac:dyDescent="0.25">
      <c r="D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4:19" ht="13.5" x14ac:dyDescent="0.25">
      <c r="D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4:19" ht="13.5" x14ac:dyDescent="0.25">
      <c r="D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4:19" ht="13.5" x14ac:dyDescent="0.25">
      <c r="D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4:19" ht="13.5" x14ac:dyDescent="0.25">
      <c r="D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4:19" ht="13.5" x14ac:dyDescent="0.25">
      <c r="D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4:19" ht="13.5" x14ac:dyDescent="0.25">
      <c r="D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4:19" ht="13.5" x14ac:dyDescent="0.25">
      <c r="D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4:19" ht="13.5" x14ac:dyDescent="0.25">
      <c r="D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4:19" ht="13.5" x14ac:dyDescent="0.25">
      <c r="D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4:19" ht="13.5" x14ac:dyDescent="0.25">
      <c r="D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4:19" ht="13.5" x14ac:dyDescent="0.25">
      <c r="D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4:19" ht="13.5" x14ac:dyDescent="0.25">
      <c r="D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4:19" ht="13.5" x14ac:dyDescent="0.25">
      <c r="D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4:19" ht="13.5" x14ac:dyDescent="0.25">
      <c r="D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4:19" ht="13.5" x14ac:dyDescent="0.25">
      <c r="D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4:19" ht="13.5" x14ac:dyDescent="0.25">
      <c r="D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4:19" ht="13.5" x14ac:dyDescent="0.25">
      <c r="D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4:19" ht="13.5" x14ac:dyDescent="0.25">
      <c r="D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4:19" ht="13.5" x14ac:dyDescent="0.25">
      <c r="D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4:19" ht="13.5" x14ac:dyDescent="0.25">
      <c r="D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4:19" ht="13.5" x14ac:dyDescent="0.25">
      <c r="D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4:19" ht="13.5" x14ac:dyDescent="0.25">
      <c r="D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4:19" ht="13.5" x14ac:dyDescent="0.25">
      <c r="D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4:19" ht="13.5" x14ac:dyDescent="0.25">
      <c r="D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4:19" ht="13.5" x14ac:dyDescent="0.25">
      <c r="D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4:19" ht="13.5" x14ac:dyDescent="0.25">
      <c r="D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4:19" ht="13.5" x14ac:dyDescent="0.25">
      <c r="D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4:19" ht="13.5" x14ac:dyDescent="0.25">
      <c r="D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4:19" ht="13.5" x14ac:dyDescent="0.25">
      <c r="D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4:19" ht="13.5" x14ac:dyDescent="0.25">
      <c r="D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4:19" ht="13.5" x14ac:dyDescent="0.25">
      <c r="D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4:19" ht="13.5" x14ac:dyDescent="0.25">
      <c r="D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4:19" ht="13.5" x14ac:dyDescent="0.25">
      <c r="D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4:19" ht="13.5" x14ac:dyDescent="0.25">
      <c r="D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4:19" ht="13.5" x14ac:dyDescent="0.25">
      <c r="D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4:19" ht="13.5" x14ac:dyDescent="0.25">
      <c r="D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4:19" ht="13.5" x14ac:dyDescent="0.25">
      <c r="D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4:19" ht="13.5" x14ac:dyDescent="0.25">
      <c r="D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4:19" ht="13.5" x14ac:dyDescent="0.25">
      <c r="D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4:19" ht="13.5" x14ac:dyDescent="0.25">
      <c r="D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4:19" ht="13.5" x14ac:dyDescent="0.25">
      <c r="D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4:19" ht="13.5" x14ac:dyDescent="0.25">
      <c r="D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4:19" ht="13.5" x14ac:dyDescent="0.25">
      <c r="D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4:19" ht="13.5" x14ac:dyDescent="0.25">
      <c r="D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4:19" ht="13.5" x14ac:dyDescent="0.25">
      <c r="D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4:19" ht="13.5" x14ac:dyDescent="0.25">
      <c r="D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4:19" ht="13.5" x14ac:dyDescent="0.25">
      <c r="D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4:19" ht="13.5" x14ac:dyDescent="0.25">
      <c r="D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4:19" ht="13.5" x14ac:dyDescent="0.25">
      <c r="D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4:19" ht="13.5" x14ac:dyDescent="0.25">
      <c r="D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4:19" ht="13.5" x14ac:dyDescent="0.25">
      <c r="D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4:19" ht="13.5" x14ac:dyDescent="0.25">
      <c r="D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4:19" ht="13.5" x14ac:dyDescent="0.25">
      <c r="D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4:19" ht="13.5" x14ac:dyDescent="0.25">
      <c r="D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4:19" ht="13.5" x14ac:dyDescent="0.25">
      <c r="D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4:19" ht="13.5" x14ac:dyDescent="0.25">
      <c r="D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4:19" ht="13.5" x14ac:dyDescent="0.25">
      <c r="D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4:19" ht="13.5" x14ac:dyDescent="0.25">
      <c r="D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4:19" ht="13.5" x14ac:dyDescent="0.25">
      <c r="D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4:19" ht="13.5" x14ac:dyDescent="0.25">
      <c r="D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4:19" ht="13.5" x14ac:dyDescent="0.25">
      <c r="D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4:19" ht="13.5" x14ac:dyDescent="0.25">
      <c r="D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4:19" ht="13.5" x14ac:dyDescent="0.25">
      <c r="D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4:19" ht="13.5" x14ac:dyDescent="0.25">
      <c r="D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4:19" ht="13.5" x14ac:dyDescent="0.25">
      <c r="D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4:19" ht="13.5" x14ac:dyDescent="0.25">
      <c r="D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4:19" ht="13.5" x14ac:dyDescent="0.25">
      <c r="D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4:19" ht="13.5" x14ac:dyDescent="0.25">
      <c r="D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4:19" ht="13.5" x14ac:dyDescent="0.25">
      <c r="D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4:19" ht="13.5" x14ac:dyDescent="0.25">
      <c r="D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4:19" ht="13.5" x14ac:dyDescent="0.25">
      <c r="D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4:19" ht="13.5" x14ac:dyDescent="0.25">
      <c r="D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4:19" ht="13.5" x14ac:dyDescent="0.25">
      <c r="D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4:19" ht="13.5" x14ac:dyDescent="0.25">
      <c r="D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4:19" ht="13.5" x14ac:dyDescent="0.25">
      <c r="D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4:19" ht="13.5" x14ac:dyDescent="0.25">
      <c r="D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4:19" ht="13.5" x14ac:dyDescent="0.25">
      <c r="D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4:19" ht="13.5" x14ac:dyDescent="0.25">
      <c r="D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4:19" ht="13.5" x14ac:dyDescent="0.25">
      <c r="D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4:19" ht="13.5" x14ac:dyDescent="0.25">
      <c r="D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4:19" ht="13.5" x14ac:dyDescent="0.25">
      <c r="D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4:19" ht="13.5" x14ac:dyDescent="0.25">
      <c r="D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4:19" ht="13.5" x14ac:dyDescent="0.25">
      <c r="D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4:19" ht="13.5" x14ac:dyDescent="0.25">
      <c r="D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4:19" ht="13.5" x14ac:dyDescent="0.25">
      <c r="D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4:19" ht="13.5" x14ac:dyDescent="0.25">
      <c r="D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4:19" ht="13.5" x14ac:dyDescent="0.25">
      <c r="D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4:19" ht="13.5" x14ac:dyDescent="0.25">
      <c r="D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4:19" ht="13.5" x14ac:dyDescent="0.25">
      <c r="D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4:19" ht="13.5" x14ac:dyDescent="0.25">
      <c r="D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4:19" ht="13.5" x14ac:dyDescent="0.25">
      <c r="D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4:19" ht="13.5" x14ac:dyDescent="0.25">
      <c r="D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4:19" ht="13.5" x14ac:dyDescent="0.25">
      <c r="D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4:19" ht="13.5" x14ac:dyDescent="0.25">
      <c r="D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4:19" ht="13.5" x14ac:dyDescent="0.25">
      <c r="D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4:19" ht="13.5" x14ac:dyDescent="0.25">
      <c r="D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4:19" ht="13.5" x14ac:dyDescent="0.25">
      <c r="D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4:19" ht="13.5" x14ac:dyDescent="0.25">
      <c r="D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4:19" ht="13.5" x14ac:dyDescent="0.25">
      <c r="D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4:19" ht="13.5" x14ac:dyDescent="0.25">
      <c r="D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4:19" ht="13.5" x14ac:dyDescent="0.25">
      <c r="D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4:19" ht="13.5" x14ac:dyDescent="0.25">
      <c r="D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4:19" ht="13.5" x14ac:dyDescent="0.25">
      <c r="D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4:19" ht="13.5" x14ac:dyDescent="0.25">
      <c r="D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4:19" ht="13.5" x14ac:dyDescent="0.25">
      <c r="D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4:19" ht="13.5" x14ac:dyDescent="0.25">
      <c r="D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4:19" ht="13.5" x14ac:dyDescent="0.25">
      <c r="D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4:19" ht="13.5" x14ac:dyDescent="0.25">
      <c r="D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4:19" ht="13.5" x14ac:dyDescent="0.25">
      <c r="D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4:19" ht="13.5" x14ac:dyDescent="0.25">
      <c r="D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4:19" ht="13.5" x14ac:dyDescent="0.25">
      <c r="D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4:19" ht="13.5" x14ac:dyDescent="0.25">
      <c r="D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4:19" ht="13.5" x14ac:dyDescent="0.25">
      <c r="D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4:19" ht="13.5" x14ac:dyDescent="0.25">
      <c r="D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4:19" ht="13.5" x14ac:dyDescent="0.25">
      <c r="D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4:19" ht="13.5" x14ac:dyDescent="0.25">
      <c r="D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4:19" ht="13.5" x14ac:dyDescent="0.25">
      <c r="D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4:19" ht="13.5" x14ac:dyDescent="0.25">
      <c r="D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4:19" ht="13.5" x14ac:dyDescent="0.25">
      <c r="D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4:19" ht="13.5" x14ac:dyDescent="0.25">
      <c r="D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4:19" ht="13.5" x14ac:dyDescent="0.25">
      <c r="D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4:19" ht="13.5" x14ac:dyDescent="0.25">
      <c r="D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4:19" ht="13.5" x14ac:dyDescent="0.25">
      <c r="D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4:19" ht="13.5" x14ac:dyDescent="0.25">
      <c r="D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4:19" ht="13.5" x14ac:dyDescent="0.25">
      <c r="D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4:19" ht="13.5" x14ac:dyDescent="0.25">
      <c r="D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4:19" ht="13.5" x14ac:dyDescent="0.25">
      <c r="D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4:19" ht="13.5" x14ac:dyDescent="0.25">
      <c r="D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4:19" ht="13.5" x14ac:dyDescent="0.25">
      <c r="D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4:19" ht="13.5" x14ac:dyDescent="0.25">
      <c r="D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4:19" ht="13.5" x14ac:dyDescent="0.25">
      <c r="D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4:19" ht="13.5" x14ac:dyDescent="0.25">
      <c r="D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4:19" ht="13.5" x14ac:dyDescent="0.25">
      <c r="D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4:19" ht="13.5" x14ac:dyDescent="0.25">
      <c r="D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4:19" ht="13.5" x14ac:dyDescent="0.25">
      <c r="D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4:19" ht="13.5" x14ac:dyDescent="0.25">
      <c r="D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4:19" ht="13.5" x14ac:dyDescent="0.25">
      <c r="D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4:19" ht="13.5" x14ac:dyDescent="0.25">
      <c r="D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4:19" ht="13.5" x14ac:dyDescent="0.25">
      <c r="D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4:19" ht="13.5" x14ac:dyDescent="0.25">
      <c r="D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4:19" ht="13.5" x14ac:dyDescent="0.25">
      <c r="D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4:19" ht="13.5" x14ac:dyDescent="0.25">
      <c r="D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4:19" ht="13.5" x14ac:dyDescent="0.25">
      <c r="D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4:19" ht="13.5" x14ac:dyDescent="0.25">
      <c r="D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4:19" ht="13.5" x14ac:dyDescent="0.25">
      <c r="D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4:19" ht="13.5" x14ac:dyDescent="0.25">
      <c r="D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4:19" ht="13.5" x14ac:dyDescent="0.25">
      <c r="D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4:19" ht="13.5" x14ac:dyDescent="0.25">
      <c r="D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4:19" ht="13.5" x14ac:dyDescent="0.25">
      <c r="D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4:19" ht="13.5" x14ac:dyDescent="0.25">
      <c r="D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4:19" ht="13.5" x14ac:dyDescent="0.25">
      <c r="D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4:19" ht="13.5" x14ac:dyDescent="0.25">
      <c r="D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4:19" ht="13.5" x14ac:dyDescent="0.25">
      <c r="D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4:19" ht="13.5" x14ac:dyDescent="0.25">
      <c r="D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4:19" ht="13.5" x14ac:dyDescent="0.25">
      <c r="D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4:19" ht="13.5" x14ac:dyDescent="0.25">
      <c r="D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4:19" ht="13.5" x14ac:dyDescent="0.25">
      <c r="D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4:19" ht="13.5" x14ac:dyDescent="0.25">
      <c r="D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4:19" ht="13.5" x14ac:dyDescent="0.25">
      <c r="D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4:19" ht="13.5" x14ac:dyDescent="0.25">
      <c r="D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4:19" ht="13.5" x14ac:dyDescent="0.25">
      <c r="D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4:19" ht="13.5" x14ac:dyDescent="0.25">
      <c r="D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4:19" ht="13.5" x14ac:dyDescent="0.25">
      <c r="D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4:19" ht="13.5" x14ac:dyDescent="0.25">
      <c r="D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4:19" ht="13.5" x14ac:dyDescent="0.25">
      <c r="D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4:19" ht="13.5" x14ac:dyDescent="0.25">
      <c r="D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4:19" ht="13.5" x14ac:dyDescent="0.25">
      <c r="D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4:19" ht="13.5" x14ac:dyDescent="0.25">
      <c r="D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4:19" ht="13.5" x14ac:dyDescent="0.25">
      <c r="D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4:19" ht="13.5" x14ac:dyDescent="0.25">
      <c r="D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4:19" ht="13.5" x14ac:dyDescent="0.25">
      <c r="D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4:19" ht="13.5" x14ac:dyDescent="0.25">
      <c r="D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4:19" ht="13.5" x14ac:dyDescent="0.25">
      <c r="D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4:19" ht="13.5" x14ac:dyDescent="0.25">
      <c r="D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4:19" ht="13.5" x14ac:dyDescent="0.25">
      <c r="D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4:19" ht="13.5" x14ac:dyDescent="0.25">
      <c r="D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4:19" ht="13.5" x14ac:dyDescent="0.25">
      <c r="D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4:19" ht="13.5" x14ac:dyDescent="0.25">
      <c r="D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4:19" ht="13.5" x14ac:dyDescent="0.25">
      <c r="D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4:19" ht="13.5" x14ac:dyDescent="0.25">
      <c r="D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4:19" ht="13.5" x14ac:dyDescent="0.25">
      <c r="D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4:19" ht="13.5" x14ac:dyDescent="0.25">
      <c r="D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4:19" ht="13.5" x14ac:dyDescent="0.25">
      <c r="D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4:19" ht="13.5" x14ac:dyDescent="0.25">
      <c r="D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4:19" ht="13.5" x14ac:dyDescent="0.25">
      <c r="D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4:19" ht="13.5" x14ac:dyDescent="0.25">
      <c r="D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4:19" ht="13.5" x14ac:dyDescent="0.25">
      <c r="D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4:19" ht="13.5" x14ac:dyDescent="0.25">
      <c r="D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4:19" ht="13.5" x14ac:dyDescent="0.25">
      <c r="D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4:19" ht="13.5" x14ac:dyDescent="0.25">
      <c r="D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4:19" ht="13.5" x14ac:dyDescent="0.25">
      <c r="D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4:19" ht="13.5" x14ac:dyDescent="0.25">
      <c r="D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4:19" ht="13.5" x14ac:dyDescent="0.25">
      <c r="D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4:19" ht="13.5" x14ac:dyDescent="0.25">
      <c r="D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4:19" x14ac:dyDescent="0.3">
      <c r="D760" s="2"/>
      <c r="K760" s="2"/>
      <c r="L760" s="2"/>
      <c r="M760" s="2"/>
      <c r="N760" s="2"/>
      <c r="O760" s="2"/>
      <c r="P760" s="2"/>
      <c r="Q760" s="2"/>
      <c r="R760" s="2"/>
    </row>
    <row r="761" spans="4:19" x14ac:dyDescent="0.3">
      <c r="D761" s="2"/>
      <c r="K761" s="2"/>
      <c r="L761" s="2"/>
      <c r="M761" s="2"/>
      <c r="N761" s="2"/>
      <c r="O761" s="2"/>
      <c r="P761" s="2"/>
      <c r="Q761" s="2"/>
      <c r="R761" s="2"/>
    </row>
    <row r="762" spans="4:19" x14ac:dyDescent="0.3">
      <c r="D762" s="2"/>
      <c r="K762" s="2"/>
      <c r="L762" s="2"/>
      <c r="M762" s="2"/>
      <c r="N762" s="2"/>
      <c r="O762" s="2"/>
      <c r="P762" s="2"/>
      <c r="Q762" s="2"/>
      <c r="R762" s="2"/>
    </row>
    <row r="763" spans="4:19" x14ac:dyDescent="0.3">
      <c r="D763" s="2"/>
      <c r="K763" s="2"/>
      <c r="L763" s="2"/>
      <c r="M763" s="2"/>
      <c r="N763" s="2"/>
      <c r="O763" s="2"/>
      <c r="P763" s="2"/>
      <c r="Q763" s="2"/>
      <c r="R763" s="2"/>
    </row>
    <row r="764" spans="4:19" x14ac:dyDescent="0.3">
      <c r="D764" s="2"/>
      <c r="K764" s="2"/>
      <c r="L764" s="2"/>
      <c r="M764" s="2"/>
      <c r="N764" s="2"/>
      <c r="O764" s="2"/>
      <c r="P764" s="2"/>
      <c r="Q764" s="2"/>
      <c r="R764" s="2"/>
    </row>
    <row r="765" spans="4:19" x14ac:dyDescent="0.3">
      <c r="D765" s="2"/>
      <c r="K765" s="2"/>
      <c r="L765" s="2"/>
      <c r="M765" s="2"/>
      <c r="N765" s="2"/>
      <c r="O765" s="2"/>
      <c r="P765" s="2"/>
      <c r="Q765" s="2"/>
      <c r="R765" s="2"/>
    </row>
    <row r="766" spans="4:19" x14ac:dyDescent="0.3">
      <c r="D766" s="2"/>
      <c r="K766" s="2"/>
      <c r="L766" s="2"/>
      <c r="M766" s="2"/>
      <c r="N766" s="2"/>
      <c r="O766" s="2"/>
      <c r="P766" s="2"/>
      <c r="Q766" s="2"/>
      <c r="R766" s="2"/>
    </row>
    <row r="767" spans="4:19" x14ac:dyDescent="0.3">
      <c r="D767" s="2"/>
      <c r="K767" s="2"/>
      <c r="L767" s="2"/>
      <c r="M767" s="2"/>
      <c r="N767" s="2"/>
      <c r="O767" s="2"/>
      <c r="P767" s="2"/>
      <c r="Q767" s="2"/>
      <c r="R767" s="2"/>
    </row>
    <row r="768" spans="4:19" x14ac:dyDescent="0.3">
      <c r="D768" s="2"/>
      <c r="K768" s="2"/>
      <c r="L768" s="2"/>
      <c r="M768" s="2"/>
      <c r="N768" s="2"/>
      <c r="O768" s="2"/>
      <c r="P768" s="2"/>
      <c r="Q768" s="2"/>
      <c r="R768" s="2"/>
    </row>
    <row r="769" spans="4:18" x14ac:dyDescent="0.3">
      <c r="D769" s="2"/>
      <c r="K769" s="2"/>
      <c r="L769" s="2"/>
      <c r="M769" s="2"/>
      <c r="N769" s="2"/>
      <c r="O769" s="2"/>
      <c r="P769" s="2"/>
      <c r="Q769" s="2"/>
      <c r="R769" s="2"/>
    </row>
    <row r="770" spans="4:18" x14ac:dyDescent="0.3">
      <c r="D770" s="2"/>
      <c r="K770" s="2"/>
      <c r="L770" s="2"/>
      <c r="M770" s="2"/>
      <c r="N770" s="2"/>
      <c r="O770" s="2"/>
      <c r="P770" s="2"/>
      <c r="Q770" s="2"/>
      <c r="R770" s="2"/>
    </row>
    <row r="771" spans="4:18" x14ac:dyDescent="0.3">
      <c r="D771" s="2"/>
      <c r="K771" s="2"/>
      <c r="L771" s="2"/>
      <c r="M771" s="2"/>
      <c r="N771" s="2"/>
      <c r="O771" s="2"/>
      <c r="P771" s="2"/>
      <c r="Q771" s="2"/>
      <c r="R771" s="2"/>
    </row>
    <row r="772" spans="4:18" x14ac:dyDescent="0.3">
      <c r="D772" s="2"/>
      <c r="K772" s="2"/>
      <c r="L772" s="2"/>
      <c r="M772" s="2"/>
      <c r="N772" s="2"/>
      <c r="O772" s="2"/>
      <c r="P772" s="2"/>
      <c r="Q772" s="2"/>
      <c r="R772" s="2"/>
    </row>
    <row r="773" spans="4:18" x14ac:dyDescent="0.3">
      <c r="D773" s="2"/>
      <c r="K773" s="2"/>
      <c r="L773" s="2"/>
      <c r="M773" s="2"/>
      <c r="N773" s="2"/>
      <c r="O773" s="2"/>
      <c r="P773" s="2"/>
      <c r="Q773" s="2"/>
      <c r="R773" s="2"/>
    </row>
    <row r="774" spans="4:18" x14ac:dyDescent="0.3">
      <c r="D774" s="2"/>
      <c r="K774" s="2"/>
      <c r="L774" s="2"/>
      <c r="M774" s="2"/>
      <c r="N774" s="2"/>
      <c r="O774" s="2"/>
      <c r="P774" s="2"/>
      <c r="Q774" s="2"/>
      <c r="R774" s="2"/>
    </row>
    <row r="775" spans="4:18" x14ac:dyDescent="0.3">
      <c r="D775" s="2"/>
      <c r="K775" s="2"/>
      <c r="L775" s="2"/>
      <c r="M775" s="2"/>
      <c r="N775" s="2"/>
      <c r="O775" s="2"/>
      <c r="P775" s="2"/>
      <c r="Q775" s="2"/>
      <c r="R775" s="2"/>
    </row>
    <row r="776" spans="4:18" x14ac:dyDescent="0.3">
      <c r="D776" s="2"/>
      <c r="K776" s="2"/>
      <c r="L776" s="2"/>
      <c r="M776" s="2"/>
      <c r="N776" s="2"/>
      <c r="O776" s="2"/>
      <c r="P776" s="2"/>
      <c r="Q776" s="2"/>
      <c r="R776" s="2"/>
    </row>
    <row r="777" spans="4:18" x14ac:dyDescent="0.3">
      <c r="D777" s="2"/>
      <c r="K777" s="2"/>
      <c r="L777" s="2"/>
      <c r="M777" s="2"/>
      <c r="N777" s="2"/>
      <c r="O777" s="2"/>
      <c r="P777" s="2"/>
      <c r="Q777" s="2"/>
      <c r="R777" s="2"/>
    </row>
    <row r="778" spans="4:18" x14ac:dyDescent="0.3">
      <c r="D778" s="2"/>
      <c r="K778" s="2"/>
      <c r="L778" s="2"/>
      <c r="M778" s="2"/>
      <c r="N778" s="2"/>
      <c r="O778" s="2"/>
      <c r="P778" s="2"/>
      <c r="Q778" s="2"/>
      <c r="R778" s="2"/>
    </row>
    <row r="779" spans="4:18" x14ac:dyDescent="0.3">
      <c r="D779" s="2"/>
      <c r="K779" s="2"/>
      <c r="L779" s="2"/>
      <c r="M779" s="2"/>
      <c r="N779" s="2"/>
      <c r="O779" s="2"/>
      <c r="P779" s="2"/>
      <c r="Q779" s="2"/>
      <c r="R779" s="2"/>
    </row>
    <row r="780" spans="4:18" x14ac:dyDescent="0.3">
      <c r="D780" s="2"/>
      <c r="K780" s="2"/>
      <c r="L780" s="2"/>
      <c r="M780" s="2"/>
      <c r="N780" s="2"/>
      <c r="O780" s="2"/>
      <c r="P780" s="2"/>
      <c r="Q780" s="2"/>
      <c r="R780" s="2"/>
    </row>
    <row r="781" spans="4:18" x14ac:dyDescent="0.3">
      <c r="D781" s="2"/>
      <c r="K781" s="2"/>
      <c r="L781" s="2"/>
      <c r="M781" s="2"/>
      <c r="N781" s="2"/>
      <c r="O781" s="2"/>
      <c r="P781" s="2"/>
      <c r="Q781" s="2"/>
      <c r="R781" s="2"/>
    </row>
    <row r="782" spans="4:18" x14ac:dyDescent="0.3">
      <c r="D782" s="2"/>
      <c r="K782" s="2"/>
      <c r="L782" s="2"/>
      <c r="M782" s="2"/>
      <c r="N782" s="2"/>
      <c r="O782" s="2"/>
      <c r="P782" s="2"/>
      <c r="Q782" s="2"/>
      <c r="R782" s="2"/>
    </row>
    <row r="783" spans="4:18" x14ac:dyDescent="0.3">
      <c r="D783" s="2"/>
      <c r="K783" s="2"/>
      <c r="L783" s="2"/>
      <c r="M783" s="2"/>
      <c r="N783" s="2"/>
      <c r="O783" s="2"/>
      <c r="P783" s="2"/>
      <c r="Q783" s="2"/>
      <c r="R783" s="2"/>
    </row>
    <row r="784" spans="4:18" x14ac:dyDescent="0.3">
      <c r="D784" s="2"/>
      <c r="K784" s="2"/>
      <c r="L784" s="2"/>
      <c r="M784" s="2"/>
      <c r="N784" s="2"/>
      <c r="O784" s="2"/>
      <c r="P784" s="2"/>
      <c r="Q784" s="2"/>
      <c r="R784" s="2"/>
    </row>
    <row r="785" spans="4:18" x14ac:dyDescent="0.3">
      <c r="D785" s="2"/>
      <c r="K785" s="2"/>
      <c r="L785" s="2"/>
      <c r="M785" s="2"/>
      <c r="N785" s="2"/>
      <c r="O785" s="2"/>
      <c r="P785" s="2"/>
      <c r="Q785" s="2"/>
      <c r="R785" s="2"/>
    </row>
    <row r="786" spans="4:18" x14ac:dyDescent="0.3">
      <c r="D786" s="2"/>
      <c r="K786" s="2"/>
      <c r="L786" s="2"/>
      <c r="M786" s="2"/>
      <c r="N786" s="2"/>
      <c r="O786" s="2"/>
      <c r="P786" s="2"/>
      <c r="Q786" s="2"/>
      <c r="R786" s="2"/>
    </row>
    <row r="787" spans="4:18" x14ac:dyDescent="0.3">
      <c r="D787" s="2"/>
      <c r="K787" s="2"/>
      <c r="L787" s="2"/>
      <c r="M787" s="2"/>
      <c r="N787" s="2"/>
      <c r="O787" s="2"/>
      <c r="P787" s="2"/>
      <c r="Q787" s="2"/>
      <c r="R787" s="2"/>
    </row>
    <row r="788" spans="4:18" x14ac:dyDescent="0.3">
      <c r="D788" s="2"/>
      <c r="K788" s="2"/>
      <c r="L788" s="2"/>
      <c r="M788" s="2"/>
      <c r="N788" s="2"/>
      <c r="O788" s="2"/>
      <c r="P788" s="2"/>
      <c r="Q788" s="2"/>
      <c r="R788" s="2"/>
    </row>
    <row r="789" spans="4:18" x14ac:dyDescent="0.3">
      <c r="D789" s="2"/>
      <c r="K789" s="2"/>
      <c r="L789" s="2"/>
      <c r="M789" s="2"/>
      <c r="N789" s="2"/>
      <c r="O789" s="2"/>
      <c r="P789" s="2"/>
      <c r="Q789" s="2"/>
      <c r="R789" s="2"/>
    </row>
    <row r="790" spans="4:18" x14ac:dyDescent="0.3">
      <c r="D790" s="2"/>
      <c r="K790" s="2"/>
      <c r="L790" s="2"/>
      <c r="M790" s="2"/>
      <c r="N790" s="2"/>
      <c r="O790" s="2"/>
      <c r="P790" s="2"/>
      <c r="Q790" s="2"/>
      <c r="R790" s="2"/>
    </row>
    <row r="791" spans="4:18" x14ac:dyDescent="0.3">
      <c r="D791" s="2"/>
      <c r="K791" s="2"/>
      <c r="L791" s="2"/>
      <c r="M791" s="2"/>
      <c r="N791" s="2"/>
      <c r="O791" s="2"/>
      <c r="P791" s="2"/>
      <c r="Q791" s="2"/>
      <c r="R791" s="2"/>
    </row>
    <row r="792" spans="4:18" x14ac:dyDescent="0.3">
      <c r="D792" s="2"/>
      <c r="K792" s="2"/>
      <c r="L792" s="2"/>
      <c r="M792" s="2"/>
      <c r="N792" s="2"/>
      <c r="O792" s="2"/>
      <c r="P792" s="2"/>
      <c r="Q792" s="2"/>
      <c r="R792" s="2"/>
    </row>
    <row r="793" spans="4:18" x14ac:dyDescent="0.3">
      <c r="D793" s="2"/>
      <c r="K793" s="2"/>
      <c r="L793" s="2"/>
      <c r="M793" s="2"/>
      <c r="N793" s="2"/>
      <c r="O793" s="2"/>
      <c r="P793" s="2"/>
      <c r="Q793" s="2"/>
      <c r="R793" s="2"/>
    </row>
    <row r="794" spans="4:18" x14ac:dyDescent="0.3">
      <c r="D794" s="2"/>
      <c r="K794" s="2"/>
      <c r="L794" s="2"/>
      <c r="M794" s="2"/>
      <c r="N794" s="2"/>
      <c r="O794" s="2"/>
      <c r="P794" s="2"/>
      <c r="Q794" s="2"/>
      <c r="R794" s="2"/>
    </row>
    <row r="795" spans="4:18" x14ac:dyDescent="0.3">
      <c r="D795" s="2"/>
      <c r="K795" s="2"/>
      <c r="L795" s="2"/>
      <c r="M795" s="2"/>
      <c r="N795" s="2"/>
      <c r="O795" s="2"/>
      <c r="P795" s="2"/>
      <c r="Q795" s="2"/>
      <c r="R795" s="2"/>
    </row>
    <row r="796" spans="4:18" x14ac:dyDescent="0.3">
      <c r="D796" s="2"/>
      <c r="K796" s="2"/>
      <c r="L796" s="2"/>
      <c r="M796" s="2"/>
      <c r="N796" s="2"/>
      <c r="O796" s="2"/>
      <c r="P796" s="2"/>
      <c r="Q796" s="2"/>
      <c r="R796" s="2"/>
    </row>
    <row r="797" spans="4:18" x14ac:dyDescent="0.3">
      <c r="D797" s="2"/>
      <c r="K797" s="2"/>
      <c r="L797" s="2"/>
      <c r="M797" s="2"/>
      <c r="N797" s="2"/>
      <c r="O797" s="2"/>
      <c r="P797" s="2"/>
      <c r="Q797" s="2"/>
      <c r="R797" s="2"/>
    </row>
    <row r="798" spans="4:18" x14ac:dyDescent="0.3">
      <c r="D798" s="2"/>
      <c r="K798" s="2"/>
      <c r="L798" s="2"/>
      <c r="M798" s="2"/>
      <c r="N798" s="2"/>
      <c r="O798" s="2"/>
      <c r="P798" s="2"/>
      <c r="Q798" s="2"/>
      <c r="R798" s="2"/>
    </row>
    <row r="799" spans="4:18" x14ac:dyDescent="0.3">
      <c r="D799" s="2"/>
      <c r="K799" s="2"/>
      <c r="L799" s="2"/>
      <c r="M799" s="2"/>
      <c r="N799" s="2"/>
      <c r="O799" s="2"/>
      <c r="P799" s="2"/>
      <c r="Q799" s="2"/>
      <c r="R799" s="2"/>
    </row>
    <row r="800" spans="4:18" x14ac:dyDescent="0.3">
      <c r="D800" s="2"/>
      <c r="K800" s="2"/>
      <c r="L800" s="2"/>
      <c r="M800" s="2"/>
      <c r="N800" s="2"/>
      <c r="O800" s="2"/>
      <c r="P800" s="2"/>
      <c r="Q800" s="2"/>
      <c r="R800" s="2"/>
    </row>
    <row r="801" spans="4:18" x14ac:dyDescent="0.3">
      <c r="D801" s="2"/>
      <c r="K801" s="2"/>
      <c r="L801" s="2"/>
      <c r="M801" s="2"/>
      <c r="N801" s="2"/>
      <c r="O801" s="2"/>
      <c r="P801" s="2"/>
      <c r="Q801" s="2"/>
      <c r="R801" s="2"/>
    </row>
    <row r="802" spans="4:18" x14ac:dyDescent="0.3">
      <c r="D802" s="2"/>
      <c r="K802" s="2"/>
      <c r="L802" s="2"/>
      <c r="M802" s="2"/>
      <c r="N802" s="2"/>
      <c r="O802" s="2"/>
      <c r="P802" s="2"/>
      <c r="Q802" s="2"/>
      <c r="R802" s="2"/>
    </row>
    <row r="803" spans="4:18" x14ac:dyDescent="0.3">
      <c r="D803" s="2"/>
      <c r="K803" s="2"/>
      <c r="L803" s="2"/>
      <c r="M803" s="2"/>
      <c r="N803" s="2"/>
      <c r="O803" s="2"/>
      <c r="P803" s="2"/>
      <c r="Q803" s="2"/>
      <c r="R803" s="2"/>
    </row>
    <row r="804" spans="4:18" x14ac:dyDescent="0.3">
      <c r="D804" s="2"/>
      <c r="K804" s="2"/>
      <c r="L804" s="2"/>
      <c r="M804" s="2"/>
      <c r="N804" s="2"/>
      <c r="O804" s="2"/>
      <c r="P804" s="2"/>
      <c r="Q804" s="2"/>
      <c r="R804" s="2"/>
    </row>
    <row r="805" spans="4:18" x14ac:dyDescent="0.3">
      <c r="D805" s="2"/>
      <c r="K805" s="2"/>
      <c r="L805" s="2"/>
      <c r="M805" s="2"/>
      <c r="N805" s="2"/>
      <c r="O805" s="2"/>
      <c r="P805" s="2"/>
      <c r="Q805" s="2"/>
      <c r="R805" s="2"/>
    </row>
    <row r="806" spans="4:18" x14ac:dyDescent="0.3">
      <c r="D806" s="2"/>
      <c r="K806" s="2"/>
      <c r="L806" s="2"/>
      <c r="M806" s="2"/>
      <c r="N806" s="2"/>
      <c r="O806" s="2"/>
      <c r="P806" s="2"/>
      <c r="Q806" s="2"/>
      <c r="R806" s="2"/>
    </row>
    <row r="807" spans="4:18" x14ac:dyDescent="0.3">
      <c r="D807" s="2"/>
      <c r="K807" s="2"/>
      <c r="L807" s="2"/>
      <c r="M807" s="2"/>
      <c r="N807" s="2"/>
      <c r="O807" s="2"/>
      <c r="P807" s="2"/>
      <c r="Q807" s="2"/>
      <c r="R807" s="2"/>
    </row>
    <row r="808" spans="4:18" x14ac:dyDescent="0.3">
      <c r="D808" s="2"/>
      <c r="K808" s="2"/>
      <c r="L808" s="2"/>
      <c r="M808" s="2"/>
      <c r="N808" s="2"/>
      <c r="O808" s="2"/>
      <c r="P808" s="2"/>
      <c r="Q808" s="2"/>
      <c r="R808" s="2"/>
    </row>
    <row r="809" spans="4:18" x14ac:dyDescent="0.3">
      <c r="D809" s="2"/>
      <c r="K809" s="2"/>
      <c r="L809" s="2"/>
      <c r="M809" s="2"/>
      <c r="N809" s="2"/>
      <c r="O809" s="2"/>
      <c r="P809" s="2"/>
      <c r="Q809" s="2"/>
      <c r="R809" s="2"/>
    </row>
    <row r="810" spans="4:18" x14ac:dyDescent="0.3">
      <c r="D810" s="2"/>
      <c r="K810" s="2"/>
      <c r="L810" s="2"/>
      <c r="M810" s="2"/>
      <c r="N810" s="2"/>
      <c r="O810" s="2"/>
      <c r="P810" s="2"/>
      <c r="Q810" s="2"/>
      <c r="R810" s="2"/>
    </row>
    <row r="811" spans="4:18" x14ac:dyDescent="0.3">
      <c r="D811" s="2"/>
      <c r="K811" s="2"/>
      <c r="L811" s="2"/>
      <c r="M811" s="2"/>
      <c r="N811" s="2"/>
      <c r="O811" s="2"/>
      <c r="P811" s="2"/>
      <c r="Q811" s="2"/>
      <c r="R811" s="2"/>
    </row>
    <row r="812" spans="4:18" x14ac:dyDescent="0.3">
      <c r="D812" s="2"/>
      <c r="K812" s="2"/>
      <c r="L812" s="2"/>
      <c r="M812" s="2"/>
      <c r="N812" s="2"/>
      <c r="O812" s="2"/>
      <c r="P812" s="2"/>
      <c r="Q812" s="2"/>
      <c r="R812" s="2"/>
    </row>
    <row r="813" spans="4:18" x14ac:dyDescent="0.3">
      <c r="D813" s="2"/>
      <c r="K813" s="2"/>
      <c r="L813" s="2"/>
      <c r="M813" s="2"/>
      <c r="N813" s="2"/>
      <c r="O813" s="2"/>
      <c r="P813" s="2"/>
      <c r="Q813" s="2"/>
      <c r="R813" s="2"/>
    </row>
    <row r="814" spans="4:18" x14ac:dyDescent="0.3">
      <c r="D814" s="2"/>
      <c r="K814" s="2"/>
      <c r="L814" s="2"/>
      <c r="M814" s="2"/>
      <c r="N814" s="2"/>
      <c r="O814" s="2"/>
      <c r="P814" s="2"/>
      <c r="Q814" s="2"/>
      <c r="R814" s="2"/>
    </row>
    <row r="815" spans="4:18" x14ac:dyDescent="0.3">
      <c r="D815" s="2"/>
      <c r="K815" s="2"/>
      <c r="L815" s="2"/>
      <c r="M815" s="2"/>
      <c r="N815" s="2"/>
      <c r="O815" s="2"/>
      <c r="P815" s="2"/>
      <c r="Q815" s="2"/>
      <c r="R815" s="2"/>
    </row>
    <row r="816" spans="4:18" x14ac:dyDescent="0.3">
      <c r="D816" s="2"/>
      <c r="K816" s="2"/>
      <c r="L816" s="2"/>
      <c r="M816" s="2"/>
      <c r="N816" s="2"/>
      <c r="O816" s="2"/>
      <c r="P816" s="2"/>
      <c r="Q816" s="2"/>
      <c r="R816" s="2"/>
    </row>
    <row r="817" spans="4:18" x14ac:dyDescent="0.3">
      <c r="D817" s="2"/>
      <c r="K817" s="2"/>
      <c r="L817" s="2"/>
      <c r="M817" s="2"/>
      <c r="N817" s="2"/>
      <c r="O817" s="2"/>
      <c r="P817" s="2"/>
      <c r="Q817" s="2"/>
      <c r="R817" s="2"/>
    </row>
    <row r="818" spans="4:18" x14ac:dyDescent="0.3">
      <c r="D818" s="2"/>
      <c r="K818" s="2"/>
      <c r="L818" s="2"/>
      <c r="M818" s="2"/>
      <c r="N818" s="2"/>
      <c r="O818" s="2"/>
      <c r="P818" s="2"/>
      <c r="Q818" s="2"/>
      <c r="R818" s="2"/>
    </row>
    <row r="819" spans="4:18" x14ac:dyDescent="0.3">
      <c r="D819" s="2"/>
      <c r="K819" s="2"/>
      <c r="L819" s="2"/>
      <c r="M819" s="2"/>
      <c r="N819" s="2"/>
      <c r="O819" s="2"/>
      <c r="P819" s="2"/>
      <c r="Q819" s="2"/>
      <c r="R819" s="2"/>
    </row>
    <row r="820" spans="4:18" x14ac:dyDescent="0.3">
      <c r="D820" s="2"/>
      <c r="K820" s="2"/>
      <c r="L820" s="2"/>
      <c r="M820" s="2"/>
      <c r="N820" s="2"/>
      <c r="O820" s="2"/>
      <c r="P820" s="2"/>
      <c r="Q820" s="2"/>
      <c r="R820" s="2"/>
    </row>
    <row r="821" spans="4:18" x14ac:dyDescent="0.3">
      <c r="D821" s="2"/>
      <c r="K821" s="2"/>
      <c r="L821" s="2"/>
      <c r="M821" s="2"/>
      <c r="N821" s="2"/>
      <c r="O821" s="2"/>
      <c r="P821" s="2"/>
      <c r="Q821" s="2"/>
      <c r="R821" s="2"/>
    </row>
    <row r="822" spans="4:18" x14ac:dyDescent="0.3">
      <c r="D822" s="2"/>
      <c r="K822" s="2"/>
      <c r="L822" s="2"/>
      <c r="M822" s="2"/>
      <c r="N822" s="2"/>
      <c r="O822" s="2"/>
      <c r="P822" s="2"/>
      <c r="Q822" s="2"/>
      <c r="R822" s="2"/>
    </row>
    <row r="823" spans="4:18" x14ac:dyDescent="0.3">
      <c r="D823" s="2"/>
      <c r="K823" s="2"/>
      <c r="L823" s="2"/>
      <c r="M823" s="2"/>
      <c r="N823" s="2"/>
      <c r="O823" s="2"/>
      <c r="P823" s="2"/>
      <c r="Q823" s="2"/>
      <c r="R823" s="2"/>
    </row>
    <row r="824" spans="4:18" x14ac:dyDescent="0.3">
      <c r="D824" s="2"/>
      <c r="K824" s="2"/>
      <c r="L824" s="2"/>
      <c r="M824" s="2"/>
      <c r="N824" s="2"/>
      <c r="O824" s="2"/>
      <c r="P824" s="2"/>
      <c r="Q824" s="2"/>
      <c r="R824" s="2"/>
    </row>
    <row r="825" spans="4:18" x14ac:dyDescent="0.3">
      <c r="D825" s="2"/>
      <c r="K825" s="2"/>
      <c r="L825" s="2"/>
      <c r="M825" s="2"/>
      <c r="N825" s="2"/>
      <c r="O825" s="2"/>
      <c r="P825" s="2"/>
      <c r="Q825" s="2"/>
      <c r="R825" s="2"/>
    </row>
    <row r="826" spans="4:18" x14ac:dyDescent="0.3">
      <c r="D826" s="2"/>
      <c r="K826" s="2"/>
      <c r="L826" s="2"/>
      <c r="M826" s="2"/>
      <c r="N826" s="2"/>
      <c r="O826" s="2"/>
      <c r="P826" s="2"/>
      <c r="Q826" s="2"/>
      <c r="R826" s="2"/>
    </row>
    <row r="827" spans="4:18" x14ac:dyDescent="0.3">
      <c r="D827" s="2"/>
      <c r="K827" s="2"/>
      <c r="L827" s="2"/>
      <c r="M827" s="2"/>
      <c r="N827" s="2"/>
      <c r="O827" s="2"/>
      <c r="P827" s="2"/>
      <c r="Q827" s="2"/>
      <c r="R827" s="2"/>
    </row>
    <row r="828" spans="4:18" x14ac:dyDescent="0.3">
      <c r="D828" s="2"/>
      <c r="K828" s="2"/>
      <c r="L828" s="2"/>
      <c r="M828" s="2"/>
      <c r="N828" s="2"/>
      <c r="O828" s="2"/>
      <c r="P828" s="2"/>
      <c r="Q828" s="2"/>
      <c r="R828" s="2"/>
    </row>
    <row r="829" spans="4:18" x14ac:dyDescent="0.3">
      <c r="D829" s="2"/>
      <c r="K829" s="2"/>
      <c r="L829" s="2"/>
      <c r="M829" s="2"/>
      <c r="N829" s="2"/>
      <c r="O829" s="2"/>
      <c r="P829" s="2"/>
      <c r="Q829" s="2"/>
      <c r="R829" s="2"/>
    </row>
  </sheetData>
  <sheetProtection formatCells="0" formatColumns="0" formatRows="0" insertColumns="0" insertRows="0" insertHyperlinks="0" deleteColumns="0" deleteRows="0" sort="0" autoFilter="0" pivotTables="0"/>
  <protectedRanges>
    <protectedRange password="DDDE" sqref="A51:J51 L51:R51" name="Range1_5"/>
  </protectedRanges>
  <autoFilter ref="E7:I50" xr:uid="{00000000-0001-0000-0000-000000000000}">
    <filterColumn colId="4">
      <customFilters>
        <customFilter operator="notEqual" val=" "/>
      </customFilters>
    </filterColumn>
  </autoFilter>
  <mergeCells count="15">
    <mergeCell ref="A2:S3"/>
    <mergeCell ref="A1:S1"/>
    <mergeCell ref="A4:S5"/>
    <mergeCell ref="M7:P7"/>
    <mergeCell ref="B66:C66"/>
    <mergeCell ref="E6:I6"/>
    <mergeCell ref="K6:K7"/>
    <mergeCell ref="A6:A8"/>
    <mergeCell ref="B6:B8"/>
    <mergeCell ref="C6:C8"/>
    <mergeCell ref="D6:D8"/>
    <mergeCell ref="A52:G55"/>
    <mergeCell ref="Q6:R6"/>
    <mergeCell ref="L6:P6"/>
    <mergeCell ref="L7:L8"/>
  </mergeCells>
  <phoneticPr fontId="17" type="noConversion"/>
  <conditionalFormatting sqref="A51:R51">
    <cfRule type="expression" dxfId="1" priority="250">
      <formula>LEFT($A51,2)="CA"</formula>
    </cfRule>
    <cfRule type="expression" dxfId="0" priority="251">
      <formula>LEFT($A51,2)="PR"</formula>
    </cfRule>
  </conditionalFormatting>
  <printOptions horizontalCentered="1"/>
  <pageMargins left="0" right="0" top="0.59055118110236227" bottom="0.39370078740157483" header="0" footer="0"/>
  <pageSetup paperSize="9" scale="31" fitToHeight="11" orientation="landscape" verticalDpi="1200" r:id="rId1"/>
  <headerFooter alignWithMargins="0">
    <oddHeader>&amp;R&amp;7&amp;P/&amp;N</oddHeader>
    <oddFooter>&amp;L&amp;7&amp;Z&amp;F
&amp;A&amp;R&amp;7Impreso el:   &amp;D  &amp;T</oddFooter>
  </headerFooter>
  <ignoredErrors>
    <ignoredError sqref="K54 R54" formulaRange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b7e16863-b940-4291-96f8-ad8461baff96" ContentTypeId="0x01010046829DE55437B147B48D1766376E3D6B" PreviousValue="false" LastSyncTimeStamp="2018-10-26T05:48:34.997Z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M Document" ma:contentTypeID="0x01010046829DE55437B147B48D1766376E3D6B00E5202FBF7FFAFA4EA585E9004C324842" ma:contentTypeVersion="18" ma:contentTypeDescription="Document Content Type" ma:contentTypeScope="" ma:versionID="de10b7c5da06bf060d66cf8c751af266">
  <xsd:schema xmlns:xsd="http://www.w3.org/2001/XMLSchema" xmlns:xs="http://www.w3.org/2001/XMLSchema" xmlns:p="http://schemas.microsoft.com/office/2006/metadata/properties" xmlns:ns1="http://schemas.microsoft.com/sharepoint/v3" xmlns:ns2="b5ba0a33-b247-4d4b-b9ae-c709af684fd3" xmlns:ns3="4a3d659e-5f8d-4071-900d-27f29812ec25" xmlns:ns4="a890f26c-d654-443f-8794-a2989816637f" targetNamespace="http://schemas.microsoft.com/office/2006/metadata/properties" ma:root="true" ma:fieldsID="83fd050b238b695a46633ce455a5425e" ns1:_="" ns2:_="" ns3:_="" ns4:_="">
    <xsd:import namespace="http://schemas.microsoft.com/sharepoint/v3"/>
    <xsd:import namespace="b5ba0a33-b247-4d4b-b9ae-c709af684fd3"/>
    <xsd:import namespace="4a3d659e-5f8d-4071-900d-27f29812ec25"/>
    <xsd:import namespace="a890f26c-d654-443f-8794-a2989816637f"/>
    <xsd:element name="properties">
      <xsd:complexType>
        <xsd:sequence>
          <xsd:element name="documentManagement">
            <xsd:complexType>
              <xsd:all>
                <xsd:element ref="ns2:o79fb0eb13274969baa8945b2a62dcda" minOccurs="0"/>
                <xsd:element ref="ns2:TaxCatchAll" minOccurs="0"/>
                <xsd:element ref="ns2:TaxCatchAllLabel" minOccurs="0"/>
                <xsd:element ref="ns2:FM_x0020_Ent_x0020_TaxonomyTaxHTField0" minOccurs="0"/>
                <xsd:element ref="ns2:FM_x0020_Doc_x0020_TypeTaxHTField0" minOccurs="0"/>
                <xsd:element ref="ns2:FM_x0020_DPT" minOccurs="0"/>
                <xsd:element ref="ns2:FM_x0020_LOC" minOccurs="0"/>
                <xsd:element ref="ns1:_ExtendedDescription" minOccurs="0"/>
                <xsd:element ref="ns3:lcf76f155ced4ddcb4097134ff3c332f" minOccurs="0"/>
                <xsd:element ref="ns3:MediaServiceOCR" minOccurs="0"/>
                <xsd:element ref="ns4:SharedWithUsers" minOccurs="0"/>
                <xsd:element ref="ns4:SharedWithDetails" minOccurs="0"/>
                <xsd:element ref="ns3:Mes" minOccurs="0"/>
                <xsd:element ref="ns3:A_x00f1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ExtendedDescription" ma:index="18" nillable="true" ma:displayName="Description" ma:internalName="_ExtendedDescrip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a0a33-b247-4d4b-b9ae-c709af684fd3" elementFormDefault="qualified">
    <xsd:import namespace="http://schemas.microsoft.com/office/2006/documentManagement/types"/>
    <xsd:import namespace="http://schemas.microsoft.com/office/infopath/2007/PartnerControls"/>
    <xsd:element name="o79fb0eb13274969baa8945b2a62dcda" ma:index="8" ma:taxonomy="true" ma:internalName="o79fb0eb13274969baa8945b2a62dcda" ma:taxonomyFieldName="FM_x0020_Retention_x0020_Category" ma:displayName="FM Retention Category" ma:readOnly="false" ma:default="" ma:fieldId="{879fb0eb-1327-4969-baa8-945b2a62dcda}" ma:sspId="b7e16863-b940-4291-96f8-ad8461baff96" ma:termSetId="3287f003-fa19-4de9-9d01-e5aef60515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4cc0b0e-dc3e-4bc6-b36d-02bdba550249}" ma:internalName="TaxCatchAll" ma:showField="CatchAllData" ma:web="a890f26c-d654-443f-8794-a29898166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4cc0b0e-dc3e-4bc6-b36d-02bdba550249}" ma:internalName="TaxCatchAllLabel" ma:readOnly="true" ma:showField="CatchAllDataLabel" ma:web="a890f26c-d654-443f-8794-a29898166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M_x0020_Ent_x0020_TaxonomyTaxHTField0" ma:index="12" nillable="true" ma:taxonomy="true" ma:internalName="FM_x0020_Ent_x0020_TaxonomyTaxHTField0" ma:taxonomyFieldName="FM_x0020_Ent_x0020_Taxonomy" ma:displayName="FM Business Process" ma:readOnly="false" ma:default="" ma:fieldId="{b40ec4b2-9645-411d-a03c-9e8ab0f1f2d4}" ma:sspId="b7e16863-b940-4291-96f8-ad8461baff96" ma:termSetId="3d1ce9c8-a01a-4b28-93f4-bc23cae590f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M_x0020_Doc_x0020_TypeTaxHTField0" ma:index="14" nillable="true" ma:taxonomy="true" ma:internalName="FM_x0020_Doc_x0020_TypeTaxHTField0" ma:taxonomyFieldName="FM_x0020_Doc_x0020_Type" ma:displayName="FM Doc Type" ma:readOnly="false" ma:default="" ma:fieldId="{bfb78ee2-975a-4f84-839c-ed91d42d4105}" ma:sspId="b7e16863-b940-4291-96f8-ad8461baff96" ma:termSetId="af82bb66-37d5-47da-967c-ea1eda9481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M_x0020_DPT" ma:index="16" nillable="true" ma:displayName="FM DPT" ma:description="This column is used to assign FMI Department" ma:format="Dropdown" ma:hidden="true" ma:internalName="FM_x0020_DPT" ma:readOnly="false">
      <xsd:simpleType>
        <xsd:restriction base="dms:Choice">
          <xsd:enumeration value="Accounts Payable"/>
          <xsd:enumeration value="Administration"/>
          <xsd:enumeration value="Climax Moly Company"/>
          <xsd:enumeration value="Communications"/>
          <xsd:enumeration value="Community / Administrative Services"/>
          <xsd:enumeration value="Community Relations/Social Resp"/>
          <xsd:enumeration value="Corporate Communications"/>
          <xsd:enumeration value="Custom Applications"/>
          <xsd:enumeration value="Environmental / Sustainable Development"/>
          <xsd:enumeration value="Exploration"/>
          <xsd:enumeration value="Exploration / Geology"/>
          <xsd:enumeration value="External Communications"/>
          <xsd:enumeration value="Finance"/>
          <xsd:enumeration value="Finance / Accounting / Tax"/>
          <xsd:enumeration value="Financial Shared Services"/>
          <xsd:enumeration value="FM Africa"/>
          <xsd:enumeration value="FM Americas"/>
          <xsd:enumeration value="FM Mining Company"/>
          <xsd:enumeration value="Global Supply Chain"/>
          <xsd:enumeration value="GSC/ Purchasing/ Warehousing"/>
          <xsd:enumeration value="Health &amp; Safety"/>
          <xsd:enumeration value="Human Resources"/>
          <xsd:enumeration value="Legal / Govt Relations"/>
          <xsd:enumeration value="MIS"/>
          <xsd:enumeration value="Operational Improvement"/>
          <xsd:enumeration value="Operations"/>
          <xsd:enumeration value="Operations Smelting"/>
          <xsd:enumeration value="Ops Maintenance"/>
          <xsd:enumeration value="Sales &amp; Marketing"/>
          <xsd:enumeration value="Security"/>
          <xsd:enumeration value="Senior Management (Corp)"/>
          <xsd:enumeration value="Strategic Planning"/>
        </xsd:restriction>
      </xsd:simpleType>
    </xsd:element>
    <xsd:element name="FM_x0020_LOC" ma:index="17" nillable="true" ma:displayName="FM LOC" ma:description="This column is used to assign Location" ma:format="Dropdown" ma:hidden="true" ma:internalName="FM_x0020_LOC" ma:readOnly="false">
      <xsd:simpleType>
        <xsd:restriction base="dms:Choice">
          <xsd:enumeration value="Administrative &amp; Sales"/>
          <xsd:enumeration value="Africa"/>
          <xsd:enumeration value="Ajo"/>
          <xsd:enumeration value="Arequipa"/>
          <xsd:enumeration value="Asia Pacific"/>
          <xsd:enumeration value="Atlantic Copper (Huelva)"/>
          <xsd:enumeration value="Aurex"/>
          <xsd:enumeration value="Australia/Asia"/>
          <xsd:enumeration value="Bagdad"/>
          <xsd:enumeration value="Bayway"/>
          <xsd:enumeration value="Bisbee"/>
          <xsd:enumeration value="Cairns"/>
          <xsd:enumeration value="Candelaria"/>
          <xsd:enumeration value="Central Analytical Service Center"/>
          <xsd:enumeration value="Cerro Verde"/>
          <xsd:enumeration value="Chino"/>
          <xsd:enumeration value="Climax"/>
          <xsd:enumeration value="Climax Technology Center"/>
          <xsd:enumeration value="Cobre"/>
          <xsd:enumeration value="Colorado Data Center"/>
          <xsd:enumeration value="Cotton Center"/>
          <xsd:enumeration value="Data Center"/>
          <xsd:enumeration value="El Abra"/>
          <xsd:enumeration value="El Paso"/>
          <xsd:enumeration value="El Paso Refinery"/>
          <xsd:enumeration value="El Paso Rod"/>
          <xsd:enumeration value="Europe"/>
          <xsd:enumeration value="FMC"/>
          <xsd:enumeration value="Ft Madison"/>
          <xsd:enumeration value="Global"/>
          <xsd:enumeration value="Henderson"/>
          <xsd:enumeration value="Houston"/>
          <xsd:enumeration value="Huelva"/>
          <xsd:enumeration value="Jakarta"/>
          <xsd:enumeration value="Jerome"/>
          <xsd:enumeration value="Johannesburg"/>
          <xsd:enumeration value="Kinetics"/>
          <xsd:enumeration value="Kisanfu"/>
          <xsd:enumeration value="Kokkola"/>
          <xsd:enumeration value="Lafayette"/>
          <xsd:enumeration value="Lubumbashi"/>
          <xsd:enumeration value="Madrid"/>
          <xsd:enumeration value="Miami"/>
          <xsd:enumeration value="Miami Rod"/>
          <xsd:enumeration value="Miami Smelter"/>
          <xsd:enumeration value="Mine Training Institute"/>
          <xsd:enumeration value="Mining"/>
          <xsd:enumeration value="Morenci"/>
          <xsd:enumeration value="New Mexico"/>
          <xsd:enumeration value="NOLA"/>
          <xsd:enumeration value="North America"/>
          <xsd:enumeration value="Norwich"/>
          <xsd:enumeration value="Oil &amp; Gas"/>
          <xsd:enumeration value="Ojos del Salado"/>
          <xsd:enumeration value="Oro Valley"/>
          <xsd:enumeration value="Phoenix"/>
          <xsd:enumeration value="Processing"/>
          <xsd:enumeration value="PTFI"/>
          <xsd:enumeration value="Research &amp; Development"/>
          <xsd:enumeration value="Rotterdam"/>
          <xsd:enumeration value="Safford"/>
          <xsd:enumeration value="Safford Lab"/>
          <xsd:enumeration value="Safford Mine"/>
          <xsd:enumeration value="Sahuarita"/>
          <xsd:enumeration value="Sanchez"/>
          <xsd:enumeration value="Santiago Data Center"/>
          <xsd:enumeration value="Santiago"/>
          <xsd:enumeration value="Shanghai"/>
          <xsd:enumeration value="Sierrita"/>
          <xsd:enumeration value="Singapore"/>
          <xsd:enumeration value="South America"/>
          <xsd:enumeration value="Stowmarket"/>
          <xsd:enumeration value="Technology Center"/>
          <xsd:enumeration value="Tenke Fungurume"/>
          <xsd:enumeration value="Tohono"/>
          <xsd:enumeration value="Tokyo"/>
          <xsd:enumeration value="Tucson Office"/>
          <xsd:enumeration value="Twin Buttes"/>
          <xsd:enumeration value="Tyron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d659e-5f8d-4071-900d-27f29812ec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7e16863-b940-4291-96f8-ad8461baff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description="" ma:internalName="MediaServiceOCR" ma:readOnly="true">
      <xsd:simpleType>
        <xsd:restriction base="dms:Note">
          <xsd:maxLength value="255"/>
        </xsd:restriction>
      </xsd:simpleType>
    </xsd:element>
    <xsd:element name="Mes" ma:index="24" nillable="true" ma:displayName="Mes" ma:format="Dropdown" ma:internalName="Mes">
      <xsd:simpleType>
        <xsd:restriction base="dms:Choice">
          <xsd:enumeration value="Enero"/>
          <xsd:enumeration value="Febrero"/>
          <xsd:enumeration value="Marzo"/>
          <xsd:enumeration value="Abril"/>
          <xsd:enumeration value="Mayo"/>
          <xsd:enumeration value="Junio"/>
          <xsd:enumeration value="Julio"/>
          <xsd:enumeration value="Agosto"/>
          <xsd:enumeration value="Octubre"/>
          <xsd:enumeration value="Noviembre"/>
          <xsd:enumeration value="Diciembre"/>
        </xsd:restriction>
      </xsd:simpleType>
    </xsd:element>
    <xsd:element name="A_x00f1_o" ma:index="25" nillable="true" ma:displayName="Año" ma:format="Dropdown" ma:internalName="A_x00f1_o">
      <xsd:simpleType>
        <xsd:restriction base="dms:Choice">
          <xsd:enumeration value="2023"/>
          <xsd:enumeration value="2024"/>
          <xsd:enumeration value="202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0f26c-d654-443f-8794-a2989816637f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3d659e-5f8d-4071-900d-27f29812ec25">
      <Terms xmlns="http://schemas.microsoft.com/office/infopath/2007/PartnerControls"/>
    </lcf76f155ced4ddcb4097134ff3c332f>
    <TaxCatchAll xmlns="b5ba0a33-b247-4d4b-b9ae-c709af684fd3">
      <Value>27</Value>
      <Value>3</Value>
      <Value>2</Value>
    </TaxCatchAll>
    <Mes xmlns="4a3d659e-5f8d-4071-900d-27f29812ec25" xsi:nil="true"/>
    <A_x00f1_o xmlns="4a3d659e-5f8d-4071-900d-27f29812ec25" xsi:nil="true"/>
    <o79fb0eb13274969baa8945b2a62dcda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Production History and Operations</TermName>
          <TermId xmlns="http://schemas.microsoft.com/office/infopath/2007/PartnerControls">8a9e6489-44ac-4daf-946a-502c539dd566</TermId>
        </TermInfo>
      </Terms>
    </o79fb0eb13274969baa8945b2a62dcda>
    <FM_x0020_Ent_x0020_TaxonomyTaxHTField0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Processing</TermName>
          <TermId xmlns="http://schemas.microsoft.com/office/infopath/2007/PartnerControls">efa2ab29-f908-4dcc-ac75-552aeb98f420</TermId>
        </TermInfo>
      </Terms>
    </FM_x0020_Ent_x0020_TaxonomyTaxHTField0>
    <FM_x0020_Doc_x0020_TypeTaxHTField0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Processing</TermName>
          <TermId xmlns="http://schemas.microsoft.com/office/infopath/2007/PartnerControls">b997b950-29ca-4e04-b7d1-80533dc31e58</TermId>
        </TermInfo>
      </Terms>
    </FM_x0020_Doc_x0020_TypeTaxHTField0>
    <FM_x0020_DPT xmlns="b5ba0a33-b247-4d4b-b9ae-c709af684fd3">Operations</FM_x0020_DPT>
    <FM_x0020_LOC xmlns="b5ba0a33-b247-4d4b-b9ae-c709af684fd3">Cerro Verde</FM_x0020_LOC>
    <_ExtendedDescription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B5E9DBA-052E-46BC-9C19-106A9CA3C039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B90451F3-FCB6-4AB9-AF1B-180D1DE1AC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5ba0a33-b247-4d4b-b9ae-c709af684fd3"/>
    <ds:schemaRef ds:uri="4a3d659e-5f8d-4071-900d-27f29812ec25"/>
    <ds:schemaRef ds:uri="a890f26c-d654-443f-8794-a298981663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093D0B-75AB-4C1A-8FBB-DBD6F5EB423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55040EC-76C8-4D2F-99FA-D1819DC5EDF1}">
  <ds:schemaRefs>
    <ds:schemaRef ds:uri="http://purl.org/dc/elements/1.1/"/>
    <ds:schemaRef ds:uri="4a3d659e-5f8d-4071-900d-27f29812ec25"/>
    <ds:schemaRef ds:uri="http://purl.org/dc/terms/"/>
    <ds:schemaRef ds:uri="http://schemas.openxmlformats.org/package/2006/metadata/core-properties"/>
    <ds:schemaRef ds:uri="http://purl.org/dc/dcmitype/"/>
    <ds:schemaRef ds:uri="a890f26c-d654-443f-8794-a2989816637f"/>
    <ds:schemaRef ds:uri="b5ba0a33-b247-4d4b-b9ae-c709af684fd3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56f8a036-ae1b-4f85-92d3-f4203c03c43b}" enabled="1" method="Standard" siteId="{5f229ce1-773c-46ed-a6fa-974006fae09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FCS</vt:lpstr>
      <vt:lpstr>FCS!Títulos_a_imprimir</vt:lpstr>
    </vt:vector>
  </TitlesOfParts>
  <Manager/>
  <Company>MWH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HJSP</dc:creator>
  <cp:keywords/>
  <dc:description/>
  <cp:lastModifiedBy>APAZA AYTA, ANDERSON MAGNER</cp:lastModifiedBy>
  <cp:revision/>
  <dcterms:created xsi:type="dcterms:W3CDTF">2007-08-27T19:34:21Z</dcterms:created>
  <dcterms:modified xsi:type="dcterms:W3CDTF">2026-04-06T12:07:47Z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f8a036-ae1b-4f85-92d3-f4203c03c43b_Enabled">
    <vt:lpwstr>true</vt:lpwstr>
  </property>
  <property fmtid="{D5CDD505-2E9C-101B-9397-08002B2CF9AE}" pid="3" name="MSIP_Label_56f8a036-ae1b-4f85-92d3-f4203c03c43b_SetDate">
    <vt:lpwstr>2023-01-06T15:26:05Z</vt:lpwstr>
  </property>
  <property fmtid="{D5CDD505-2E9C-101B-9397-08002B2CF9AE}" pid="4" name="MSIP_Label_56f8a036-ae1b-4f85-92d3-f4203c03c43b_Method">
    <vt:lpwstr>Standard</vt:lpwstr>
  </property>
  <property fmtid="{D5CDD505-2E9C-101B-9397-08002B2CF9AE}" pid="5" name="MSIP_Label_56f8a036-ae1b-4f85-92d3-f4203c03c43b_Name">
    <vt:lpwstr>56f8a036-ae1b-4f85-92d3-f4203c03c43b</vt:lpwstr>
  </property>
  <property fmtid="{D5CDD505-2E9C-101B-9397-08002B2CF9AE}" pid="6" name="MSIP_Label_56f8a036-ae1b-4f85-92d3-f4203c03c43b_SiteId">
    <vt:lpwstr>5f229ce1-773c-46ed-a6fa-974006fae097</vt:lpwstr>
  </property>
  <property fmtid="{D5CDD505-2E9C-101B-9397-08002B2CF9AE}" pid="7" name="MSIP_Label_56f8a036-ae1b-4f85-92d3-f4203c03c43b_ActionId">
    <vt:lpwstr>8c73fb07-8b58-4741-8c70-feb59d4e7d91</vt:lpwstr>
  </property>
  <property fmtid="{D5CDD505-2E9C-101B-9397-08002B2CF9AE}" pid="8" name="MSIP_Label_56f8a036-ae1b-4f85-92d3-f4203c03c43b_ContentBits">
    <vt:lpwstr>0</vt:lpwstr>
  </property>
  <property fmtid="{D5CDD505-2E9C-101B-9397-08002B2CF9AE}" pid="9" name="ContentTypeId">
    <vt:lpwstr>0x01010046829DE55437B147B48D1766376E3D6B00E5202FBF7FFAFA4EA585E9004C324842</vt:lpwstr>
  </property>
  <property fmtid="{D5CDD505-2E9C-101B-9397-08002B2CF9AE}" pid="10" name="ComplianceAssetId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MediaServiceImageTags">
    <vt:lpwstr/>
  </property>
  <property fmtid="{D5CDD505-2E9C-101B-9397-08002B2CF9AE}" pid="14" name="FM_x0020_Ent_x0020_Taxonomy">
    <vt:lpwstr>2;#Processing|efa2ab29-f908-4dcc-ac75-552aeb98f420</vt:lpwstr>
  </property>
  <property fmtid="{D5CDD505-2E9C-101B-9397-08002B2CF9AE}" pid="15" name="FM_x0020_Doc_x0020_Type">
    <vt:lpwstr>3;#Processing|b997b950-29ca-4e04-b7d1-80533dc31e58</vt:lpwstr>
  </property>
  <property fmtid="{D5CDD505-2E9C-101B-9397-08002B2CF9AE}" pid="16" name="FM_x0020_Retention_x0020_Category">
    <vt:lpwstr>27;#Production History and Operations|8a9e6489-44ac-4daf-946a-502c539dd566</vt:lpwstr>
  </property>
  <property fmtid="{D5CDD505-2E9C-101B-9397-08002B2CF9AE}" pid="17" name="FM Ent Taxonomy">
    <vt:lpwstr>2;#Processing|efa2ab29-f908-4dcc-ac75-552aeb98f420</vt:lpwstr>
  </property>
  <property fmtid="{D5CDD505-2E9C-101B-9397-08002B2CF9AE}" pid="18" name="FM Retention Category">
    <vt:lpwstr>27;#Production History and Operations|8a9e6489-44ac-4daf-946a-502c539dd566</vt:lpwstr>
  </property>
  <property fmtid="{D5CDD505-2E9C-101B-9397-08002B2CF9AE}" pid="19" name="FM Doc Type">
    <vt:lpwstr>3;#Processing|b997b950-29ca-4e04-b7d1-80533dc31e58</vt:lpwstr>
  </property>
</Properties>
</file>